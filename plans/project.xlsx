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5"/>
  <workbookPr/>
  <mc:AlternateContent xmlns:mc="http://schemas.openxmlformats.org/markup-compatibility/2006">
    <mc:Choice Requires="x15">
      <x15ac:absPath xmlns:x15ac="http://schemas.microsoft.com/office/spreadsheetml/2010/11/ac" url="C:\Users\mohamad\Desktop\"/>
    </mc:Choice>
  </mc:AlternateContent>
  <xr:revisionPtr revIDLastSave="0" documentId="13_ncr:1_{C1C0135F-DF64-467D-8D31-78635AEFDA1A}" xr6:coauthVersionLast="47" xr6:coauthVersionMax="47" xr10:uidLastSave="{00000000-0000-0000-0000-000000000000}"/>
  <bookViews>
    <workbookView xWindow="-120" yWindow="-120" windowWidth="29040" windowHeight="15720" tabRatio="500" firstSheet="2" activeTab="5" xr2:uid="{00000000-000D-0000-FFFF-FFFF00000000}"/>
  </bookViews>
  <sheets>
    <sheet name="LISTS" sheetId="1" r:id="rId1"/>
    <sheet name="DATA" sheetId="2" r:id="rId2"/>
    <sheet name="محضر اجتماع" sheetId="3" r:id="rId3"/>
    <sheet name="محضر اجتماع متكامل" sheetId="13" r:id="rId4"/>
    <sheet name="تقرير  مشروع" sheetId="4" r:id="rId5"/>
    <sheet name="تقرير قسم" sheetId="5" r:id="rId6"/>
    <sheet name="تقرير الموظف" sheetId="6" r:id="rId7"/>
    <sheet name="حسب الاقسام" sheetId="7" r:id="rId8"/>
    <sheet name="نوع النشاط " sheetId="8" r:id="rId9"/>
    <sheet name="تقارير" sheetId="9" r:id="rId10"/>
    <sheet name="لوحة الرقابة" sheetId="10" r:id="rId11"/>
    <sheet name="تقرير القسم والنشاط" sheetId="11" r:id="rId12"/>
    <sheet name="معايير الأقسام" sheetId="12" r:id="rId13"/>
  </sheets>
  <definedNames>
    <definedName name="_xlnm._FilterDatabase" localSheetId="1" hidden="1">DATA!$A$1:$AN$998</definedName>
    <definedName name="_xlnm._FilterDatabase" localSheetId="7" hidden="1">'حسب الاقسام'!$A$1:$P$1</definedName>
    <definedName name="AllUnits">LISTS!#REF!</definedName>
    <definedName name="FunderList">OFFSET(LISTS!$W$2,0,0,COUNTA(LISTS!$W$2:$W$255),1)</definedName>
    <definedName name="LookupDeptByUnit">LISTS!#REF!</definedName>
    <definedName name="_xlnm.Print_Area" localSheetId="4">'تقرير  مشروع'!$A$1:$L$64</definedName>
    <definedName name="_xlnm.Print_Area" localSheetId="2">'محضر اجتماع'!$A$1:$K$28</definedName>
    <definedName name="ResponsibleList">OFFSET(LISTS!$T$2,0,0,COUNTA(LISTS!$T$2:$T$255),1)</definedName>
    <definedName name="rng_Alert">DATA!$AJ$2:$AJ$476</definedName>
    <definedName name="rng_Dept">DATA!$I$2:$I$476</definedName>
    <definedName name="rng_KPI">DATA!$AG$2:$AG$476</definedName>
    <definedName name="rng_Monitor">DATA!$AI$2:$AI$476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13" l="1"/>
  <c r="I1" i="12"/>
  <c r="H1" i="12"/>
  <c r="G1" i="12"/>
  <c r="F1" i="12"/>
  <c r="E1" i="12"/>
  <c r="D1" i="12"/>
  <c r="C1" i="12"/>
  <c r="B1" i="12"/>
  <c r="A1" i="12"/>
  <c r="AE87" i="2"/>
  <c r="AF87" i="2"/>
  <c r="AG87" i="2"/>
  <c r="AH87" i="2"/>
  <c r="AI87" i="2"/>
  <c r="AE88" i="2"/>
  <c r="AF88" i="2"/>
  <c r="AG88" i="2"/>
  <c r="AH88" i="2"/>
  <c r="AI88" i="2"/>
  <c r="AE89" i="2"/>
  <c r="AF89" i="2"/>
  <c r="AG89" i="2"/>
  <c r="AH89" i="2"/>
  <c r="AI89" i="2"/>
  <c r="AE90" i="2"/>
  <c r="AF90" i="2"/>
  <c r="AG90" i="2"/>
  <c r="AH90" i="2"/>
  <c r="AI90" i="2"/>
  <c r="AE2" i="2"/>
  <c r="AF2" i="2"/>
  <c r="AG2" i="2"/>
  <c r="AH2" i="2"/>
  <c r="AI2" i="2"/>
  <c r="AE3" i="2"/>
  <c r="AF3" i="2"/>
  <c r="AG3" i="2"/>
  <c r="AH3" i="2"/>
  <c r="AI3" i="2"/>
  <c r="AE4" i="2"/>
  <c r="AF4" i="2"/>
  <c r="AG4" i="2"/>
  <c r="AH4" i="2"/>
  <c r="AI4" i="2"/>
  <c r="AE5" i="2"/>
  <c r="AF5" i="2"/>
  <c r="AG5" i="2"/>
  <c r="AH5" i="2"/>
  <c r="AI5" i="2"/>
  <c r="AE6" i="2"/>
  <c r="AF6" i="2"/>
  <c r="AG6" i="2"/>
  <c r="AH6" i="2"/>
  <c r="AI6" i="2"/>
  <c r="AE7" i="2"/>
  <c r="AF7" i="2"/>
  <c r="AG7" i="2"/>
  <c r="AH7" i="2"/>
  <c r="AI7" i="2"/>
  <c r="AE8" i="2"/>
  <c r="AF8" i="2"/>
  <c r="AG8" i="2"/>
  <c r="AH8" i="2"/>
  <c r="AI8" i="2"/>
  <c r="AE9" i="2"/>
  <c r="AF9" i="2"/>
  <c r="AG9" i="2"/>
  <c r="AH9" i="2"/>
  <c r="AI9" i="2"/>
  <c r="AE10" i="2"/>
  <c r="AF10" i="2"/>
  <c r="AG10" i="2"/>
  <c r="AH10" i="2"/>
  <c r="AI10" i="2"/>
  <c r="AE11" i="2"/>
  <c r="AF11" i="2"/>
  <c r="AG11" i="2"/>
  <c r="AH11" i="2"/>
  <c r="AI11" i="2"/>
  <c r="AE12" i="2"/>
  <c r="AF12" i="2"/>
  <c r="AG12" i="2"/>
  <c r="AH12" i="2"/>
  <c r="AI12" i="2"/>
  <c r="AE13" i="2"/>
  <c r="AF13" i="2"/>
  <c r="AG13" i="2"/>
  <c r="AH13" i="2"/>
  <c r="AI13" i="2"/>
  <c r="AE14" i="2"/>
  <c r="AF14" i="2"/>
  <c r="AG14" i="2"/>
  <c r="AH14" i="2"/>
  <c r="AI14" i="2"/>
  <c r="AE15" i="2"/>
  <c r="AF15" i="2"/>
  <c r="AG15" i="2"/>
  <c r="AH15" i="2"/>
  <c r="AI15" i="2"/>
  <c r="AE16" i="2"/>
  <c r="AF16" i="2"/>
  <c r="AG16" i="2"/>
  <c r="AH16" i="2"/>
  <c r="AI16" i="2"/>
  <c r="AE17" i="2"/>
  <c r="AF17" i="2"/>
  <c r="AG17" i="2"/>
  <c r="AH17" i="2"/>
  <c r="AI17" i="2"/>
  <c r="AE18" i="2"/>
  <c r="AF18" i="2"/>
  <c r="AG18" i="2"/>
  <c r="AH18" i="2"/>
  <c r="AI18" i="2"/>
  <c r="AE19" i="2"/>
  <c r="AF19" i="2"/>
  <c r="AG19" i="2"/>
  <c r="AH19" i="2"/>
  <c r="AI19" i="2"/>
  <c r="AE20" i="2"/>
  <c r="AF20" i="2"/>
  <c r="AG20" i="2"/>
  <c r="AH20" i="2"/>
  <c r="AI20" i="2"/>
  <c r="AE21" i="2"/>
  <c r="AF21" i="2"/>
  <c r="AG21" i="2"/>
  <c r="AH21" i="2"/>
  <c r="AI21" i="2"/>
  <c r="AE22" i="2"/>
  <c r="AF22" i="2"/>
  <c r="AG22" i="2"/>
  <c r="AH22" i="2"/>
  <c r="AI22" i="2"/>
  <c r="AE23" i="2"/>
  <c r="AF23" i="2"/>
  <c r="AG23" i="2"/>
  <c r="AH23" i="2"/>
  <c r="AI23" i="2"/>
  <c r="AE24" i="2"/>
  <c r="AF24" i="2"/>
  <c r="AG24" i="2"/>
  <c r="AH24" i="2"/>
  <c r="AI24" i="2"/>
  <c r="AE25" i="2"/>
  <c r="AF25" i="2"/>
  <c r="AG25" i="2"/>
  <c r="AH25" i="2"/>
  <c r="AI25" i="2"/>
  <c r="AE26" i="2"/>
  <c r="AF26" i="2"/>
  <c r="AG26" i="2"/>
  <c r="AH26" i="2"/>
  <c r="AI26" i="2"/>
  <c r="AE27" i="2"/>
  <c r="AF27" i="2"/>
  <c r="AG27" i="2"/>
  <c r="AH27" i="2"/>
  <c r="AI27" i="2"/>
  <c r="AE28" i="2"/>
  <c r="AF28" i="2"/>
  <c r="AG28" i="2"/>
  <c r="AH28" i="2"/>
  <c r="AI28" i="2"/>
  <c r="AE29" i="2"/>
  <c r="AF29" i="2"/>
  <c r="AG29" i="2"/>
  <c r="AH29" i="2"/>
  <c r="AI29" i="2"/>
  <c r="AE30" i="2"/>
  <c r="AF30" i="2"/>
  <c r="AG30" i="2"/>
  <c r="AH30" i="2"/>
  <c r="AI30" i="2"/>
  <c r="AE31" i="2"/>
  <c r="AF31" i="2"/>
  <c r="AG31" i="2"/>
  <c r="AH31" i="2"/>
  <c r="AI31" i="2"/>
  <c r="AE32" i="2"/>
  <c r="AF32" i="2"/>
  <c r="AG32" i="2"/>
  <c r="AH32" i="2"/>
  <c r="AI32" i="2"/>
  <c r="AE33" i="2"/>
  <c r="AF33" i="2"/>
  <c r="AG33" i="2"/>
  <c r="AH33" i="2"/>
  <c r="AI33" i="2"/>
  <c r="AE34" i="2"/>
  <c r="AF34" i="2"/>
  <c r="AG34" i="2"/>
  <c r="AH34" i="2"/>
  <c r="AI34" i="2"/>
  <c r="AE35" i="2"/>
  <c r="AF35" i="2"/>
  <c r="AG35" i="2"/>
  <c r="AH35" i="2"/>
  <c r="AI35" i="2"/>
  <c r="AE36" i="2"/>
  <c r="AF36" i="2"/>
  <c r="AG36" i="2"/>
  <c r="AH36" i="2"/>
  <c r="AI36" i="2"/>
  <c r="AE37" i="2"/>
  <c r="AF37" i="2"/>
  <c r="AG37" i="2"/>
  <c r="AH37" i="2"/>
  <c r="AI37" i="2"/>
  <c r="AE38" i="2"/>
  <c r="AF38" i="2"/>
  <c r="AG38" i="2"/>
  <c r="AH38" i="2"/>
  <c r="AI38" i="2"/>
  <c r="AE39" i="2"/>
  <c r="AF39" i="2"/>
  <c r="AG39" i="2"/>
  <c r="AH39" i="2"/>
  <c r="AI39" i="2"/>
  <c r="AE40" i="2"/>
  <c r="AF40" i="2"/>
  <c r="AG40" i="2"/>
  <c r="AH40" i="2"/>
  <c r="AI40" i="2"/>
  <c r="AE41" i="2"/>
  <c r="AF41" i="2"/>
  <c r="AG41" i="2"/>
  <c r="AH41" i="2"/>
  <c r="AI41" i="2"/>
  <c r="AE42" i="2"/>
  <c r="AF42" i="2"/>
  <c r="AG42" i="2"/>
  <c r="AH42" i="2"/>
  <c r="AI42" i="2"/>
  <c r="AE43" i="2"/>
  <c r="AF43" i="2"/>
  <c r="AG43" i="2"/>
  <c r="AH43" i="2"/>
  <c r="AI43" i="2"/>
  <c r="AE44" i="2"/>
  <c r="AF44" i="2"/>
  <c r="AG44" i="2"/>
  <c r="AH44" i="2"/>
  <c r="AI44" i="2"/>
  <c r="AE45" i="2"/>
  <c r="AF45" i="2"/>
  <c r="AG45" i="2"/>
  <c r="AH45" i="2"/>
  <c r="AI45" i="2"/>
  <c r="AE46" i="2"/>
  <c r="AF46" i="2"/>
  <c r="AG46" i="2"/>
  <c r="AH46" i="2"/>
  <c r="AI46" i="2"/>
  <c r="AE47" i="2"/>
  <c r="AF47" i="2"/>
  <c r="AG47" i="2"/>
  <c r="AH47" i="2"/>
  <c r="AI47" i="2"/>
  <c r="AE48" i="2"/>
  <c r="AF48" i="2"/>
  <c r="AG48" i="2"/>
  <c r="AH48" i="2"/>
  <c r="AI48" i="2"/>
  <c r="AE49" i="2"/>
  <c r="AF49" i="2"/>
  <c r="AG49" i="2"/>
  <c r="AH49" i="2"/>
  <c r="AI49" i="2"/>
  <c r="AE50" i="2"/>
  <c r="AF50" i="2"/>
  <c r="AG50" i="2"/>
  <c r="AH50" i="2"/>
  <c r="AI50" i="2"/>
  <c r="AE51" i="2"/>
  <c r="AF51" i="2"/>
  <c r="AG51" i="2"/>
  <c r="AH51" i="2"/>
  <c r="AI51" i="2"/>
  <c r="AE52" i="2"/>
  <c r="AF52" i="2"/>
  <c r="AG52" i="2"/>
  <c r="AH52" i="2"/>
  <c r="AI52" i="2"/>
  <c r="AE53" i="2"/>
  <c r="AF53" i="2"/>
  <c r="AG53" i="2"/>
  <c r="AH53" i="2"/>
  <c r="AI53" i="2"/>
  <c r="AE54" i="2"/>
  <c r="AF54" i="2"/>
  <c r="AG54" i="2"/>
  <c r="AH54" i="2"/>
  <c r="AI54" i="2"/>
  <c r="AE55" i="2"/>
  <c r="AF55" i="2"/>
  <c r="AG55" i="2"/>
  <c r="AH55" i="2"/>
  <c r="AI55" i="2"/>
  <c r="AE56" i="2"/>
  <c r="AF56" i="2"/>
  <c r="AG56" i="2"/>
  <c r="AH56" i="2"/>
  <c r="AI56" i="2"/>
  <c r="AE57" i="2"/>
  <c r="AF57" i="2"/>
  <c r="AG57" i="2"/>
  <c r="AH57" i="2"/>
  <c r="AI57" i="2"/>
  <c r="AE58" i="2"/>
  <c r="AF58" i="2"/>
  <c r="AG58" i="2"/>
  <c r="AH58" i="2"/>
  <c r="AI58" i="2"/>
  <c r="AE59" i="2"/>
  <c r="AF59" i="2"/>
  <c r="AG59" i="2"/>
  <c r="AH59" i="2"/>
  <c r="AI59" i="2"/>
  <c r="AE60" i="2"/>
  <c r="AF60" i="2"/>
  <c r="AG60" i="2"/>
  <c r="AH60" i="2"/>
  <c r="AI60" i="2"/>
  <c r="AE61" i="2"/>
  <c r="AF61" i="2"/>
  <c r="AG61" i="2"/>
  <c r="AH61" i="2"/>
  <c r="AI61" i="2"/>
  <c r="AE62" i="2"/>
  <c r="AF62" i="2"/>
  <c r="AG62" i="2"/>
  <c r="AH62" i="2"/>
  <c r="AI62" i="2"/>
  <c r="AE63" i="2"/>
  <c r="AF63" i="2"/>
  <c r="AG63" i="2"/>
  <c r="AH63" i="2"/>
  <c r="AI63" i="2"/>
  <c r="AE64" i="2"/>
  <c r="AF64" i="2"/>
  <c r="AG64" i="2"/>
  <c r="AH64" i="2"/>
  <c r="AI64" i="2"/>
  <c r="AE65" i="2"/>
  <c r="AF65" i="2"/>
  <c r="AG65" i="2"/>
  <c r="AH65" i="2"/>
  <c r="AI65" i="2"/>
  <c r="AE66" i="2"/>
  <c r="AF66" i="2"/>
  <c r="AG66" i="2"/>
  <c r="AH66" i="2"/>
  <c r="AI66" i="2"/>
  <c r="AE67" i="2"/>
  <c r="AF67" i="2"/>
  <c r="AG67" i="2"/>
  <c r="AH67" i="2"/>
  <c r="AI67" i="2"/>
  <c r="AE68" i="2"/>
  <c r="AF68" i="2"/>
  <c r="AG68" i="2"/>
  <c r="AH68" i="2"/>
  <c r="AI68" i="2"/>
  <c r="AE69" i="2"/>
  <c r="AF69" i="2"/>
  <c r="AG69" i="2"/>
  <c r="AH69" i="2"/>
  <c r="AI69" i="2"/>
  <c r="AE70" i="2"/>
  <c r="AF70" i="2"/>
  <c r="AG70" i="2"/>
  <c r="AH70" i="2"/>
  <c r="AI70" i="2"/>
  <c r="AE71" i="2"/>
  <c r="AF71" i="2"/>
  <c r="AG71" i="2"/>
  <c r="AH71" i="2"/>
  <c r="AI71" i="2"/>
  <c r="AE72" i="2"/>
  <c r="AF72" i="2"/>
  <c r="AG72" i="2"/>
  <c r="AH72" i="2"/>
  <c r="AI72" i="2"/>
  <c r="AE73" i="2"/>
  <c r="AF73" i="2"/>
  <c r="AG73" i="2"/>
  <c r="AH73" i="2"/>
  <c r="AI73" i="2"/>
  <c r="AE74" i="2"/>
  <c r="AF74" i="2"/>
  <c r="AG74" i="2"/>
  <c r="AH74" i="2"/>
  <c r="AI74" i="2"/>
  <c r="AE75" i="2"/>
  <c r="AF75" i="2"/>
  <c r="AG75" i="2"/>
  <c r="AH75" i="2"/>
  <c r="AI75" i="2"/>
  <c r="AE76" i="2"/>
  <c r="AF76" i="2"/>
  <c r="AG76" i="2"/>
  <c r="AH76" i="2"/>
  <c r="AI76" i="2"/>
  <c r="AE77" i="2"/>
  <c r="AF77" i="2"/>
  <c r="AG77" i="2"/>
  <c r="AH77" i="2"/>
  <c r="AI77" i="2"/>
  <c r="AE78" i="2"/>
  <c r="AF78" i="2"/>
  <c r="AG78" i="2"/>
  <c r="AH78" i="2"/>
  <c r="AI78" i="2"/>
  <c r="AE79" i="2"/>
  <c r="AF79" i="2"/>
  <c r="AG79" i="2"/>
  <c r="AH79" i="2"/>
  <c r="AI79" i="2"/>
  <c r="AE80" i="2"/>
  <c r="AF80" i="2"/>
  <c r="AG80" i="2"/>
  <c r="AH80" i="2"/>
  <c r="AI80" i="2"/>
  <c r="AE81" i="2"/>
  <c r="AF81" i="2"/>
  <c r="AG81" i="2"/>
  <c r="AH81" i="2"/>
  <c r="AI81" i="2"/>
  <c r="AE82" i="2"/>
  <c r="AF82" i="2"/>
  <c r="AG82" i="2"/>
  <c r="AH82" i="2"/>
  <c r="AI82" i="2"/>
  <c r="AE83" i="2"/>
  <c r="AF83" i="2"/>
  <c r="AG83" i="2"/>
  <c r="AH83" i="2"/>
  <c r="AI83" i="2"/>
  <c r="AE84" i="2"/>
  <c r="AF84" i="2"/>
  <c r="AG84" i="2"/>
  <c r="AH84" i="2"/>
  <c r="AI84" i="2"/>
  <c r="AE85" i="2"/>
  <c r="AF85" i="2"/>
  <c r="AG85" i="2"/>
  <c r="AH85" i="2"/>
  <c r="AI85" i="2"/>
  <c r="AE86" i="2"/>
  <c r="AF86" i="2"/>
  <c r="AG86" i="2"/>
  <c r="AH86" i="2"/>
  <c r="AI86" i="2"/>
  <c r="AE91" i="2"/>
  <c r="AF91" i="2"/>
  <c r="AG91" i="2"/>
  <c r="AH91" i="2"/>
  <c r="AI91" i="2"/>
  <c r="AE92" i="2"/>
  <c r="AF92" i="2"/>
  <c r="AG92" i="2"/>
  <c r="AH92" i="2"/>
  <c r="AI92" i="2"/>
  <c r="AE93" i="2"/>
  <c r="AF93" i="2"/>
  <c r="AG93" i="2"/>
  <c r="AH93" i="2"/>
  <c r="AI93" i="2"/>
  <c r="AE94" i="2"/>
  <c r="AF94" i="2"/>
  <c r="AG94" i="2"/>
  <c r="AH94" i="2"/>
  <c r="AI94" i="2"/>
  <c r="AE95" i="2"/>
  <c r="AF95" i="2"/>
  <c r="AG95" i="2"/>
  <c r="AH95" i="2"/>
  <c r="AI95" i="2"/>
  <c r="AE96" i="2"/>
  <c r="AF96" i="2"/>
  <c r="AG96" i="2"/>
  <c r="AH96" i="2"/>
  <c r="AI96" i="2"/>
  <c r="AE97" i="2"/>
  <c r="AF97" i="2"/>
  <c r="AG97" i="2"/>
  <c r="AH97" i="2"/>
  <c r="AI97" i="2"/>
  <c r="AE98" i="2"/>
  <c r="AF98" i="2"/>
  <c r="AG98" i="2"/>
  <c r="AH98" i="2"/>
  <c r="AI98" i="2"/>
  <c r="AE99" i="2"/>
  <c r="AF99" i="2"/>
  <c r="AG99" i="2"/>
  <c r="AH99" i="2"/>
  <c r="AI99" i="2"/>
  <c r="AE100" i="2"/>
  <c r="AF100" i="2"/>
  <c r="AG100" i="2"/>
  <c r="AH100" i="2"/>
  <c r="AI100" i="2"/>
  <c r="AE101" i="2"/>
  <c r="AF101" i="2"/>
  <c r="AG101" i="2"/>
  <c r="AH101" i="2"/>
  <c r="AI101" i="2"/>
  <c r="AE102" i="2"/>
  <c r="AF102" i="2"/>
  <c r="AG102" i="2"/>
  <c r="AH102" i="2"/>
  <c r="AI102" i="2"/>
  <c r="AE103" i="2"/>
  <c r="AF103" i="2"/>
  <c r="AG103" i="2"/>
  <c r="AH103" i="2"/>
  <c r="AI103" i="2"/>
  <c r="AE104" i="2"/>
  <c r="AF104" i="2"/>
  <c r="AG104" i="2"/>
  <c r="AH104" i="2"/>
  <c r="AI104" i="2"/>
  <c r="AE105" i="2"/>
  <c r="AF105" i="2"/>
  <c r="AG105" i="2"/>
  <c r="AH105" i="2"/>
  <c r="AI105" i="2"/>
  <c r="AE106" i="2"/>
  <c r="AF106" i="2"/>
  <c r="AG106" i="2"/>
  <c r="AH106" i="2"/>
  <c r="AI106" i="2"/>
  <c r="AE107" i="2"/>
  <c r="AF107" i="2"/>
  <c r="AG107" i="2"/>
  <c r="AH107" i="2"/>
  <c r="AI107" i="2"/>
  <c r="AE108" i="2"/>
  <c r="AF108" i="2"/>
  <c r="AG108" i="2"/>
  <c r="AH108" i="2"/>
  <c r="AI108" i="2"/>
  <c r="AE109" i="2"/>
  <c r="AF109" i="2"/>
  <c r="AG109" i="2"/>
  <c r="AH109" i="2"/>
  <c r="AI109" i="2"/>
  <c r="AE110" i="2"/>
  <c r="AF110" i="2"/>
  <c r="AG110" i="2"/>
  <c r="AH110" i="2"/>
  <c r="AI110" i="2"/>
  <c r="AE111" i="2"/>
  <c r="AF111" i="2"/>
  <c r="AG111" i="2"/>
  <c r="AH111" i="2"/>
  <c r="AI111" i="2"/>
  <c r="AE112" i="2"/>
  <c r="AF112" i="2"/>
  <c r="AG112" i="2"/>
  <c r="AH112" i="2"/>
  <c r="AI112" i="2"/>
  <c r="AE113" i="2"/>
  <c r="AF113" i="2"/>
  <c r="AG113" i="2"/>
  <c r="AH113" i="2"/>
  <c r="AI113" i="2"/>
  <c r="AE114" i="2"/>
  <c r="AF114" i="2"/>
  <c r="AG114" i="2"/>
  <c r="AH114" i="2"/>
  <c r="AI114" i="2"/>
  <c r="AE115" i="2"/>
  <c r="AF115" i="2"/>
  <c r="AG115" i="2"/>
  <c r="AH115" i="2"/>
  <c r="AI115" i="2"/>
  <c r="AE116" i="2"/>
  <c r="AF116" i="2"/>
  <c r="AG116" i="2"/>
  <c r="AH116" i="2"/>
  <c r="AI116" i="2"/>
  <c r="AE117" i="2"/>
  <c r="AF117" i="2"/>
  <c r="AG117" i="2"/>
  <c r="AH117" i="2"/>
  <c r="AI117" i="2"/>
  <c r="AE118" i="2"/>
  <c r="AF118" i="2"/>
  <c r="AG118" i="2"/>
  <c r="AH118" i="2"/>
  <c r="AI118" i="2"/>
  <c r="AE119" i="2"/>
  <c r="AF119" i="2"/>
  <c r="AG119" i="2"/>
  <c r="AH119" i="2"/>
  <c r="AI119" i="2"/>
  <c r="AE120" i="2"/>
  <c r="AF120" i="2"/>
  <c r="AG120" i="2"/>
  <c r="AH120" i="2"/>
  <c r="AI120" i="2"/>
  <c r="AE121" i="2"/>
  <c r="AF121" i="2"/>
  <c r="AG121" i="2"/>
  <c r="AH121" i="2"/>
  <c r="AI121" i="2"/>
  <c r="AE122" i="2"/>
  <c r="AF122" i="2"/>
  <c r="AG122" i="2"/>
  <c r="AH122" i="2"/>
  <c r="AI122" i="2"/>
  <c r="AE123" i="2"/>
  <c r="AF123" i="2"/>
  <c r="AG123" i="2"/>
  <c r="AH123" i="2"/>
  <c r="AI123" i="2"/>
  <c r="AE124" i="2"/>
  <c r="AF124" i="2"/>
  <c r="AG124" i="2"/>
  <c r="AH124" i="2"/>
  <c r="AI124" i="2"/>
  <c r="AE125" i="2"/>
  <c r="AF125" i="2"/>
  <c r="AG125" i="2"/>
  <c r="AH125" i="2"/>
  <c r="AI125" i="2"/>
  <c r="AE126" i="2"/>
  <c r="AF126" i="2"/>
  <c r="AG126" i="2"/>
  <c r="AH126" i="2"/>
  <c r="AI126" i="2"/>
  <c r="AE127" i="2"/>
  <c r="AF127" i="2"/>
  <c r="AG127" i="2"/>
  <c r="AH127" i="2"/>
  <c r="AI127" i="2"/>
  <c r="AE128" i="2"/>
  <c r="AF128" i="2"/>
  <c r="AG128" i="2"/>
  <c r="AH128" i="2"/>
  <c r="AI128" i="2"/>
  <c r="AE129" i="2"/>
  <c r="AF129" i="2"/>
  <c r="AG129" i="2"/>
  <c r="AH129" i="2"/>
  <c r="AI129" i="2"/>
  <c r="AE130" i="2"/>
  <c r="AF130" i="2"/>
  <c r="AG130" i="2"/>
  <c r="AH130" i="2"/>
  <c r="AI130" i="2"/>
  <c r="AE131" i="2"/>
  <c r="AF131" i="2"/>
  <c r="AG131" i="2"/>
  <c r="AH131" i="2"/>
  <c r="AI131" i="2"/>
  <c r="AE132" i="2"/>
  <c r="AF132" i="2"/>
  <c r="AG132" i="2"/>
  <c r="AH132" i="2"/>
  <c r="AI132" i="2"/>
  <c r="AE133" i="2"/>
  <c r="AF133" i="2"/>
  <c r="AG133" i="2"/>
  <c r="AH133" i="2"/>
  <c r="AI133" i="2"/>
  <c r="AE134" i="2"/>
  <c r="AF134" i="2"/>
  <c r="AG134" i="2"/>
  <c r="AH134" i="2"/>
  <c r="AI134" i="2"/>
  <c r="AE135" i="2"/>
  <c r="AF135" i="2"/>
  <c r="AG135" i="2"/>
  <c r="AH135" i="2"/>
  <c r="AI135" i="2"/>
  <c r="AE136" i="2"/>
  <c r="AF136" i="2"/>
  <c r="AG136" i="2"/>
  <c r="AH136" i="2"/>
  <c r="AI136" i="2"/>
  <c r="AE137" i="2"/>
  <c r="AF137" i="2"/>
  <c r="AG137" i="2"/>
  <c r="AH137" i="2"/>
  <c r="AI137" i="2"/>
  <c r="AE138" i="2"/>
  <c r="AF138" i="2"/>
  <c r="AG138" i="2"/>
  <c r="AH138" i="2"/>
  <c r="AI138" i="2"/>
  <c r="AE139" i="2"/>
  <c r="AF139" i="2"/>
  <c r="AG139" i="2"/>
  <c r="AH139" i="2"/>
  <c r="AI139" i="2"/>
  <c r="AE140" i="2"/>
  <c r="AF140" i="2"/>
  <c r="AG140" i="2"/>
  <c r="AH140" i="2"/>
  <c r="AI140" i="2"/>
  <c r="AE141" i="2"/>
  <c r="AF141" i="2"/>
  <c r="AG141" i="2"/>
  <c r="AH141" i="2"/>
  <c r="AI141" i="2"/>
  <c r="AE142" i="2"/>
  <c r="AF142" i="2"/>
  <c r="AG142" i="2"/>
  <c r="AH142" i="2"/>
  <c r="AI142" i="2"/>
  <c r="AE143" i="2"/>
  <c r="AF143" i="2"/>
  <c r="AG143" i="2"/>
  <c r="AH143" i="2"/>
  <c r="AI143" i="2"/>
  <c r="AE144" i="2"/>
  <c r="AF144" i="2"/>
  <c r="AG144" i="2"/>
  <c r="AH144" i="2"/>
  <c r="AI144" i="2"/>
  <c r="AE145" i="2"/>
  <c r="AF145" i="2"/>
  <c r="AG145" i="2"/>
  <c r="AH145" i="2"/>
  <c r="AI145" i="2"/>
  <c r="AE146" i="2"/>
  <c r="AF146" i="2"/>
  <c r="AG146" i="2"/>
  <c r="AH146" i="2"/>
  <c r="AI146" i="2"/>
  <c r="AE147" i="2"/>
  <c r="AF147" i="2"/>
  <c r="AG147" i="2"/>
  <c r="AH147" i="2"/>
  <c r="AI147" i="2"/>
  <c r="AE148" i="2"/>
  <c r="AF148" i="2"/>
  <c r="AG148" i="2"/>
  <c r="AH148" i="2"/>
  <c r="AI148" i="2"/>
  <c r="AE149" i="2"/>
  <c r="AF149" i="2"/>
  <c r="AG149" i="2"/>
  <c r="AH149" i="2"/>
  <c r="AI149" i="2"/>
  <c r="AE150" i="2"/>
  <c r="AF150" i="2"/>
  <c r="AG150" i="2"/>
  <c r="AH150" i="2"/>
  <c r="AI150" i="2"/>
  <c r="AE151" i="2"/>
  <c r="AF151" i="2"/>
  <c r="AG151" i="2"/>
  <c r="AH151" i="2"/>
  <c r="AI151" i="2"/>
  <c r="AE152" i="2"/>
  <c r="AF152" i="2"/>
  <c r="AG152" i="2"/>
  <c r="AH152" i="2"/>
  <c r="AI152" i="2"/>
  <c r="AE153" i="2"/>
  <c r="AF153" i="2"/>
  <c r="AG153" i="2"/>
  <c r="AH153" i="2"/>
  <c r="AI153" i="2"/>
  <c r="AE154" i="2"/>
  <c r="AF154" i="2"/>
  <c r="AG154" i="2"/>
  <c r="AH154" i="2"/>
  <c r="AI154" i="2"/>
  <c r="AE155" i="2"/>
  <c r="AF155" i="2"/>
  <c r="AG155" i="2"/>
  <c r="AH155" i="2"/>
  <c r="AI155" i="2"/>
  <c r="AE156" i="2"/>
  <c r="AF156" i="2"/>
  <c r="AG156" i="2"/>
  <c r="AH156" i="2"/>
  <c r="AI156" i="2"/>
  <c r="AE157" i="2"/>
  <c r="AF157" i="2"/>
  <c r="AG157" i="2"/>
  <c r="AH157" i="2"/>
  <c r="AI157" i="2"/>
  <c r="AE158" i="2"/>
  <c r="AF158" i="2"/>
  <c r="AG158" i="2"/>
  <c r="AH158" i="2"/>
  <c r="AI158" i="2"/>
  <c r="AE159" i="2"/>
  <c r="AF159" i="2"/>
  <c r="AG159" i="2"/>
  <c r="AH159" i="2"/>
  <c r="AI159" i="2"/>
  <c r="AE160" i="2"/>
  <c r="AF160" i="2"/>
  <c r="AG160" i="2"/>
  <c r="AH160" i="2"/>
  <c r="AI160" i="2"/>
  <c r="AE161" i="2"/>
  <c r="AF161" i="2"/>
  <c r="AG161" i="2"/>
  <c r="AH161" i="2"/>
  <c r="AI161" i="2"/>
  <c r="AE162" i="2"/>
  <c r="AF162" i="2"/>
  <c r="AG162" i="2"/>
  <c r="AH162" i="2"/>
  <c r="AI162" i="2"/>
  <c r="AE163" i="2"/>
  <c r="AF163" i="2"/>
  <c r="AG163" i="2"/>
  <c r="AH163" i="2"/>
  <c r="AI163" i="2"/>
  <c r="AE164" i="2"/>
  <c r="AF164" i="2"/>
  <c r="AG164" i="2"/>
  <c r="AH164" i="2"/>
  <c r="AI164" i="2"/>
  <c r="AE165" i="2"/>
  <c r="AF165" i="2"/>
  <c r="AG165" i="2"/>
  <c r="AH165" i="2"/>
  <c r="AI165" i="2"/>
  <c r="AE166" i="2"/>
  <c r="AF166" i="2"/>
  <c r="AG166" i="2"/>
  <c r="AH166" i="2"/>
  <c r="AI166" i="2"/>
  <c r="AE167" i="2"/>
  <c r="AF167" i="2"/>
  <c r="AG167" i="2"/>
  <c r="AH167" i="2"/>
  <c r="AI167" i="2"/>
  <c r="AE168" i="2"/>
  <c r="AF168" i="2"/>
  <c r="AG168" i="2"/>
  <c r="AH168" i="2"/>
  <c r="AI168" i="2"/>
  <c r="AE169" i="2"/>
  <c r="AF169" i="2"/>
  <c r="AG169" i="2"/>
  <c r="AH169" i="2"/>
  <c r="AI169" i="2"/>
  <c r="AE170" i="2"/>
  <c r="AF170" i="2"/>
  <c r="AG170" i="2"/>
  <c r="AH170" i="2"/>
  <c r="AI170" i="2"/>
  <c r="AE171" i="2"/>
  <c r="AF171" i="2"/>
  <c r="AG171" i="2"/>
  <c r="AH171" i="2"/>
  <c r="AI171" i="2"/>
  <c r="AE172" i="2"/>
  <c r="AF172" i="2"/>
  <c r="AG172" i="2"/>
  <c r="AH172" i="2"/>
  <c r="AI172" i="2"/>
  <c r="AE173" i="2"/>
  <c r="AF173" i="2"/>
  <c r="AG173" i="2"/>
  <c r="AH173" i="2"/>
  <c r="AI173" i="2"/>
  <c r="AE174" i="2"/>
  <c r="AF174" i="2"/>
  <c r="AG174" i="2"/>
  <c r="AH174" i="2"/>
  <c r="AI174" i="2"/>
  <c r="AE175" i="2"/>
  <c r="AF175" i="2"/>
  <c r="AG175" i="2"/>
  <c r="AH175" i="2"/>
  <c r="AI175" i="2"/>
  <c r="AE176" i="2"/>
  <c r="AF176" i="2"/>
  <c r="AG176" i="2"/>
  <c r="AH176" i="2"/>
  <c r="AI176" i="2"/>
  <c r="AE177" i="2"/>
  <c r="AF177" i="2"/>
  <c r="AG177" i="2"/>
  <c r="AH177" i="2"/>
  <c r="AI177" i="2"/>
  <c r="AE178" i="2"/>
  <c r="AF178" i="2"/>
  <c r="AG178" i="2"/>
  <c r="AH178" i="2"/>
  <c r="AI178" i="2"/>
  <c r="AE179" i="2"/>
  <c r="AF179" i="2"/>
  <c r="AG179" i="2"/>
  <c r="AH179" i="2"/>
  <c r="AI179" i="2"/>
  <c r="AE180" i="2"/>
  <c r="AF180" i="2"/>
  <c r="AG180" i="2"/>
  <c r="AH180" i="2"/>
  <c r="AI180" i="2"/>
  <c r="AE181" i="2"/>
  <c r="AF181" i="2"/>
  <c r="AG181" i="2"/>
  <c r="AH181" i="2"/>
  <c r="AI181" i="2"/>
  <c r="AE182" i="2"/>
  <c r="AF182" i="2"/>
  <c r="AG182" i="2"/>
  <c r="AH182" i="2"/>
  <c r="AI182" i="2"/>
  <c r="AE183" i="2"/>
  <c r="AF183" i="2"/>
  <c r="AG183" i="2"/>
  <c r="AH183" i="2"/>
  <c r="AI183" i="2"/>
  <c r="AE184" i="2"/>
  <c r="AF184" i="2"/>
  <c r="AG184" i="2"/>
  <c r="AH184" i="2"/>
  <c r="AI184" i="2"/>
  <c r="AE185" i="2"/>
  <c r="AF185" i="2"/>
  <c r="AG185" i="2"/>
  <c r="AH185" i="2"/>
  <c r="AI185" i="2"/>
  <c r="AE186" i="2"/>
  <c r="AF186" i="2"/>
  <c r="AG186" i="2"/>
  <c r="AH186" i="2"/>
  <c r="AI186" i="2"/>
  <c r="AE187" i="2"/>
  <c r="AF187" i="2"/>
  <c r="AG187" i="2"/>
  <c r="AH187" i="2"/>
  <c r="AI187" i="2"/>
  <c r="AE188" i="2"/>
  <c r="AF188" i="2"/>
  <c r="AG188" i="2"/>
  <c r="AH188" i="2"/>
  <c r="AI188" i="2"/>
  <c r="AE189" i="2"/>
  <c r="AF189" i="2"/>
  <c r="AG189" i="2"/>
  <c r="AH189" i="2"/>
  <c r="AI189" i="2"/>
  <c r="AE190" i="2"/>
  <c r="AF190" i="2"/>
  <c r="AG190" i="2"/>
  <c r="AH190" i="2"/>
  <c r="AI190" i="2"/>
  <c r="AE191" i="2"/>
  <c r="AF191" i="2"/>
  <c r="AG191" i="2"/>
  <c r="AH191" i="2"/>
  <c r="AI191" i="2"/>
  <c r="AE192" i="2"/>
  <c r="AF192" i="2"/>
  <c r="AG192" i="2"/>
  <c r="AH192" i="2"/>
  <c r="AI192" i="2"/>
  <c r="AE193" i="2"/>
  <c r="AF193" i="2"/>
  <c r="AG193" i="2"/>
  <c r="AH193" i="2"/>
  <c r="AI193" i="2"/>
  <c r="AE194" i="2"/>
  <c r="AF194" i="2"/>
  <c r="AG194" i="2"/>
  <c r="AH194" i="2"/>
  <c r="AI194" i="2"/>
  <c r="AE195" i="2"/>
  <c r="AF195" i="2"/>
  <c r="AG195" i="2"/>
  <c r="AH195" i="2"/>
  <c r="AI195" i="2"/>
  <c r="AE196" i="2"/>
  <c r="AF196" i="2"/>
  <c r="AG196" i="2"/>
  <c r="AH196" i="2"/>
  <c r="AI196" i="2"/>
  <c r="AE197" i="2"/>
  <c r="AF197" i="2"/>
  <c r="AG197" i="2"/>
  <c r="AH197" i="2"/>
  <c r="AI197" i="2"/>
  <c r="AE198" i="2"/>
  <c r="AF198" i="2"/>
  <c r="AG198" i="2"/>
  <c r="AH198" i="2"/>
  <c r="AI198" i="2"/>
  <c r="AE199" i="2"/>
  <c r="AF199" i="2"/>
  <c r="AG199" i="2"/>
  <c r="AH199" i="2"/>
  <c r="AI199" i="2"/>
  <c r="AE200" i="2"/>
  <c r="AF200" i="2"/>
  <c r="AG200" i="2"/>
  <c r="AH200" i="2"/>
  <c r="AI200" i="2"/>
  <c r="AE201" i="2"/>
  <c r="AF201" i="2"/>
  <c r="AG201" i="2"/>
  <c r="AH201" i="2"/>
  <c r="AI201" i="2"/>
  <c r="AE202" i="2"/>
  <c r="AF202" i="2"/>
  <c r="AG202" i="2"/>
  <c r="AH202" i="2"/>
  <c r="AI202" i="2"/>
  <c r="AE203" i="2"/>
  <c r="AF203" i="2"/>
  <c r="AG203" i="2"/>
  <c r="AH203" i="2"/>
  <c r="AI203" i="2"/>
  <c r="AE204" i="2"/>
  <c r="AF204" i="2"/>
  <c r="AG204" i="2"/>
  <c r="AH204" i="2"/>
  <c r="AI204" i="2"/>
  <c r="AE205" i="2"/>
  <c r="AF205" i="2"/>
  <c r="AG205" i="2"/>
  <c r="AH205" i="2"/>
  <c r="AI205" i="2"/>
  <c r="AE206" i="2"/>
  <c r="AF206" i="2"/>
  <c r="AG206" i="2"/>
  <c r="AH206" i="2"/>
  <c r="AI206" i="2"/>
  <c r="AE207" i="2"/>
  <c r="AF207" i="2"/>
  <c r="AG207" i="2"/>
  <c r="AH207" i="2"/>
  <c r="AI207" i="2"/>
  <c r="AE208" i="2"/>
  <c r="AF208" i="2"/>
  <c r="AG208" i="2"/>
  <c r="AH208" i="2"/>
  <c r="AI208" i="2"/>
  <c r="AE209" i="2"/>
  <c r="AF209" i="2"/>
  <c r="AG209" i="2"/>
  <c r="AH209" i="2"/>
  <c r="AI209" i="2"/>
  <c r="AE210" i="2"/>
  <c r="AF210" i="2"/>
  <c r="AG210" i="2"/>
  <c r="AH210" i="2"/>
  <c r="AI210" i="2"/>
  <c r="AE211" i="2"/>
  <c r="AF211" i="2"/>
  <c r="AG211" i="2"/>
  <c r="AH211" i="2"/>
  <c r="AI211" i="2"/>
  <c r="AE212" i="2"/>
  <c r="AF212" i="2"/>
  <c r="AG212" i="2"/>
  <c r="AH212" i="2"/>
  <c r="AI212" i="2"/>
  <c r="AE213" i="2"/>
  <c r="AF213" i="2"/>
  <c r="AG213" i="2"/>
  <c r="AH213" i="2"/>
  <c r="AI213" i="2"/>
  <c r="AE214" i="2"/>
  <c r="AF214" i="2"/>
  <c r="AG214" i="2"/>
  <c r="AH214" i="2"/>
  <c r="AI214" i="2"/>
  <c r="AE215" i="2"/>
  <c r="AF215" i="2"/>
  <c r="AG215" i="2"/>
  <c r="AH215" i="2"/>
  <c r="AI215" i="2"/>
  <c r="AE216" i="2"/>
  <c r="AF216" i="2"/>
  <c r="AG216" i="2"/>
  <c r="AH216" i="2"/>
  <c r="AI216" i="2"/>
  <c r="AE217" i="2"/>
  <c r="AF217" i="2"/>
  <c r="AG217" i="2"/>
  <c r="AH217" i="2"/>
  <c r="AI217" i="2"/>
  <c r="AE218" i="2"/>
  <c r="AF218" i="2"/>
  <c r="AG218" i="2"/>
  <c r="AH218" i="2"/>
  <c r="AI218" i="2"/>
  <c r="AE219" i="2"/>
  <c r="AF219" i="2"/>
  <c r="AG219" i="2"/>
  <c r="AH219" i="2"/>
  <c r="AI219" i="2"/>
  <c r="AE220" i="2"/>
  <c r="AF220" i="2"/>
  <c r="AG220" i="2"/>
  <c r="AH220" i="2"/>
  <c r="AI220" i="2"/>
  <c r="AE221" i="2"/>
  <c r="AF221" i="2"/>
  <c r="AG221" i="2"/>
  <c r="AH221" i="2"/>
  <c r="AI221" i="2"/>
  <c r="AE222" i="2"/>
  <c r="AF222" i="2"/>
  <c r="AG222" i="2"/>
  <c r="AH222" i="2"/>
  <c r="AI222" i="2"/>
  <c r="AE223" i="2"/>
  <c r="AF223" i="2"/>
  <c r="AG223" i="2"/>
  <c r="AH223" i="2"/>
  <c r="AI223" i="2"/>
  <c r="AE224" i="2"/>
  <c r="AF224" i="2"/>
  <c r="AG224" i="2"/>
  <c r="AH224" i="2"/>
  <c r="AI224" i="2"/>
  <c r="AE225" i="2"/>
  <c r="AF225" i="2"/>
  <c r="AG225" i="2"/>
  <c r="AH225" i="2"/>
  <c r="AI225" i="2"/>
  <c r="AE226" i="2"/>
  <c r="AF226" i="2"/>
  <c r="AG226" i="2"/>
  <c r="AH226" i="2"/>
  <c r="AI226" i="2"/>
  <c r="AE227" i="2"/>
  <c r="AF227" i="2"/>
  <c r="AG227" i="2"/>
  <c r="AI227" i="2"/>
  <c r="AE228" i="2"/>
  <c r="AF228" i="2"/>
  <c r="AG228" i="2"/>
  <c r="AI228" i="2"/>
  <c r="AE229" i="2"/>
  <c r="AF229" i="2"/>
  <c r="AG229" i="2"/>
  <c r="AI229" i="2"/>
  <c r="AE230" i="2"/>
  <c r="AF230" i="2"/>
  <c r="AG230" i="2"/>
  <c r="AI230" i="2"/>
  <c r="AE231" i="2"/>
  <c r="AF231" i="2"/>
  <c r="AG231" i="2"/>
  <c r="AI231" i="2"/>
  <c r="AE232" i="2"/>
  <c r="AF232" i="2"/>
  <c r="AG232" i="2"/>
  <c r="AI232" i="2"/>
  <c r="AE233" i="2"/>
  <c r="AF233" i="2"/>
  <c r="AG233" i="2"/>
  <c r="AI233" i="2"/>
  <c r="AE234" i="2"/>
  <c r="AF234" i="2"/>
  <c r="AG234" i="2"/>
  <c r="AI234" i="2"/>
  <c r="AE235" i="2"/>
  <c r="AF235" i="2"/>
  <c r="AG235" i="2"/>
  <c r="AI235" i="2"/>
  <c r="AE236" i="2"/>
  <c r="AF236" i="2"/>
  <c r="AG236" i="2"/>
  <c r="AI236" i="2"/>
  <c r="AE237" i="2"/>
  <c r="AF237" i="2"/>
  <c r="AG237" i="2"/>
  <c r="AI237" i="2"/>
  <c r="AE238" i="2"/>
  <c r="AF238" i="2"/>
  <c r="AG238" i="2"/>
  <c r="AI238" i="2"/>
  <c r="AE239" i="2"/>
  <c r="AF239" i="2"/>
  <c r="AG239" i="2"/>
  <c r="AI239" i="2"/>
  <c r="AE240" i="2"/>
  <c r="AF240" i="2"/>
  <c r="AG240" i="2"/>
  <c r="AI240" i="2"/>
  <c r="AE241" i="2"/>
  <c r="AF241" i="2"/>
  <c r="AG241" i="2"/>
  <c r="AI241" i="2"/>
  <c r="AE242" i="2"/>
  <c r="AF242" i="2"/>
  <c r="AG242" i="2"/>
  <c r="AI242" i="2"/>
  <c r="AE243" i="2"/>
  <c r="AF243" i="2"/>
  <c r="AG243" i="2"/>
  <c r="AI243" i="2"/>
  <c r="AE244" i="2"/>
  <c r="AF244" i="2"/>
  <c r="AG244" i="2"/>
  <c r="AI244" i="2"/>
  <c r="AE245" i="2"/>
  <c r="AF245" i="2"/>
  <c r="AG245" i="2"/>
  <c r="AI245" i="2"/>
  <c r="AE246" i="2"/>
  <c r="AF246" i="2"/>
  <c r="AG246" i="2"/>
  <c r="AI246" i="2"/>
  <c r="AE247" i="2"/>
  <c r="AF247" i="2"/>
  <c r="AG247" i="2"/>
  <c r="AI247" i="2"/>
  <c r="AE248" i="2"/>
  <c r="AF248" i="2"/>
  <c r="AG248" i="2"/>
  <c r="AI248" i="2"/>
  <c r="AE249" i="2"/>
  <c r="AF249" i="2"/>
  <c r="AG249" i="2"/>
  <c r="AI249" i="2"/>
  <c r="AE250" i="2"/>
  <c r="AF250" i="2"/>
  <c r="AG250" i="2"/>
  <c r="AI250" i="2"/>
  <c r="AE251" i="2"/>
  <c r="AF251" i="2"/>
  <c r="AG251" i="2"/>
  <c r="AI251" i="2"/>
  <c r="AE252" i="2"/>
  <c r="AF252" i="2"/>
  <c r="AG252" i="2"/>
  <c r="AI252" i="2"/>
  <c r="AE253" i="2"/>
  <c r="AF253" i="2"/>
  <c r="AG253" i="2"/>
  <c r="AI253" i="2"/>
  <c r="AE254" i="2"/>
  <c r="AF254" i="2"/>
  <c r="AG254" i="2"/>
  <c r="AI254" i="2"/>
  <c r="AE255" i="2"/>
  <c r="AF255" i="2"/>
  <c r="AG255" i="2"/>
  <c r="AI255" i="2"/>
  <c r="AE256" i="2"/>
  <c r="AF256" i="2"/>
  <c r="AG256" i="2"/>
  <c r="AI256" i="2"/>
  <c r="AE257" i="2"/>
  <c r="AF257" i="2"/>
  <c r="AG257" i="2"/>
  <c r="AI257" i="2"/>
  <c r="AE258" i="2"/>
  <c r="AF258" i="2"/>
  <c r="AG258" i="2"/>
  <c r="AI258" i="2"/>
  <c r="AE259" i="2"/>
  <c r="AF259" i="2"/>
  <c r="AG259" i="2"/>
  <c r="AI259" i="2"/>
  <c r="AE260" i="2"/>
  <c r="AF260" i="2"/>
  <c r="AG260" i="2"/>
  <c r="AI260" i="2"/>
  <c r="AE261" i="2"/>
  <c r="AF261" i="2"/>
  <c r="AG261" i="2"/>
  <c r="AI261" i="2"/>
  <c r="AE262" i="2"/>
  <c r="AF262" i="2"/>
  <c r="AG262" i="2"/>
  <c r="AI262" i="2"/>
  <c r="AE263" i="2"/>
  <c r="AF263" i="2"/>
  <c r="AG263" i="2"/>
  <c r="AI263" i="2"/>
  <c r="AE264" i="2"/>
  <c r="AF264" i="2"/>
  <c r="AG264" i="2"/>
  <c r="AI264" i="2"/>
  <c r="AE265" i="2"/>
  <c r="AF265" i="2"/>
  <c r="AG265" i="2"/>
  <c r="AI265" i="2"/>
  <c r="AE266" i="2"/>
  <c r="AF266" i="2"/>
  <c r="AG266" i="2"/>
  <c r="AI266" i="2"/>
  <c r="AE267" i="2"/>
  <c r="AF267" i="2"/>
  <c r="AG267" i="2"/>
  <c r="AI267" i="2"/>
  <c r="AE268" i="2"/>
  <c r="AF268" i="2"/>
  <c r="AG268" i="2"/>
  <c r="AI268" i="2"/>
  <c r="AE269" i="2"/>
  <c r="AF269" i="2"/>
  <c r="AG269" i="2"/>
  <c r="AI269" i="2"/>
  <c r="AE270" i="2"/>
  <c r="AF270" i="2"/>
  <c r="AG270" i="2"/>
  <c r="AI270" i="2"/>
  <c r="AE271" i="2"/>
  <c r="AF271" i="2"/>
  <c r="AG271" i="2"/>
  <c r="AI271" i="2"/>
  <c r="AE272" i="2"/>
  <c r="AF272" i="2"/>
  <c r="AG272" i="2"/>
  <c r="AI272" i="2"/>
  <c r="AE273" i="2"/>
  <c r="AF273" i="2"/>
  <c r="AG273" i="2"/>
  <c r="AI273" i="2"/>
  <c r="AE274" i="2"/>
  <c r="AF274" i="2"/>
  <c r="AG274" i="2"/>
  <c r="AI274" i="2"/>
  <c r="AE275" i="2"/>
  <c r="AF275" i="2"/>
  <c r="AG275" i="2"/>
  <c r="AI275" i="2"/>
  <c r="AE276" i="2"/>
  <c r="AF276" i="2"/>
  <c r="AG276" i="2"/>
  <c r="AI276" i="2"/>
  <c r="AE277" i="2"/>
  <c r="AF277" i="2"/>
  <c r="AG277" i="2"/>
  <c r="AI277" i="2"/>
  <c r="AE278" i="2"/>
  <c r="AF278" i="2"/>
  <c r="AG278" i="2"/>
  <c r="AI278" i="2"/>
  <c r="AE279" i="2"/>
  <c r="AF279" i="2"/>
  <c r="AG279" i="2"/>
  <c r="AI279" i="2"/>
  <c r="AE280" i="2"/>
  <c r="AF280" i="2"/>
  <c r="AG280" i="2"/>
  <c r="AI280" i="2"/>
  <c r="AE281" i="2"/>
  <c r="AF281" i="2"/>
  <c r="AG281" i="2"/>
  <c r="AI281" i="2"/>
  <c r="AE282" i="2"/>
  <c r="AF282" i="2"/>
  <c r="AG282" i="2"/>
  <c r="AI282" i="2"/>
  <c r="AE283" i="2"/>
  <c r="AF283" i="2"/>
  <c r="AG283" i="2"/>
  <c r="AI283" i="2"/>
  <c r="AE284" i="2"/>
  <c r="AF284" i="2"/>
  <c r="AG284" i="2"/>
  <c r="AI284" i="2"/>
  <c r="AE285" i="2"/>
  <c r="AF285" i="2"/>
  <c r="AG285" i="2"/>
  <c r="AI285" i="2"/>
  <c r="AE286" i="2"/>
  <c r="AF286" i="2"/>
  <c r="AG286" i="2"/>
  <c r="AI286" i="2"/>
  <c r="AE287" i="2"/>
  <c r="AF287" i="2"/>
  <c r="AG287" i="2"/>
  <c r="AI287" i="2"/>
  <c r="AE288" i="2"/>
  <c r="AF288" i="2"/>
  <c r="AG288" i="2"/>
  <c r="AI288" i="2"/>
  <c r="AE289" i="2"/>
  <c r="AF289" i="2"/>
  <c r="AG289" i="2"/>
  <c r="AI289" i="2"/>
  <c r="AE290" i="2"/>
  <c r="AF290" i="2"/>
  <c r="AG290" i="2"/>
  <c r="AI290" i="2"/>
  <c r="AE291" i="2"/>
  <c r="AF291" i="2"/>
  <c r="AG291" i="2"/>
  <c r="AI291" i="2"/>
  <c r="AE292" i="2"/>
  <c r="AF292" i="2"/>
  <c r="AG292" i="2"/>
  <c r="AI292" i="2"/>
  <c r="AE293" i="2"/>
  <c r="AF293" i="2"/>
  <c r="AG293" i="2"/>
  <c r="AI293" i="2"/>
  <c r="AE294" i="2"/>
  <c r="AF294" i="2"/>
  <c r="AG294" i="2"/>
  <c r="AI294" i="2"/>
  <c r="AE295" i="2"/>
  <c r="AF295" i="2"/>
  <c r="AG295" i="2"/>
  <c r="AI295" i="2"/>
  <c r="AE296" i="2"/>
  <c r="AF296" i="2"/>
  <c r="AG296" i="2"/>
  <c r="AI296" i="2"/>
  <c r="AE297" i="2"/>
  <c r="AF297" i="2"/>
  <c r="AG297" i="2"/>
  <c r="AI297" i="2"/>
  <c r="AE298" i="2"/>
  <c r="AF298" i="2"/>
  <c r="AG298" i="2"/>
  <c r="AI298" i="2"/>
  <c r="AE299" i="2"/>
  <c r="AF299" i="2"/>
  <c r="AG299" i="2"/>
  <c r="AI299" i="2"/>
  <c r="AE300" i="2"/>
  <c r="AF300" i="2"/>
  <c r="AG300" i="2"/>
  <c r="AI300" i="2"/>
  <c r="AE301" i="2"/>
  <c r="AF301" i="2"/>
  <c r="AG301" i="2"/>
  <c r="AI301" i="2"/>
  <c r="AE302" i="2"/>
  <c r="AF302" i="2"/>
  <c r="AG302" i="2"/>
  <c r="AI302" i="2"/>
  <c r="AE303" i="2"/>
  <c r="AF303" i="2"/>
  <c r="AG303" i="2"/>
  <c r="AI303" i="2"/>
  <c r="AE304" i="2"/>
  <c r="AF304" i="2"/>
  <c r="AG304" i="2"/>
  <c r="AI304" i="2"/>
  <c r="AE305" i="2"/>
  <c r="AF305" i="2"/>
  <c r="AG305" i="2"/>
  <c r="AI305" i="2"/>
  <c r="AE306" i="2"/>
  <c r="AF306" i="2"/>
  <c r="AG306" i="2"/>
  <c r="AI306" i="2"/>
  <c r="AE307" i="2"/>
  <c r="AF307" i="2"/>
  <c r="AG307" i="2"/>
  <c r="AI307" i="2"/>
  <c r="AE308" i="2"/>
  <c r="AF308" i="2"/>
  <c r="AG308" i="2"/>
  <c r="AI308" i="2"/>
  <c r="AE309" i="2"/>
  <c r="AF309" i="2"/>
  <c r="AG309" i="2"/>
  <c r="AI309" i="2"/>
  <c r="AE310" i="2"/>
  <c r="AF310" i="2"/>
  <c r="AG310" i="2"/>
  <c r="AI310" i="2"/>
  <c r="AE311" i="2"/>
  <c r="AF311" i="2"/>
  <c r="AG311" i="2"/>
  <c r="AI311" i="2"/>
  <c r="AE312" i="2"/>
  <c r="AF312" i="2"/>
  <c r="AG312" i="2"/>
  <c r="AI312" i="2"/>
  <c r="AE313" i="2"/>
  <c r="AF313" i="2"/>
  <c r="AG313" i="2"/>
  <c r="AI313" i="2"/>
  <c r="AE314" i="2"/>
  <c r="AF314" i="2"/>
  <c r="AG314" i="2"/>
  <c r="AI314" i="2"/>
  <c r="AE315" i="2"/>
  <c r="AF315" i="2"/>
  <c r="AG315" i="2"/>
  <c r="AI315" i="2"/>
  <c r="AE316" i="2"/>
  <c r="AF316" i="2"/>
  <c r="AG316" i="2"/>
  <c r="AI316" i="2"/>
  <c r="AE317" i="2"/>
  <c r="AF317" i="2"/>
  <c r="AG317" i="2"/>
  <c r="AI317" i="2"/>
  <c r="AE318" i="2"/>
  <c r="AF318" i="2"/>
  <c r="AG318" i="2"/>
  <c r="AI318" i="2"/>
  <c r="AE319" i="2"/>
  <c r="AF319" i="2"/>
  <c r="AG319" i="2"/>
  <c r="AI319" i="2"/>
  <c r="AE320" i="2"/>
  <c r="AF320" i="2"/>
  <c r="AG320" i="2"/>
  <c r="AI320" i="2"/>
  <c r="AE321" i="2"/>
  <c r="AF321" i="2"/>
  <c r="AG321" i="2"/>
  <c r="AI321" i="2"/>
  <c r="AE322" i="2"/>
  <c r="AF322" i="2"/>
  <c r="AG322" i="2"/>
  <c r="AI322" i="2"/>
  <c r="AE323" i="2"/>
  <c r="AF323" i="2"/>
  <c r="AG323" i="2"/>
  <c r="AI323" i="2"/>
  <c r="AE324" i="2"/>
  <c r="AF324" i="2"/>
  <c r="AG324" i="2"/>
  <c r="AI324" i="2"/>
  <c r="AE325" i="2"/>
  <c r="AF325" i="2"/>
  <c r="AG325" i="2"/>
  <c r="AI325" i="2"/>
  <c r="AE326" i="2"/>
  <c r="AF326" i="2"/>
  <c r="AG326" i="2"/>
  <c r="AI326" i="2"/>
  <c r="AE327" i="2"/>
  <c r="AF327" i="2"/>
  <c r="AG327" i="2"/>
  <c r="AI327" i="2"/>
  <c r="AE328" i="2"/>
  <c r="AF328" i="2"/>
  <c r="AG328" i="2"/>
  <c r="AI328" i="2"/>
  <c r="AE329" i="2"/>
  <c r="AF329" i="2"/>
  <c r="AG329" i="2"/>
  <c r="AI329" i="2"/>
  <c r="AE330" i="2"/>
  <c r="AF330" i="2"/>
  <c r="AG330" i="2"/>
  <c r="AI330" i="2"/>
  <c r="AE331" i="2"/>
  <c r="AF331" i="2"/>
  <c r="AG331" i="2"/>
  <c r="AI331" i="2"/>
  <c r="AE332" i="2"/>
  <c r="AF332" i="2"/>
  <c r="AG332" i="2"/>
  <c r="AI332" i="2"/>
  <c r="AE333" i="2"/>
  <c r="AF333" i="2"/>
  <c r="AG333" i="2"/>
  <c r="AI333" i="2"/>
  <c r="AE334" i="2"/>
  <c r="AF334" i="2"/>
  <c r="AG334" i="2"/>
  <c r="AI334" i="2"/>
  <c r="AE335" i="2"/>
  <c r="AF335" i="2"/>
  <c r="AG335" i="2"/>
  <c r="AI335" i="2"/>
  <c r="AE336" i="2"/>
  <c r="AF336" i="2"/>
  <c r="AG336" i="2"/>
  <c r="AI336" i="2"/>
  <c r="AE337" i="2"/>
  <c r="AF337" i="2"/>
  <c r="AG337" i="2"/>
  <c r="AI337" i="2"/>
  <c r="AE338" i="2"/>
  <c r="AF338" i="2"/>
  <c r="AG338" i="2"/>
  <c r="AI338" i="2"/>
  <c r="AE339" i="2"/>
  <c r="AF339" i="2"/>
  <c r="AG339" i="2"/>
  <c r="AI339" i="2"/>
  <c r="AE340" i="2"/>
  <c r="AF340" i="2"/>
  <c r="AG340" i="2"/>
  <c r="AI340" i="2"/>
  <c r="AE341" i="2"/>
  <c r="AF341" i="2"/>
  <c r="AG341" i="2"/>
  <c r="AI341" i="2"/>
  <c r="AE342" i="2"/>
  <c r="AF342" i="2"/>
  <c r="AG342" i="2"/>
  <c r="AI342" i="2"/>
  <c r="AE343" i="2"/>
  <c r="AF343" i="2"/>
  <c r="AG343" i="2"/>
  <c r="AI343" i="2"/>
  <c r="AE344" i="2"/>
  <c r="AF344" i="2"/>
  <c r="AG344" i="2"/>
  <c r="AI344" i="2"/>
  <c r="AE345" i="2"/>
  <c r="AF345" i="2"/>
  <c r="AG345" i="2"/>
  <c r="AI345" i="2"/>
  <c r="AE346" i="2"/>
  <c r="AF346" i="2"/>
  <c r="AG346" i="2"/>
  <c r="AI346" i="2"/>
  <c r="AE347" i="2"/>
  <c r="AF347" i="2"/>
  <c r="AG347" i="2"/>
  <c r="AI347" i="2"/>
  <c r="AE348" i="2"/>
  <c r="AF348" i="2"/>
  <c r="AG348" i="2"/>
  <c r="AI348" i="2"/>
  <c r="AE349" i="2"/>
  <c r="AF349" i="2"/>
  <c r="AG349" i="2"/>
  <c r="AI349" i="2"/>
  <c r="AE350" i="2"/>
  <c r="AF350" i="2"/>
  <c r="AG350" i="2"/>
  <c r="AI350" i="2"/>
  <c r="AE351" i="2"/>
  <c r="AF351" i="2"/>
  <c r="AG351" i="2"/>
  <c r="AI351" i="2"/>
  <c r="AE352" i="2"/>
  <c r="AF352" i="2"/>
  <c r="AG352" i="2"/>
  <c r="AI352" i="2"/>
  <c r="AE353" i="2"/>
  <c r="AF353" i="2"/>
  <c r="AG353" i="2"/>
  <c r="AI353" i="2"/>
  <c r="AE354" i="2"/>
  <c r="AF354" i="2"/>
  <c r="AG354" i="2"/>
  <c r="AI354" i="2"/>
  <c r="AE355" i="2"/>
  <c r="AF355" i="2"/>
  <c r="AG355" i="2"/>
  <c r="AI355" i="2"/>
  <c r="AE356" i="2"/>
  <c r="AF356" i="2"/>
  <c r="AG356" i="2"/>
  <c r="AI356" i="2"/>
  <c r="AE357" i="2"/>
  <c r="AF357" i="2"/>
  <c r="AG357" i="2"/>
  <c r="AI357" i="2"/>
  <c r="AE358" i="2"/>
  <c r="AF358" i="2"/>
  <c r="AG358" i="2"/>
  <c r="AI358" i="2"/>
  <c r="AE359" i="2"/>
  <c r="AF359" i="2"/>
  <c r="AG359" i="2"/>
  <c r="AI359" i="2"/>
  <c r="AE360" i="2"/>
  <c r="AF360" i="2"/>
  <c r="AG360" i="2"/>
  <c r="AI360" i="2"/>
  <c r="AE361" i="2"/>
  <c r="AF361" i="2"/>
  <c r="AG361" i="2"/>
  <c r="AI361" i="2"/>
  <c r="AE362" i="2"/>
  <c r="AF362" i="2"/>
  <c r="AG362" i="2"/>
  <c r="AI362" i="2"/>
  <c r="AE363" i="2"/>
  <c r="AF363" i="2"/>
  <c r="AG363" i="2"/>
  <c r="AI363" i="2"/>
  <c r="AE364" i="2"/>
  <c r="AF364" i="2"/>
  <c r="AG364" i="2"/>
  <c r="AI364" i="2"/>
  <c r="AE365" i="2"/>
  <c r="AF365" i="2"/>
  <c r="AG365" i="2"/>
  <c r="AI365" i="2"/>
  <c r="AE366" i="2"/>
  <c r="AF366" i="2"/>
  <c r="AG366" i="2"/>
  <c r="AI366" i="2"/>
  <c r="AE367" i="2"/>
  <c r="AF367" i="2"/>
  <c r="AG367" i="2"/>
  <c r="AI367" i="2"/>
  <c r="AE368" i="2"/>
  <c r="AF368" i="2"/>
  <c r="AG368" i="2"/>
  <c r="AI368" i="2"/>
  <c r="AE369" i="2"/>
  <c r="AF369" i="2"/>
  <c r="AG369" i="2"/>
  <c r="AI369" i="2"/>
  <c r="AE370" i="2"/>
  <c r="AF370" i="2"/>
  <c r="AG370" i="2"/>
  <c r="AI370" i="2"/>
  <c r="AE371" i="2"/>
  <c r="AF371" i="2"/>
  <c r="AG371" i="2"/>
  <c r="AI371" i="2"/>
  <c r="AE372" i="2"/>
  <c r="AF372" i="2"/>
  <c r="AG372" i="2"/>
  <c r="AI372" i="2"/>
  <c r="AE373" i="2"/>
  <c r="AF373" i="2"/>
  <c r="AG373" i="2"/>
  <c r="AI373" i="2"/>
  <c r="AE374" i="2"/>
  <c r="AF374" i="2"/>
  <c r="AG374" i="2"/>
  <c r="AI374" i="2"/>
  <c r="AE375" i="2"/>
  <c r="AF375" i="2"/>
  <c r="AG375" i="2"/>
  <c r="AI375" i="2"/>
  <c r="AE376" i="2"/>
  <c r="AF376" i="2"/>
  <c r="AG376" i="2"/>
  <c r="AI376" i="2"/>
  <c r="AE377" i="2"/>
  <c r="AF377" i="2"/>
  <c r="AG377" i="2"/>
  <c r="AI377" i="2"/>
  <c r="AE378" i="2"/>
  <c r="AF378" i="2"/>
  <c r="AG378" i="2"/>
  <c r="AI378" i="2"/>
  <c r="AE379" i="2"/>
  <c r="AF379" i="2"/>
  <c r="AG379" i="2"/>
  <c r="AI379" i="2"/>
  <c r="AE380" i="2"/>
  <c r="AF380" i="2"/>
  <c r="AG380" i="2"/>
  <c r="AI380" i="2"/>
  <c r="AE381" i="2"/>
  <c r="AF381" i="2"/>
  <c r="AG381" i="2"/>
  <c r="AI381" i="2"/>
  <c r="AE382" i="2"/>
  <c r="AF382" i="2"/>
  <c r="AG382" i="2"/>
  <c r="AI382" i="2"/>
  <c r="AE383" i="2"/>
  <c r="AF383" i="2"/>
  <c r="AG383" i="2"/>
  <c r="AI383" i="2"/>
  <c r="AE384" i="2"/>
  <c r="AF384" i="2"/>
  <c r="AG384" i="2"/>
  <c r="AI384" i="2"/>
  <c r="AE385" i="2"/>
  <c r="AF385" i="2"/>
  <c r="AG385" i="2"/>
  <c r="AI385" i="2"/>
  <c r="AE386" i="2"/>
  <c r="AF386" i="2"/>
  <c r="AG386" i="2"/>
  <c r="AI386" i="2"/>
  <c r="AE387" i="2"/>
  <c r="AF387" i="2"/>
  <c r="AG387" i="2"/>
  <c r="AI387" i="2"/>
  <c r="AE388" i="2"/>
  <c r="AF388" i="2"/>
  <c r="AG388" i="2"/>
  <c r="AI388" i="2"/>
  <c r="AE389" i="2"/>
  <c r="AF389" i="2"/>
  <c r="AG389" i="2"/>
  <c r="AI389" i="2"/>
  <c r="AE390" i="2"/>
  <c r="AF390" i="2"/>
  <c r="AG390" i="2"/>
  <c r="AI390" i="2"/>
  <c r="AE391" i="2"/>
  <c r="AF391" i="2"/>
  <c r="AG391" i="2"/>
  <c r="AI391" i="2"/>
  <c r="AE392" i="2"/>
  <c r="AF392" i="2"/>
  <c r="AG392" i="2"/>
  <c r="AI392" i="2"/>
  <c r="AE393" i="2"/>
  <c r="AF393" i="2"/>
  <c r="AG393" i="2"/>
  <c r="AI393" i="2"/>
  <c r="AE394" i="2"/>
  <c r="AF394" i="2"/>
  <c r="AG394" i="2"/>
  <c r="AI394" i="2"/>
  <c r="AE395" i="2"/>
  <c r="AF395" i="2"/>
  <c r="AG395" i="2"/>
  <c r="AI395" i="2"/>
  <c r="AE396" i="2"/>
  <c r="AF396" i="2"/>
  <c r="AG396" i="2"/>
  <c r="AI396" i="2"/>
  <c r="AE397" i="2"/>
  <c r="AF397" i="2"/>
  <c r="AG397" i="2"/>
  <c r="AI397" i="2"/>
  <c r="AE398" i="2"/>
  <c r="AF398" i="2"/>
  <c r="AG398" i="2"/>
  <c r="AI398" i="2"/>
  <c r="AE399" i="2"/>
  <c r="AF399" i="2"/>
  <c r="AG399" i="2"/>
  <c r="AI399" i="2"/>
  <c r="AE400" i="2"/>
  <c r="AF400" i="2"/>
  <c r="AG400" i="2"/>
  <c r="AI400" i="2"/>
  <c r="AE401" i="2"/>
  <c r="AF401" i="2"/>
  <c r="AG401" i="2"/>
  <c r="AI401" i="2"/>
  <c r="AE402" i="2"/>
  <c r="AF402" i="2"/>
  <c r="AG402" i="2"/>
  <c r="AI402" i="2"/>
  <c r="AE403" i="2"/>
  <c r="AF403" i="2"/>
  <c r="AG403" i="2"/>
  <c r="AI403" i="2"/>
  <c r="AE404" i="2"/>
  <c r="AF404" i="2"/>
  <c r="AG404" i="2"/>
  <c r="AI404" i="2"/>
  <c r="AE405" i="2"/>
  <c r="AF405" i="2"/>
  <c r="AG405" i="2"/>
  <c r="AI405" i="2"/>
  <c r="AE406" i="2"/>
  <c r="AF406" i="2"/>
  <c r="AG406" i="2"/>
  <c r="AI406" i="2"/>
  <c r="AE407" i="2"/>
  <c r="AF407" i="2"/>
  <c r="AG407" i="2"/>
  <c r="AI407" i="2"/>
  <c r="AE408" i="2"/>
  <c r="AF408" i="2"/>
  <c r="AG408" i="2"/>
  <c r="AI408" i="2"/>
  <c r="AE409" i="2"/>
  <c r="AF409" i="2"/>
  <c r="AG409" i="2"/>
  <c r="AI409" i="2"/>
  <c r="AE410" i="2"/>
  <c r="AF410" i="2"/>
  <c r="AG410" i="2"/>
  <c r="AI410" i="2"/>
  <c r="AE411" i="2"/>
  <c r="AF411" i="2"/>
  <c r="AG411" i="2"/>
  <c r="AI411" i="2"/>
  <c r="AE412" i="2"/>
  <c r="AF412" i="2"/>
  <c r="AG412" i="2"/>
  <c r="AI412" i="2"/>
  <c r="AE413" i="2"/>
  <c r="AF413" i="2"/>
  <c r="AG413" i="2"/>
  <c r="AI413" i="2"/>
  <c r="AE414" i="2"/>
  <c r="AF414" i="2"/>
  <c r="AG414" i="2"/>
  <c r="AI414" i="2"/>
  <c r="AE415" i="2"/>
  <c r="AF415" i="2"/>
  <c r="AG415" i="2"/>
  <c r="AI415" i="2"/>
  <c r="AE416" i="2"/>
  <c r="AF416" i="2"/>
  <c r="AG416" i="2"/>
  <c r="AI416" i="2"/>
  <c r="AE417" i="2"/>
  <c r="AF417" i="2"/>
  <c r="AG417" i="2"/>
  <c r="AI417" i="2"/>
  <c r="AE418" i="2"/>
  <c r="AF418" i="2"/>
  <c r="AG418" i="2"/>
  <c r="AI418" i="2"/>
  <c r="AE419" i="2"/>
  <c r="AF419" i="2"/>
  <c r="AG419" i="2"/>
  <c r="AI419" i="2"/>
  <c r="AE420" i="2"/>
  <c r="AF420" i="2"/>
  <c r="AG420" i="2"/>
  <c r="AI420" i="2"/>
  <c r="AE421" i="2"/>
  <c r="AF421" i="2"/>
  <c r="AG421" i="2"/>
  <c r="AI421" i="2"/>
  <c r="AE422" i="2"/>
  <c r="AF422" i="2"/>
  <c r="AG422" i="2"/>
  <c r="AI422" i="2"/>
  <c r="AE423" i="2"/>
  <c r="AF423" i="2"/>
  <c r="AG423" i="2"/>
  <c r="AI423" i="2"/>
  <c r="AE424" i="2"/>
  <c r="AF424" i="2"/>
  <c r="AG424" i="2"/>
  <c r="AI424" i="2"/>
  <c r="AE425" i="2"/>
  <c r="AF425" i="2"/>
  <c r="AG425" i="2"/>
  <c r="AI425" i="2"/>
  <c r="AE426" i="2"/>
  <c r="AF426" i="2"/>
  <c r="AG426" i="2"/>
  <c r="AI426" i="2"/>
  <c r="AE427" i="2"/>
  <c r="AF427" i="2"/>
  <c r="AG427" i="2"/>
  <c r="AI427" i="2"/>
  <c r="AE428" i="2"/>
  <c r="AF428" i="2"/>
  <c r="AG428" i="2"/>
  <c r="AI428" i="2"/>
  <c r="AE429" i="2"/>
  <c r="AF429" i="2"/>
  <c r="AG429" i="2"/>
  <c r="AI429" i="2"/>
  <c r="AE430" i="2"/>
  <c r="AF430" i="2"/>
  <c r="AG430" i="2"/>
  <c r="AI430" i="2"/>
  <c r="AE431" i="2"/>
  <c r="AF431" i="2"/>
  <c r="AG431" i="2"/>
  <c r="AI431" i="2"/>
  <c r="AE432" i="2"/>
  <c r="AF432" i="2"/>
  <c r="AG432" i="2"/>
  <c r="AI432" i="2"/>
  <c r="AE433" i="2"/>
  <c r="AF433" i="2"/>
  <c r="AG433" i="2"/>
  <c r="AI433" i="2"/>
  <c r="AE434" i="2"/>
  <c r="AF434" i="2"/>
  <c r="AG434" i="2"/>
  <c r="AI434" i="2"/>
  <c r="AE435" i="2"/>
  <c r="AF435" i="2"/>
  <c r="AG435" i="2"/>
  <c r="AI435" i="2"/>
  <c r="AE436" i="2"/>
  <c r="AF436" i="2"/>
  <c r="AG436" i="2"/>
  <c r="AI436" i="2"/>
  <c r="AE437" i="2"/>
  <c r="AF437" i="2"/>
  <c r="AG437" i="2"/>
  <c r="AI437" i="2"/>
  <c r="AE438" i="2"/>
  <c r="AF438" i="2"/>
  <c r="AG438" i="2"/>
  <c r="AI438" i="2"/>
  <c r="AE439" i="2"/>
  <c r="AF439" i="2"/>
  <c r="AG439" i="2"/>
  <c r="AI439" i="2"/>
  <c r="AE440" i="2"/>
  <c r="AF440" i="2"/>
  <c r="AG440" i="2"/>
  <c r="AI440" i="2"/>
  <c r="AE441" i="2"/>
  <c r="AF441" i="2"/>
  <c r="AG441" i="2"/>
  <c r="AI441" i="2"/>
  <c r="AE442" i="2"/>
  <c r="AF442" i="2"/>
  <c r="AG442" i="2"/>
  <c r="AI442" i="2"/>
  <c r="AE443" i="2"/>
  <c r="AF443" i="2"/>
  <c r="AG443" i="2"/>
  <c r="AI443" i="2"/>
  <c r="AE444" i="2"/>
  <c r="AF444" i="2"/>
  <c r="AG444" i="2"/>
  <c r="AI444" i="2"/>
  <c r="AE445" i="2"/>
  <c r="AF445" i="2"/>
  <c r="AG445" i="2"/>
  <c r="AI445" i="2"/>
  <c r="AE446" i="2"/>
  <c r="AF446" i="2"/>
  <c r="AG446" i="2"/>
  <c r="AI446" i="2"/>
  <c r="AE447" i="2"/>
  <c r="AF447" i="2"/>
  <c r="AG447" i="2"/>
  <c r="AI447" i="2"/>
  <c r="AE448" i="2"/>
  <c r="AF448" i="2"/>
  <c r="AG448" i="2"/>
  <c r="AI448" i="2"/>
  <c r="AE449" i="2"/>
  <c r="AF449" i="2"/>
  <c r="AG449" i="2"/>
  <c r="AI449" i="2"/>
  <c r="AE450" i="2"/>
  <c r="AF450" i="2"/>
  <c r="AG450" i="2"/>
  <c r="AI450" i="2"/>
  <c r="AE451" i="2"/>
  <c r="AF451" i="2"/>
  <c r="AG451" i="2"/>
  <c r="AI451" i="2"/>
  <c r="AE452" i="2"/>
  <c r="AF452" i="2"/>
  <c r="AG452" i="2"/>
  <c r="AI452" i="2"/>
  <c r="AE453" i="2"/>
  <c r="AF453" i="2"/>
  <c r="AG453" i="2"/>
  <c r="AI453" i="2"/>
  <c r="AE454" i="2"/>
  <c r="AF454" i="2"/>
  <c r="AG454" i="2"/>
  <c r="AI454" i="2"/>
  <c r="AE455" i="2"/>
  <c r="AF455" i="2"/>
  <c r="AG455" i="2"/>
  <c r="AI455" i="2"/>
  <c r="AE456" i="2"/>
  <c r="AF456" i="2"/>
  <c r="AG456" i="2"/>
  <c r="AI456" i="2"/>
  <c r="AE457" i="2"/>
  <c r="AF457" i="2"/>
  <c r="AG457" i="2"/>
  <c r="AI457" i="2"/>
  <c r="AE458" i="2"/>
  <c r="AF458" i="2"/>
  <c r="AG458" i="2"/>
  <c r="AI458" i="2"/>
  <c r="AE459" i="2"/>
  <c r="AF459" i="2"/>
  <c r="AG459" i="2"/>
  <c r="AI459" i="2"/>
  <c r="AE460" i="2"/>
  <c r="AF460" i="2"/>
  <c r="AG460" i="2"/>
  <c r="AI460" i="2"/>
  <c r="AE461" i="2"/>
  <c r="AF461" i="2"/>
  <c r="AG461" i="2"/>
  <c r="AI461" i="2"/>
  <c r="AE462" i="2"/>
  <c r="AF462" i="2"/>
  <c r="AG462" i="2"/>
  <c r="AI462" i="2"/>
  <c r="AE463" i="2"/>
  <c r="AF463" i="2"/>
  <c r="AG463" i="2"/>
  <c r="AI463" i="2"/>
  <c r="AE464" i="2"/>
  <c r="AF464" i="2"/>
  <c r="AG464" i="2"/>
  <c r="AI464" i="2"/>
  <c r="AE465" i="2"/>
  <c r="AF465" i="2"/>
  <c r="AG465" i="2"/>
  <c r="AI465" i="2"/>
  <c r="AE466" i="2"/>
  <c r="AF466" i="2"/>
  <c r="AG466" i="2"/>
  <c r="AI466" i="2"/>
  <c r="AE467" i="2"/>
  <c r="AF467" i="2"/>
  <c r="AG467" i="2"/>
  <c r="AI467" i="2"/>
  <c r="AE468" i="2"/>
  <c r="AF468" i="2"/>
  <c r="AG468" i="2"/>
  <c r="AI468" i="2"/>
  <c r="AE469" i="2"/>
  <c r="AF469" i="2"/>
  <c r="AG469" i="2"/>
  <c r="AI469" i="2"/>
  <c r="AE470" i="2"/>
  <c r="AF470" i="2"/>
  <c r="AG470" i="2"/>
  <c r="AI470" i="2"/>
  <c r="AE471" i="2"/>
  <c r="AF471" i="2"/>
  <c r="AG471" i="2"/>
  <c r="AI471" i="2"/>
  <c r="AE472" i="2"/>
  <c r="AF472" i="2"/>
  <c r="AG472" i="2"/>
  <c r="AI472" i="2"/>
  <c r="AE473" i="2"/>
  <c r="AF473" i="2"/>
  <c r="AG473" i="2"/>
  <c r="AI473" i="2"/>
  <c r="AE474" i="2"/>
  <c r="AF474" i="2"/>
  <c r="AG474" i="2"/>
  <c r="AI474" i="2"/>
  <c r="AE475" i="2"/>
  <c r="AF475" i="2"/>
  <c r="AG475" i="2"/>
  <c r="AI475" i="2"/>
  <c r="AE476" i="2"/>
  <c r="AF476" i="2"/>
  <c r="AG476" i="2"/>
  <c r="AI476" i="2"/>
  <c r="AE477" i="2"/>
  <c r="AF477" i="2"/>
  <c r="AG477" i="2"/>
  <c r="AI477" i="2"/>
  <c r="AE478" i="2"/>
  <c r="AF478" i="2"/>
  <c r="AG478" i="2"/>
  <c r="AI478" i="2"/>
  <c r="AE479" i="2"/>
  <c r="AF479" i="2"/>
  <c r="AG479" i="2"/>
  <c r="AI479" i="2"/>
  <c r="AE480" i="2"/>
  <c r="AF480" i="2"/>
  <c r="AG480" i="2"/>
  <c r="AI480" i="2"/>
  <c r="AE481" i="2"/>
  <c r="AF481" i="2"/>
  <c r="AG481" i="2"/>
  <c r="AI481" i="2"/>
  <c r="AE482" i="2"/>
  <c r="AF482" i="2"/>
  <c r="AG482" i="2"/>
  <c r="AI482" i="2"/>
  <c r="AE483" i="2"/>
  <c r="AF483" i="2"/>
  <c r="AG483" i="2"/>
  <c r="AI483" i="2"/>
  <c r="AE484" i="2"/>
  <c r="AF484" i="2"/>
  <c r="AG484" i="2"/>
  <c r="AI484" i="2"/>
  <c r="AE485" i="2"/>
  <c r="AF485" i="2"/>
  <c r="AG485" i="2"/>
  <c r="AI485" i="2"/>
  <c r="AE486" i="2"/>
  <c r="AF486" i="2"/>
  <c r="AG486" i="2"/>
  <c r="AI486" i="2"/>
  <c r="AE487" i="2"/>
  <c r="AF487" i="2"/>
  <c r="AG487" i="2"/>
  <c r="AI487" i="2"/>
  <c r="AE488" i="2"/>
  <c r="AF488" i="2"/>
  <c r="AG488" i="2"/>
  <c r="AI488" i="2"/>
  <c r="AE489" i="2"/>
  <c r="AF489" i="2"/>
  <c r="AG489" i="2"/>
  <c r="AI489" i="2"/>
  <c r="AE490" i="2"/>
  <c r="AF490" i="2"/>
  <c r="AG490" i="2"/>
  <c r="AI490" i="2"/>
  <c r="AE491" i="2"/>
  <c r="AF491" i="2"/>
  <c r="AG491" i="2"/>
  <c r="AI491" i="2"/>
  <c r="AE492" i="2"/>
  <c r="AF492" i="2"/>
  <c r="AG492" i="2"/>
  <c r="AI492" i="2"/>
  <c r="AE493" i="2"/>
  <c r="AF493" i="2"/>
  <c r="AG493" i="2"/>
  <c r="AI493" i="2"/>
  <c r="AE494" i="2"/>
  <c r="AF494" i="2"/>
  <c r="AG494" i="2"/>
  <c r="AI494" i="2"/>
  <c r="AE495" i="2"/>
  <c r="AF495" i="2"/>
  <c r="AG495" i="2"/>
  <c r="AI495" i="2"/>
  <c r="AE496" i="2"/>
  <c r="AF496" i="2"/>
  <c r="AG496" i="2"/>
  <c r="AI496" i="2"/>
  <c r="AE497" i="2"/>
  <c r="AF497" i="2"/>
  <c r="AG497" i="2"/>
  <c r="AI497" i="2"/>
  <c r="AE498" i="2"/>
  <c r="AF498" i="2"/>
  <c r="AG498" i="2"/>
  <c r="AI498" i="2"/>
  <c r="AE499" i="2"/>
  <c r="AF499" i="2"/>
  <c r="AG499" i="2"/>
  <c r="AI499" i="2"/>
  <c r="AE500" i="2"/>
  <c r="AF500" i="2"/>
  <c r="AG500" i="2"/>
  <c r="AI500" i="2"/>
  <c r="AE501" i="2"/>
  <c r="AF501" i="2"/>
  <c r="AG501" i="2"/>
  <c r="AI501" i="2"/>
  <c r="AE502" i="2"/>
  <c r="AF502" i="2"/>
  <c r="AG502" i="2"/>
  <c r="AI502" i="2"/>
  <c r="AE503" i="2"/>
  <c r="AF503" i="2"/>
  <c r="AG503" i="2"/>
  <c r="AI503" i="2"/>
  <c r="AE504" i="2"/>
  <c r="AF504" i="2"/>
  <c r="AG504" i="2"/>
  <c r="AI504" i="2"/>
  <c r="AE505" i="2"/>
  <c r="AF505" i="2"/>
  <c r="AG505" i="2"/>
  <c r="AI505" i="2"/>
  <c r="AE506" i="2"/>
  <c r="AF506" i="2"/>
  <c r="AG506" i="2"/>
  <c r="AI506" i="2"/>
  <c r="AE507" i="2"/>
  <c r="AF507" i="2"/>
  <c r="AG507" i="2"/>
  <c r="AI507" i="2"/>
  <c r="AE508" i="2"/>
  <c r="AF508" i="2"/>
  <c r="AG508" i="2"/>
  <c r="AI508" i="2"/>
  <c r="AE509" i="2"/>
  <c r="AF509" i="2"/>
  <c r="AG509" i="2"/>
  <c r="AI509" i="2"/>
  <c r="AE510" i="2"/>
  <c r="AF510" i="2"/>
  <c r="AG510" i="2"/>
  <c r="AI510" i="2"/>
  <c r="AE511" i="2"/>
  <c r="AF511" i="2"/>
  <c r="AG511" i="2"/>
  <c r="AI511" i="2"/>
  <c r="AE512" i="2"/>
  <c r="AF512" i="2"/>
  <c r="AG512" i="2"/>
  <c r="AI512" i="2"/>
  <c r="AE513" i="2"/>
  <c r="AF513" i="2"/>
  <c r="AG513" i="2"/>
  <c r="AI513" i="2"/>
  <c r="AE514" i="2"/>
  <c r="AF514" i="2"/>
  <c r="AG514" i="2"/>
  <c r="AI514" i="2"/>
  <c r="AE515" i="2"/>
  <c r="AF515" i="2"/>
  <c r="AG515" i="2"/>
  <c r="AI515" i="2"/>
  <c r="AE516" i="2"/>
  <c r="AF516" i="2"/>
  <c r="AG516" i="2"/>
  <c r="AI516" i="2"/>
  <c r="AE517" i="2"/>
  <c r="AF517" i="2"/>
  <c r="AG517" i="2"/>
  <c r="AI517" i="2"/>
  <c r="AE518" i="2"/>
  <c r="AF518" i="2"/>
  <c r="AG518" i="2"/>
  <c r="AI518" i="2"/>
  <c r="AE519" i="2"/>
  <c r="AF519" i="2"/>
  <c r="AG519" i="2"/>
  <c r="AI519" i="2"/>
  <c r="AE520" i="2"/>
  <c r="AF520" i="2"/>
  <c r="AG520" i="2"/>
  <c r="AI520" i="2"/>
  <c r="AE521" i="2"/>
  <c r="AF521" i="2"/>
  <c r="AG521" i="2"/>
  <c r="AI521" i="2"/>
  <c r="AE522" i="2"/>
  <c r="AF522" i="2"/>
  <c r="AG522" i="2"/>
  <c r="AI522" i="2"/>
  <c r="AE523" i="2"/>
  <c r="AF523" i="2"/>
  <c r="AG523" i="2"/>
  <c r="AI523" i="2"/>
  <c r="AE524" i="2"/>
  <c r="AF524" i="2"/>
  <c r="AG524" i="2"/>
  <c r="AI524" i="2"/>
  <c r="AE525" i="2"/>
  <c r="AF525" i="2"/>
  <c r="AG525" i="2"/>
  <c r="AI525" i="2"/>
  <c r="AE526" i="2"/>
  <c r="AF526" i="2"/>
  <c r="AG526" i="2"/>
  <c r="AI526" i="2"/>
  <c r="AE527" i="2"/>
  <c r="AF527" i="2"/>
  <c r="AG527" i="2"/>
  <c r="AI527" i="2"/>
  <c r="AE528" i="2"/>
  <c r="AF528" i="2"/>
  <c r="AG528" i="2"/>
  <c r="AI528" i="2"/>
  <c r="AE529" i="2"/>
  <c r="AF529" i="2"/>
  <c r="AG529" i="2"/>
  <c r="AI529" i="2"/>
  <c r="AE530" i="2"/>
  <c r="AF530" i="2"/>
  <c r="AG530" i="2"/>
  <c r="AI530" i="2"/>
  <c r="AE531" i="2"/>
  <c r="AF531" i="2"/>
  <c r="AG531" i="2"/>
  <c r="AI531" i="2"/>
  <c r="AE532" i="2"/>
  <c r="AF532" i="2"/>
  <c r="AG532" i="2"/>
  <c r="AI532" i="2"/>
  <c r="AE533" i="2"/>
  <c r="AF533" i="2"/>
  <c r="AG533" i="2"/>
  <c r="AI533" i="2"/>
  <c r="AE534" i="2"/>
  <c r="AF534" i="2"/>
  <c r="AG534" i="2"/>
  <c r="AI534" i="2"/>
  <c r="AE535" i="2"/>
  <c r="AF535" i="2"/>
  <c r="AG535" i="2"/>
  <c r="AI535" i="2"/>
  <c r="AE536" i="2"/>
  <c r="AF536" i="2"/>
  <c r="AG536" i="2"/>
  <c r="AI536" i="2"/>
  <c r="AE537" i="2"/>
  <c r="AF537" i="2"/>
  <c r="AG537" i="2"/>
  <c r="AI537" i="2"/>
  <c r="AE538" i="2"/>
  <c r="AF538" i="2"/>
  <c r="AG538" i="2"/>
  <c r="AI538" i="2"/>
  <c r="AE539" i="2"/>
  <c r="AF539" i="2"/>
  <c r="AG539" i="2"/>
  <c r="AI539" i="2"/>
  <c r="AE540" i="2"/>
  <c r="AF540" i="2"/>
  <c r="AG540" i="2"/>
  <c r="AI540" i="2"/>
  <c r="AE541" i="2"/>
  <c r="AF541" i="2"/>
  <c r="AG541" i="2"/>
  <c r="AI541" i="2"/>
  <c r="AE542" i="2"/>
  <c r="AF542" i="2"/>
  <c r="AG542" i="2"/>
  <c r="AI542" i="2"/>
  <c r="AE543" i="2"/>
  <c r="AF543" i="2"/>
  <c r="AG543" i="2"/>
  <c r="AI543" i="2"/>
  <c r="AE544" i="2"/>
  <c r="AF544" i="2"/>
  <c r="AG544" i="2"/>
  <c r="AI544" i="2"/>
  <c r="AE545" i="2"/>
  <c r="AF545" i="2"/>
  <c r="AG545" i="2"/>
  <c r="AI545" i="2"/>
  <c r="AE546" i="2"/>
  <c r="AF546" i="2"/>
  <c r="AG546" i="2"/>
  <c r="AI546" i="2"/>
  <c r="AE547" i="2"/>
  <c r="AF547" i="2"/>
  <c r="AG547" i="2"/>
  <c r="AI547" i="2"/>
  <c r="AE548" i="2"/>
  <c r="AF548" i="2"/>
  <c r="AG548" i="2"/>
  <c r="AI548" i="2"/>
  <c r="AE549" i="2"/>
  <c r="AF549" i="2"/>
  <c r="AG549" i="2"/>
  <c r="AI549" i="2"/>
  <c r="AE550" i="2"/>
  <c r="AF550" i="2"/>
  <c r="AG550" i="2"/>
  <c r="AI550" i="2"/>
  <c r="AE551" i="2"/>
  <c r="AF551" i="2"/>
  <c r="AG551" i="2"/>
  <c r="AI551" i="2"/>
  <c r="AE552" i="2"/>
  <c r="AF552" i="2"/>
  <c r="AG552" i="2"/>
  <c r="AI552" i="2"/>
  <c r="AE553" i="2"/>
  <c r="AF553" i="2"/>
  <c r="AG553" i="2"/>
  <c r="AI553" i="2"/>
  <c r="AE554" i="2"/>
  <c r="AF554" i="2"/>
  <c r="AG554" i="2"/>
  <c r="AI554" i="2"/>
  <c r="AE555" i="2"/>
  <c r="AF555" i="2"/>
  <c r="AG555" i="2"/>
  <c r="AI555" i="2"/>
  <c r="AE556" i="2"/>
  <c r="AF556" i="2"/>
  <c r="AG556" i="2"/>
  <c r="AI556" i="2"/>
  <c r="AE557" i="2"/>
  <c r="AF557" i="2"/>
  <c r="AG557" i="2"/>
  <c r="AI557" i="2"/>
  <c r="AE558" i="2"/>
  <c r="AF558" i="2"/>
  <c r="AG558" i="2"/>
  <c r="AI558" i="2"/>
  <c r="AE559" i="2"/>
  <c r="AF559" i="2"/>
  <c r="AG559" i="2"/>
  <c r="AI559" i="2"/>
  <c r="AE560" i="2"/>
  <c r="AF560" i="2"/>
  <c r="AG560" i="2"/>
  <c r="AI560" i="2"/>
  <c r="AE561" i="2"/>
  <c r="AF561" i="2"/>
  <c r="AG561" i="2"/>
  <c r="AI561" i="2"/>
  <c r="AE562" i="2"/>
  <c r="AF562" i="2"/>
  <c r="AG562" i="2"/>
  <c r="AI562" i="2"/>
  <c r="AE563" i="2"/>
  <c r="AF563" i="2"/>
  <c r="AG563" i="2"/>
  <c r="AI563" i="2"/>
  <c r="AE564" i="2"/>
  <c r="AF564" i="2"/>
  <c r="AG564" i="2"/>
  <c r="AI564" i="2"/>
  <c r="AE565" i="2"/>
  <c r="AF565" i="2"/>
  <c r="AG565" i="2"/>
  <c r="AI565" i="2"/>
  <c r="AE566" i="2"/>
  <c r="AF566" i="2"/>
  <c r="AG566" i="2"/>
  <c r="AI566" i="2"/>
  <c r="AE567" i="2"/>
  <c r="AF567" i="2"/>
  <c r="AG567" i="2"/>
  <c r="AI567" i="2"/>
  <c r="AE568" i="2"/>
  <c r="AF568" i="2"/>
  <c r="AG568" i="2"/>
  <c r="AI568" i="2"/>
  <c r="AE569" i="2"/>
  <c r="AF569" i="2"/>
  <c r="AG569" i="2"/>
  <c r="AI569" i="2"/>
  <c r="AE570" i="2"/>
  <c r="AF570" i="2"/>
  <c r="AG570" i="2"/>
  <c r="AI570" i="2"/>
  <c r="AE571" i="2"/>
  <c r="AF571" i="2"/>
  <c r="AG571" i="2"/>
  <c r="AI571" i="2"/>
  <c r="AE572" i="2"/>
  <c r="AF572" i="2"/>
  <c r="AG572" i="2"/>
  <c r="AI572" i="2"/>
  <c r="AE573" i="2"/>
  <c r="AF573" i="2"/>
  <c r="AG573" i="2"/>
  <c r="AI573" i="2"/>
  <c r="AE574" i="2"/>
  <c r="AF574" i="2"/>
  <c r="AG574" i="2"/>
  <c r="AI574" i="2"/>
  <c r="AE575" i="2"/>
  <c r="AF575" i="2"/>
  <c r="AG575" i="2"/>
  <c r="AI575" i="2"/>
  <c r="AE576" i="2"/>
  <c r="AF576" i="2"/>
  <c r="AG576" i="2"/>
  <c r="AI576" i="2"/>
  <c r="AE577" i="2"/>
  <c r="AF577" i="2"/>
  <c r="AG577" i="2"/>
  <c r="AI577" i="2"/>
  <c r="AE578" i="2"/>
  <c r="AF578" i="2"/>
  <c r="AG578" i="2"/>
  <c r="AI578" i="2"/>
  <c r="AE579" i="2"/>
  <c r="AF579" i="2"/>
  <c r="AG579" i="2"/>
  <c r="AI579" i="2"/>
  <c r="AE580" i="2"/>
  <c r="AF580" i="2"/>
  <c r="AG580" i="2"/>
  <c r="AI580" i="2"/>
  <c r="AE581" i="2"/>
  <c r="AF581" i="2"/>
  <c r="AG581" i="2"/>
  <c r="AI581" i="2"/>
  <c r="AE582" i="2"/>
  <c r="AF582" i="2"/>
  <c r="AG582" i="2"/>
  <c r="AI582" i="2"/>
  <c r="AE583" i="2"/>
  <c r="AF583" i="2"/>
  <c r="AG583" i="2"/>
  <c r="AI583" i="2"/>
  <c r="AE584" i="2"/>
  <c r="AF584" i="2"/>
  <c r="AG584" i="2"/>
  <c r="AI584" i="2"/>
  <c r="AE585" i="2"/>
  <c r="AF585" i="2"/>
  <c r="AG585" i="2"/>
  <c r="AI585" i="2"/>
  <c r="AE586" i="2"/>
  <c r="AF586" i="2"/>
  <c r="AG586" i="2"/>
  <c r="AI586" i="2"/>
  <c r="AE587" i="2"/>
  <c r="AF587" i="2"/>
  <c r="AG587" i="2"/>
  <c r="AI587" i="2"/>
  <c r="AE588" i="2"/>
  <c r="AF588" i="2"/>
  <c r="AG588" i="2"/>
  <c r="AI588" i="2"/>
  <c r="AE589" i="2"/>
  <c r="AF589" i="2"/>
  <c r="AG589" i="2"/>
  <c r="AI589" i="2"/>
  <c r="AE590" i="2"/>
  <c r="AF590" i="2"/>
  <c r="AG590" i="2"/>
  <c r="AI590" i="2"/>
  <c r="AE591" i="2"/>
  <c r="AF591" i="2"/>
  <c r="AG591" i="2"/>
  <c r="AI591" i="2"/>
  <c r="AE592" i="2"/>
  <c r="AF592" i="2"/>
  <c r="AG592" i="2"/>
  <c r="AI592" i="2"/>
  <c r="AE593" i="2"/>
  <c r="AF593" i="2"/>
  <c r="AG593" i="2"/>
  <c r="AI593" i="2"/>
  <c r="AE594" i="2"/>
  <c r="AF594" i="2"/>
  <c r="AG594" i="2"/>
  <c r="AI594" i="2"/>
  <c r="AE595" i="2"/>
  <c r="AF595" i="2"/>
  <c r="AG595" i="2"/>
  <c r="AI595" i="2"/>
  <c r="AE596" i="2"/>
  <c r="AF596" i="2"/>
  <c r="AG596" i="2"/>
  <c r="AI596" i="2"/>
  <c r="AE597" i="2"/>
  <c r="AF597" i="2"/>
  <c r="AG597" i="2"/>
  <c r="AI597" i="2"/>
  <c r="AE598" i="2"/>
  <c r="AF598" i="2"/>
  <c r="AG598" i="2"/>
  <c r="AI598" i="2"/>
  <c r="AE599" i="2"/>
  <c r="AF599" i="2"/>
  <c r="AG599" i="2"/>
  <c r="AI599" i="2"/>
  <c r="AE600" i="2"/>
  <c r="AF600" i="2"/>
  <c r="AG600" i="2"/>
  <c r="AI600" i="2"/>
  <c r="AE601" i="2"/>
  <c r="AF601" i="2"/>
  <c r="AG601" i="2"/>
  <c r="AI601" i="2"/>
  <c r="AE602" i="2"/>
  <c r="AF602" i="2"/>
  <c r="AG602" i="2"/>
  <c r="AI602" i="2"/>
  <c r="AE603" i="2"/>
  <c r="AF603" i="2"/>
  <c r="AG603" i="2"/>
  <c r="AI603" i="2"/>
  <c r="AE604" i="2"/>
  <c r="AF604" i="2"/>
  <c r="AG604" i="2"/>
  <c r="AI604" i="2"/>
  <c r="AE605" i="2"/>
  <c r="AF605" i="2"/>
  <c r="AG605" i="2"/>
  <c r="AI605" i="2"/>
  <c r="AE606" i="2"/>
  <c r="AF606" i="2"/>
  <c r="AG606" i="2"/>
  <c r="AI606" i="2"/>
  <c r="AE607" i="2"/>
  <c r="AF607" i="2"/>
  <c r="AG607" i="2"/>
  <c r="AI607" i="2"/>
  <c r="AE608" i="2"/>
  <c r="AF608" i="2"/>
  <c r="AG608" i="2"/>
  <c r="AI608" i="2"/>
  <c r="AE609" i="2"/>
  <c r="AF609" i="2"/>
  <c r="AG609" i="2"/>
  <c r="AI609" i="2"/>
  <c r="AE610" i="2"/>
  <c r="AF610" i="2"/>
  <c r="AG610" i="2"/>
  <c r="AI610" i="2"/>
  <c r="AE611" i="2"/>
  <c r="AF611" i="2"/>
  <c r="AG611" i="2"/>
  <c r="AI611" i="2"/>
  <c r="AE612" i="2"/>
  <c r="AF612" i="2"/>
  <c r="AG612" i="2"/>
  <c r="AI612" i="2"/>
  <c r="AE613" i="2"/>
  <c r="AF613" i="2"/>
  <c r="AG613" i="2"/>
  <c r="AI613" i="2"/>
  <c r="AE614" i="2"/>
  <c r="AF614" i="2"/>
  <c r="AG614" i="2"/>
  <c r="AI614" i="2"/>
  <c r="AE615" i="2"/>
  <c r="AF615" i="2"/>
  <c r="AG615" i="2"/>
  <c r="AI615" i="2"/>
  <c r="AE616" i="2"/>
  <c r="AF616" i="2"/>
  <c r="AG616" i="2"/>
  <c r="AI616" i="2"/>
  <c r="AE617" i="2"/>
  <c r="AF617" i="2"/>
  <c r="AG617" i="2"/>
  <c r="AI617" i="2"/>
  <c r="AE618" i="2"/>
  <c r="AF618" i="2"/>
  <c r="AG618" i="2"/>
  <c r="AI618" i="2"/>
  <c r="AE619" i="2"/>
  <c r="AF619" i="2"/>
  <c r="AG619" i="2"/>
  <c r="AI619" i="2"/>
  <c r="AE620" i="2"/>
  <c r="AF620" i="2"/>
  <c r="AG620" i="2"/>
  <c r="AI620" i="2"/>
  <c r="AE621" i="2"/>
  <c r="AF621" i="2"/>
  <c r="AG621" i="2"/>
  <c r="AI621" i="2"/>
  <c r="AE622" i="2"/>
  <c r="AF622" i="2"/>
  <c r="AG622" i="2"/>
  <c r="AI622" i="2"/>
  <c r="AE623" i="2"/>
  <c r="AF623" i="2"/>
  <c r="AG623" i="2"/>
  <c r="AI623" i="2"/>
  <c r="AE624" i="2"/>
  <c r="AF624" i="2"/>
  <c r="AG624" i="2"/>
  <c r="AI624" i="2"/>
  <c r="AE625" i="2"/>
  <c r="AF625" i="2"/>
  <c r="AG625" i="2"/>
  <c r="AI625" i="2"/>
  <c r="AE626" i="2"/>
  <c r="AF626" i="2"/>
  <c r="AG626" i="2"/>
  <c r="AI626" i="2"/>
  <c r="AE627" i="2"/>
  <c r="AF627" i="2"/>
  <c r="AG627" i="2"/>
  <c r="AI627" i="2"/>
  <c r="AE628" i="2"/>
  <c r="AF628" i="2"/>
  <c r="AG628" i="2"/>
  <c r="AI628" i="2"/>
  <c r="AE629" i="2"/>
  <c r="AF629" i="2"/>
  <c r="AG629" i="2"/>
  <c r="AI629" i="2"/>
  <c r="AE630" i="2"/>
  <c r="AF630" i="2"/>
  <c r="AG630" i="2"/>
  <c r="AI630" i="2"/>
  <c r="AE631" i="2"/>
  <c r="AF631" i="2"/>
  <c r="AG631" i="2"/>
  <c r="AI631" i="2"/>
  <c r="AE632" i="2"/>
  <c r="AF632" i="2"/>
  <c r="AG632" i="2"/>
  <c r="AI632" i="2"/>
  <c r="AE633" i="2"/>
  <c r="AF633" i="2"/>
  <c r="AG633" i="2"/>
  <c r="AI633" i="2"/>
  <c r="AE634" i="2"/>
  <c r="AF634" i="2"/>
  <c r="AG634" i="2"/>
  <c r="AI634" i="2"/>
  <c r="AE635" i="2"/>
  <c r="AF635" i="2"/>
  <c r="AG635" i="2"/>
  <c r="AI635" i="2"/>
  <c r="AE636" i="2"/>
  <c r="AF636" i="2"/>
  <c r="AG636" i="2"/>
  <c r="AI636" i="2"/>
  <c r="AE637" i="2"/>
  <c r="AF637" i="2"/>
  <c r="AG637" i="2"/>
  <c r="AI637" i="2"/>
  <c r="AE638" i="2"/>
  <c r="AF638" i="2"/>
  <c r="AG638" i="2"/>
  <c r="AI638" i="2"/>
  <c r="AE639" i="2"/>
  <c r="AF639" i="2"/>
  <c r="AG639" i="2"/>
  <c r="AI639" i="2"/>
  <c r="AE640" i="2"/>
  <c r="AF640" i="2"/>
  <c r="AG640" i="2"/>
  <c r="AI640" i="2"/>
  <c r="AE641" i="2"/>
  <c r="AF641" i="2"/>
  <c r="AG641" i="2"/>
  <c r="AI641" i="2"/>
  <c r="AE642" i="2"/>
  <c r="AF642" i="2"/>
  <c r="AG642" i="2"/>
  <c r="AI642" i="2"/>
  <c r="AE643" i="2"/>
  <c r="AF643" i="2"/>
  <c r="AG643" i="2"/>
  <c r="AI643" i="2"/>
  <c r="AE644" i="2"/>
  <c r="AF644" i="2"/>
  <c r="AG644" i="2"/>
  <c r="AI644" i="2"/>
  <c r="AE645" i="2"/>
  <c r="AF645" i="2"/>
  <c r="AG645" i="2"/>
  <c r="AI645" i="2"/>
  <c r="AE646" i="2"/>
  <c r="AF646" i="2"/>
  <c r="AG646" i="2"/>
  <c r="AI646" i="2"/>
  <c r="AE647" i="2"/>
  <c r="AF647" i="2"/>
  <c r="AG647" i="2"/>
  <c r="AI647" i="2"/>
  <c r="AE648" i="2"/>
  <c r="AF648" i="2"/>
  <c r="AG648" i="2"/>
  <c r="AI648" i="2"/>
  <c r="AE649" i="2"/>
  <c r="AF649" i="2"/>
  <c r="AG649" i="2"/>
  <c r="AI649" i="2"/>
  <c r="AE650" i="2"/>
  <c r="AF650" i="2"/>
  <c r="AG650" i="2"/>
  <c r="AI650" i="2"/>
  <c r="AE651" i="2"/>
  <c r="AF651" i="2"/>
  <c r="AG651" i="2"/>
  <c r="AI651" i="2"/>
  <c r="AE652" i="2"/>
  <c r="AF652" i="2"/>
  <c r="AG652" i="2"/>
  <c r="AI652" i="2"/>
  <c r="AE653" i="2"/>
  <c r="AF653" i="2"/>
  <c r="AG653" i="2"/>
  <c r="AI653" i="2"/>
  <c r="AE654" i="2"/>
  <c r="AF654" i="2"/>
  <c r="AG654" i="2"/>
  <c r="AI654" i="2"/>
  <c r="AE655" i="2"/>
  <c r="AF655" i="2"/>
  <c r="AG655" i="2"/>
  <c r="AI655" i="2"/>
  <c r="AE656" i="2"/>
  <c r="AF656" i="2"/>
  <c r="AG656" i="2"/>
  <c r="AI656" i="2"/>
  <c r="AE657" i="2"/>
  <c r="AF657" i="2"/>
  <c r="AG657" i="2"/>
  <c r="AI657" i="2"/>
  <c r="AE658" i="2"/>
  <c r="AF658" i="2"/>
  <c r="AG658" i="2"/>
  <c r="AI658" i="2"/>
  <c r="AE659" i="2"/>
  <c r="AF659" i="2"/>
  <c r="AG659" i="2"/>
  <c r="AI659" i="2"/>
  <c r="AE660" i="2"/>
  <c r="AF660" i="2"/>
  <c r="AG660" i="2"/>
  <c r="AI660" i="2"/>
  <c r="AE661" i="2"/>
  <c r="AF661" i="2"/>
  <c r="AG661" i="2"/>
  <c r="AI661" i="2"/>
  <c r="AE662" i="2"/>
  <c r="AF662" i="2"/>
  <c r="AG662" i="2"/>
  <c r="AI662" i="2"/>
  <c r="AE663" i="2"/>
  <c r="AF663" i="2"/>
  <c r="AG663" i="2"/>
  <c r="AI663" i="2"/>
  <c r="AE664" i="2"/>
  <c r="AF664" i="2"/>
  <c r="AG664" i="2"/>
  <c r="AI664" i="2"/>
  <c r="AE665" i="2"/>
  <c r="AF665" i="2"/>
  <c r="AG665" i="2"/>
  <c r="AI665" i="2"/>
  <c r="AE666" i="2"/>
  <c r="AF666" i="2"/>
  <c r="AG666" i="2"/>
  <c r="AI666" i="2"/>
  <c r="AE667" i="2"/>
  <c r="AF667" i="2"/>
  <c r="AG667" i="2"/>
  <c r="AI667" i="2"/>
  <c r="AE668" i="2"/>
  <c r="AF668" i="2"/>
  <c r="AG668" i="2"/>
  <c r="AI668" i="2"/>
  <c r="AE669" i="2"/>
  <c r="AF669" i="2"/>
  <c r="AG669" i="2"/>
  <c r="AI669" i="2"/>
  <c r="AE670" i="2"/>
  <c r="AF670" i="2"/>
  <c r="AG670" i="2"/>
  <c r="AI670" i="2"/>
  <c r="AE671" i="2"/>
  <c r="AF671" i="2"/>
  <c r="AG671" i="2"/>
  <c r="AI671" i="2"/>
  <c r="AE672" i="2"/>
  <c r="AF672" i="2"/>
  <c r="AG672" i="2"/>
  <c r="AI672" i="2"/>
  <c r="AE673" i="2"/>
  <c r="AF673" i="2"/>
  <c r="AG673" i="2"/>
  <c r="AI673" i="2"/>
  <c r="AE674" i="2"/>
  <c r="AF674" i="2"/>
  <c r="AG674" i="2"/>
  <c r="AI674" i="2"/>
  <c r="AE675" i="2"/>
  <c r="AF675" i="2"/>
  <c r="AG675" i="2"/>
  <c r="AI675" i="2"/>
  <c r="AE676" i="2"/>
  <c r="AF676" i="2"/>
  <c r="AG676" i="2"/>
  <c r="AI676" i="2"/>
  <c r="AE677" i="2"/>
  <c r="AF677" i="2"/>
  <c r="AG677" i="2"/>
  <c r="AI677" i="2"/>
  <c r="AE678" i="2"/>
  <c r="AF678" i="2"/>
  <c r="AG678" i="2"/>
  <c r="AI678" i="2"/>
  <c r="AE679" i="2"/>
  <c r="AF679" i="2"/>
  <c r="AG679" i="2"/>
  <c r="AI679" i="2"/>
  <c r="AE680" i="2"/>
  <c r="AF680" i="2"/>
  <c r="AG680" i="2"/>
  <c r="AI680" i="2"/>
  <c r="AE681" i="2"/>
  <c r="AF681" i="2"/>
  <c r="AG681" i="2"/>
  <c r="AI681" i="2"/>
  <c r="AE682" i="2"/>
  <c r="AF682" i="2"/>
  <c r="AG682" i="2"/>
  <c r="AI682" i="2"/>
  <c r="AE683" i="2"/>
  <c r="AF683" i="2"/>
  <c r="AG683" i="2"/>
  <c r="AI683" i="2"/>
  <c r="AE684" i="2"/>
  <c r="AF684" i="2"/>
  <c r="AG684" i="2"/>
  <c r="AI684" i="2"/>
  <c r="AE685" i="2"/>
  <c r="AF685" i="2"/>
  <c r="AG685" i="2"/>
  <c r="AI685" i="2"/>
  <c r="AE686" i="2"/>
  <c r="AF686" i="2"/>
  <c r="AG686" i="2"/>
  <c r="AI686" i="2"/>
  <c r="AE687" i="2"/>
  <c r="AF687" i="2"/>
  <c r="AG687" i="2"/>
  <c r="AI687" i="2"/>
  <c r="AE688" i="2"/>
  <c r="AF688" i="2"/>
  <c r="AG688" i="2"/>
  <c r="AI688" i="2"/>
  <c r="AE689" i="2"/>
  <c r="AF689" i="2"/>
  <c r="AG689" i="2"/>
  <c r="AI689" i="2"/>
  <c r="AE690" i="2"/>
  <c r="AF690" i="2"/>
  <c r="AG690" i="2"/>
  <c r="AI690" i="2"/>
  <c r="AE691" i="2"/>
  <c r="AF691" i="2"/>
  <c r="AG691" i="2"/>
  <c r="AI691" i="2"/>
  <c r="AE692" i="2"/>
  <c r="AF692" i="2"/>
  <c r="AG692" i="2"/>
  <c r="AI692" i="2"/>
  <c r="AE693" i="2"/>
  <c r="AF693" i="2"/>
  <c r="AG693" i="2"/>
  <c r="AI693" i="2"/>
  <c r="AE694" i="2"/>
  <c r="AF694" i="2"/>
  <c r="AG694" i="2"/>
  <c r="AI694" i="2"/>
  <c r="AE695" i="2"/>
  <c r="AF695" i="2"/>
  <c r="AG695" i="2"/>
  <c r="AI695" i="2"/>
  <c r="AE696" i="2"/>
  <c r="AF696" i="2"/>
  <c r="AG696" i="2"/>
  <c r="AI696" i="2"/>
  <c r="AE697" i="2"/>
  <c r="AF697" i="2"/>
  <c r="AG697" i="2"/>
  <c r="AI697" i="2"/>
  <c r="AE698" i="2"/>
  <c r="AF698" i="2"/>
  <c r="AG698" i="2"/>
  <c r="AI698" i="2"/>
  <c r="AE699" i="2"/>
  <c r="AF699" i="2"/>
  <c r="AG699" i="2"/>
  <c r="AI699" i="2"/>
  <c r="AE700" i="2"/>
  <c r="AF700" i="2"/>
  <c r="AG700" i="2"/>
  <c r="AI700" i="2"/>
  <c r="AE701" i="2"/>
  <c r="AF701" i="2"/>
  <c r="AG701" i="2"/>
  <c r="AI701" i="2"/>
  <c r="AE702" i="2"/>
  <c r="AF702" i="2"/>
  <c r="AG702" i="2"/>
  <c r="AI702" i="2"/>
  <c r="AE703" i="2"/>
  <c r="AF703" i="2"/>
  <c r="AG703" i="2"/>
  <c r="AI703" i="2"/>
  <c r="AE704" i="2"/>
  <c r="AF704" i="2"/>
  <c r="AG704" i="2"/>
  <c r="AI704" i="2"/>
  <c r="AE705" i="2"/>
  <c r="AF705" i="2"/>
  <c r="AG705" i="2"/>
  <c r="AI705" i="2"/>
  <c r="AE706" i="2"/>
  <c r="AF706" i="2"/>
  <c r="AG706" i="2"/>
  <c r="AI706" i="2"/>
  <c r="AE707" i="2"/>
  <c r="AF707" i="2"/>
  <c r="AG707" i="2"/>
  <c r="AI707" i="2"/>
  <c r="AE708" i="2"/>
  <c r="AF708" i="2"/>
  <c r="AG708" i="2"/>
  <c r="AI708" i="2"/>
  <c r="AE709" i="2"/>
  <c r="AF709" i="2"/>
  <c r="AG709" i="2"/>
  <c r="AI709" i="2"/>
  <c r="AE710" i="2"/>
  <c r="AF710" i="2"/>
  <c r="AG710" i="2"/>
  <c r="AI710" i="2"/>
  <c r="AE711" i="2"/>
  <c r="AF711" i="2"/>
  <c r="AG711" i="2"/>
  <c r="AI711" i="2"/>
  <c r="AE712" i="2"/>
  <c r="AF712" i="2"/>
  <c r="AG712" i="2"/>
  <c r="AI712" i="2"/>
  <c r="AE713" i="2"/>
  <c r="AF713" i="2"/>
  <c r="AG713" i="2"/>
  <c r="AI713" i="2"/>
  <c r="AE714" i="2"/>
  <c r="AF714" i="2"/>
  <c r="AG714" i="2"/>
  <c r="AI714" i="2"/>
  <c r="AE715" i="2"/>
  <c r="AF715" i="2"/>
  <c r="AG715" i="2"/>
  <c r="AI715" i="2"/>
  <c r="AE716" i="2"/>
  <c r="AF716" i="2"/>
  <c r="AG716" i="2"/>
  <c r="AI716" i="2"/>
  <c r="AE717" i="2"/>
  <c r="AF717" i="2"/>
  <c r="AG717" i="2"/>
  <c r="AI717" i="2"/>
  <c r="AE718" i="2"/>
  <c r="AF718" i="2"/>
  <c r="AG718" i="2"/>
  <c r="AI718" i="2"/>
  <c r="AE719" i="2"/>
  <c r="AF719" i="2"/>
  <c r="AG719" i="2"/>
  <c r="AI719" i="2"/>
  <c r="AE720" i="2"/>
  <c r="AF720" i="2"/>
  <c r="AG720" i="2"/>
  <c r="AI720" i="2"/>
  <c r="AE721" i="2"/>
  <c r="AF721" i="2"/>
  <c r="AG721" i="2"/>
  <c r="AI721" i="2"/>
  <c r="AE722" i="2"/>
  <c r="AF722" i="2"/>
  <c r="AG722" i="2"/>
  <c r="AI722" i="2"/>
  <c r="AE723" i="2"/>
  <c r="AF723" i="2"/>
  <c r="AG723" i="2"/>
  <c r="AI723" i="2"/>
  <c r="AE724" i="2"/>
  <c r="AF724" i="2"/>
  <c r="AG724" i="2"/>
  <c r="AI724" i="2"/>
  <c r="AE725" i="2"/>
  <c r="AF725" i="2"/>
  <c r="AG725" i="2"/>
  <c r="AI725" i="2"/>
  <c r="AE726" i="2"/>
  <c r="AF726" i="2"/>
  <c r="AG726" i="2"/>
  <c r="AI726" i="2"/>
  <c r="AE727" i="2"/>
  <c r="AF727" i="2"/>
  <c r="AG727" i="2"/>
  <c r="AI727" i="2"/>
  <c r="AE728" i="2"/>
  <c r="AF728" i="2"/>
  <c r="AG728" i="2"/>
  <c r="AI728" i="2"/>
  <c r="AE729" i="2"/>
  <c r="AF729" i="2"/>
  <c r="AG729" i="2"/>
  <c r="AI729" i="2"/>
  <c r="AE730" i="2"/>
  <c r="AF730" i="2"/>
  <c r="AG730" i="2"/>
  <c r="AI730" i="2"/>
  <c r="AE731" i="2"/>
  <c r="AF731" i="2"/>
  <c r="AG731" i="2"/>
  <c r="AI731" i="2"/>
  <c r="AE732" i="2"/>
  <c r="AF732" i="2"/>
  <c r="AG732" i="2"/>
  <c r="AI732" i="2"/>
  <c r="AE733" i="2"/>
  <c r="AF733" i="2"/>
  <c r="AG733" i="2"/>
  <c r="AI733" i="2"/>
  <c r="AE734" i="2"/>
  <c r="AF734" i="2"/>
  <c r="AG734" i="2"/>
  <c r="AI734" i="2"/>
  <c r="AE735" i="2"/>
  <c r="AF735" i="2"/>
  <c r="AG735" i="2"/>
  <c r="AI735" i="2"/>
  <c r="AE736" i="2"/>
  <c r="AF736" i="2"/>
  <c r="AG736" i="2"/>
  <c r="AI736" i="2"/>
  <c r="AE737" i="2"/>
  <c r="AF737" i="2"/>
  <c r="AG737" i="2"/>
  <c r="AI737" i="2"/>
  <c r="AE738" i="2"/>
  <c r="AF738" i="2"/>
  <c r="AG738" i="2"/>
  <c r="AI738" i="2"/>
  <c r="AE739" i="2"/>
  <c r="AF739" i="2"/>
  <c r="AG739" i="2"/>
  <c r="AI739" i="2"/>
  <c r="AE740" i="2"/>
  <c r="AF740" i="2"/>
  <c r="AG740" i="2"/>
  <c r="AI740" i="2"/>
  <c r="AE741" i="2"/>
  <c r="AF741" i="2"/>
  <c r="AG741" i="2"/>
  <c r="AI741" i="2"/>
  <c r="AE742" i="2"/>
  <c r="AF742" i="2"/>
  <c r="AG742" i="2"/>
  <c r="AI742" i="2"/>
  <c r="AE743" i="2"/>
  <c r="AF743" i="2"/>
  <c r="AG743" i="2"/>
  <c r="AI743" i="2"/>
  <c r="AE744" i="2"/>
  <c r="AF744" i="2"/>
  <c r="AG744" i="2"/>
  <c r="AI744" i="2"/>
  <c r="AE745" i="2"/>
  <c r="AF745" i="2"/>
  <c r="AG745" i="2"/>
  <c r="AI745" i="2"/>
  <c r="AE746" i="2"/>
  <c r="AF746" i="2"/>
  <c r="AG746" i="2"/>
  <c r="AI746" i="2"/>
  <c r="AE747" i="2"/>
  <c r="AF747" i="2"/>
  <c r="AG747" i="2"/>
  <c r="AI747" i="2"/>
  <c r="AE748" i="2"/>
  <c r="AF748" i="2"/>
  <c r="AG748" i="2"/>
  <c r="AI748" i="2"/>
  <c r="AE749" i="2"/>
  <c r="AF749" i="2"/>
  <c r="AG749" i="2"/>
  <c r="AI749" i="2"/>
  <c r="AE750" i="2"/>
  <c r="AF750" i="2"/>
  <c r="AG750" i="2"/>
  <c r="AI750" i="2"/>
  <c r="AE751" i="2"/>
  <c r="AF751" i="2"/>
  <c r="AG751" i="2"/>
  <c r="AI751" i="2"/>
  <c r="AE752" i="2"/>
  <c r="AF752" i="2"/>
  <c r="AG752" i="2"/>
  <c r="AI752" i="2"/>
  <c r="AE753" i="2"/>
  <c r="AF753" i="2"/>
  <c r="AG753" i="2"/>
  <c r="AI753" i="2"/>
  <c r="AE754" i="2"/>
  <c r="AF754" i="2"/>
  <c r="AG754" i="2"/>
  <c r="AI754" i="2"/>
  <c r="AE755" i="2"/>
  <c r="AF755" i="2"/>
  <c r="AG755" i="2"/>
  <c r="AI755" i="2"/>
  <c r="AE756" i="2"/>
  <c r="AF756" i="2"/>
  <c r="AG756" i="2"/>
  <c r="AI756" i="2"/>
  <c r="AE757" i="2"/>
  <c r="AF757" i="2"/>
  <c r="AG757" i="2"/>
  <c r="AI757" i="2"/>
  <c r="AE758" i="2"/>
  <c r="AF758" i="2"/>
  <c r="AG758" i="2"/>
  <c r="AI758" i="2"/>
  <c r="AE759" i="2"/>
  <c r="AF759" i="2"/>
  <c r="AG759" i="2"/>
  <c r="AI759" i="2"/>
  <c r="AE760" i="2"/>
  <c r="AF760" i="2"/>
  <c r="AG760" i="2"/>
  <c r="AI760" i="2"/>
  <c r="AE761" i="2"/>
  <c r="AF761" i="2"/>
  <c r="AG761" i="2"/>
  <c r="AI761" i="2"/>
  <c r="AE762" i="2"/>
  <c r="AF762" i="2"/>
  <c r="AG762" i="2"/>
  <c r="AI762" i="2"/>
  <c r="AE763" i="2"/>
  <c r="AF763" i="2"/>
  <c r="AG763" i="2"/>
  <c r="AI763" i="2"/>
  <c r="AE764" i="2"/>
  <c r="AF764" i="2"/>
  <c r="AG764" i="2"/>
  <c r="AI764" i="2"/>
  <c r="AE765" i="2"/>
  <c r="AF765" i="2"/>
  <c r="AG765" i="2"/>
  <c r="AI765" i="2"/>
  <c r="AE766" i="2"/>
  <c r="AF766" i="2"/>
  <c r="AG766" i="2"/>
  <c r="AI766" i="2"/>
  <c r="AE767" i="2"/>
  <c r="AF767" i="2"/>
  <c r="AG767" i="2"/>
  <c r="AI767" i="2"/>
  <c r="AE768" i="2"/>
  <c r="AF768" i="2"/>
  <c r="AG768" i="2"/>
  <c r="AI768" i="2"/>
  <c r="AE769" i="2"/>
  <c r="AF769" i="2"/>
  <c r="AG769" i="2"/>
  <c r="AI769" i="2"/>
  <c r="AE770" i="2"/>
  <c r="AF770" i="2"/>
  <c r="AG770" i="2"/>
  <c r="AI770" i="2"/>
  <c r="AE771" i="2"/>
  <c r="AF771" i="2"/>
  <c r="AG771" i="2"/>
  <c r="AI771" i="2"/>
  <c r="AE772" i="2"/>
  <c r="AF772" i="2"/>
  <c r="AG772" i="2"/>
  <c r="AI772" i="2"/>
  <c r="AE773" i="2"/>
  <c r="AF773" i="2"/>
  <c r="AG773" i="2"/>
  <c r="AI773" i="2"/>
  <c r="AE774" i="2"/>
  <c r="AF774" i="2"/>
  <c r="AG774" i="2"/>
  <c r="AI774" i="2"/>
  <c r="AE775" i="2"/>
  <c r="AF775" i="2"/>
  <c r="AG775" i="2"/>
  <c r="AI775" i="2"/>
  <c r="AE776" i="2"/>
  <c r="AF776" i="2"/>
  <c r="AG776" i="2"/>
  <c r="AI776" i="2"/>
  <c r="AE777" i="2"/>
  <c r="AF777" i="2"/>
  <c r="AG777" i="2"/>
  <c r="AI777" i="2"/>
  <c r="AE778" i="2"/>
  <c r="AF778" i="2"/>
  <c r="AG778" i="2"/>
  <c r="AI778" i="2"/>
  <c r="AE779" i="2"/>
  <c r="AF779" i="2"/>
  <c r="AG779" i="2"/>
  <c r="AI779" i="2"/>
  <c r="AE780" i="2"/>
  <c r="AF780" i="2"/>
  <c r="AG780" i="2"/>
  <c r="AI780" i="2"/>
  <c r="AE781" i="2"/>
  <c r="AF781" i="2"/>
  <c r="AG781" i="2"/>
  <c r="AI781" i="2"/>
  <c r="AE782" i="2"/>
  <c r="AF782" i="2"/>
  <c r="AG782" i="2"/>
  <c r="AI782" i="2"/>
  <c r="AE783" i="2"/>
  <c r="AF783" i="2"/>
  <c r="AG783" i="2"/>
  <c r="AI783" i="2"/>
  <c r="AE784" i="2"/>
  <c r="AF784" i="2"/>
  <c r="AG784" i="2"/>
  <c r="AI784" i="2"/>
  <c r="AE785" i="2"/>
  <c r="AF785" i="2"/>
  <c r="AG785" i="2"/>
  <c r="AI785" i="2"/>
  <c r="AE786" i="2"/>
  <c r="AF786" i="2"/>
  <c r="AG786" i="2"/>
  <c r="AI786" i="2"/>
  <c r="AE787" i="2"/>
  <c r="AF787" i="2"/>
  <c r="AG787" i="2"/>
  <c r="AI787" i="2"/>
  <c r="AE788" i="2"/>
  <c r="AF788" i="2"/>
  <c r="AG788" i="2"/>
  <c r="AI788" i="2"/>
  <c r="AE789" i="2"/>
  <c r="AF789" i="2"/>
  <c r="AG789" i="2"/>
  <c r="AI789" i="2"/>
  <c r="AE790" i="2"/>
  <c r="AF790" i="2"/>
  <c r="AG790" i="2"/>
  <c r="AI790" i="2"/>
  <c r="AE791" i="2"/>
  <c r="AF791" i="2"/>
  <c r="AG791" i="2"/>
  <c r="AI791" i="2"/>
  <c r="AE792" i="2"/>
  <c r="AF792" i="2"/>
  <c r="AG792" i="2"/>
  <c r="AI792" i="2"/>
  <c r="AE793" i="2"/>
  <c r="AF793" i="2"/>
  <c r="AG793" i="2"/>
  <c r="AI793" i="2"/>
  <c r="AE794" i="2"/>
  <c r="AF794" i="2"/>
  <c r="AG794" i="2"/>
  <c r="AI794" i="2"/>
  <c r="AE795" i="2"/>
  <c r="AF795" i="2"/>
  <c r="AG795" i="2"/>
  <c r="AI795" i="2"/>
  <c r="AE796" i="2"/>
  <c r="AF796" i="2"/>
  <c r="AG796" i="2"/>
  <c r="AI796" i="2"/>
  <c r="AE797" i="2"/>
  <c r="AF797" i="2"/>
  <c r="AG797" i="2"/>
  <c r="AI797" i="2"/>
  <c r="AE798" i="2"/>
  <c r="AF798" i="2"/>
  <c r="AG798" i="2"/>
  <c r="AI798" i="2"/>
  <c r="AE799" i="2"/>
  <c r="AF799" i="2"/>
  <c r="AG799" i="2"/>
  <c r="AI799" i="2"/>
  <c r="AE800" i="2"/>
  <c r="AF800" i="2"/>
  <c r="AG800" i="2"/>
  <c r="AI800" i="2"/>
  <c r="AE801" i="2"/>
  <c r="AF801" i="2"/>
  <c r="AG801" i="2"/>
  <c r="AI801" i="2"/>
  <c r="AE802" i="2"/>
  <c r="AF802" i="2"/>
  <c r="AG802" i="2"/>
  <c r="AI802" i="2"/>
  <c r="AE803" i="2"/>
  <c r="AF803" i="2"/>
  <c r="AG803" i="2"/>
  <c r="AI803" i="2"/>
  <c r="AE804" i="2"/>
  <c r="AF804" i="2"/>
  <c r="AG804" i="2"/>
  <c r="AI804" i="2"/>
  <c r="AE805" i="2"/>
  <c r="AF805" i="2"/>
  <c r="AG805" i="2"/>
  <c r="AI805" i="2"/>
  <c r="AE806" i="2"/>
  <c r="AF806" i="2"/>
  <c r="AG806" i="2"/>
  <c r="AI806" i="2"/>
  <c r="AE807" i="2"/>
  <c r="AF807" i="2"/>
  <c r="AG807" i="2"/>
  <c r="AI807" i="2"/>
  <c r="AE808" i="2"/>
  <c r="AF808" i="2"/>
  <c r="AG808" i="2"/>
  <c r="AI808" i="2"/>
  <c r="AE809" i="2"/>
  <c r="AF809" i="2"/>
  <c r="AG809" i="2"/>
  <c r="AI809" i="2"/>
  <c r="AE810" i="2"/>
  <c r="AF810" i="2"/>
  <c r="AG810" i="2"/>
  <c r="AI810" i="2"/>
  <c r="AE811" i="2"/>
  <c r="AF811" i="2"/>
  <c r="AG811" i="2"/>
  <c r="AI811" i="2"/>
  <c r="AE812" i="2"/>
  <c r="AF812" i="2"/>
  <c r="AG812" i="2"/>
  <c r="AI812" i="2"/>
  <c r="AE813" i="2"/>
  <c r="AF813" i="2"/>
  <c r="AG813" i="2"/>
  <c r="AI813" i="2"/>
  <c r="AE814" i="2"/>
  <c r="AF814" i="2"/>
  <c r="AG814" i="2"/>
  <c r="AI814" i="2"/>
  <c r="AE815" i="2"/>
  <c r="AF815" i="2"/>
  <c r="AG815" i="2"/>
  <c r="AI815" i="2"/>
  <c r="AE816" i="2"/>
  <c r="AF816" i="2"/>
  <c r="AG816" i="2"/>
  <c r="AI816" i="2"/>
  <c r="AE817" i="2"/>
  <c r="AF817" i="2"/>
  <c r="AG817" i="2"/>
  <c r="AI817" i="2"/>
  <c r="AE818" i="2"/>
  <c r="AF818" i="2"/>
  <c r="AG818" i="2"/>
  <c r="AI818" i="2"/>
  <c r="AE819" i="2"/>
  <c r="AF819" i="2"/>
  <c r="AG819" i="2"/>
  <c r="AI819" i="2"/>
  <c r="AE820" i="2"/>
  <c r="AF820" i="2"/>
  <c r="AG820" i="2"/>
  <c r="AI820" i="2"/>
  <c r="AE821" i="2"/>
  <c r="AF821" i="2"/>
  <c r="AG821" i="2"/>
  <c r="AI821" i="2"/>
  <c r="AE822" i="2"/>
  <c r="AF822" i="2"/>
  <c r="AG822" i="2"/>
  <c r="AI822" i="2"/>
  <c r="AE823" i="2"/>
  <c r="AF823" i="2"/>
  <c r="AG823" i="2"/>
  <c r="AI823" i="2"/>
  <c r="AE824" i="2"/>
  <c r="AF824" i="2"/>
  <c r="AG824" i="2"/>
  <c r="AI824" i="2"/>
  <c r="AE825" i="2"/>
  <c r="AF825" i="2"/>
  <c r="AG825" i="2"/>
  <c r="AI825" i="2"/>
  <c r="AE826" i="2"/>
  <c r="AF826" i="2"/>
  <c r="AG826" i="2"/>
  <c r="AI826" i="2"/>
  <c r="AE827" i="2"/>
  <c r="AF827" i="2"/>
  <c r="AG827" i="2"/>
  <c r="AI827" i="2"/>
  <c r="AE828" i="2"/>
  <c r="AF828" i="2"/>
  <c r="AG828" i="2"/>
  <c r="AI828" i="2"/>
  <c r="AE829" i="2"/>
  <c r="AF829" i="2"/>
  <c r="AG829" i="2"/>
  <c r="AI829" i="2"/>
  <c r="AE830" i="2"/>
  <c r="AF830" i="2"/>
  <c r="AG830" i="2"/>
  <c r="AI830" i="2"/>
  <c r="AE831" i="2"/>
  <c r="AF831" i="2"/>
  <c r="AG831" i="2"/>
  <c r="AI831" i="2"/>
  <c r="AE832" i="2"/>
  <c r="AF832" i="2"/>
  <c r="AG832" i="2"/>
  <c r="AI832" i="2"/>
  <c r="AE833" i="2"/>
  <c r="AF833" i="2"/>
  <c r="AG833" i="2"/>
  <c r="AI833" i="2"/>
  <c r="AE834" i="2"/>
  <c r="AF834" i="2"/>
  <c r="AG834" i="2"/>
  <c r="AI834" i="2"/>
  <c r="AE835" i="2"/>
  <c r="AF835" i="2"/>
  <c r="AG835" i="2"/>
  <c r="AI835" i="2"/>
  <c r="AE836" i="2"/>
  <c r="AF836" i="2"/>
  <c r="AG836" i="2"/>
  <c r="AI836" i="2"/>
  <c r="AE837" i="2"/>
  <c r="AF837" i="2"/>
  <c r="AG837" i="2"/>
  <c r="AI837" i="2"/>
  <c r="AE838" i="2"/>
  <c r="AF838" i="2"/>
  <c r="AG838" i="2"/>
  <c r="AI838" i="2"/>
  <c r="AE839" i="2"/>
  <c r="AF839" i="2"/>
  <c r="AG839" i="2"/>
  <c r="AI839" i="2"/>
  <c r="AE840" i="2"/>
  <c r="AF840" i="2"/>
  <c r="AG840" i="2"/>
  <c r="AI840" i="2"/>
  <c r="AE841" i="2"/>
  <c r="AF841" i="2"/>
  <c r="AG841" i="2"/>
  <c r="AI841" i="2"/>
  <c r="AE842" i="2"/>
  <c r="AF842" i="2"/>
  <c r="AG842" i="2"/>
  <c r="AI842" i="2"/>
  <c r="AE843" i="2"/>
  <c r="AF843" i="2"/>
  <c r="AG843" i="2"/>
  <c r="AI843" i="2"/>
  <c r="AE844" i="2"/>
  <c r="AF844" i="2"/>
  <c r="AG844" i="2"/>
  <c r="AI844" i="2"/>
  <c r="AE845" i="2"/>
  <c r="AF845" i="2"/>
  <c r="AG845" i="2"/>
  <c r="AI845" i="2"/>
  <c r="AE846" i="2"/>
  <c r="AF846" i="2"/>
  <c r="AG846" i="2"/>
  <c r="AI846" i="2"/>
  <c r="AE847" i="2"/>
  <c r="AF847" i="2"/>
  <c r="AG847" i="2"/>
  <c r="AI847" i="2"/>
  <c r="AE848" i="2"/>
  <c r="AF848" i="2"/>
  <c r="AG848" i="2"/>
  <c r="AI848" i="2"/>
  <c r="AE849" i="2"/>
  <c r="AF849" i="2"/>
  <c r="AG849" i="2"/>
  <c r="AI849" i="2"/>
  <c r="AE850" i="2"/>
  <c r="AF850" i="2"/>
  <c r="AG850" i="2"/>
  <c r="AI850" i="2"/>
  <c r="AE851" i="2"/>
  <c r="AF851" i="2"/>
  <c r="AG851" i="2"/>
  <c r="AI851" i="2"/>
  <c r="AE852" i="2"/>
  <c r="AF852" i="2"/>
  <c r="AG852" i="2"/>
  <c r="AI852" i="2"/>
  <c r="AE853" i="2"/>
  <c r="AF853" i="2"/>
  <c r="AG853" i="2"/>
  <c r="AI853" i="2"/>
  <c r="AE854" i="2"/>
  <c r="AF854" i="2"/>
  <c r="AG854" i="2"/>
  <c r="AI854" i="2"/>
  <c r="AE855" i="2"/>
  <c r="AF855" i="2"/>
  <c r="AG855" i="2"/>
  <c r="AI855" i="2"/>
  <c r="AE856" i="2"/>
  <c r="AF856" i="2"/>
  <c r="AG856" i="2"/>
  <c r="AI856" i="2"/>
  <c r="AE857" i="2"/>
  <c r="AF857" i="2"/>
  <c r="AG857" i="2"/>
  <c r="AI857" i="2"/>
  <c r="AE858" i="2"/>
  <c r="AF858" i="2"/>
  <c r="AG858" i="2"/>
  <c r="AI858" i="2"/>
  <c r="AE859" i="2"/>
  <c r="AF859" i="2"/>
  <c r="AG859" i="2"/>
  <c r="AI859" i="2"/>
  <c r="AE860" i="2"/>
  <c r="AF860" i="2"/>
  <c r="AG860" i="2"/>
  <c r="AI860" i="2"/>
  <c r="AE861" i="2"/>
  <c r="AF861" i="2"/>
  <c r="AG861" i="2"/>
  <c r="AI861" i="2"/>
  <c r="AE862" i="2"/>
  <c r="AF862" i="2"/>
  <c r="AG862" i="2"/>
  <c r="AI862" i="2"/>
  <c r="AE863" i="2"/>
  <c r="AF863" i="2"/>
  <c r="AG863" i="2"/>
  <c r="AI863" i="2"/>
  <c r="AE864" i="2"/>
  <c r="AF864" i="2"/>
  <c r="AG864" i="2"/>
  <c r="AI864" i="2"/>
  <c r="AE865" i="2"/>
  <c r="AF865" i="2"/>
  <c r="AG865" i="2"/>
  <c r="AI865" i="2"/>
  <c r="AE866" i="2"/>
  <c r="AF866" i="2"/>
  <c r="AG866" i="2"/>
  <c r="AI866" i="2"/>
  <c r="AE867" i="2"/>
  <c r="AF867" i="2"/>
  <c r="AG867" i="2"/>
  <c r="AI867" i="2"/>
  <c r="AE868" i="2"/>
  <c r="AF868" i="2"/>
  <c r="AG868" i="2"/>
  <c r="AI868" i="2"/>
  <c r="AE869" i="2"/>
  <c r="AF869" i="2"/>
  <c r="AG869" i="2"/>
  <c r="AI869" i="2"/>
  <c r="AE870" i="2"/>
  <c r="AF870" i="2"/>
  <c r="AG870" i="2"/>
  <c r="AI870" i="2"/>
  <c r="AE871" i="2"/>
  <c r="AF871" i="2"/>
  <c r="AG871" i="2"/>
  <c r="AI871" i="2"/>
  <c r="AE872" i="2"/>
  <c r="AF872" i="2"/>
  <c r="AG872" i="2"/>
  <c r="AI872" i="2"/>
  <c r="AE873" i="2"/>
  <c r="AF873" i="2"/>
  <c r="AG873" i="2"/>
  <c r="AI873" i="2"/>
  <c r="AE874" i="2"/>
  <c r="AF874" i="2"/>
  <c r="AG874" i="2"/>
  <c r="AI874" i="2"/>
  <c r="AE875" i="2"/>
  <c r="AF875" i="2"/>
  <c r="AG875" i="2"/>
  <c r="AI875" i="2"/>
  <c r="AE876" i="2"/>
  <c r="AF876" i="2"/>
  <c r="AG876" i="2"/>
  <c r="AI876" i="2"/>
  <c r="AE877" i="2"/>
  <c r="AF877" i="2"/>
  <c r="AG877" i="2"/>
  <c r="AI877" i="2"/>
  <c r="AE878" i="2"/>
  <c r="AF878" i="2"/>
  <c r="AG878" i="2"/>
  <c r="AI878" i="2"/>
  <c r="AE879" i="2"/>
  <c r="AF879" i="2"/>
  <c r="AG879" i="2"/>
  <c r="AI879" i="2"/>
  <c r="AE880" i="2"/>
  <c r="AF880" i="2"/>
  <c r="AG880" i="2"/>
  <c r="AI880" i="2"/>
  <c r="AE881" i="2"/>
  <c r="AF881" i="2"/>
  <c r="AG881" i="2"/>
  <c r="AI881" i="2"/>
  <c r="AE882" i="2"/>
  <c r="AF882" i="2"/>
  <c r="AG882" i="2"/>
  <c r="AI882" i="2"/>
  <c r="AE883" i="2"/>
  <c r="AF883" i="2"/>
  <c r="AG883" i="2"/>
  <c r="AI883" i="2"/>
  <c r="AE884" i="2"/>
  <c r="AF884" i="2"/>
  <c r="AG884" i="2"/>
  <c r="AI884" i="2"/>
  <c r="AE885" i="2"/>
  <c r="AF885" i="2"/>
  <c r="AG885" i="2"/>
  <c r="AI885" i="2"/>
  <c r="AE886" i="2"/>
  <c r="AF886" i="2"/>
  <c r="AG886" i="2"/>
  <c r="AI886" i="2"/>
  <c r="AE887" i="2"/>
  <c r="AF887" i="2"/>
  <c r="AG887" i="2"/>
  <c r="AI887" i="2"/>
  <c r="AE888" i="2"/>
  <c r="AF888" i="2"/>
  <c r="AG888" i="2"/>
  <c r="AI888" i="2"/>
  <c r="AE889" i="2"/>
  <c r="AF889" i="2"/>
  <c r="AG889" i="2"/>
  <c r="AI889" i="2"/>
  <c r="AE890" i="2"/>
  <c r="AF890" i="2"/>
  <c r="AG890" i="2"/>
  <c r="AI890" i="2"/>
  <c r="AE891" i="2"/>
  <c r="AF891" i="2"/>
  <c r="AG891" i="2"/>
  <c r="AI891" i="2"/>
  <c r="AE892" i="2"/>
  <c r="AF892" i="2"/>
  <c r="AG892" i="2"/>
  <c r="AI892" i="2"/>
  <c r="AE893" i="2"/>
  <c r="AF893" i="2"/>
  <c r="AG893" i="2"/>
  <c r="AI893" i="2"/>
  <c r="AE894" i="2"/>
  <c r="AF894" i="2"/>
  <c r="AG894" i="2"/>
  <c r="AI894" i="2"/>
  <c r="AE895" i="2"/>
  <c r="AF895" i="2"/>
  <c r="AG895" i="2"/>
  <c r="AI895" i="2"/>
  <c r="AE896" i="2"/>
  <c r="AF896" i="2"/>
  <c r="AG896" i="2"/>
  <c r="AI896" i="2"/>
  <c r="AE897" i="2"/>
  <c r="AF897" i="2"/>
  <c r="AG897" i="2"/>
  <c r="AI897" i="2"/>
  <c r="AE898" i="2"/>
  <c r="AF898" i="2"/>
  <c r="AG898" i="2"/>
  <c r="AI898" i="2"/>
  <c r="AE899" i="2"/>
  <c r="AF899" i="2"/>
  <c r="AG899" i="2"/>
  <c r="AI899" i="2"/>
  <c r="AE900" i="2"/>
  <c r="AF900" i="2"/>
  <c r="AG900" i="2"/>
  <c r="AI900" i="2"/>
  <c r="AE901" i="2"/>
  <c r="AF901" i="2"/>
  <c r="AG901" i="2"/>
  <c r="AI901" i="2"/>
  <c r="AE902" i="2"/>
  <c r="AF902" i="2"/>
  <c r="AG902" i="2"/>
  <c r="AI902" i="2"/>
  <c r="AE903" i="2"/>
  <c r="AF903" i="2"/>
  <c r="AG903" i="2"/>
  <c r="AI903" i="2"/>
  <c r="AE904" i="2"/>
  <c r="AF904" i="2"/>
  <c r="AG904" i="2"/>
  <c r="AI904" i="2"/>
  <c r="AE905" i="2"/>
  <c r="AF905" i="2"/>
  <c r="AG905" i="2"/>
  <c r="AI905" i="2"/>
  <c r="AE906" i="2"/>
  <c r="AF906" i="2"/>
  <c r="AG906" i="2"/>
  <c r="AI906" i="2"/>
  <c r="AE907" i="2"/>
  <c r="AF907" i="2"/>
  <c r="AG907" i="2"/>
  <c r="AI907" i="2"/>
  <c r="AE908" i="2"/>
  <c r="AF908" i="2"/>
  <c r="AG908" i="2"/>
  <c r="AI908" i="2"/>
  <c r="AE909" i="2"/>
  <c r="AF909" i="2"/>
  <c r="AG909" i="2"/>
  <c r="AI909" i="2"/>
  <c r="AE910" i="2"/>
  <c r="AF910" i="2"/>
  <c r="AG910" i="2"/>
  <c r="AI910" i="2"/>
  <c r="AE911" i="2"/>
  <c r="AF911" i="2"/>
  <c r="AG911" i="2"/>
  <c r="AI911" i="2"/>
  <c r="AE912" i="2"/>
  <c r="AF912" i="2"/>
  <c r="AG912" i="2"/>
  <c r="AI912" i="2"/>
  <c r="AE913" i="2"/>
  <c r="AF913" i="2"/>
  <c r="AG913" i="2"/>
  <c r="AI913" i="2"/>
  <c r="AE914" i="2"/>
  <c r="AF914" i="2"/>
  <c r="AG914" i="2"/>
  <c r="AI914" i="2"/>
  <c r="AE915" i="2"/>
  <c r="AF915" i="2"/>
  <c r="AG915" i="2"/>
  <c r="AI915" i="2"/>
  <c r="AE916" i="2"/>
  <c r="AF916" i="2"/>
  <c r="AG916" i="2"/>
  <c r="AI916" i="2"/>
  <c r="AE917" i="2"/>
  <c r="AF917" i="2"/>
  <c r="AG917" i="2"/>
  <c r="AI917" i="2"/>
  <c r="AE918" i="2"/>
  <c r="AF918" i="2"/>
  <c r="AG918" i="2"/>
  <c r="AI918" i="2"/>
  <c r="AE919" i="2"/>
  <c r="AF919" i="2"/>
  <c r="AG919" i="2"/>
  <c r="AI919" i="2"/>
  <c r="AE920" i="2"/>
  <c r="AF920" i="2"/>
  <c r="AG920" i="2"/>
  <c r="AI920" i="2"/>
  <c r="AE921" i="2"/>
  <c r="AF921" i="2"/>
  <c r="AG921" i="2"/>
  <c r="AI921" i="2"/>
  <c r="AE922" i="2"/>
  <c r="AF922" i="2"/>
  <c r="AG922" i="2"/>
  <c r="AI922" i="2"/>
  <c r="AE923" i="2"/>
  <c r="AF923" i="2"/>
  <c r="AG923" i="2"/>
  <c r="AI923" i="2"/>
  <c r="AE924" i="2"/>
  <c r="AF924" i="2"/>
  <c r="AG924" i="2"/>
  <c r="AI924" i="2"/>
  <c r="AE925" i="2"/>
  <c r="AF925" i="2"/>
  <c r="AG925" i="2"/>
  <c r="AI925" i="2"/>
  <c r="AE926" i="2"/>
  <c r="AF926" i="2"/>
  <c r="AG926" i="2"/>
  <c r="AI926" i="2"/>
  <c r="AE927" i="2"/>
  <c r="AF927" i="2"/>
  <c r="AG927" i="2"/>
  <c r="AI927" i="2"/>
  <c r="AE928" i="2"/>
  <c r="AF928" i="2"/>
  <c r="AG928" i="2"/>
  <c r="AI928" i="2"/>
  <c r="AE929" i="2"/>
  <c r="AF929" i="2"/>
  <c r="AG929" i="2"/>
  <c r="AI929" i="2"/>
  <c r="AE930" i="2"/>
  <c r="AF930" i="2"/>
  <c r="AG930" i="2"/>
  <c r="AI930" i="2"/>
  <c r="AE931" i="2"/>
  <c r="AF931" i="2"/>
  <c r="AG931" i="2"/>
  <c r="AI931" i="2"/>
  <c r="AE932" i="2"/>
  <c r="AF932" i="2"/>
  <c r="AG932" i="2"/>
  <c r="AI932" i="2"/>
  <c r="AE933" i="2"/>
  <c r="AF933" i="2"/>
  <c r="AG933" i="2"/>
  <c r="AI933" i="2"/>
  <c r="AE934" i="2"/>
  <c r="AF934" i="2"/>
  <c r="AG934" i="2"/>
  <c r="AI934" i="2"/>
  <c r="AE935" i="2"/>
  <c r="AF935" i="2"/>
  <c r="AG935" i="2"/>
  <c r="AI935" i="2"/>
  <c r="AE936" i="2"/>
  <c r="AF936" i="2"/>
  <c r="AG936" i="2"/>
  <c r="AI936" i="2"/>
  <c r="AE937" i="2"/>
  <c r="AF937" i="2"/>
  <c r="AG937" i="2"/>
  <c r="AI937" i="2"/>
  <c r="AE938" i="2"/>
  <c r="AF938" i="2"/>
  <c r="AG938" i="2"/>
  <c r="AI938" i="2"/>
  <c r="AE939" i="2"/>
  <c r="AF939" i="2"/>
  <c r="AG939" i="2"/>
  <c r="AI939" i="2"/>
  <c r="AE940" i="2"/>
  <c r="AF940" i="2"/>
  <c r="AG940" i="2"/>
  <c r="AI940" i="2"/>
  <c r="AE941" i="2"/>
  <c r="AF941" i="2"/>
  <c r="AG941" i="2"/>
  <c r="AI941" i="2"/>
  <c r="AE942" i="2"/>
  <c r="AF942" i="2"/>
  <c r="AG942" i="2"/>
  <c r="AI942" i="2"/>
  <c r="AE943" i="2"/>
  <c r="AF943" i="2"/>
  <c r="AG943" i="2"/>
  <c r="AI943" i="2"/>
  <c r="AE944" i="2"/>
  <c r="AF944" i="2"/>
  <c r="AG944" i="2"/>
  <c r="AI944" i="2"/>
  <c r="AE945" i="2"/>
  <c r="AF945" i="2"/>
  <c r="AG945" i="2"/>
  <c r="AI945" i="2"/>
  <c r="AE946" i="2"/>
  <c r="AF946" i="2"/>
  <c r="AG946" i="2"/>
  <c r="AI946" i="2"/>
  <c r="AE947" i="2"/>
  <c r="AF947" i="2"/>
  <c r="AG947" i="2"/>
  <c r="AI947" i="2"/>
  <c r="AE948" i="2"/>
  <c r="AF948" i="2"/>
  <c r="AG948" i="2"/>
  <c r="AI948" i="2"/>
  <c r="AE949" i="2"/>
  <c r="AF949" i="2"/>
  <c r="AG949" i="2"/>
  <c r="AI949" i="2"/>
  <c r="AE950" i="2"/>
  <c r="AF950" i="2"/>
  <c r="AG950" i="2"/>
  <c r="AI950" i="2"/>
  <c r="AE951" i="2"/>
  <c r="AF951" i="2"/>
  <c r="AG951" i="2"/>
  <c r="AI951" i="2"/>
  <c r="AE952" i="2"/>
  <c r="AF952" i="2"/>
  <c r="AG952" i="2"/>
  <c r="AI952" i="2"/>
  <c r="AE953" i="2"/>
  <c r="AF953" i="2"/>
  <c r="AG953" i="2"/>
  <c r="AI953" i="2"/>
  <c r="AE954" i="2"/>
  <c r="AF954" i="2"/>
  <c r="AG954" i="2"/>
  <c r="AI954" i="2"/>
  <c r="AE955" i="2"/>
  <c r="AF955" i="2"/>
  <c r="AG955" i="2"/>
  <c r="AI955" i="2"/>
  <c r="AE956" i="2"/>
  <c r="AF956" i="2"/>
  <c r="AG956" i="2"/>
  <c r="AI956" i="2"/>
  <c r="AE957" i="2"/>
  <c r="AF957" i="2"/>
  <c r="AG957" i="2"/>
  <c r="AI957" i="2"/>
  <c r="AE958" i="2"/>
  <c r="AF958" i="2"/>
  <c r="AG958" i="2"/>
  <c r="AI958" i="2"/>
  <c r="AE959" i="2"/>
  <c r="AF959" i="2"/>
  <c r="AG959" i="2"/>
  <c r="AI959" i="2"/>
  <c r="AE960" i="2"/>
  <c r="AF960" i="2"/>
  <c r="AG960" i="2"/>
  <c r="AI960" i="2"/>
  <c r="AE961" i="2"/>
  <c r="AF961" i="2"/>
  <c r="AG961" i="2"/>
  <c r="AI961" i="2"/>
  <c r="AE962" i="2"/>
  <c r="AF962" i="2"/>
  <c r="AG962" i="2"/>
  <c r="AI962" i="2"/>
  <c r="AE963" i="2"/>
  <c r="AF963" i="2"/>
  <c r="AG963" i="2"/>
  <c r="AI963" i="2"/>
  <c r="AE964" i="2"/>
  <c r="AF964" i="2"/>
  <c r="AG964" i="2"/>
  <c r="AI964" i="2"/>
  <c r="AE965" i="2"/>
  <c r="AF965" i="2"/>
  <c r="AG965" i="2"/>
  <c r="AI965" i="2"/>
  <c r="AE966" i="2"/>
  <c r="AF966" i="2"/>
  <c r="AG966" i="2"/>
  <c r="AI966" i="2"/>
  <c r="AE967" i="2"/>
  <c r="AF967" i="2"/>
  <c r="AG967" i="2"/>
  <c r="AI967" i="2"/>
  <c r="AE968" i="2"/>
  <c r="AF968" i="2"/>
  <c r="AG968" i="2"/>
  <c r="AI968" i="2"/>
  <c r="AE969" i="2"/>
  <c r="AF969" i="2"/>
  <c r="AG969" i="2"/>
  <c r="AI969" i="2"/>
  <c r="AE970" i="2"/>
  <c r="AF970" i="2"/>
  <c r="AG970" i="2"/>
  <c r="AI970" i="2"/>
  <c r="AE971" i="2"/>
  <c r="AF971" i="2"/>
  <c r="AG971" i="2"/>
  <c r="AI971" i="2"/>
  <c r="AE972" i="2"/>
  <c r="AF972" i="2"/>
  <c r="AG972" i="2"/>
  <c r="AI972" i="2"/>
  <c r="AE973" i="2"/>
  <c r="AF973" i="2"/>
  <c r="AG973" i="2"/>
  <c r="AI973" i="2"/>
  <c r="AE974" i="2"/>
  <c r="AF974" i="2"/>
  <c r="AG974" i="2"/>
  <c r="AI974" i="2"/>
  <c r="AE975" i="2"/>
  <c r="AF975" i="2"/>
  <c r="AG975" i="2"/>
  <c r="AI975" i="2"/>
  <c r="AE976" i="2"/>
  <c r="AF976" i="2"/>
  <c r="AG976" i="2"/>
  <c r="AI976" i="2"/>
  <c r="J11" i="11"/>
  <c r="B84" i="11"/>
  <c r="E38" i="11"/>
  <c r="E39" i="11"/>
  <c r="E40" i="11"/>
  <c r="E41" i="11"/>
  <c r="E42" i="11"/>
  <c r="E43" i="11"/>
  <c r="E44" i="11"/>
  <c r="E45" i="11"/>
  <c r="E46" i="11"/>
  <c r="E47" i="11"/>
  <c r="F38" i="11"/>
  <c r="F39" i="11"/>
  <c r="F40" i="11"/>
  <c r="F41" i="11"/>
  <c r="F42" i="11"/>
  <c r="F43" i="11"/>
  <c r="F44" i="11"/>
  <c r="F45" i="11"/>
  <c r="F46" i="11"/>
  <c r="F47" i="11"/>
  <c r="B83" i="11"/>
  <c r="F23" i="11"/>
  <c r="F24" i="11"/>
  <c r="F25" i="11"/>
  <c r="F26" i="11"/>
  <c r="F27" i="11"/>
  <c r="F28" i="11"/>
  <c r="F29" i="11"/>
  <c r="F30" i="11"/>
  <c r="F31" i="11"/>
  <c r="F32" i="11"/>
  <c r="B82" i="11"/>
  <c r="C11" i="11"/>
  <c r="B81" i="11"/>
  <c r="B80" i="11"/>
  <c r="C77" i="11"/>
  <c r="D77" i="11"/>
  <c r="E77" i="11"/>
  <c r="F77" i="11"/>
  <c r="G77" i="11"/>
  <c r="H77" i="11"/>
  <c r="I77" i="11"/>
  <c r="J77" i="11"/>
  <c r="K77" i="11"/>
  <c r="L77" i="11"/>
  <c r="M77" i="11"/>
  <c r="N77" i="11"/>
  <c r="C76" i="11"/>
  <c r="D76" i="11"/>
  <c r="E76" i="11"/>
  <c r="F76" i="11"/>
  <c r="G76" i="11"/>
  <c r="H76" i="11"/>
  <c r="I76" i="11"/>
  <c r="J76" i="11"/>
  <c r="K76" i="11"/>
  <c r="L76" i="11"/>
  <c r="M76" i="11"/>
  <c r="N76" i="11"/>
  <c r="C75" i="11"/>
  <c r="D75" i="11"/>
  <c r="E75" i="11"/>
  <c r="F75" i="11"/>
  <c r="G75" i="11"/>
  <c r="H75" i="11"/>
  <c r="I75" i="11"/>
  <c r="J75" i="11"/>
  <c r="K75" i="11"/>
  <c r="L75" i="11"/>
  <c r="M75" i="11"/>
  <c r="N75" i="11"/>
  <c r="C74" i="11"/>
  <c r="D74" i="11"/>
  <c r="E74" i="11"/>
  <c r="F74" i="11"/>
  <c r="G74" i="11"/>
  <c r="H74" i="11"/>
  <c r="I74" i="11"/>
  <c r="J74" i="11"/>
  <c r="K74" i="11"/>
  <c r="L74" i="11"/>
  <c r="M74" i="11"/>
  <c r="N74" i="11"/>
  <c r="C73" i="11"/>
  <c r="D73" i="11"/>
  <c r="E73" i="11"/>
  <c r="F73" i="11"/>
  <c r="G73" i="11"/>
  <c r="H73" i="11"/>
  <c r="I73" i="11"/>
  <c r="J73" i="11"/>
  <c r="K73" i="11"/>
  <c r="L73" i="11"/>
  <c r="M73" i="11"/>
  <c r="N73" i="11"/>
  <c r="C72" i="11"/>
  <c r="D72" i="11"/>
  <c r="E72" i="11"/>
  <c r="F72" i="11"/>
  <c r="G72" i="11"/>
  <c r="H72" i="11"/>
  <c r="I72" i="11"/>
  <c r="J72" i="11"/>
  <c r="K72" i="11"/>
  <c r="L72" i="11"/>
  <c r="M72" i="11"/>
  <c r="N72" i="11"/>
  <c r="C71" i="11"/>
  <c r="D71" i="11"/>
  <c r="E71" i="11"/>
  <c r="F71" i="11"/>
  <c r="G71" i="11"/>
  <c r="H71" i="11"/>
  <c r="I71" i="11"/>
  <c r="J71" i="11"/>
  <c r="K71" i="11"/>
  <c r="L71" i="11"/>
  <c r="M71" i="11"/>
  <c r="N71" i="11"/>
  <c r="C70" i="11"/>
  <c r="D70" i="11"/>
  <c r="E70" i="11"/>
  <c r="F70" i="11"/>
  <c r="G70" i="11"/>
  <c r="H70" i="11"/>
  <c r="I70" i="11"/>
  <c r="J70" i="11"/>
  <c r="K70" i="11"/>
  <c r="L70" i="11"/>
  <c r="M70" i="11"/>
  <c r="N70" i="11"/>
  <c r="C69" i="11"/>
  <c r="D69" i="11"/>
  <c r="E69" i="11"/>
  <c r="F69" i="11"/>
  <c r="G69" i="11"/>
  <c r="H69" i="11"/>
  <c r="I69" i="11"/>
  <c r="J69" i="11"/>
  <c r="K69" i="11"/>
  <c r="L69" i="11"/>
  <c r="M69" i="11"/>
  <c r="N69" i="11"/>
  <c r="C68" i="11"/>
  <c r="D68" i="11"/>
  <c r="E68" i="11"/>
  <c r="F68" i="11"/>
  <c r="G68" i="11"/>
  <c r="H68" i="11"/>
  <c r="I68" i="11"/>
  <c r="J68" i="11"/>
  <c r="K68" i="11"/>
  <c r="L68" i="11"/>
  <c r="M68" i="11"/>
  <c r="N68" i="11"/>
  <c r="F63" i="11"/>
  <c r="N63" i="11"/>
  <c r="L63" i="11"/>
  <c r="K63" i="11"/>
  <c r="J63" i="11"/>
  <c r="I63" i="11"/>
  <c r="H63" i="11"/>
  <c r="G63" i="11"/>
  <c r="E63" i="11"/>
  <c r="F62" i="11"/>
  <c r="N62" i="11"/>
  <c r="L62" i="11"/>
  <c r="K62" i="11"/>
  <c r="J62" i="11"/>
  <c r="I62" i="11"/>
  <c r="H62" i="11"/>
  <c r="G62" i="11"/>
  <c r="E62" i="11"/>
  <c r="F61" i="11"/>
  <c r="N61" i="11"/>
  <c r="L61" i="11"/>
  <c r="K61" i="11"/>
  <c r="J61" i="11"/>
  <c r="I61" i="11"/>
  <c r="H61" i="11"/>
  <c r="G61" i="11"/>
  <c r="E61" i="11"/>
  <c r="F60" i="11"/>
  <c r="N60" i="11"/>
  <c r="L60" i="11"/>
  <c r="K60" i="11"/>
  <c r="J60" i="11"/>
  <c r="I60" i="11"/>
  <c r="H60" i="11"/>
  <c r="G60" i="11"/>
  <c r="E60" i="11"/>
  <c r="F59" i="11"/>
  <c r="N59" i="11"/>
  <c r="L59" i="11"/>
  <c r="K59" i="11"/>
  <c r="J59" i="11"/>
  <c r="I59" i="11"/>
  <c r="H59" i="11"/>
  <c r="G59" i="11"/>
  <c r="E59" i="11"/>
  <c r="F58" i="11"/>
  <c r="N58" i="11"/>
  <c r="L58" i="11"/>
  <c r="K58" i="11"/>
  <c r="J58" i="11"/>
  <c r="I58" i="11"/>
  <c r="H58" i="11"/>
  <c r="G58" i="11"/>
  <c r="E58" i="11"/>
  <c r="F57" i="11"/>
  <c r="N57" i="11"/>
  <c r="L57" i="11"/>
  <c r="K57" i="11"/>
  <c r="J57" i="11"/>
  <c r="I57" i="11"/>
  <c r="H57" i="11"/>
  <c r="G57" i="11"/>
  <c r="E57" i="11"/>
  <c r="F56" i="11"/>
  <c r="N56" i="11"/>
  <c r="L56" i="11"/>
  <c r="K56" i="11"/>
  <c r="J56" i="11"/>
  <c r="I56" i="11"/>
  <c r="H56" i="11"/>
  <c r="G56" i="11"/>
  <c r="E56" i="11"/>
  <c r="N47" i="11"/>
  <c r="L47" i="11"/>
  <c r="K47" i="11"/>
  <c r="J47" i="11"/>
  <c r="I47" i="11"/>
  <c r="H47" i="11"/>
  <c r="G47" i="11"/>
  <c r="N46" i="11"/>
  <c r="L46" i="11"/>
  <c r="K46" i="11"/>
  <c r="J46" i="11"/>
  <c r="I46" i="11"/>
  <c r="H46" i="11"/>
  <c r="G46" i="11"/>
  <c r="N45" i="11"/>
  <c r="L45" i="11"/>
  <c r="K45" i="11"/>
  <c r="J45" i="11"/>
  <c r="I45" i="11"/>
  <c r="H45" i="11"/>
  <c r="G45" i="11"/>
  <c r="N44" i="11"/>
  <c r="L44" i="11"/>
  <c r="K44" i="11"/>
  <c r="J44" i="11"/>
  <c r="I44" i="11"/>
  <c r="H44" i="11"/>
  <c r="G44" i="11"/>
  <c r="N43" i="11"/>
  <c r="L43" i="11"/>
  <c r="K43" i="11"/>
  <c r="J43" i="11"/>
  <c r="I43" i="11"/>
  <c r="H43" i="11"/>
  <c r="G43" i="11"/>
  <c r="N42" i="11"/>
  <c r="L42" i="11"/>
  <c r="K42" i="11"/>
  <c r="J42" i="11"/>
  <c r="I42" i="11"/>
  <c r="H42" i="11"/>
  <c r="G42" i="11"/>
  <c r="N41" i="11"/>
  <c r="L41" i="11"/>
  <c r="K41" i="11"/>
  <c r="J41" i="11"/>
  <c r="I41" i="11"/>
  <c r="H41" i="11"/>
  <c r="G41" i="11"/>
  <c r="N40" i="11"/>
  <c r="L40" i="11"/>
  <c r="K40" i="11"/>
  <c r="J40" i="11"/>
  <c r="I40" i="11"/>
  <c r="H40" i="11"/>
  <c r="G40" i="11"/>
  <c r="N39" i="11"/>
  <c r="L39" i="11"/>
  <c r="K39" i="11"/>
  <c r="J39" i="11"/>
  <c r="I39" i="11"/>
  <c r="H39" i="11"/>
  <c r="G39" i="11"/>
  <c r="N38" i="11"/>
  <c r="L38" i="11"/>
  <c r="K38" i="11"/>
  <c r="J38" i="11"/>
  <c r="I38" i="11"/>
  <c r="H38" i="11"/>
  <c r="G38" i="11"/>
  <c r="N32" i="11"/>
  <c r="L32" i="11"/>
  <c r="K32" i="11"/>
  <c r="J32" i="11"/>
  <c r="I32" i="11"/>
  <c r="H32" i="11"/>
  <c r="G32" i="11"/>
  <c r="E32" i="11"/>
  <c r="N31" i="11"/>
  <c r="L31" i="11"/>
  <c r="K31" i="11"/>
  <c r="J31" i="11"/>
  <c r="I31" i="11"/>
  <c r="H31" i="11"/>
  <c r="G31" i="11"/>
  <c r="E31" i="11"/>
  <c r="N30" i="11"/>
  <c r="L30" i="11"/>
  <c r="K30" i="11"/>
  <c r="J30" i="11"/>
  <c r="I30" i="11"/>
  <c r="H30" i="11"/>
  <c r="G30" i="11"/>
  <c r="E30" i="11"/>
  <c r="N29" i="11"/>
  <c r="L29" i="11"/>
  <c r="K29" i="11"/>
  <c r="J29" i="11"/>
  <c r="I29" i="11"/>
  <c r="H29" i="11"/>
  <c r="G29" i="11"/>
  <c r="E29" i="11"/>
  <c r="N28" i="11"/>
  <c r="L28" i="11"/>
  <c r="K28" i="11"/>
  <c r="J28" i="11"/>
  <c r="I28" i="11"/>
  <c r="H28" i="11"/>
  <c r="G28" i="11"/>
  <c r="E28" i="11"/>
  <c r="N27" i="11"/>
  <c r="L27" i="11"/>
  <c r="K27" i="11"/>
  <c r="J27" i="11"/>
  <c r="I27" i="11"/>
  <c r="H27" i="11"/>
  <c r="G27" i="11"/>
  <c r="E27" i="11"/>
  <c r="N26" i="11"/>
  <c r="L26" i="11"/>
  <c r="K26" i="11"/>
  <c r="J26" i="11"/>
  <c r="I26" i="11"/>
  <c r="H26" i="11"/>
  <c r="G26" i="11"/>
  <c r="E26" i="11"/>
  <c r="N25" i="11"/>
  <c r="L25" i="11"/>
  <c r="K25" i="11"/>
  <c r="J25" i="11"/>
  <c r="I25" i="11"/>
  <c r="H25" i="11"/>
  <c r="G25" i="11"/>
  <c r="E25" i="11"/>
  <c r="N24" i="11"/>
  <c r="L24" i="11"/>
  <c r="K24" i="11"/>
  <c r="J24" i="11"/>
  <c r="I24" i="11"/>
  <c r="H24" i="11"/>
  <c r="G24" i="11"/>
  <c r="E24" i="11"/>
  <c r="N23" i="11"/>
  <c r="L23" i="11"/>
  <c r="K23" i="11"/>
  <c r="J23" i="11"/>
  <c r="I23" i="11"/>
  <c r="H23" i="11"/>
  <c r="G23" i="11"/>
  <c r="E23" i="11"/>
  <c r="K11" i="11"/>
  <c r="E15" i="11"/>
  <c r="E13" i="11"/>
  <c r="N11" i="11"/>
  <c r="M11" i="11"/>
  <c r="I11" i="11"/>
  <c r="H11" i="11"/>
  <c r="G11" i="11"/>
  <c r="E11" i="11"/>
  <c r="I6" i="11"/>
  <c r="G6" i="11"/>
  <c r="D4" i="10" a="1"/>
  <c r="D4" i="10"/>
  <c r="D16" i="10"/>
  <c r="D15" i="10" a="1"/>
  <c r="D15" i="10"/>
  <c r="D14" i="10" a="1"/>
  <c r="D14" i="10"/>
  <c r="D13" i="10" a="1"/>
  <c r="D13" i="10"/>
  <c r="D12" i="10" a="1"/>
  <c r="D12" i="10"/>
  <c r="D11" i="10" a="1"/>
  <c r="D11" i="10"/>
  <c r="D10" i="10" a="1"/>
  <c r="D10" i="10"/>
  <c r="A2" i="1" a="1"/>
  <c r="A2" i="1"/>
  <c r="B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D2" i="2"/>
  <c r="D3" i="2"/>
  <c r="D4" i="2"/>
  <c r="D5" i="2"/>
  <c r="D6" i="2"/>
  <c r="D7" i="2"/>
  <c r="D8" i="2"/>
  <c r="D9" i="2"/>
  <c r="D10" i="2"/>
  <c r="D11" i="2"/>
  <c r="D12" i="2"/>
  <c r="D13" i="2"/>
  <c r="D14" i="2"/>
  <c r="D15" i="2"/>
  <c r="D16" i="2"/>
  <c r="D17" i="2"/>
  <c r="D18" i="2"/>
  <c r="D19" i="2"/>
  <c r="D20" i="2"/>
  <c r="D21" i="2"/>
  <c r="D22" i="2"/>
  <c r="D23"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5" i="10"/>
  <c r="D7" i="10"/>
  <c r="D6" i="10"/>
  <c r="C2" i="9"/>
  <c r="E2" i="9"/>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J6" i="9"/>
  <c r="J7" i="9"/>
  <c r="J8" i="9"/>
  <c r="B44" i="9"/>
  <c r="C42" i="9"/>
  <c r="C44" i="9"/>
  <c r="D44" i="9"/>
  <c r="F6" i="9"/>
  <c r="F7" i="9"/>
  <c r="B43" i="9"/>
  <c r="C43" i="9"/>
  <c r="D43" i="9"/>
  <c r="B6" i="9"/>
  <c r="B7" i="9"/>
  <c r="B8" i="9"/>
  <c r="B9" i="9"/>
  <c r="B10" i="9"/>
  <c r="B11" i="9"/>
  <c r="B12" i="9"/>
  <c r="B13" i="9"/>
  <c r="B14" i="9"/>
  <c r="B15" i="9"/>
  <c r="B16" i="9"/>
  <c r="B17" i="9"/>
  <c r="B18" i="9"/>
  <c r="B19" i="9"/>
  <c r="B20" i="9"/>
  <c r="B21" i="9"/>
  <c r="B22" i="9"/>
  <c r="B23" i="9"/>
  <c r="B24" i="9"/>
  <c r="B25" i="9"/>
  <c r="B26" i="9"/>
  <c r="B27" i="9"/>
  <c r="B28" i="9"/>
  <c r="B42" i="9"/>
  <c r="D42" i="9"/>
  <c r="C28" i="9"/>
  <c r="C27" i="9"/>
  <c r="C26" i="9"/>
  <c r="C25" i="9"/>
  <c r="C24" i="9"/>
  <c r="C23" i="9"/>
  <c r="C22" i="9"/>
  <c r="C21" i="9"/>
  <c r="C20" i="9"/>
  <c r="C19" i="9"/>
  <c r="C18" i="9"/>
  <c r="C17" i="9"/>
  <c r="C16" i="9"/>
  <c r="C15" i="9"/>
  <c r="C14" i="9"/>
  <c r="C13" i="9"/>
  <c r="C12" i="9"/>
  <c r="C11" i="9"/>
  <c r="C10" i="9"/>
  <c r="C9" i="9"/>
  <c r="K8" i="9"/>
  <c r="C8" i="9"/>
  <c r="K7" i="9"/>
  <c r="G7" i="9"/>
  <c r="C7" i="9"/>
  <c r="K6" i="9"/>
  <c r="G6" i="9"/>
  <c r="C6" i="9"/>
  <c r="B3" i="8"/>
  <c r="B4" i="8"/>
  <c r="B5" i="8"/>
  <c r="B6" i="8"/>
  <c r="B7" i="8"/>
  <c r="B8" i="8"/>
  <c r="B9" i="8"/>
  <c r="B10" i="8"/>
  <c r="B11" i="8"/>
  <c r="B12" i="8"/>
  <c r="B13" i="8"/>
  <c r="B14" i="8"/>
  <c r="B18" i="8"/>
  <c r="B19" i="8"/>
  <c r="B20" i="8"/>
  <c r="B21" i="8"/>
  <c r="B22" i="8"/>
  <c r="B23" i="8"/>
  <c r="B24" i="8"/>
  <c r="B25" i="8"/>
  <c r="B26" i="8"/>
  <c r="C3" i="8"/>
  <c r="C4" i="8"/>
  <c r="C5" i="8"/>
  <c r="C6" i="8"/>
  <c r="C7" i="8"/>
  <c r="C8" i="8"/>
  <c r="C9" i="8"/>
  <c r="C10" i="8"/>
  <c r="C11" i="8"/>
  <c r="C12" i="8"/>
  <c r="C13" i="8"/>
  <c r="C14" i="8"/>
  <c r="C18" i="8"/>
  <c r="C19" i="8"/>
  <c r="C20" i="8"/>
  <c r="C21" i="8"/>
  <c r="C22" i="8"/>
  <c r="C23" i="8"/>
  <c r="C24" i="8"/>
  <c r="C25" i="8"/>
  <c r="C26" i="8"/>
  <c r="D3" i="8"/>
  <c r="D4" i="8"/>
  <c r="D5" i="8"/>
  <c r="D6" i="8"/>
  <c r="D7" i="8"/>
  <c r="D8" i="8"/>
  <c r="D9" i="8"/>
  <c r="D10" i="8"/>
  <c r="D11" i="8"/>
  <c r="D12" i="8"/>
  <c r="D13" i="8"/>
  <c r="D14" i="8"/>
  <c r="D18" i="8"/>
  <c r="D19" i="8"/>
  <c r="D20" i="8"/>
  <c r="D21" i="8"/>
  <c r="D22" i="8"/>
  <c r="D23" i="8"/>
  <c r="D24" i="8"/>
  <c r="D25" i="8"/>
  <c r="D26" i="8"/>
  <c r="E3" i="8"/>
  <c r="E4" i="8"/>
  <c r="E5" i="8"/>
  <c r="E6" i="8"/>
  <c r="E7" i="8"/>
  <c r="E8" i="8"/>
  <c r="E9" i="8"/>
  <c r="E10" i="8"/>
  <c r="E11" i="8"/>
  <c r="E12" i="8"/>
  <c r="E13" i="8"/>
  <c r="E14" i="8"/>
  <c r="E18" i="8"/>
  <c r="E19" i="8"/>
  <c r="E20" i="8"/>
  <c r="E21" i="8"/>
  <c r="E22" i="8"/>
  <c r="E23" i="8"/>
  <c r="E24" i="8"/>
  <c r="E25" i="8"/>
  <c r="E26" i="8"/>
  <c r="F3" i="8"/>
  <c r="F4" i="8"/>
  <c r="F5" i="8"/>
  <c r="F6" i="8"/>
  <c r="F7" i="8"/>
  <c r="F8" i="8"/>
  <c r="F9" i="8"/>
  <c r="F10" i="8"/>
  <c r="F11" i="8"/>
  <c r="F12" i="8"/>
  <c r="F13" i="8"/>
  <c r="F14" i="8"/>
  <c r="F18" i="8"/>
  <c r="F19" i="8"/>
  <c r="F20" i="8"/>
  <c r="F21" i="8"/>
  <c r="F22" i="8"/>
  <c r="F23" i="8"/>
  <c r="F24" i="8"/>
  <c r="F25" i="8"/>
  <c r="F26" i="8"/>
  <c r="G3" i="8"/>
  <c r="G4" i="8"/>
  <c r="G5" i="8"/>
  <c r="G6" i="8"/>
  <c r="G7" i="8"/>
  <c r="G8" i="8"/>
  <c r="G9" i="8"/>
  <c r="G10" i="8"/>
  <c r="G11" i="8"/>
  <c r="G12" i="8"/>
  <c r="G13" i="8"/>
  <c r="G14" i="8"/>
  <c r="G18" i="8"/>
  <c r="G19" i="8"/>
  <c r="G20" i="8"/>
  <c r="G21" i="8"/>
  <c r="G22" i="8"/>
  <c r="G23" i="8"/>
  <c r="G24" i="8"/>
  <c r="G25" i="8"/>
  <c r="G26" i="8"/>
  <c r="H3" i="8"/>
  <c r="H4" i="8"/>
  <c r="H5" i="8"/>
  <c r="H6" i="8"/>
  <c r="H7" i="8"/>
  <c r="H8" i="8"/>
  <c r="H9" i="8"/>
  <c r="H10" i="8"/>
  <c r="H11" i="8"/>
  <c r="H12" i="8"/>
  <c r="H13" i="8"/>
  <c r="H14" i="8"/>
  <c r="H18" i="8"/>
  <c r="H19" i="8"/>
  <c r="H20" i="8"/>
  <c r="H21" i="8"/>
  <c r="H22" i="8"/>
  <c r="H23" i="8"/>
  <c r="H24" i="8"/>
  <c r="H25" i="8"/>
  <c r="H26" i="8"/>
  <c r="I3" i="8"/>
  <c r="I4" i="8"/>
  <c r="I5" i="8"/>
  <c r="I6" i="8"/>
  <c r="I7" i="8"/>
  <c r="I8" i="8"/>
  <c r="I9" i="8"/>
  <c r="I10" i="8"/>
  <c r="I11" i="8"/>
  <c r="I12" i="8"/>
  <c r="I13" i="8"/>
  <c r="I14" i="8"/>
  <c r="I18" i="8"/>
  <c r="I19" i="8"/>
  <c r="I20" i="8"/>
  <c r="I21" i="8"/>
  <c r="I22" i="8"/>
  <c r="I23" i="8"/>
  <c r="I24" i="8"/>
  <c r="I25" i="8"/>
  <c r="I26" i="8"/>
  <c r="J3" i="8"/>
  <c r="J4" i="8"/>
  <c r="J5" i="8"/>
  <c r="J6" i="8"/>
  <c r="J7" i="8"/>
  <c r="J8" i="8"/>
  <c r="J9" i="8"/>
  <c r="J10" i="8"/>
  <c r="J11" i="8"/>
  <c r="J12" i="8"/>
  <c r="J13" i="8"/>
  <c r="J14" i="8"/>
  <c r="J18" i="8"/>
  <c r="J19" i="8"/>
  <c r="J20" i="8"/>
  <c r="J21" i="8"/>
  <c r="J22" i="8"/>
  <c r="J23" i="8"/>
  <c r="J24" i="8"/>
  <c r="J25" i="8"/>
  <c r="J26" i="8"/>
  <c r="K3" i="8"/>
  <c r="K4" i="8"/>
  <c r="K5" i="8"/>
  <c r="K6" i="8"/>
  <c r="K7" i="8"/>
  <c r="K8" i="8"/>
  <c r="K9" i="8"/>
  <c r="K10" i="8"/>
  <c r="K11" i="8"/>
  <c r="K12" i="8"/>
  <c r="K13" i="8"/>
  <c r="K14" i="8"/>
  <c r="K18" i="8"/>
  <c r="K19" i="8"/>
  <c r="K20" i="8"/>
  <c r="K21" i="8"/>
  <c r="K22" i="8"/>
  <c r="K23" i="8"/>
  <c r="K24" i="8"/>
  <c r="K25" i="8"/>
  <c r="K26" i="8"/>
  <c r="L3" i="8"/>
  <c r="L4" i="8"/>
  <c r="L5" i="8"/>
  <c r="L6" i="8"/>
  <c r="L7" i="8"/>
  <c r="L8" i="8"/>
  <c r="L9" i="8"/>
  <c r="L10" i="8"/>
  <c r="L11" i="8"/>
  <c r="L12" i="8"/>
  <c r="L13" i="8"/>
  <c r="L14" i="8"/>
  <c r="L18" i="8"/>
  <c r="L19" i="8"/>
  <c r="L20" i="8"/>
  <c r="L21" i="8"/>
  <c r="L22" i="8"/>
  <c r="L23" i="8"/>
  <c r="L24" i="8"/>
  <c r="L25" i="8"/>
  <c r="L26" i="8"/>
  <c r="M26" i="8"/>
  <c r="M3" i="8"/>
  <c r="M4" i="8"/>
  <c r="M5" i="8"/>
  <c r="M6" i="8"/>
  <c r="M7" i="8"/>
  <c r="M8" i="8"/>
  <c r="M9" i="8"/>
  <c r="M10" i="8"/>
  <c r="M11" i="8"/>
  <c r="M12" i="8"/>
  <c r="M13" i="8"/>
  <c r="M14" i="8"/>
  <c r="M18" i="8"/>
  <c r="M19" i="8"/>
  <c r="M20" i="8"/>
  <c r="M21" i="8"/>
  <c r="M22" i="8"/>
  <c r="M23" i="8"/>
  <c r="M24" i="8"/>
  <c r="M25" i="8"/>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J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P72" i="7"/>
  <c r="P71" i="7"/>
  <c r="P58" i="7"/>
  <c r="P59" i="7"/>
  <c r="P60" i="7"/>
  <c r="P61" i="7"/>
  <c r="P62" i="7"/>
  <c r="P63" i="7"/>
  <c r="P64" i="7"/>
  <c r="P65" i="7"/>
  <c r="P66" i="7"/>
  <c r="P67" i="7"/>
  <c r="P68" i="7"/>
  <c r="P69" i="7"/>
  <c r="P70" i="7"/>
  <c r="S70" i="7"/>
  <c r="R70" i="7"/>
  <c r="S69" i="7"/>
  <c r="R69" i="7"/>
  <c r="S68" i="7"/>
  <c r="R68" i="7"/>
  <c r="S67" i="7"/>
  <c r="R67" i="7"/>
  <c r="S66" i="7"/>
  <c r="R66" i="7"/>
  <c r="S65" i="7"/>
  <c r="R65" i="7"/>
  <c r="S64" i="7"/>
  <c r="R64" i="7"/>
  <c r="S63" i="7"/>
  <c r="R63" i="7"/>
  <c r="S62" i="7"/>
  <c r="R62" i="7"/>
  <c r="S61" i="7"/>
  <c r="R61" i="7"/>
  <c r="S60" i="7"/>
  <c r="R60" i="7"/>
  <c r="S59" i="7"/>
  <c r="R59" i="7"/>
  <c r="S58" i="7"/>
  <c r="R58" i="7"/>
  <c r="P52" i="7"/>
  <c r="P53" i="7"/>
  <c r="P54" i="7"/>
  <c r="P55" i="7"/>
  <c r="P56" i="7"/>
  <c r="P57" i="7"/>
  <c r="S57" i="7"/>
  <c r="R57" i="7"/>
  <c r="S56" i="7"/>
  <c r="R56" i="7"/>
  <c r="S55" i="7"/>
  <c r="R55" i="7"/>
  <c r="S54" i="7"/>
  <c r="R54" i="7"/>
  <c r="S53" i="7"/>
  <c r="R53" i="7"/>
  <c r="S52" i="7"/>
  <c r="R52" i="7"/>
  <c r="P34" i="7"/>
  <c r="P35" i="7"/>
  <c r="P36" i="7"/>
  <c r="P37" i="7"/>
  <c r="P38" i="7"/>
  <c r="P39" i="7"/>
  <c r="P40" i="7"/>
  <c r="P41" i="7"/>
  <c r="P42" i="7"/>
  <c r="P43" i="7"/>
  <c r="P44" i="7"/>
  <c r="P45" i="7"/>
  <c r="P46" i="7"/>
  <c r="P47" i="7"/>
  <c r="P48" i="7"/>
  <c r="P49" i="7"/>
  <c r="P50" i="7"/>
  <c r="P51" i="7"/>
  <c r="S51" i="7"/>
  <c r="R51" i="7"/>
  <c r="S50" i="7"/>
  <c r="R50" i="7"/>
  <c r="S49" i="7"/>
  <c r="R49" i="7"/>
  <c r="S48" i="7"/>
  <c r="R48" i="7"/>
  <c r="S47" i="7"/>
  <c r="R47" i="7"/>
  <c r="S46" i="7"/>
  <c r="R46" i="7"/>
  <c r="S45" i="7"/>
  <c r="R45" i="7"/>
  <c r="S44" i="7"/>
  <c r="R44" i="7"/>
  <c r="S43" i="7"/>
  <c r="R43" i="7"/>
  <c r="S42" i="7"/>
  <c r="R42" i="7"/>
  <c r="S41" i="7"/>
  <c r="R41" i="7"/>
  <c r="S40" i="7"/>
  <c r="R40" i="7"/>
  <c r="S39" i="7"/>
  <c r="R39" i="7"/>
  <c r="S38" i="7"/>
  <c r="R38" i="7"/>
  <c r="S37" i="7"/>
  <c r="R37" i="7"/>
  <c r="S36" i="7"/>
  <c r="R36" i="7"/>
  <c r="S35" i="7"/>
  <c r="R35" i="7"/>
  <c r="S34" i="7"/>
  <c r="R34" i="7"/>
  <c r="P27" i="7"/>
  <c r="P28" i="7"/>
  <c r="P29" i="7"/>
  <c r="P30" i="7"/>
  <c r="P31" i="7"/>
  <c r="P32" i="7"/>
  <c r="P33" i="7"/>
  <c r="S33" i="7"/>
  <c r="R33" i="7"/>
  <c r="S32" i="7"/>
  <c r="R32" i="7"/>
  <c r="S31" i="7"/>
  <c r="R31" i="7"/>
  <c r="S30" i="7"/>
  <c r="R30" i="7"/>
  <c r="S29" i="7"/>
  <c r="R29" i="7"/>
  <c r="S28" i="7"/>
  <c r="R28" i="7"/>
  <c r="S27" i="7"/>
  <c r="R27" i="7"/>
  <c r="P23" i="7"/>
  <c r="P24" i="7"/>
  <c r="P25" i="7"/>
  <c r="P26" i="7"/>
  <c r="S26" i="7"/>
  <c r="R26" i="7"/>
  <c r="S25" i="7"/>
  <c r="R25" i="7"/>
  <c r="S24" i="7"/>
  <c r="R24" i="7"/>
  <c r="S23" i="7"/>
  <c r="R23" i="7"/>
  <c r="P11" i="7"/>
  <c r="P12" i="7"/>
  <c r="P13" i="7"/>
  <c r="P14" i="7"/>
  <c r="P15" i="7"/>
  <c r="P16" i="7"/>
  <c r="P17" i="7"/>
  <c r="P18" i="7"/>
  <c r="P19" i="7"/>
  <c r="P20" i="7"/>
  <c r="P21" i="7"/>
  <c r="P22" i="7"/>
  <c r="S22" i="7"/>
  <c r="R22" i="7"/>
  <c r="S21" i="7"/>
  <c r="R21" i="7"/>
  <c r="S20" i="7"/>
  <c r="R20" i="7"/>
  <c r="S19" i="7"/>
  <c r="R19" i="7"/>
  <c r="S18" i="7"/>
  <c r="R18" i="7"/>
  <c r="S17" i="7"/>
  <c r="R17" i="7"/>
  <c r="S16" i="7"/>
  <c r="R16" i="7"/>
  <c r="S15" i="7"/>
  <c r="R15" i="7"/>
  <c r="S14" i="7"/>
  <c r="R14" i="7"/>
  <c r="S13" i="7"/>
  <c r="R13" i="7"/>
  <c r="S12" i="7"/>
  <c r="R12" i="7"/>
  <c r="S11" i="7"/>
  <c r="R11" i="7"/>
  <c r="P10" i="7"/>
  <c r="S10" i="7"/>
  <c r="R10" i="7"/>
  <c r="P9" i="7"/>
  <c r="S9" i="7"/>
  <c r="R9" i="7"/>
  <c r="P4" i="7"/>
  <c r="P5" i="7"/>
  <c r="P6" i="7"/>
  <c r="P7" i="7"/>
  <c r="P8" i="7"/>
  <c r="S8" i="7"/>
  <c r="R8" i="7"/>
  <c r="S7" i="7"/>
  <c r="R7" i="7"/>
  <c r="S6" i="7"/>
  <c r="R6" i="7"/>
  <c r="S5" i="7"/>
  <c r="R5" i="7"/>
  <c r="S4" i="7"/>
  <c r="R4" i="7"/>
  <c r="P2" i="7"/>
  <c r="P3" i="7"/>
  <c r="S3" i="7"/>
  <c r="R3" i="7"/>
  <c r="S2" i="7"/>
  <c r="R2" i="7"/>
  <c r="Q68" i="6" a="1"/>
  <c r="Q68" i="6"/>
  <c r="J11" i="6"/>
  <c r="B61" i="6"/>
  <c r="E11" i="6"/>
  <c r="K11" i="6"/>
  <c r="B60" i="6"/>
  <c r="B11" i="6"/>
  <c r="B59" i="6"/>
  <c r="L5" i="6"/>
  <c r="B58" i="6"/>
  <c r="Q50" i="6" a="1"/>
  <c r="Q50" i="6"/>
  <c r="I50" i="6" a="1"/>
  <c r="I50" i="6"/>
  <c r="Q51" i="6" a="1"/>
  <c r="Q51" i="6"/>
  <c r="I51" i="6" a="1"/>
  <c r="I51" i="6"/>
  <c r="Q52" i="6" a="1"/>
  <c r="Q52" i="6"/>
  <c r="I52" i="6" a="1"/>
  <c r="Q53" i="6" a="1"/>
  <c r="Q53" i="6"/>
  <c r="I53" i="6" a="1"/>
  <c r="Q54" i="6" a="1"/>
  <c r="Q54" i="6"/>
  <c r="I54" i="6" a="1"/>
  <c r="I52" i="6"/>
  <c r="I53" i="6"/>
  <c r="I54" i="6"/>
  <c r="E55" i="6"/>
  <c r="K54" i="6" a="1"/>
  <c r="K54" i="6"/>
  <c r="AJ93" i="2"/>
  <c r="J54" i="6" a="1"/>
  <c r="J54" i="6"/>
  <c r="H54" i="6" a="1"/>
  <c r="H54" i="6"/>
  <c r="G54" i="6" a="1"/>
  <c r="G54" i="6"/>
  <c r="B54" i="6" a="1"/>
  <c r="B54" i="6"/>
  <c r="K53" i="6" a="1"/>
  <c r="K53" i="6"/>
  <c r="AJ92" i="2"/>
  <c r="J53" i="6" a="1"/>
  <c r="J53" i="6"/>
  <c r="H53" i="6" a="1"/>
  <c r="H53" i="6"/>
  <c r="G53" i="6" a="1"/>
  <c r="G53" i="6"/>
  <c r="B53" i="6" a="1"/>
  <c r="B53" i="6"/>
  <c r="K52" i="6" a="1"/>
  <c r="K52" i="6"/>
  <c r="AJ90" i="2"/>
  <c r="J52" i="6" a="1"/>
  <c r="J52" i="6"/>
  <c r="H52" i="6" a="1"/>
  <c r="H52" i="6"/>
  <c r="G52" i="6" a="1"/>
  <c r="G52" i="6"/>
  <c r="B52" i="6" a="1"/>
  <c r="B52" i="6"/>
  <c r="K51" i="6" a="1"/>
  <c r="K51" i="6"/>
  <c r="AJ89" i="2"/>
  <c r="J51" i="6" a="1"/>
  <c r="J51" i="6"/>
  <c r="H51" i="6" a="1"/>
  <c r="H51" i="6"/>
  <c r="G51" i="6" a="1"/>
  <c r="G51" i="6"/>
  <c r="B51" i="6" a="1"/>
  <c r="B51" i="6"/>
  <c r="K50" i="6" a="1"/>
  <c r="K50" i="6"/>
  <c r="AJ88" i="2"/>
  <c r="J50" i="6" a="1"/>
  <c r="J50" i="6"/>
  <c r="H50" i="6" a="1"/>
  <c r="H50" i="6"/>
  <c r="G50" i="6" a="1"/>
  <c r="G50" i="6"/>
  <c r="B50" i="6" a="1"/>
  <c r="B50" i="6"/>
  <c r="X477" i="2"/>
  <c r="Q36" i="6" a="1"/>
  <c r="Q36" i="6"/>
  <c r="I36" i="6" a="1"/>
  <c r="I36" i="6"/>
  <c r="Q37" i="6" a="1"/>
  <c r="Q37" i="6"/>
  <c r="I37" i="6" a="1"/>
  <c r="I37" i="6"/>
  <c r="Q38" i="6" a="1"/>
  <c r="Q38" i="6"/>
  <c r="I38" i="6" a="1"/>
  <c r="Q39" i="6" a="1"/>
  <c r="Q39" i="6"/>
  <c r="I39" i="6" a="1"/>
  <c r="Q40" i="6" a="1"/>
  <c r="Q40" i="6"/>
  <c r="I40" i="6" a="1"/>
  <c r="Q41" i="6" a="1"/>
  <c r="Q41" i="6"/>
  <c r="I41" i="6" a="1"/>
  <c r="Q42" i="6" a="1"/>
  <c r="Q42" i="6"/>
  <c r="I42" i="6" a="1"/>
  <c r="Q43" i="6" a="1"/>
  <c r="Q43" i="6"/>
  <c r="I43" i="6" a="1"/>
  <c r="Q44" i="6" a="1"/>
  <c r="Q44" i="6"/>
  <c r="I44" i="6" a="1"/>
  <c r="Q45" i="6" a="1"/>
  <c r="Q45" i="6"/>
  <c r="I45" i="6" a="1"/>
  <c r="I38" i="6"/>
  <c r="I39" i="6"/>
  <c r="I40" i="6"/>
  <c r="I41" i="6"/>
  <c r="I42" i="6"/>
  <c r="I43" i="6"/>
  <c r="I44" i="6"/>
  <c r="I45" i="6"/>
  <c r="E46" i="6" a="1"/>
  <c r="E46" i="6"/>
  <c r="K45" i="6" a="1"/>
  <c r="K45" i="6"/>
  <c r="AJ194" i="2"/>
  <c r="J45" i="6" a="1"/>
  <c r="J45" i="6"/>
  <c r="H45" i="6" a="1"/>
  <c r="H45" i="6"/>
  <c r="G45" i="6" a="1"/>
  <c r="G45" i="6"/>
  <c r="B45" i="6" a="1"/>
  <c r="B45" i="6"/>
  <c r="K44" i="6" a="1"/>
  <c r="K44" i="6"/>
  <c r="AJ171" i="2"/>
  <c r="J44" i="6" a="1"/>
  <c r="J44" i="6"/>
  <c r="H44" i="6" a="1"/>
  <c r="H44" i="6"/>
  <c r="G44" i="6" a="1"/>
  <c r="G44" i="6"/>
  <c r="B44" i="6" a="1"/>
  <c r="B44" i="6"/>
  <c r="K43" i="6" a="1"/>
  <c r="K43" i="6"/>
  <c r="AJ170" i="2"/>
  <c r="J43" i="6" a="1"/>
  <c r="J43" i="6"/>
  <c r="H43" i="6" a="1"/>
  <c r="H43" i="6"/>
  <c r="G43" i="6" a="1"/>
  <c r="G43" i="6"/>
  <c r="B43" i="6" a="1"/>
  <c r="B43" i="6"/>
  <c r="K42" i="6" a="1"/>
  <c r="K42" i="6"/>
  <c r="AJ169" i="2"/>
  <c r="J42" i="6" a="1"/>
  <c r="J42" i="6"/>
  <c r="H42" i="6" a="1"/>
  <c r="H42" i="6"/>
  <c r="G42" i="6" a="1"/>
  <c r="G42" i="6"/>
  <c r="B42" i="6" a="1"/>
  <c r="B42" i="6"/>
  <c r="K41" i="6" a="1"/>
  <c r="K41" i="6"/>
  <c r="AJ112" i="2"/>
  <c r="J41" i="6" a="1"/>
  <c r="J41" i="6"/>
  <c r="H41" i="6" a="1"/>
  <c r="H41" i="6"/>
  <c r="G41" i="6" a="1"/>
  <c r="G41" i="6"/>
  <c r="B41" i="6" a="1"/>
  <c r="B41" i="6"/>
  <c r="K40" i="6" a="1"/>
  <c r="K40" i="6"/>
  <c r="AJ111" i="2"/>
  <c r="J40" i="6" a="1"/>
  <c r="J40" i="6"/>
  <c r="H40" i="6" a="1"/>
  <c r="H40" i="6"/>
  <c r="G40" i="6" a="1"/>
  <c r="G40" i="6"/>
  <c r="B40" i="6" a="1"/>
  <c r="B40" i="6"/>
  <c r="K39" i="6" a="1"/>
  <c r="K39" i="6"/>
  <c r="AJ110" i="2"/>
  <c r="J39" i="6" a="1"/>
  <c r="J39" i="6"/>
  <c r="H39" i="6" a="1"/>
  <c r="H39" i="6"/>
  <c r="G39" i="6" a="1"/>
  <c r="G39" i="6"/>
  <c r="B39" i="6" a="1"/>
  <c r="B39" i="6"/>
  <c r="K38" i="6" a="1"/>
  <c r="K38" i="6"/>
  <c r="AJ109" i="2"/>
  <c r="J38" i="6" a="1"/>
  <c r="J38" i="6"/>
  <c r="H38" i="6" a="1"/>
  <c r="H38" i="6"/>
  <c r="G38" i="6" a="1"/>
  <c r="G38" i="6"/>
  <c r="B38" i="6" a="1"/>
  <c r="B38" i="6"/>
  <c r="K37" i="6" a="1"/>
  <c r="K37" i="6"/>
  <c r="AJ91" i="2"/>
  <c r="J37" i="6" a="1"/>
  <c r="J37" i="6"/>
  <c r="H37" i="6" a="1"/>
  <c r="H37" i="6"/>
  <c r="G37" i="6" a="1"/>
  <c r="G37" i="6"/>
  <c r="B37" i="6" a="1"/>
  <c r="B37" i="6"/>
  <c r="K36" i="6" a="1"/>
  <c r="K36" i="6"/>
  <c r="AJ87" i="2"/>
  <c r="J36" i="6" a="1"/>
  <c r="J36" i="6"/>
  <c r="H36" i="6" a="1"/>
  <c r="H36" i="6"/>
  <c r="G36" i="6" a="1"/>
  <c r="G36" i="6"/>
  <c r="B36" i="6" a="1"/>
  <c r="B36" i="6"/>
  <c r="F23" i="6" a="1"/>
  <c r="F23" i="6"/>
  <c r="F24" i="6" a="1"/>
  <c r="F24" i="6"/>
  <c r="F25" i="6" a="1"/>
  <c r="F26" i="6" a="1"/>
  <c r="F27" i="6" a="1"/>
  <c r="F28" i="6" a="1"/>
  <c r="F29" i="6" a="1"/>
  <c r="F30" i="6" a="1"/>
  <c r="F31" i="6" a="1"/>
  <c r="F32" i="6" a="1"/>
  <c r="F25" i="6"/>
  <c r="F26" i="6"/>
  <c r="F27" i="6"/>
  <c r="F28" i="6"/>
  <c r="F29" i="6"/>
  <c r="F30" i="6"/>
  <c r="F31" i="6"/>
  <c r="F32" i="6"/>
  <c r="F33" i="6" a="1"/>
  <c r="F33" i="6"/>
  <c r="E23" i="6"/>
  <c r="E24" i="6"/>
  <c r="E25" i="6"/>
  <c r="E26" i="6"/>
  <c r="E27" i="6"/>
  <c r="E28" i="6"/>
  <c r="E29" i="6"/>
  <c r="E30" i="6"/>
  <c r="E31" i="6"/>
  <c r="E32" i="6"/>
  <c r="E33" i="6"/>
  <c r="G32" i="6"/>
  <c r="J32" i="6"/>
  <c r="I32" i="6"/>
  <c r="H32" i="6"/>
  <c r="G31" i="6"/>
  <c r="J31" i="6"/>
  <c r="I31" i="6"/>
  <c r="H31" i="6"/>
  <c r="G30" i="6"/>
  <c r="J30" i="6"/>
  <c r="I30" i="6"/>
  <c r="H30" i="6"/>
  <c r="G29" i="6"/>
  <c r="J29" i="6"/>
  <c r="I29" i="6"/>
  <c r="H29" i="6"/>
  <c r="G28" i="6"/>
  <c r="J28" i="6"/>
  <c r="I28" i="6"/>
  <c r="H28" i="6"/>
  <c r="G27" i="6"/>
  <c r="J27" i="6"/>
  <c r="I27" i="6"/>
  <c r="H27" i="6"/>
  <c r="G26" i="6"/>
  <c r="J26" i="6"/>
  <c r="I26" i="6"/>
  <c r="H26" i="6"/>
  <c r="G25" i="6"/>
  <c r="J25" i="6"/>
  <c r="I25" i="6"/>
  <c r="H25" i="6"/>
  <c r="G24" i="6"/>
  <c r="J24" i="6"/>
  <c r="I24" i="6"/>
  <c r="H24" i="6"/>
  <c r="G23" i="6"/>
  <c r="J23" i="6"/>
  <c r="I23" i="6"/>
  <c r="H23" i="6"/>
  <c r="P17" i="6"/>
  <c r="E17" i="6"/>
  <c r="E15" i="6"/>
  <c r="E13" i="6"/>
  <c r="M11" i="6"/>
  <c r="I11" i="6"/>
  <c r="H11" i="6"/>
  <c r="G11" i="6"/>
  <c r="H6" i="6"/>
  <c r="D6" i="6"/>
  <c r="F72" i="5"/>
  <c r="F71" i="5"/>
  <c r="F70" i="5"/>
  <c r="F69" i="5"/>
  <c r="F68" i="5"/>
  <c r="F67" i="5"/>
  <c r="F66" i="5"/>
  <c r="F65" i="5"/>
  <c r="F64" i="5"/>
  <c r="F63" i="5"/>
  <c r="A54" i="5"/>
  <c r="A51" i="5"/>
  <c r="A50" i="5"/>
  <c r="A49" i="5"/>
  <c r="A48" i="5"/>
  <c r="A47" i="5"/>
  <c r="A44" i="5"/>
  <c r="A43" i="5"/>
  <c r="A42" i="5"/>
  <c r="A41" i="5"/>
  <c r="A40" i="5"/>
  <c r="A37" i="5"/>
  <c r="A36" i="5"/>
  <c r="A35" i="5"/>
  <c r="A34" i="5"/>
  <c r="A33" i="5"/>
  <c r="A29" i="5" a="1"/>
  <c r="A29" i="5"/>
  <c r="A28" i="5" a="1"/>
  <c r="A28" i="5"/>
  <c r="A27" i="5" a="1"/>
  <c r="A27" i="5"/>
  <c r="A26" i="5" a="1"/>
  <c r="A26" i="5"/>
  <c r="A25" i="5" a="1"/>
  <c r="A25" i="5"/>
  <c r="G13" i="5"/>
  <c r="C13" i="5"/>
  <c r="K12" i="5"/>
  <c r="AL998" i="2"/>
  <c r="AE998" i="2"/>
  <c r="AF998" i="2"/>
  <c r="AG998" i="2"/>
  <c r="AH998" i="2"/>
  <c r="AI998" i="2"/>
  <c r="AJ998" i="2"/>
  <c r="D998" i="2"/>
  <c r="C998" i="2" a="1"/>
  <c r="C998" i="2"/>
  <c r="B998" i="2"/>
  <c r="A998" i="2"/>
  <c r="AL997" i="2"/>
  <c r="AE997" i="2"/>
  <c r="AF997" i="2"/>
  <c r="AG997" i="2"/>
  <c r="AH997" i="2"/>
  <c r="AI997" i="2"/>
  <c r="AJ997" i="2"/>
  <c r="D997" i="2"/>
  <c r="C997" i="2" a="1"/>
  <c r="C997" i="2"/>
  <c r="B997" i="2"/>
  <c r="A997" i="2"/>
  <c r="AL996" i="2"/>
  <c r="AE996" i="2"/>
  <c r="AF996" i="2"/>
  <c r="AG996" i="2"/>
  <c r="AH996" i="2"/>
  <c r="AI996" i="2"/>
  <c r="AJ996" i="2"/>
  <c r="D996" i="2"/>
  <c r="C996" i="2" a="1"/>
  <c r="C996" i="2"/>
  <c r="B996" i="2"/>
  <c r="A996" i="2"/>
  <c r="AL995" i="2"/>
  <c r="AE995" i="2"/>
  <c r="AF995" i="2"/>
  <c r="AG995" i="2"/>
  <c r="AH995" i="2"/>
  <c r="AI995" i="2"/>
  <c r="AJ995" i="2"/>
  <c r="D995" i="2"/>
  <c r="C995" i="2" a="1"/>
  <c r="C995" i="2"/>
  <c r="B995" i="2"/>
  <c r="A995" i="2"/>
  <c r="AL994" i="2"/>
  <c r="AE994" i="2"/>
  <c r="AF994" i="2"/>
  <c r="AG994" i="2"/>
  <c r="AH994" i="2"/>
  <c r="AI994" i="2"/>
  <c r="AJ994" i="2"/>
  <c r="D994" i="2"/>
  <c r="C994" i="2" a="1"/>
  <c r="C994" i="2"/>
  <c r="B994" i="2"/>
  <c r="A994" i="2"/>
  <c r="AL993" i="2"/>
  <c r="AE993" i="2"/>
  <c r="AF993" i="2"/>
  <c r="AG993" i="2"/>
  <c r="AH993" i="2"/>
  <c r="AI993" i="2"/>
  <c r="AJ993" i="2"/>
  <c r="D993" i="2"/>
  <c r="C993" i="2" a="1"/>
  <c r="C993" i="2"/>
  <c r="B993" i="2"/>
  <c r="A993" i="2"/>
  <c r="AL992" i="2"/>
  <c r="AJ992" i="2"/>
  <c r="AH992" i="2"/>
  <c r="AG992" i="2"/>
  <c r="AF992" i="2"/>
  <c r="AE992" i="2"/>
  <c r="AL991" i="2"/>
  <c r="AJ991" i="2"/>
  <c r="AH991" i="2"/>
  <c r="AG991" i="2"/>
  <c r="AF991" i="2"/>
  <c r="AE991" i="2"/>
  <c r="AL990" i="2"/>
  <c r="AJ990" i="2"/>
  <c r="AH990" i="2"/>
  <c r="AG990" i="2"/>
  <c r="AF990" i="2"/>
  <c r="AE990" i="2"/>
  <c r="AL989" i="2"/>
  <c r="AJ989" i="2"/>
  <c r="AH989" i="2"/>
  <c r="AG989" i="2"/>
  <c r="AF989" i="2"/>
  <c r="AE989" i="2"/>
  <c r="AL988" i="2"/>
  <c r="AJ988" i="2"/>
  <c r="AH988" i="2"/>
  <c r="AG988" i="2"/>
  <c r="AF988" i="2"/>
  <c r="AE988" i="2"/>
  <c r="AL987" i="2"/>
  <c r="AJ987" i="2"/>
  <c r="AH987" i="2"/>
  <c r="AG987" i="2"/>
  <c r="AF987" i="2"/>
  <c r="AE987" i="2"/>
  <c r="AL986" i="2"/>
  <c r="AJ986" i="2"/>
  <c r="AH986" i="2"/>
  <c r="AG986" i="2"/>
  <c r="AF986" i="2"/>
  <c r="AE986" i="2"/>
  <c r="AL985" i="2"/>
  <c r="AJ985" i="2"/>
  <c r="AH985" i="2"/>
  <c r="AG985" i="2"/>
  <c r="AF985" i="2"/>
  <c r="AE985" i="2"/>
  <c r="AL984" i="2"/>
  <c r="AJ984" i="2"/>
  <c r="AH984" i="2"/>
  <c r="AG984" i="2"/>
  <c r="AF984" i="2"/>
  <c r="AE984" i="2"/>
  <c r="AL983" i="2"/>
  <c r="AJ983" i="2"/>
  <c r="AH983" i="2"/>
  <c r="AG983" i="2"/>
  <c r="AF983" i="2"/>
  <c r="AE983" i="2"/>
  <c r="AL982" i="2"/>
  <c r="AJ982" i="2"/>
  <c r="AH982" i="2"/>
  <c r="AG982" i="2"/>
  <c r="AF982" i="2"/>
  <c r="AE982" i="2"/>
  <c r="AL981" i="2"/>
  <c r="AJ981" i="2"/>
  <c r="AH981" i="2"/>
  <c r="AG981" i="2"/>
  <c r="AF981" i="2"/>
  <c r="AE981" i="2"/>
  <c r="AL980" i="2"/>
  <c r="AJ980" i="2"/>
  <c r="AH980" i="2"/>
  <c r="AG980" i="2"/>
  <c r="AF980" i="2"/>
  <c r="AE980" i="2"/>
  <c r="AL979" i="2"/>
  <c r="AJ979" i="2"/>
  <c r="AH979" i="2"/>
  <c r="AG979" i="2"/>
  <c r="AF979" i="2"/>
  <c r="AE979" i="2"/>
  <c r="AL978" i="2"/>
  <c r="AJ978" i="2"/>
  <c r="AH978" i="2"/>
  <c r="AG978" i="2"/>
  <c r="AF978" i="2"/>
  <c r="AE978" i="2"/>
  <c r="AL977" i="2"/>
  <c r="AJ977" i="2"/>
  <c r="AH977" i="2"/>
  <c r="AG977" i="2"/>
  <c r="AF977" i="2"/>
  <c r="AE977" i="2"/>
  <c r="AL976" i="2"/>
  <c r="AJ976" i="2"/>
  <c r="AH976" i="2"/>
  <c r="B976" i="2"/>
  <c r="A976" i="2"/>
  <c r="AL975" i="2"/>
  <c r="AJ975" i="2"/>
  <c r="AH975" i="2"/>
  <c r="C975" i="2" a="1"/>
  <c r="C975" i="2"/>
  <c r="B975" i="2"/>
  <c r="A975" i="2"/>
  <c r="AL974" i="2"/>
  <c r="AJ974" i="2"/>
  <c r="AH974" i="2"/>
  <c r="C974" i="2" a="1"/>
  <c r="C974" i="2"/>
  <c r="B974" i="2"/>
  <c r="A974" i="2"/>
  <c r="AL973" i="2"/>
  <c r="AJ973" i="2"/>
  <c r="AH973" i="2"/>
  <c r="C973" i="2" a="1"/>
  <c r="C973" i="2"/>
  <c r="B973" i="2"/>
  <c r="A973" i="2"/>
  <c r="AL972" i="2"/>
  <c r="AJ972" i="2"/>
  <c r="AH972" i="2"/>
  <c r="C972" i="2" a="1"/>
  <c r="C972" i="2"/>
  <c r="B972" i="2"/>
  <c r="A972" i="2"/>
  <c r="AL971" i="2"/>
  <c r="AJ971" i="2"/>
  <c r="AH971" i="2"/>
  <c r="C971" i="2" a="1"/>
  <c r="C971" i="2"/>
  <c r="B971" i="2"/>
  <c r="A971" i="2"/>
  <c r="AL970" i="2"/>
  <c r="AJ970" i="2"/>
  <c r="AH970" i="2"/>
  <c r="C970" i="2" a="1"/>
  <c r="C970" i="2"/>
  <c r="B970" i="2"/>
  <c r="A970" i="2"/>
  <c r="AL969" i="2"/>
  <c r="AJ969" i="2"/>
  <c r="AH969" i="2"/>
  <c r="C969" i="2" a="1"/>
  <c r="C969" i="2"/>
  <c r="B969" i="2"/>
  <c r="A969" i="2"/>
  <c r="AL968" i="2"/>
  <c r="AJ968" i="2"/>
  <c r="AH968" i="2"/>
  <c r="C968" i="2" a="1"/>
  <c r="C968" i="2"/>
  <c r="B968" i="2"/>
  <c r="A968" i="2"/>
  <c r="AL967" i="2"/>
  <c r="AJ967" i="2"/>
  <c r="AH967" i="2"/>
  <c r="C967" i="2" a="1"/>
  <c r="C967" i="2"/>
  <c r="B967" i="2"/>
  <c r="A967" i="2"/>
  <c r="AL966" i="2"/>
  <c r="AJ966" i="2"/>
  <c r="AH966" i="2"/>
  <c r="C966" i="2" a="1"/>
  <c r="C966" i="2"/>
  <c r="B966" i="2"/>
  <c r="A966" i="2"/>
  <c r="AL965" i="2"/>
  <c r="AJ965" i="2"/>
  <c r="AH965" i="2"/>
  <c r="C965" i="2" a="1"/>
  <c r="C965" i="2"/>
  <c r="B965" i="2"/>
  <c r="A965" i="2"/>
  <c r="AL964" i="2"/>
  <c r="AJ964" i="2"/>
  <c r="AH964" i="2"/>
  <c r="C964" i="2" a="1"/>
  <c r="C964" i="2"/>
  <c r="B964" i="2"/>
  <c r="A964" i="2"/>
  <c r="AL963" i="2"/>
  <c r="AJ963" i="2"/>
  <c r="AH963" i="2"/>
  <c r="C963" i="2" a="1"/>
  <c r="C963" i="2"/>
  <c r="B963" i="2"/>
  <c r="A963" i="2"/>
  <c r="AL962" i="2"/>
  <c r="AJ962" i="2"/>
  <c r="AH962" i="2"/>
  <c r="C962" i="2" a="1"/>
  <c r="C962" i="2"/>
  <c r="B962" i="2"/>
  <c r="A962" i="2"/>
  <c r="AL961" i="2"/>
  <c r="AJ961" i="2"/>
  <c r="AH961" i="2"/>
  <c r="C961" i="2" a="1"/>
  <c r="C961" i="2"/>
  <c r="B961" i="2"/>
  <c r="A961" i="2"/>
  <c r="AL960" i="2"/>
  <c r="AJ960" i="2"/>
  <c r="AH960" i="2"/>
  <c r="C960" i="2" a="1"/>
  <c r="C960" i="2"/>
  <c r="B960" i="2"/>
  <c r="A960" i="2"/>
  <c r="AL959" i="2"/>
  <c r="AJ959" i="2"/>
  <c r="AH959" i="2"/>
  <c r="C959" i="2" a="1"/>
  <c r="C959" i="2"/>
  <c r="B959" i="2"/>
  <c r="A959" i="2"/>
  <c r="AL958" i="2"/>
  <c r="AJ958" i="2"/>
  <c r="AH958" i="2"/>
  <c r="C958" i="2" a="1"/>
  <c r="C958" i="2"/>
  <c r="B958" i="2"/>
  <c r="A958" i="2"/>
  <c r="AL957" i="2"/>
  <c r="AJ957" i="2"/>
  <c r="AH957" i="2"/>
  <c r="C957" i="2" a="1"/>
  <c r="C957" i="2"/>
  <c r="B957" i="2"/>
  <c r="A957" i="2"/>
  <c r="AL956" i="2"/>
  <c r="AJ956" i="2"/>
  <c r="AH956" i="2"/>
  <c r="C956" i="2" a="1"/>
  <c r="C956" i="2"/>
  <c r="B956" i="2"/>
  <c r="A956" i="2"/>
  <c r="AL955" i="2"/>
  <c r="AJ955" i="2"/>
  <c r="AH955" i="2"/>
  <c r="C955" i="2" a="1"/>
  <c r="C955" i="2"/>
  <c r="B955" i="2"/>
  <c r="A955" i="2"/>
  <c r="AL954" i="2"/>
  <c r="AJ954" i="2"/>
  <c r="AH954" i="2"/>
  <c r="C954" i="2" a="1"/>
  <c r="C954" i="2"/>
  <c r="B954" i="2"/>
  <c r="A954" i="2"/>
  <c r="AL953" i="2"/>
  <c r="AJ953" i="2"/>
  <c r="AH953" i="2"/>
  <c r="C953" i="2" a="1"/>
  <c r="C953" i="2"/>
  <c r="B953" i="2"/>
  <c r="A953" i="2"/>
  <c r="AL952" i="2"/>
  <c r="AJ952" i="2"/>
  <c r="AH952" i="2"/>
  <c r="C952" i="2" a="1"/>
  <c r="C952" i="2"/>
  <c r="B952" i="2"/>
  <c r="A952" i="2"/>
  <c r="AL951" i="2"/>
  <c r="AJ951" i="2"/>
  <c r="AH951" i="2"/>
  <c r="C951" i="2" a="1"/>
  <c r="C951" i="2"/>
  <c r="B951" i="2"/>
  <c r="A951" i="2"/>
  <c r="AL950" i="2"/>
  <c r="AJ950" i="2"/>
  <c r="AH950" i="2"/>
  <c r="C950" i="2" a="1"/>
  <c r="C950" i="2"/>
  <c r="B950" i="2"/>
  <c r="A950" i="2"/>
  <c r="AL949" i="2"/>
  <c r="AJ949" i="2"/>
  <c r="AH949" i="2"/>
  <c r="C949" i="2" a="1"/>
  <c r="C949" i="2"/>
  <c r="B949" i="2"/>
  <c r="A949" i="2"/>
  <c r="AL948" i="2"/>
  <c r="AJ948" i="2"/>
  <c r="AH948" i="2"/>
  <c r="C948" i="2" a="1"/>
  <c r="C948" i="2"/>
  <c r="B948" i="2"/>
  <c r="A948" i="2"/>
  <c r="AL947" i="2"/>
  <c r="AJ947" i="2"/>
  <c r="AH947" i="2"/>
  <c r="C947" i="2" a="1"/>
  <c r="C947" i="2"/>
  <c r="B947" i="2"/>
  <c r="A947" i="2"/>
  <c r="AL946" i="2"/>
  <c r="AJ946" i="2"/>
  <c r="AH946" i="2"/>
  <c r="C946" i="2" a="1"/>
  <c r="C946" i="2"/>
  <c r="B946" i="2"/>
  <c r="A946" i="2"/>
  <c r="AL945" i="2"/>
  <c r="AJ945" i="2"/>
  <c r="AH945" i="2"/>
  <c r="C945" i="2" a="1"/>
  <c r="C945" i="2"/>
  <c r="B945" i="2"/>
  <c r="A945" i="2"/>
  <c r="AL944" i="2"/>
  <c r="AJ944" i="2"/>
  <c r="AH944" i="2"/>
  <c r="C944" i="2" a="1"/>
  <c r="C944" i="2"/>
  <c r="B944" i="2"/>
  <c r="A944" i="2"/>
  <c r="AL943" i="2"/>
  <c r="AJ943" i="2"/>
  <c r="AH943" i="2"/>
  <c r="C943" i="2" a="1"/>
  <c r="C943" i="2"/>
  <c r="B943" i="2"/>
  <c r="A943" i="2"/>
  <c r="AL942" i="2"/>
  <c r="AJ942" i="2"/>
  <c r="AH942" i="2"/>
  <c r="C942" i="2" a="1"/>
  <c r="C942" i="2"/>
  <c r="B942" i="2"/>
  <c r="A942" i="2"/>
  <c r="AL941" i="2"/>
  <c r="AJ941" i="2"/>
  <c r="AH941" i="2"/>
  <c r="C941" i="2" a="1"/>
  <c r="C941" i="2"/>
  <c r="B941" i="2"/>
  <c r="A941" i="2"/>
  <c r="AL940" i="2"/>
  <c r="AJ940" i="2"/>
  <c r="AH940" i="2"/>
  <c r="C940" i="2" a="1"/>
  <c r="C940" i="2"/>
  <c r="B940" i="2"/>
  <c r="A940" i="2"/>
  <c r="AL939" i="2"/>
  <c r="AJ939" i="2"/>
  <c r="AH939" i="2"/>
  <c r="C939" i="2" a="1"/>
  <c r="C939" i="2"/>
  <c r="B939" i="2"/>
  <c r="A939" i="2"/>
  <c r="AL938" i="2"/>
  <c r="AJ938" i="2"/>
  <c r="AH938" i="2"/>
  <c r="C938" i="2" a="1"/>
  <c r="C938" i="2"/>
  <c r="B938" i="2"/>
  <c r="A938" i="2"/>
  <c r="AL937" i="2"/>
  <c r="AJ937" i="2"/>
  <c r="AH937" i="2"/>
  <c r="C937" i="2" a="1"/>
  <c r="C937" i="2"/>
  <c r="B937" i="2"/>
  <c r="A937" i="2"/>
  <c r="AL936" i="2"/>
  <c r="AJ936" i="2"/>
  <c r="AH936" i="2"/>
  <c r="C936" i="2" a="1"/>
  <c r="C936" i="2"/>
  <c r="B936" i="2"/>
  <c r="A936" i="2"/>
  <c r="AL935" i="2"/>
  <c r="AJ935" i="2"/>
  <c r="AH935" i="2"/>
  <c r="C935" i="2" a="1"/>
  <c r="C935" i="2"/>
  <c r="B935" i="2"/>
  <c r="A935" i="2"/>
  <c r="AL934" i="2"/>
  <c r="AJ934" i="2"/>
  <c r="AH934" i="2"/>
  <c r="C934" i="2" a="1"/>
  <c r="C934" i="2"/>
  <c r="B934" i="2"/>
  <c r="A934" i="2"/>
  <c r="AL933" i="2"/>
  <c r="AJ933" i="2"/>
  <c r="AH933" i="2"/>
  <c r="C933" i="2" a="1"/>
  <c r="C933" i="2"/>
  <c r="B933" i="2"/>
  <c r="A933" i="2"/>
  <c r="AL932" i="2"/>
  <c r="AJ932" i="2"/>
  <c r="AH932" i="2"/>
  <c r="C932" i="2" a="1"/>
  <c r="C932" i="2"/>
  <c r="B932" i="2"/>
  <c r="A932" i="2"/>
  <c r="AL931" i="2"/>
  <c r="AJ931" i="2"/>
  <c r="AH931" i="2"/>
  <c r="C931" i="2" a="1"/>
  <c r="C931" i="2"/>
  <c r="B931" i="2"/>
  <c r="A931" i="2"/>
  <c r="AL930" i="2"/>
  <c r="AJ930" i="2"/>
  <c r="AH930" i="2"/>
  <c r="C930" i="2" a="1"/>
  <c r="C930" i="2"/>
  <c r="B930" i="2"/>
  <c r="A930" i="2"/>
  <c r="AL929" i="2"/>
  <c r="AJ929" i="2"/>
  <c r="AH929" i="2"/>
  <c r="C929" i="2" a="1"/>
  <c r="C929" i="2"/>
  <c r="B929" i="2"/>
  <c r="A929" i="2"/>
  <c r="AL928" i="2"/>
  <c r="AJ928" i="2"/>
  <c r="AH928" i="2"/>
  <c r="C928" i="2" a="1"/>
  <c r="C928" i="2"/>
  <c r="B928" i="2"/>
  <c r="A928" i="2"/>
  <c r="AL927" i="2"/>
  <c r="AJ927" i="2"/>
  <c r="AH927" i="2"/>
  <c r="C927" i="2" a="1"/>
  <c r="C927" i="2"/>
  <c r="B927" i="2"/>
  <c r="A927" i="2"/>
  <c r="AL926" i="2"/>
  <c r="AJ926" i="2"/>
  <c r="AH926" i="2"/>
  <c r="C926" i="2" a="1"/>
  <c r="C926" i="2"/>
  <c r="B926" i="2"/>
  <c r="A926" i="2"/>
  <c r="AL925" i="2"/>
  <c r="AJ925" i="2"/>
  <c r="AH925" i="2"/>
  <c r="C925" i="2" a="1"/>
  <c r="C925" i="2"/>
  <c r="B925" i="2"/>
  <c r="A925" i="2"/>
  <c r="AL924" i="2"/>
  <c r="AJ924" i="2"/>
  <c r="AH924" i="2"/>
  <c r="C924" i="2" a="1"/>
  <c r="C924" i="2"/>
  <c r="B924" i="2"/>
  <c r="A924" i="2"/>
  <c r="AL923" i="2"/>
  <c r="AJ923" i="2"/>
  <c r="AH923" i="2"/>
  <c r="C923" i="2" a="1"/>
  <c r="C923" i="2"/>
  <c r="B923" i="2"/>
  <c r="A923" i="2"/>
  <c r="AL922" i="2"/>
  <c r="AJ922" i="2"/>
  <c r="AH922" i="2"/>
  <c r="C922" i="2" a="1"/>
  <c r="C922" i="2"/>
  <c r="B922" i="2"/>
  <c r="A922" i="2"/>
  <c r="AL921" i="2"/>
  <c r="AJ921" i="2"/>
  <c r="AH921" i="2"/>
  <c r="C921" i="2" a="1"/>
  <c r="C921" i="2"/>
  <c r="B921" i="2"/>
  <c r="A921" i="2"/>
  <c r="AL920" i="2"/>
  <c r="AJ920" i="2"/>
  <c r="AH920" i="2"/>
  <c r="C920" i="2" a="1"/>
  <c r="C920" i="2"/>
  <c r="B920" i="2"/>
  <c r="A920" i="2"/>
  <c r="AL919" i="2"/>
  <c r="AJ919" i="2"/>
  <c r="AH919" i="2"/>
  <c r="C919" i="2" a="1"/>
  <c r="C919" i="2"/>
  <c r="B919" i="2"/>
  <c r="A919" i="2"/>
  <c r="AL918" i="2"/>
  <c r="AJ918" i="2"/>
  <c r="AH918" i="2"/>
  <c r="C918" i="2" a="1"/>
  <c r="C918" i="2"/>
  <c r="B918" i="2"/>
  <c r="A918" i="2"/>
  <c r="AL917" i="2"/>
  <c r="AJ917" i="2"/>
  <c r="AH917" i="2"/>
  <c r="C917" i="2" a="1"/>
  <c r="C917" i="2"/>
  <c r="B917" i="2"/>
  <c r="A917" i="2"/>
  <c r="AL916" i="2"/>
  <c r="AJ916" i="2"/>
  <c r="AH916" i="2"/>
  <c r="C916" i="2" a="1"/>
  <c r="C916" i="2"/>
  <c r="B916" i="2"/>
  <c r="A916" i="2"/>
  <c r="AL915" i="2"/>
  <c r="AJ915" i="2"/>
  <c r="AH915" i="2"/>
  <c r="C915" i="2" a="1"/>
  <c r="C915" i="2"/>
  <c r="B915" i="2"/>
  <c r="A915" i="2"/>
  <c r="AL914" i="2"/>
  <c r="AJ914" i="2"/>
  <c r="AH914" i="2"/>
  <c r="C914" i="2" a="1"/>
  <c r="C914" i="2"/>
  <c r="B914" i="2"/>
  <c r="A914" i="2"/>
  <c r="AL913" i="2"/>
  <c r="AJ913" i="2"/>
  <c r="AH913" i="2"/>
  <c r="C913" i="2" a="1"/>
  <c r="C913" i="2"/>
  <c r="B913" i="2"/>
  <c r="A913" i="2"/>
  <c r="AL912" i="2"/>
  <c r="AJ912" i="2"/>
  <c r="AH912" i="2"/>
  <c r="C912" i="2" a="1"/>
  <c r="C912" i="2"/>
  <c r="B912" i="2"/>
  <c r="A912" i="2"/>
  <c r="AL911" i="2"/>
  <c r="AJ911" i="2"/>
  <c r="AH911" i="2"/>
  <c r="C911" i="2" a="1"/>
  <c r="C911" i="2"/>
  <c r="B911" i="2"/>
  <c r="A911" i="2"/>
  <c r="AL910" i="2"/>
  <c r="AJ910" i="2"/>
  <c r="AH910" i="2"/>
  <c r="C910" i="2" a="1"/>
  <c r="C910" i="2"/>
  <c r="B910" i="2"/>
  <c r="A910" i="2"/>
  <c r="AL909" i="2"/>
  <c r="AJ909" i="2"/>
  <c r="AH909" i="2"/>
  <c r="C909" i="2" a="1"/>
  <c r="C909" i="2"/>
  <c r="B909" i="2"/>
  <c r="A909" i="2"/>
  <c r="AL908" i="2"/>
  <c r="AJ908" i="2"/>
  <c r="AH908" i="2"/>
  <c r="C908" i="2" a="1"/>
  <c r="C908" i="2"/>
  <c r="B908" i="2"/>
  <c r="A908" i="2"/>
  <c r="AL907" i="2"/>
  <c r="AJ907" i="2"/>
  <c r="AH907" i="2"/>
  <c r="C907" i="2" a="1"/>
  <c r="C907" i="2"/>
  <c r="B907" i="2"/>
  <c r="A907" i="2"/>
  <c r="AL906" i="2"/>
  <c r="AJ906" i="2"/>
  <c r="AH906" i="2"/>
  <c r="C906" i="2" a="1"/>
  <c r="C906" i="2"/>
  <c r="B906" i="2"/>
  <c r="A906" i="2"/>
  <c r="AL905" i="2"/>
  <c r="AJ905" i="2"/>
  <c r="AH905" i="2"/>
  <c r="C905" i="2" a="1"/>
  <c r="C905" i="2"/>
  <c r="B905" i="2"/>
  <c r="A905" i="2"/>
  <c r="AL904" i="2"/>
  <c r="AJ904" i="2"/>
  <c r="AH904" i="2"/>
  <c r="C904" i="2" a="1"/>
  <c r="C904" i="2"/>
  <c r="B904" i="2"/>
  <c r="A904" i="2"/>
  <c r="AL903" i="2"/>
  <c r="AJ903" i="2"/>
  <c r="AH903" i="2"/>
  <c r="C903" i="2" a="1"/>
  <c r="C903" i="2"/>
  <c r="B903" i="2"/>
  <c r="A903" i="2"/>
  <c r="AL902" i="2"/>
  <c r="AJ902" i="2"/>
  <c r="AH902" i="2"/>
  <c r="C902" i="2" a="1"/>
  <c r="C902" i="2"/>
  <c r="B902" i="2"/>
  <c r="A902" i="2"/>
  <c r="AL901" i="2"/>
  <c r="AJ901" i="2"/>
  <c r="AH901" i="2"/>
  <c r="C901" i="2" a="1"/>
  <c r="C901" i="2"/>
  <c r="B901" i="2"/>
  <c r="A901" i="2"/>
  <c r="AL900" i="2"/>
  <c r="AJ900" i="2"/>
  <c r="AH900" i="2"/>
  <c r="C900" i="2" a="1"/>
  <c r="C900" i="2"/>
  <c r="B900" i="2"/>
  <c r="A900" i="2"/>
  <c r="AL899" i="2"/>
  <c r="AJ899" i="2"/>
  <c r="AH899" i="2"/>
  <c r="C899" i="2" a="1"/>
  <c r="C899" i="2"/>
  <c r="B899" i="2"/>
  <c r="A899" i="2"/>
  <c r="AL898" i="2"/>
  <c r="AJ898" i="2"/>
  <c r="AH898" i="2"/>
  <c r="C898" i="2" a="1"/>
  <c r="C898" i="2"/>
  <c r="B898" i="2"/>
  <c r="A898" i="2"/>
  <c r="AL897" i="2"/>
  <c r="AJ897" i="2"/>
  <c r="AH897" i="2"/>
  <c r="C897" i="2" a="1"/>
  <c r="C897" i="2"/>
  <c r="B897" i="2"/>
  <c r="A897" i="2"/>
  <c r="AL896" i="2"/>
  <c r="AJ896" i="2"/>
  <c r="AH896" i="2"/>
  <c r="C896" i="2" a="1"/>
  <c r="C896" i="2"/>
  <c r="B896" i="2"/>
  <c r="A896" i="2"/>
  <c r="AL895" i="2"/>
  <c r="AJ895" i="2"/>
  <c r="AH895" i="2"/>
  <c r="C895" i="2" a="1"/>
  <c r="C895" i="2"/>
  <c r="B895" i="2"/>
  <c r="A895" i="2"/>
  <c r="AL894" i="2"/>
  <c r="AJ894" i="2"/>
  <c r="AH894" i="2"/>
  <c r="C894" i="2" a="1"/>
  <c r="C894" i="2"/>
  <c r="B894" i="2"/>
  <c r="A894" i="2"/>
  <c r="AL893" i="2"/>
  <c r="AJ893" i="2"/>
  <c r="AH893" i="2"/>
  <c r="C893" i="2" a="1"/>
  <c r="C893" i="2"/>
  <c r="B893" i="2"/>
  <c r="A893" i="2"/>
  <c r="AL892" i="2"/>
  <c r="AJ892" i="2"/>
  <c r="AH892" i="2"/>
  <c r="C892" i="2" a="1"/>
  <c r="C892" i="2"/>
  <c r="B892" i="2"/>
  <c r="A892" i="2"/>
  <c r="AL891" i="2"/>
  <c r="AJ891" i="2"/>
  <c r="AH891" i="2"/>
  <c r="C891" i="2" a="1"/>
  <c r="C891" i="2"/>
  <c r="B891" i="2"/>
  <c r="A891" i="2"/>
  <c r="AL890" i="2"/>
  <c r="AJ890" i="2"/>
  <c r="AH890" i="2"/>
  <c r="C890" i="2" a="1"/>
  <c r="C890" i="2"/>
  <c r="B890" i="2"/>
  <c r="A890" i="2"/>
  <c r="AL889" i="2"/>
  <c r="AJ889" i="2"/>
  <c r="AH889" i="2"/>
  <c r="C889" i="2" a="1"/>
  <c r="C889" i="2"/>
  <c r="B889" i="2"/>
  <c r="A889" i="2"/>
  <c r="AL888" i="2"/>
  <c r="AJ888" i="2"/>
  <c r="AH888" i="2"/>
  <c r="C888" i="2" a="1"/>
  <c r="C888" i="2"/>
  <c r="B888" i="2"/>
  <c r="A888" i="2"/>
  <c r="AL887" i="2"/>
  <c r="AJ887" i="2"/>
  <c r="AH887" i="2"/>
  <c r="C887" i="2" a="1"/>
  <c r="C887" i="2"/>
  <c r="B887" i="2"/>
  <c r="A887" i="2"/>
  <c r="AL886" i="2"/>
  <c r="AJ886" i="2"/>
  <c r="AH886" i="2"/>
  <c r="C886" i="2" a="1"/>
  <c r="C886" i="2"/>
  <c r="B886" i="2"/>
  <c r="A886" i="2"/>
  <c r="AL885" i="2"/>
  <c r="AJ885" i="2"/>
  <c r="AH885" i="2"/>
  <c r="C885" i="2" a="1"/>
  <c r="C885" i="2"/>
  <c r="B885" i="2"/>
  <c r="A885" i="2"/>
  <c r="AL884" i="2"/>
  <c r="AJ884" i="2"/>
  <c r="AH884" i="2"/>
  <c r="C884" i="2" a="1"/>
  <c r="C884" i="2"/>
  <c r="B884" i="2"/>
  <c r="A884" i="2"/>
  <c r="AL883" i="2"/>
  <c r="AJ883" i="2"/>
  <c r="AH883" i="2"/>
  <c r="C883" i="2" a="1"/>
  <c r="C883" i="2"/>
  <c r="B883" i="2"/>
  <c r="A883" i="2"/>
  <c r="AL882" i="2"/>
  <c r="AJ882" i="2"/>
  <c r="AH882" i="2"/>
  <c r="C882" i="2" a="1"/>
  <c r="C882" i="2"/>
  <c r="B882" i="2"/>
  <c r="A882" i="2"/>
  <c r="AL881" i="2"/>
  <c r="AJ881" i="2"/>
  <c r="AH881" i="2"/>
  <c r="C881" i="2" a="1"/>
  <c r="C881" i="2"/>
  <c r="B881" i="2"/>
  <c r="A881" i="2"/>
  <c r="AL880" i="2"/>
  <c r="AJ880" i="2"/>
  <c r="AH880" i="2"/>
  <c r="C880" i="2" a="1"/>
  <c r="C880" i="2"/>
  <c r="B880" i="2"/>
  <c r="A880" i="2"/>
  <c r="AL879" i="2"/>
  <c r="AJ879" i="2"/>
  <c r="AH879" i="2"/>
  <c r="C879" i="2" a="1"/>
  <c r="C879" i="2"/>
  <c r="B879" i="2"/>
  <c r="A879" i="2"/>
  <c r="AL878" i="2"/>
  <c r="AJ878" i="2"/>
  <c r="AH878" i="2"/>
  <c r="C878" i="2" a="1"/>
  <c r="C878" i="2"/>
  <c r="B878" i="2"/>
  <c r="A878" i="2"/>
  <c r="AL877" i="2"/>
  <c r="AJ877" i="2"/>
  <c r="AH877" i="2"/>
  <c r="C877" i="2" a="1"/>
  <c r="C877" i="2"/>
  <c r="B877" i="2"/>
  <c r="A877" i="2"/>
  <c r="AL876" i="2"/>
  <c r="AJ876" i="2"/>
  <c r="AH876" i="2"/>
  <c r="C876" i="2" a="1"/>
  <c r="C876" i="2"/>
  <c r="B876" i="2"/>
  <c r="A876" i="2"/>
  <c r="AL875" i="2"/>
  <c r="AJ875" i="2"/>
  <c r="AH875" i="2"/>
  <c r="C875" i="2" a="1"/>
  <c r="C875" i="2"/>
  <c r="B875" i="2"/>
  <c r="A875" i="2"/>
  <c r="AL874" i="2"/>
  <c r="AJ874" i="2"/>
  <c r="AH874" i="2"/>
  <c r="C874" i="2" a="1"/>
  <c r="C874" i="2"/>
  <c r="B874" i="2"/>
  <c r="A874" i="2"/>
  <c r="AL873" i="2"/>
  <c r="AJ873" i="2"/>
  <c r="AH873" i="2"/>
  <c r="C873" i="2" a="1"/>
  <c r="C873" i="2"/>
  <c r="B873" i="2"/>
  <c r="A873" i="2"/>
  <c r="AL872" i="2"/>
  <c r="AJ872" i="2"/>
  <c r="AH872" i="2"/>
  <c r="C872" i="2" a="1"/>
  <c r="C872" i="2"/>
  <c r="B872" i="2"/>
  <c r="A872" i="2"/>
  <c r="AL871" i="2"/>
  <c r="AJ871" i="2"/>
  <c r="AH871" i="2"/>
  <c r="C871" i="2" a="1"/>
  <c r="C871" i="2"/>
  <c r="B871" i="2"/>
  <c r="A871" i="2"/>
  <c r="AL870" i="2"/>
  <c r="AJ870" i="2"/>
  <c r="AH870" i="2"/>
  <c r="C870" i="2" a="1"/>
  <c r="C870" i="2"/>
  <c r="B870" i="2"/>
  <c r="A870" i="2"/>
  <c r="AL869" i="2"/>
  <c r="AJ869" i="2"/>
  <c r="AH869" i="2"/>
  <c r="C869" i="2" a="1"/>
  <c r="C869" i="2"/>
  <c r="B869" i="2"/>
  <c r="A869" i="2"/>
  <c r="AL868" i="2"/>
  <c r="AJ868" i="2"/>
  <c r="AH868" i="2"/>
  <c r="C868" i="2" a="1"/>
  <c r="C868" i="2"/>
  <c r="B868" i="2"/>
  <c r="A868" i="2"/>
  <c r="AL867" i="2"/>
  <c r="AJ867" i="2"/>
  <c r="AH867" i="2"/>
  <c r="C867" i="2" a="1"/>
  <c r="C867" i="2"/>
  <c r="B867" i="2"/>
  <c r="A867" i="2"/>
  <c r="AL866" i="2"/>
  <c r="AJ866" i="2"/>
  <c r="AH866" i="2"/>
  <c r="C866" i="2" a="1"/>
  <c r="C866" i="2"/>
  <c r="B866" i="2"/>
  <c r="A866" i="2"/>
  <c r="AL865" i="2"/>
  <c r="AJ865" i="2"/>
  <c r="AH865" i="2"/>
  <c r="C865" i="2" a="1"/>
  <c r="C865" i="2"/>
  <c r="B865" i="2"/>
  <c r="A865" i="2"/>
  <c r="AL864" i="2"/>
  <c r="AJ864" i="2"/>
  <c r="AH864" i="2"/>
  <c r="C864" i="2" a="1"/>
  <c r="C864" i="2"/>
  <c r="B864" i="2"/>
  <c r="A864" i="2"/>
  <c r="AL863" i="2"/>
  <c r="AJ863" i="2"/>
  <c r="AH863" i="2"/>
  <c r="C863" i="2" a="1"/>
  <c r="C863" i="2"/>
  <c r="B863" i="2"/>
  <c r="A863" i="2"/>
  <c r="AL862" i="2"/>
  <c r="AJ862" i="2"/>
  <c r="AH862" i="2"/>
  <c r="C862" i="2" a="1"/>
  <c r="C862" i="2"/>
  <c r="B862" i="2"/>
  <c r="A862" i="2"/>
  <c r="AL861" i="2"/>
  <c r="AJ861" i="2"/>
  <c r="AH861" i="2"/>
  <c r="C861" i="2" a="1"/>
  <c r="C861" i="2"/>
  <c r="B861" i="2"/>
  <c r="A861" i="2"/>
  <c r="AL860" i="2"/>
  <c r="AJ860" i="2"/>
  <c r="AH860" i="2"/>
  <c r="C860" i="2" a="1"/>
  <c r="C860" i="2"/>
  <c r="B860" i="2"/>
  <c r="A860" i="2"/>
  <c r="AL859" i="2"/>
  <c r="AJ859" i="2"/>
  <c r="AH859" i="2"/>
  <c r="C859" i="2" a="1"/>
  <c r="C859" i="2"/>
  <c r="B859" i="2"/>
  <c r="A859" i="2"/>
  <c r="AL858" i="2"/>
  <c r="AJ858" i="2"/>
  <c r="AH858" i="2"/>
  <c r="C858" i="2" a="1"/>
  <c r="C858" i="2"/>
  <c r="B858" i="2"/>
  <c r="A858" i="2"/>
  <c r="AL857" i="2"/>
  <c r="AJ857" i="2"/>
  <c r="AH857" i="2"/>
  <c r="C857" i="2" a="1"/>
  <c r="C857" i="2"/>
  <c r="B857" i="2"/>
  <c r="A857" i="2"/>
  <c r="AL856" i="2"/>
  <c r="AJ856" i="2"/>
  <c r="AH856" i="2"/>
  <c r="C856" i="2" a="1"/>
  <c r="C856" i="2"/>
  <c r="B856" i="2"/>
  <c r="A856" i="2"/>
  <c r="AL855" i="2"/>
  <c r="AJ855" i="2"/>
  <c r="AH855" i="2"/>
  <c r="C855" i="2" a="1"/>
  <c r="C855" i="2"/>
  <c r="B855" i="2"/>
  <c r="A855" i="2"/>
  <c r="AL854" i="2"/>
  <c r="AJ854" i="2"/>
  <c r="AH854" i="2"/>
  <c r="C854" i="2" a="1"/>
  <c r="C854" i="2"/>
  <c r="B854" i="2"/>
  <c r="A854" i="2"/>
  <c r="AL853" i="2"/>
  <c r="AJ853" i="2"/>
  <c r="AH853" i="2"/>
  <c r="C853" i="2" a="1"/>
  <c r="C853" i="2"/>
  <c r="B853" i="2"/>
  <c r="A853" i="2"/>
  <c r="AL852" i="2"/>
  <c r="AJ852" i="2"/>
  <c r="AH852" i="2"/>
  <c r="C852" i="2" a="1"/>
  <c r="C852" i="2"/>
  <c r="B852" i="2"/>
  <c r="A852" i="2"/>
  <c r="AL851" i="2"/>
  <c r="AJ851" i="2"/>
  <c r="AH851" i="2"/>
  <c r="C851" i="2" a="1"/>
  <c r="C851" i="2"/>
  <c r="B851" i="2"/>
  <c r="A851" i="2"/>
  <c r="AL850" i="2"/>
  <c r="AJ850" i="2"/>
  <c r="AH850" i="2"/>
  <c r="C850" i="2" a="1"/>
  <c r="C850" i="2"/>
  <c r="B850" i="2"/>
  <c r="A850" i="2"/>
  <c r="AL849" i="2"/>
  <c r="AJ849" i="2"/>
  <c r="AH849" i="2"/>
  <c r="C849" i="2" a="1"/>
  <c r="C849" i="2"/>
  <c r="B849" i="2"/>
  <c r="A849" i="2"/>
  <c r="AL848" i="2"/>
  <c r="AJ848" i="2"/>
  <c r="AH848" i="2"/>
  <c r="C848" i="2" a="1"/>
  <c r="C848" i="2"/>
  <c r="B848" i="2"/>
  <c r="A848" i="2"/>
  <c r="AL847" i="2"/>
  <c r="AJ847" i="2"/>
  <c r="AH847" i="2"/>
  <c r="C847" i="2" a="1"/>
  <c r="C847" i="2"/>
  <c r="B847" i="2"/>
  <c r="A847" i="2"/>
  <c r="AL846" i="2"/>
  <c r="AJ846" i="2"/>
  <c r="AH846" i="2"/>
  <c r="C846" i="2" a="1"/>
  <c r="C846" i="2"/>
  <c r="B846" i="2"/>
  <c r="A846" i="2"/>
  <c r="AL845" i="2"/>
  <c r="AJ845" i="2"/>
  <c r="AH845" i="2"/>
  <c r="C845" i="2" a="1"/>
  <c r="C845" i="2"/>
  <c r="B845" i="2"/>
  <c r="A845" i="2"/>
  <c r="AL844" i="2"/>
  <c r="AJ844" i="2"/>
  <c r="AH844" i="2"/>
  <c r="C844" i="2" a="1"/>
  <c r="C844" i="2"/>
  <c r="B844" i="2"/>
  <c r="A844" i="2"/>
  <c r="AL843" i="2"/>
  <c r="AJ843" i="2"/>
  <c r="AH843" i="2"/>
  <c r="C843" i="2" a="1"/>
  <c r="C843" i="2"/>
  <c r="B843" i="2"/>
  <c r="A843" i="2"/>
  <c r="AL842" i="2"/>
  <c r="AJ842" i="2"/>
  <c r="AH842" i="2"/>
  <c r="C842" i="2" a="1"/>
  <c r="C842" i="2"/>
  <c r="B842" i="2"/>
  <c r="A842" i="2"/>
  <c r="AL841" i="2"/>
  <c r="AJ841" i="2"/>
  <c r="AH841" i="2"/>
  <c r="C841" i="2" a="1"/>
  <c r="C841" i="2"/>
  <c r="B841" i="2"/>
  <c r="A841" i="2"/>
  <c r="AL840" i="2"/>
  <c r="AJ840" i="2"/>
  <c r="AH840" i="2"/>
  <c r="C840" i="2" a="1"/>
  <c r="C840" i="2"/>
  <c r="B840" i="2"/>
  <c r="A840" i="2"/>
  <c r="AL839" i="2"/>
  <c r="AJ839" i="2"/>
  <c r="AH839" i="2"/>
  <c r="C839" i="2" a="1"/>
  <c r="C839" i="2"/>
  <c r="B839" i="2"/>
  <c r="A839" i="2"/>
  <c r="AL838" i="2"/>
  <c r="AJ838" i="2"/>
  <c r="AH838" i="2"/>
  <c r="C838" i="2" a="1"/>
  <c r="C838" i="2"/>
  <c r="B838" i="2"/>
  <c r="A838" i="2"/>
  <c r="AL837" i="2"/>
  <c r="AJ837" i="2"/>
  <c r="AH837" i="2"/>
  <c r="C837" i="2" a="1"/>
  <c r="C837" i="2"/>
  <c r="B837" i="2"/>
  <c r="A837" i="2"/>
  <c r="AL836" i="2"/>
  <c r="AJ836" i="2"/>
  <c r="AH836" i="2"/>
  <c r="C836" i="2" a="1"/>
  <c r="C836" i="2"/>
  <c r="B836" i="2"/>
  <c r="A836" i="2"/>
  <c r="AL835" i="2"/>
  <c r="AJ835" i="2"/>
  <c r="AH835" i="2"/>
  <c r="C835" i="2" a="1"/>
  <c r="C835" i="2"/>
  <c r="B835" i="2"/>
  <c r="A835" i="2"/>
  <c r="AL834" i="2"/>
  <c r="AJ834" i="2"/>
  <c r="AH834" i="2"/>
  <c r="C834" i="2" a="1"/>
  <c r="C834" i="2"/>
  <c r="B834" i="2"/>
  <c r="A834" i="2"/>
  <c r="AL833" i="2"/>
  <c r="AJ833" i="2"/>
  <c r="AH833" i="2"/>
  <c r="C833" i="2" a="1"/>
  <c r="C833" i="2"/>
  <c r="B833" i="2"/>
  <c r="A833" i="2"/>
  <c r="AL832" i="2"/>
  <c r="AJ832" i="2"/>
  <c r="AH832" i="2"/>
  <c r="C832" i="2" a="1"/>
  <c r="C832" i="2"/>
  <c r="B832" i="2"/>
  <c r="A832" i="2"/>
  <c r="AL831" i="2"/>
  <c r="AJ831" i="2"/>
  <c r="AH831" i="2"/>
  <c r="C831" i="2" a="1"/>
  <c r="C831" i="2"/>
  <c r="B831" i="2"/>
  <c r="A831" i="2"/>
  <c r="AL830" i="2"/>
  <c r="AJ830" i="2"/>
  <c r="AH830" i="2"/>
  <c r="C830" i="2" a="1"/>
  <c r="C830" i="2"/>
  <c r="B830" i="2"/>
  <c r="A830" i="2"/>
  <c r="AL829" i="2"/>
  <c r="AJ829" i="2"/>
  <c r="AH829" i="2"/>
  <c r="C829" i="2" a="1"/>
  <c r="C829" i="2"/>
  <c r="B829" i="2"/>
  <c r="A829" i="2"/>
  <c r="AL828" i="2"/>
  <c r="AJ828" i="2"/>
  <c r="AH828" i="2"/>
  <c r="C828" i="2" a="1"/>
  <c r="C828" i="2"/>
  <c r="B828" i="2"/>
  <c r="A828" i="2"/>
  <c r="AL827" i="2"/>
  <c r="AJ827" i="2"/>
  <c r="AH827" i="2"/>
  <c r="C827" i="2" a="1"/>
  <c r="C827" i="2"/>
  <c r="B827" i="2"/>
  <c r="A827" i="2"/>
  <c r="AL826" i="2"/>
  <c r="AJ826" i="2"/>
  <c r="AH826" i="2"/>
  <c r="C826" i="2" a="1"/>
  <c r="C826" i="2"/>
  <c r="B826" i="2"/>
  <c r="A826" i="2"/>
  <c r="AL825" i="2"/>
  <c r="AJ825" i="2"/>
  <c r="AH825" i="2"/>
  <c r="C825" i="2" a="1"/>
  <c r="C825" i="2"/>
  <c r="B825" i="2"/>
  <c r="A825" i="2"/>
  <c r="AL824" i="2"/>
  <c r="AJ824" i="2"/>
  <c r="AH824" i="2"/>
  <c r="C824" i="2" a="1"/>
  <c r="C824" i="2"/>
  <c r="B824" i="2"/>
  <c r="A824" i="2"/>
  <c r="AL823" i="2"/>
  <c r="AJ823" i="2"/>
  <c r="AH823" i="2"/>
  <c r="C823" i="2" a="1"/>
  <c r="C823" i="2"/>
  <c r="B823" i="2"/>
  <c r="A823" i="2"/>
  <c r="AL822" i="2"/>
  <c r="AJ822" i="2"/>
  <c r="AH822" i="2"/>
  <c r="C822" i="2" a="1"/>
  <c r="C822" i="2"/>
  <c r="B822" i="2"/>
  <c r="A822" i="2"/>
  <c r="AL821" i="2"/>
  <c r="AJ821" i="2"/>
  <c r="AH821" i="2"/>
  <c r="C821" i="2" a="1"/>
  <c r="C821" i="2"/>
  <c r="B821" i="2"/>
  <c r="A821" i="2"/>
  <c r="AL820" i="2"/>
  <c r="AJ820" i="2"/>
  <c r="AH820" i="2"/>
  <c r="C820" i="2" a="1"/>
  <c r="C820" i="2"/>
  <c r="B820" i="2"/>
  <c r="A820" i="2"/>
  <c r="AL819" i="2"/>
  <c r="AJ819" i="2"/>
  <c r="AH819" i="2"/>
  <c r="C819" i="2" a="1"/>
  <c r="C819" i="2"/>
  <c r="B819" i="2"/>
  <c r="A819" i="2"/>
  <c r="AL818" i="2"/>
  <c r="AJ818" i="2"/>
  <c r="AH818" i="2"/>
  <c r="C818" i="2" a="1"/>
  <c r="C818" i="2"/>
  <c r="B818" i="2"/>
  <c r="A818" i="2"/>
  <c r="AL817" i="2"/>
  <c r="AJ817" i="2"/>
  <c r="AH817" i="2"/>
  <c r="C817" i="2" a="1"/>
  <c r="C817" i="2"/>
  <c r="B817" i="2"/>
  <c r="A817" i="2"/>
  <c r="AL816" i="2"/>
  <c r="AJ816" i="2"/>
  <c r="AH816" i="2"/>
  <c r="C816" i="2" a="1"/>
  <c r="C816" i="2"/>
  <c r="B816" i="2"/>
  <c r="A816" i="2"/>
  <c r="AL815" i="2"/>
  <c r="AJ815" i="2"/>
  <c r="AH815" i="2"/>
  <c r="C815" i="2" a="1"/>
  <c r="C815" i="2"/>
  <c r="B815" i="2"/>
  <c r="A815" i="2"/>
  <c r="AL814" i="2"/>
  <c r="AJ814" i="2"/>
  <c r="AH814" i="2"/>
  <c r="C814" i="2" a="1"/>
  <c r="C814" i="2"/>
  <c r="B814" i="2"/>
  <c r="A814" i="2"/>
  <c r="AL813" i="2"/>
  <c r="AJ813" i="2"/>
  <c r="AH813" i="2"/>
  <c r="C813" i="2" a="1"/>
  <c r="C813" i="2"/>
  <c r="B813" i="2"/>
  <c r="A813" i="2"/>
  <c r="AL812" i="2"/>
  <c r="AJ812" i="2"/>
  <c r="AH812" i="2"/>
  <c r="C812" i="2" a="1"/>
  <c r="C812" i="2"/>
  <c r="B812" i="2"/>
  <c r="A812" i="2"/>
  <c r="AL811" i="2"/>
  <c r="AJ811" i="2"/>
  <c r="AH811" i="2"/>
  <c r="C811" i="2" a="1"/>
  <c r="C811" i="2"/>
  <c r="B811" i="2"/>
  <c r="A811" i="2"/>
  <c r="AL810" i="2"/>
  <c r="AJ810" i="2"/>
  <c r="AH810" i="2"/>
  <c r="C810" i="2" a="1"/>
  <c r="C810" i="2"/>
  <c r="B810" i="2"/>
  <c r="A810" i="2"/>
  <c r="AL809" i="2"/>
  <c r="AJ809" i="2"/>
  <c r="AH809" i="2"/>
  <c r="C809" i="2" a="1"/>
  <c r="C809" i="2"/>
  <c r="B809" i="2"/>
  <c r="A809" i="2"/>
  <c r="AL808" i="2"/>
  <c r="AJ808" i="2"/>
  <c r="AH808" i="2"/>
  <c r="C808" i="2" a="1"/>
  <c r="C808" i="2"/>
  <c r="B808" i="2"/>
  <c r="A808" i="2"/>
  <c r="AL807" i="2"/>
  <c r="AJ807" i="2"/>
  <c r="AH807" i="2"/>
  <c r="C807" i="2" a="1"/>
  <c r="C807" i="2"/>
  <c r="B807" i="2"/>
  <c r="A807" i="2"/>
  <c r="AL806" i="2"/>
  <c r="AJ806" i="2"/>
  <c r="AH806" i="2"/>
  <c r="C806" i="2" a="1"/>
  <c r="C806" i="2"/>
  <c r="B806" i="2"/>
  <c r="A806" i="2"/>
  <c r="AL805" i="2"/>
  <c r="AJ805" i="2"/>
  <c r="AH805" i="2"/>
  <c r="C805" i="2" a="1"/>
  <c r="C805" i="2"/>
  <c r="B805" i="2"/>
  <c r="A805" i="2"/>
  <c r="AL804" i="2"/>
  <c r="AJ804" i="2"/>
  <c r="AH804" i="2"/>
  <c r="C804" i="2" a="1"/>
  <c r="C804" i="2"/>
  <c r="B804" i="2"/>
  <c r="A804" i="2"/>
  <c r="AL803" i="2"/>
  <c r="AJ803" i="2"/>
  <c r="AH803" i="2"/>
  <c r="C803" i="2" a="1"/>
  <c r="C803" i="2"/>
  <c r="B803" i="2"/>
  <c r="A803" i="2"/>
  <c r="AL802" i="2"/>
  <c r="AJ802" i="2"/>
  <c r="AH802" i="2"/>
  <c r="C802" i="2" a="1"/>
  <c r="C802" i="2"/>
  <c r="B802" i="2"/>
  <c r="A802" i="2"/>
  <c r="AL801" i="2"/>
  <c r="AJ801" i="2"/>
  <c r="AH801" i="2"/>
  <c r="C801" i="2" a="1"/>
  <c r="C801" i="2"/>
  <c r="B801" i="2"/>
  <c r="A801" i="2"/>
  <c r="AL800" i="2"/>
  <c r="AJ800" i="2"/>
  <c r="AH800" i="2"/>
  <c r="C800" i="2" a="1"/>
  <c r="C800" i="2"/>
  <c r="B800" i="2"/>
  <c r="A800" i="2"/>
  <c r="AL799" i="2"/>
  <c r="AJ799" i="2"/>
  <c r="AH799" i="2"/>
  <c r="C799" i="2" a="1"/>
  <c r="C799" i="2"/>
  <c r="B799" i="2"/>
  <c r="A799" i="2"/>
  <c r="AL798" i="2"/>
  <c r="AJ798" i="2"/>
  <c r="AH798" i="2"/>
  <c r="C798" i="2" a="1"/>
  <c r="C798" i="2"/>
  <c r="B798" i="2"/>
  <c r="A798" i="2"/>
  <c r="AL797" i="2"/>
  <c r="AJ797" i="2"/>
  <c r="AH797" i="2"/>
  <c r="C797" i="2" a="1"/>
  <c r="C797" i="2"/>
  <c r="B797" i="2"/>
  <c r="A797" i="2"/>
  <c r="AL796" i="2"/>
  <c r="AJ796" i="2"/>
  <c r="AH796" i="2"/>
  <c r="C796" i="2" a="1"/>
  <c r="C796" i="2"/>
  <c r="B796" i="2"/>
  <c r="A796" i="2"/>
  <c r="AL795" i="2"/>
  <c r="AJ795" i="2"/>
  <c r="AH795" i="2"/>
  <c r="C795" i="2" a="1"/>
  <c r="C795" i="2"/>
  <c r="B795" i="2"/>
  <c r="A795" i="2"/>
  <c r="AL794" i="2"/>
  <c r="AJ794" i="2"/>
  <c r="AH794" i="2"/>
  <c r="C794" i="2" a="1"/>
  <c r="C794" i="2"/>
  <c r="B794" i="2"/>
  <c r="A794" i="2"/>
  <c r="AL793" i="2"/>
  <c r="AJ793" i="2"/>
  <c r="AH793" i="2"/>
  <c r="C793" i="2" a="1"/>
  <c r="C793" i="2"/>
  <c r="B793" i="2"/>
  <c r="A793" i="2"/>
  <c r="AL792" i="2"/>
  <c r="AJ792" i="2"/>
  <c r="AH792" i="2"/>
  <c r="C792" i="2" a="1"/>
  <c r="C792" i="2"/>
  <c r="B792" i="2"/>
  <c r="A792" i="2"/>
  <c r="AL791" i="2"/>
  <c r="AJ791" i="2"/>
  <c r="AH791" i="2"/>
  <c r="C791" i="2" a="1"/>
  <c r="C791" i="2"/>
  <c r="B791" i="2"/>
  <c r="A791" i="2"/>
  <c r="AL790" i="2"/>
  <c r="AJ790" i="2"/>
  <c r="AH790" i="2"/>
  <c r="C790" i="2" a="1"/>
  <c r="C790" i="2"/>
  <c r="B790" i="2"/>
  <c r="A790" i="2"/>
  <c r="AL789" i="2"/>
  <c r="AJ789" i="2"/>
  <c r="AH789" i="2"/>
  <c r="C789" i="2" a="1"/>
  <c r="C789" i="2"/>
  <c r="B789" i="2"/>
  <c r="A789" i="2"/>
  <c r="AL788" i="2"/>
  <c r="AJ788" i="2"/>
  <c r="AH788" i="2"/>
  <c r="C788" i="2" a="1"/>
  <c r="C788" i="2"/>
  <c r="B788" i="2"/>
  <c r="A788" i="2"/>
  <c r="AL787" i="2"/>
  <c r="AJ787" i="2"/>
  <c r="AH787" i="2"/>
  <c r="C787" i="2" a="1"/>
  <c r="C787" i="2"/>
  <c r="B787" i="2"/>
  <c r="A787" i="2"/>
  <c r="AL786" i="2"/>
  <c r="AJ786" i="2"/>
  <c r="AH786" i="2"/>
  <c r="C786" i="2" a="1"/>
  <c r="C786" i="2"/>
  <c r="B786" i="2"/>
  <c r="A786" i="2"/>
  <c r="AL785" i="2"/>
  <c r="AJ785" i="2"/>
  <c r="AH785" i="2"/>
  <c r="C785" i="2" a="1"/>
  <c r="C785" i="2"/>
  <c r="B785" i="2"/>
  <c r="A785" i="2"/>
  <c r="AL784" i="2"/>
  <c r="AJ784" i="2"/>
  <c r="AH784" i="2"/>
  <c r="C784" i="2" a="1"/>
  <c r="C784" i="2"/>
  <c r="B784" i="2"/>
  <c r="A784" i="2"/>
  <c r="AL783" i="2"/>
  <c r="AJ783" i="2"/>
  <c r="AH783" i="2"/>
  <c r="C783" i="2" a="1"/>
  <c r="C783" i="2"/>
  <c r="B783" i="2"/>
  <c r="A783" i="2"/>
  <c r="AL782" i="2"/>
  <c r="AJ782" i="2"/>
  <c r="AH782" i="2"/>
  <c r="C782" i="2" a="1"/>
  <c r="C782" i="2"/>
  <c r="B782" i="2"/>
  <c r="A782" i="2"/>
  <c r="AL781" i="2"/>
  <c r="AJ781" i="2"/>
  <c r="AH781" i="2"/>
  <c r="C781" i="2" a="1"/>
  <c r="C781" i="2"/>
  <c r="B781" i="2"/>
  <c r="A781" i="2"/>
  <c r="AL780" i="2"/>
  <c r="AJ780" i="2"/>
  <c r="AH780" i="2"/>
  <c r="C780" i="2" a="1"/>
  <c r="C780" i="2"/>
  <c r="B780" i="2"/>
  <c r="A780" i="2"/>
  <c r="AL779" i="2"/>
  <c r="AJ779" i="2"/>
  <c r="AH779" i="2"/>
  <c r="C779" i="2" a="1"/>
  <c r="C779" i="2"/>
  <c r="B779" i="2"/>
  <c r="A779" i="2"/>
  <c r="AL778" i="2"/>
  <c r="AJ778" i="2"/>
  <c r="AH778" i="2"/>
  <c r="C778" i="2" a="1"/>
  <c r="C778" i="2"/>
  <c r="B778" i="2"/>
  <c r="A778" i="2"/>
  <c r="AL777" i="2"/>
  <c r="AJ777" i="2"/>
  <c r="AH777" i="2"/>
  <c r="C777" i="2" a="1"/>
  <c r="C777" i="2"/>
  <c r="B777" i="2"/>
  <c r="A777" i="2"/>
  <c r="AL776" i="2"/>
  <c r="AJ776" i="2"/>
  <c r="AH776" i="2"/>
  <c r="C776" i="2" a="1"/>
  <c r="C776" i="2"/>
  <c r="B776" i="2"/>
  <c r="A776" i="2"/>
  <c r="AL775" i="2"/>
  <c r="AJ775" i="2"/>
  <c r="AH775" i="2"/>
  <c r="C775" i="2" a="1"/>
  <c r="C775" i="2"/>
  <c r="B775" i="2"/>
  <c r="A775" i="2"/>
  <c r="AL774" i="2"/>
  <c r="AJ774" i="2"/>
  <c r="AH774" i="2"/>
  <c r="C774" i="2" a="1"/>
  <c r="C774" i="2"/>
  <c r="B774" i="2"/>
  <c r="A774" i="2"/>
  <c r="AL773" i="2"/>
  <c r="AJ773" i="2"/>
  <c r="AH773" i="2"/>
  <c r="C773" i="2" a="1"/>
  <c r="C773" i="2"/>
  <c r="B773" i="2"/>
  <c r="A773" i="2"/>
  <c r="AL772" i="2"/>
  <c r="AJ772" i="2"/>
  <c r="AH772" i="2"/>
  <c r="C772" i="2" a="1"/>
  <c r="C772" i="2"/>
  <c r="B772" i="2"/>
  <c r="A772" i="2"/>
  <c r="AL771" i="2"/>
  <c r="AJ771" i="2"/>
  <c r="AH771" i="2"/>
  <c r="C771" i="2" a="1"/>
  <c r="C771" i="2"/>
  <c r="B771" i="2"/>
  <c r="A771" i="2"/>
  <c r="AL770" i="2"/>
  <c r="AJ770" i="2"/>
  <c r="AH770" i="2"/>
  <c r="C770" i="2" a="1"/>
  <c r="C770" i="2"/>
  <c r="B770" i="2"/>
  <c r="A770" i="2"/>
  <c r="AL769" i="2"/>
  <c r="AJ769" i="2"/>
  <c r="AH769" i="2"/>
  <c r="C769" i="2" a="1"/>
  <c r="C769" i="2"/>
  <c r="B769" i="2"/>
  <c r="A769" i="2"/>
  <c r="AL768" i="2"/>
  <c r="AJ768" i="2"/>
  <c r="AH768" i="2"/>
  <c r="C768" i="2" a="1"/>
  <c r="C768" i="2"/>
  <c r="B768" i="2"/>
  <c r="A768" i="2"/>
  <c r="AL767" i="2"/>
  <c r="AJ767" i="2"/>
  <c r="AH767" i="2"/>
  <c r="C767" i="2" a="1"/>
  <c r="C767" i="2"/>
  <c r="B767" i="2"/>
  <c r="A767" i="2"/>
  <c r="AL766" i="2"/>
  <c r="AJ766" i="2"/>
  <c r="AH766" i="2"/>
  <c r="C766" i="2" a="1"/>
  <c r="C766" i="2"/>
  <c r="B766" i="2"/>
  <c r="A766" i="2"/>
  <c r="AL765" i="2"/>
  <c r="AJ765" i="2"/>
  <c r="AH765" i="2"/>
  <c r="C765" i="2" a="1"/>
  <c r="C765" i="2"/>
  <c r="B765" i="2"/>
  <c r="A765" i="2"/>
  <c r="AL764" i="2"/>
  <c r="AJ764" i="2"/>
  <c r="AH764" i="2"/>
  <c r="C764" i="2" a="1"/>
  <c r="C764" i="2"/>
  <c r="B764" i="2"/>
  <c r="A764" i="2"/>
  <c r="AL763" i="2"/>
  <c r="AJ763" i="2"/>
  <c r="AH763" i="2"/>
  <c r="C763" i="2" a="1"/>
  <c r="C763" i="2"/>
  <c r="B763" i="2"/>
  <c r="A763" i="2"/>
  <c r="AL762" i="2"/>
  <c r="AJ762" i="2"/>
  <c r="AH762" i="2"/>
  <c r="C762" i="2" a="1"/>
  <c r="C762" i="2"/>
  <c r="B762" i="2"/>
  <c r="A762" i="2"/>
  <c r="AL761" i="2"/>
  <c r="AJ761" i="2"/>
  <c r="AH761" i="2"/>
  <c r="C761" i="2" a="1"/>
  <c r="C761" i="2"/>
  <c r="B761" i="2"/>
  <c r="A761" i="2"/>
  <c r="AL760" i="2"/>
  <c r="AJ760" i="2"/>
  <c r="AH760" i="2"/>
  <c r="C760" i="2" a="1"/>
  <c r="C760" i="2"/>
  <c r="B760" i="2"/>
  <c r="A760" i="2"/>
  <c r="AL759" i="2"/>
  <c r="AJ759" i="2"/>
  <c r="AH759" i="2"/>
  <c r="C759" i="2" a="1"/>
  <c r="C759" i="2"/>
  <c r="B759" i="2"/>
  <c r="A759" i="2"/>
  <c r="AL758" i="2"/>
  <c r="AJ758" i="2"/>
  <c r="AH758" i="2"/>
  <c r="C758" i="2" a="1"/>
  <c r="C758" i="2"/>
  <c r="B758" i="2"/>
  <c r="A758" i="2"/>
  <c r="AL757" i="2"/>
  <c r="AJ757" i="2"/>
  <c r="AH757" i="2"/>
  <c r="C757" i="2" a="1"/>
  <c r="C757" i="2"/>
  <c r="B757" i="2"/>
  <c r="A757" i="2"/>
  <c r="AL756" i="2"/>
  <c r="AJ756" i="2"/>
  <c r="AH756" i="2"/>
  <c r="C756" i="2" a="1"/>
  <c r="C756" i="2"/>
  <c r="B756" i="2"/>
  <c r="A756" i="2"/>
  <c r="AL755" i="2"/>
  <c r="AJ755" i="2"/>
  <c r="AH755" i="2"/>
  <c r="C755" i="2" a="1"/>
  <c r="C755" i="2"/>
  <c r="B755" i="2"/>
  <c r="A755" i="2"/>
  <c r="AL754" i="2"/>
  <c r="AJ754" i="2"/>
  <c r="AH754" i="2"/>
  <c r="C754" i="2" a="1"/>
  <c r="C754" i="2"/>
  <c r="B754" i="2"/>
  <c r="A754" i="2"/>
  <c r="AL753" i="2"/>
  <c r="AJ753" i="2"/>
  <c r="AH753" i="2"/>
  <c r="C753" i="2" a="1"/>
  <c r="C753" i="2"/>
  <c r="B753" i="2"/>
  <c r="A753" i="2"/>
  <c r="AL752" i="2"/>
  <c r="AJ752" i="2"/>
  <c r="AH752" i="2"/>
  <c r="C752" i="2" a="1"/>
  <c r="C752" i="2"/>
  <c r="B752" i="2"/>
  <c r="A752" i="2"/>
  <c r="AL751" i="2"/>
  <c r="AJ751" i="2"/>
  <c r="AH751" i="2"/>
  <c r="C751" i="2" a="1"/>
  <c r="C751" i="2"/>
  <c r="B751" i="2"/>
  <c r="A751" i="2"/>
  <c r="AL750" i="2"/>
  <c r="AJ750" i="2"/>
  <c r="AH750" i="2"/>
  <c r="C750" i="2" a="1"/>
  <c r="C750" i="2"/>
  <c r="B750" i="2"/>
  <c r="A750" i="2"/>
  <c r="AL749" i="2"/>
  <c r="AJ749" i="2"/>
  <c r="AH749" i="2"/>
  <c r="C749" i="2" a="1"/>
  <c r="C749" i="2"/>
  <c r="B749" i="2"/>
  <c r="A749" i="2"/>
  <c r="AL748" i="2"/>
  <c r="AJ748" i="2"/>
  <c r="AH748" i="2"/>
  <c r="C748" i="2" a="1"/>
  <c r="C748" i="2"/>
  <c r="B748" i="2"/>
  <c r="A748" i="2"/>
  <c r="AL747" i="2"/>
  <c r="AJ747" i="2"/>
  <c r="AH747" i="2"/>
  <c r="C747" i="2" a="1"/>
  <c r="C747" i="2"/>
  <c r="B747" i="2"/>
  <c r="A747" i="2"/>
  <c r="AL746" i="2"/>
  <c r="AJ746" i="2"/>
  <c r="AH746" i="2"/>
  <c r="C746" i="2" a="1"/>
  <c r="C746" i="2"/>
  <c r="B746" i="2"/>
  <c r="A746" i="2"/>
  <c r="AL745" i="2"/>
  <c r="AJ745" i="2"/>
  <c r="AH745" i="2"/>
  <c r="C745" i="2" a="1"/>
  <c r="C745" i="2"/>
  <c r="B745" i="2"/>
  <c r="A745" i="2"/>
  <c r="AL744" i="2"/>
  <c r="AJ744" i="2"/>
  <c r="AH744" i="2"/>
  <c r="C744" i="2" a="1"/>
  <c r="C744" i="2"/>
  <c r="B744" i="2"/>
  <c r="A744" i="2"/>
  <c r="AL743" i="2"/>
  <c r="AJ743" i="2"/>
  <c r="AH743" i="2"/>
  <c r="C743" i="2" a="1"/>
  <c r="C743" i="2"/>
  <c r="B743" i="2"/>
  <c r="A743" i="2"/>
  <c r="AL742" i="2"/>
  <c r="AJ742" i="2"/>
  <c r="AH742" i="2"/>
  <c r="C742" i="2" a="1"/>
  <c r="C742" i="2"/>
  <c r="B742" i="2"/>
  <c r="A742" i="2"/>
  <c r="AL741" i="2"/>
  <c r="AJ741" i="2"/>
  <c r="AH741" i="2"/>
  <c r="C741" i="2" a="1"/>
  <c r="C741" i="2"/>
  <c r="B741" i="2"/>
  <c r="A741" i="2"/>
  <c r="AL740" i="2"/>
  <c r="AJ740" i="2"/>
  <c r="AH740" i="2"/>
  <c r="C740" i="2" a="1"/>
  <c r="C740" i="2"/>
  <c r="B740" i="2"/>
  <c r="A740" i="2"/>
  <c r="AL739" i="2"/>
  <c r="AJ739" i="2"/>
  <c r="AH739" i="2"/>
  <c r="C739" i="2" a="1"/>
  <c r="C739" i="2"/>
  <c r="B739" i="2"/>
  <c r="A739" i="2"/>
  <c r="AL738" i="2"/>
  <c r="AJ738" i="2"/>
  <c r="AH738" i="2"/>
  <c r="C738" i="2" a="1"/>
  <c r="C738" i="2"/>
  <c r="B738" i="2"/>
  <c r="A738" i="2"/>
  <c r="AL737" i="2"/>
  <c r="AJ737" i="2"/>
  <c r="AH737" i="2"/>
  <c r="C737" i="2" a="1"/>
  <c r="C737" i="2"/>
  <c r="B737" i="2"/>
  <c r="A737" i="2"/>
  <c r="AL736" i="2"/>
  <c r="AJ736" i="2"/>
  <c r="AH736" i="2"/>
  <c r="C736" i="2" a="1"/>
  <c r="C736" i="2"/>
  <c r="B736" i="2"/>
  <c r="A736" i="2"/>
  <c r="AL735" i="2"/>
  <c r="AJ735" i="2"/>
  <c r="AH735" i="2"/>
  <c r="C735" i="2" a="1"/>
  <c r="C735" i="2"/>
  <c r="B735" i="2"/>
  <c r="A735" i="2"/>
  <c r="AL734" i="2"/>
  <c r="AJ734" i="2"/>
  <c r="AH734" i="2"/>
  <c r="C734" i="2" a="1"/>
  <c r="C734" i="2"/>
  <c r="B734" i="2"/>
  <c r="A734" i="2"/>
  <c r="AL733" i="2"/>
  <c r="AJ733" i="2"/>
  <c r="AH733" i="2"/>
  <c r="C733" i="2" a="1"/>
  <c r="C733" i="2"/>
  <c r="B733" i="2"/>
  <c r="A733" i="2"/>
  <c r="AL732" i="2"/>
  <c r="AJ732" i="2"/>
  <c r="AH732" i="2"/>
  <c r="C732" i="2" a="1"/>
  <c r="C732" i="2"/>
  <c r="B732" i="2"/>
  <c r="A732" i="2"/>
  <c r="AL731" i="2"/>
  <c r="AJ731" i="2"/>
  <c r="AH731" i="2"/>
  <c r="C731" i="2" a="1"/>
  <c r="C731" i="2"/>
  <c r="B731" i="2"/>
  <c r="A731" i="2"/>
  <c r="AL730" i="2"/>
  <c r="AJ730" i="2"/>
  <c r="AH730" i="2"/>
  <c r="C730" i="2" a="1"/>
  <c r="C730" i="2"/>
  <c r="B730" i="2"/>
  <c r="A730" i="2"/>
  <c r="AL729" i="2"/>
  <c r="AJ729" i="2"/>
  <c r="AH729" i="2"/>
  <c r="C729" i="2" a="1"/>
  <c r="C729" i="2"/>
  <c r="B729" i="2"/>
  <c r="A729" i="2"/>
  <c r="AL728" i="2"/>
  <c r="AJ728" i="2"/>
  <c r="AH728" i="2"/>
  <c r="C728" i="2" a="1"/>
  <c r="C728" i="2"/>
  <c r="B728" i="2"/>
  <c r="A728" i="2"/>
  <c r="AL727" i="2"/>
  <c r="AJ727" i="2"/>
  <c r="AH727" i="2"/>
  <c r="C727" i="2" a="1"/>
  <c r="C727" i="2"/>
  <c r="B727" i="2"/>
  <c r="A727" i="2"/>
  <c r="AL726" i="2"/>
  <c r="AJ726" i="2"/>
  <c r="AH726" i="2"/>
  <c r="C726" i="2" a="1"/>
  <c r="C726" i="2"/>
  <c r="B726" i="2"/>
  <c r="A726" i="2"/>
  <c r="AL725" i="2"/>
  <c r="AJ725" i="2"/>
  <c r="AH725" i="2"/>
  <c r="C725" i="2" a="1"/>
  <c r="C725" i="2"/>
  <c r="B725" i="2"/>
  <c r="A725" i="2"/>
  <c r="AL724" i="2"/>
  <c r="AJ724" i="2"/>
  <c r="AH724" i="2"/>
  <c r="C724" i="2" a="1"/>
  <c r="C724" i="2"/>
  <c r="B724" i="2"/>
  <c r="A724" i="2"/>
  <c r="AL723" i="2"/>
  <c r="AJ723" i="2"/>
  <c r="AH723" i="2"/>
  <c r="C723" i="2" a="1"/>
  <c r="C723" i="2"/>
  <c r="B723" i="2"/>
  <c r="A723" i="2"/>
  <c r="AL722" i="2"/>
  <c r="AJ722" i="2"/>
  <c r="AH722" i="2"/>
  <c r="C722" i="2" a="1"/>
  <c r="C722" i="2"/>
  <c r="B722" i="2"/>
  <c r="A722" i="2"/>
  <c r="AL721" i="2"/>
  <c r="AJ721" i="2"/>
  <c r="AH721" i="2"/>
  <c r="C721" i="2" a="1"/>
  <c r="C721" i="2"/>
  <c r="B721" i="2"/>
  <c r="A721" i="2"/>
  <c r="AL720" i="2"/>
  <c r="AJ720" i="2"/>
  <c r="AH720" i="2"/>
  <c r="C720" i="2" a="1"/>
  <c r="C720" i="2"/>
  <c r="B720" i="2"/>
  <c r="A720" i="2"/>
  <c r="AL719" i="2"/>
  <c r="AJ719" i="2"/>
  <c r="AH719" i="2"/>
  <c r="C719" i="2" a="1"/>
  <c r="C719" i="2"/>
  <c r="B719" i="2"/>
  <c r="A719" i="2"/>
  <c r="AL718" i="2"/>
  <c r="AJ718" i="2"/>
  <c r="AH718" i="2"/>
  <c r="C718" i="2" a="1"/>
  <c r="C718" i="2"/>
  <c r="B718" i="2"/>
  <c r="A718" i="2"/>
  <c r="AL717" i="2"/>
  <c r="AJ717" i="2"/>
  <c r="AH717" i="2"/>
  <c r="C717" i="2" a="1"/>
  <c r="C717" i="2"/>
  <c r="B717" i="2"/>
  <c r="A717" i="2"/>
  <c r="AL716" i="2"/>
  <c r="AJ716" i="2"/>
  <c r="AH716" i="2"/>
  <c r="C716" i="2" a="1"/>
  <c r="C716" i="2"/>
  <c r="B716" i="2"/>
  <c r="A716" i="2"/>
  <c r="AL715" i="2"/>
  <c r="AJ715" i="2"/>
  <c r="AH715" i="2"/>
  <c r="C715" i="2" a="1"/>
  <c r="C715" i="2"/>
  <c r="B715" i="2"/>
  <c r="A715" i="2"/>
  <c r="AL714" i="2"/>
  <c r="AJ714" i="2"/>
  <c r="AH714" i="2"/>
  <c r="C714" i="2" a="1"/>
  <c r="C714" i="2"/>
  <c r="B714" i="2"/>
  <c r="A714" i="2"/>
  <c r="AL713" i="2"/>
  <c r="AJ713" i="2"/>
  <c r="AH713" i="2"/>
  <c r="C713" i="2" a="1"/>
  <c r="C713" i="2"/>
  <c r="B713" i="2"/>
  <c r="A713" i="2"/>
  <c r="AL712" i="2"/>
  <c r="AJ712" i="2"/>
  <c r="AH712" i="2"/>
  <c r="C712" i="2" a="1"/>
  <c r="C712" i="2"/>
  <c r="B712" i="2"/>
  <c r="A712" i="2"/>
  <c r="AL711" i="2"/>
  <c r="AJ711" i="2"/>
  <c r="AH711" i="2"/>
  <c r="C711" i="2" a="1"/>
  <c r="C711" i="2"/>
  <c r="B711" i="2"/>
  <c r="A711" i="2"/>
  <c r="AL710" i="2"/>
  <c r="AJ710" i="2"/>
  <c r="AH710" i="2"/>
  <c r="C710" i="2" a="1"/>
  <c r="C710" i="2"/>
  <c r="B710" i="2"/>
  <c r="A710" i="2"/>
  <c r="AL709" i="2"/>
  <c r="AJ709" i="2"/>
  <c r="AH709" i="2"/>
  <c r="C709" i="2" a="1"/>
  <c r="C709" i="2"/>
  <c r="B709" i="2"/>
  <c r="A709" i="2"/>
  <c r="AL708" i="2"/>
  <c r="AJ708" i="2"/>
  <c r="AH708" i="2"/>
  <c r="C708" i="2" a="1"/>
  <c r="C708" i="2"/>
  <c r="B708" i="2"/>
  <c r="A708" i="2"/>
  <c r="AL707" i="2"/>
  <c r="AJ707" i="2"/>
  <c r="AH707" i="2"/>
  <c r="C707" i="2" a="1"/>
  <c r="C707" i="2"/>
  <c r="B707" i="2"/>
  <c r="A707" i="2"/>
  <c r="AL706" i="2"/>
  <c r="AJ706" i="2"/>
  <c r="AH706" i="2"/>
  <c r="C706" i="2" a="1"/>
  <c r="C706" i="2"/>
  <c r="B706" i="2"/>
  <c r="A706" i="2"/>
  <c r="AL705" i="2"/>
  <c r="AJ705" i="2"/>
  <c r="AH705" i="2"/>
  <c r="C705" i="2" a="1"/>
  <c r="C705" i="2"/>
  <c r="B705" i="2"/>
  <c r="A705" i="2"/>
  <c r="AL704" i="2"/>
  <c r="AJ704" i="2"/>
  <c r="AH704" i="2"/>
  <c r="C704" i="2" a="1"/>
  <c r="C704" i="2"/>
  <c r="B704" i="2"/>
  <c r="A704" i="2"/>
  <c r="AL703" i="2"/>
  <c r="AJ703" i="2"/>
  <c r="AH703" i="2"/>
  <c r="C703" i="2" a="1"/>
  <c r="C703" i="2"/>
  <c r="B703" i="2"/>
  <c r="A703" i="2"/>
  <c r="AL702" i="2"/>
  <c r="AJ702" i="2"/>
  <c r="AH702" i="2"/>
  <c r="C702" i="2" a="1"/>
  <c r="C702" i="2"/>
  <c r="B702" i="2"/>
  <c r="A702" i="2"/>
  <c r="AL701" i="2"/>
  <c r="AJ701" i="2"/>
  <c r="AH701" i="2"/>
  <c r="C701" i="2" a="1"/>
  <c r="C701" i="2"/>
  <c r="B701" i="2"/>
  <c r="A701" i="2"/>
  <c r="AL700" i="2"/>
  <c r="AJ700" i="2"/>
  <c r="AH700" i="2"/>
  <c r="C700" i="2" a="1"/>
  <c r="C700" i="2"/>
  <c r="B700" i="2"/>
  <c r="A700" i="2"/>
  <c r="AL699" i="2"/>
  <c r="AJ699" i="2"/>
  <c r="AH699" i="2"/>
  <c r="C699" i="2" a="1"/>
  <c r="C699" i="2"/>
  <c r="B699" i="2"/>
  <c r="A699" i="2"/>
  <c r="AL698" i="2"/>
  <c r="AJ698" i="2"/>
  <c r="AH698" i="2"/>
  <c r="C698" i="2" a="1"/>
  <c r="C698" i="2"/>
  <c r="B698" i="2"/>
  <c r="A698" i="2"/>
  <c r="AL697" i="2"/>
  <c r="AJ697" i="2"/>
  <c r="AH697" i="2"/>
  <c r="C697" i="2" a="1"/>
  <c r="C697" i="2"/>
  <c r="B697" i="2"/>
  <c r="A697" i="2"/>
  <c r="AL696" i="2"/>
  <c r="AJ696" i="2"/>
  <c r="AH696" i="2"/>
  <c r="C696" i="2" a="1"/>
  <c r="C696" i="2"/>
  <c r="B696" i="2"/>
  <c r="A696" i="2"/>
  <c r="AL695" i="2"/>
  <c r="AJ695" i="2"/>
  <c r="AH695" i="2"/>
  <c r="C695" i="2" a="1"/>
  <c r="C695" i="2"/>
  <c r="B695" i="2"/>
  <c r="A695" i="2"/>
  <c r="AL694" i="2"/>
  <c r="AJ694" i="2"/>
  <c r="AH694" i="2"/>
  <c r="C694" i="2" a="1"/>
  <c r="C694" i="2"/>
  <c r="B694" i="2"/>
  <c r="A694" i="2"/>
  <c r="AL693" i="2"/>
  <c r="AJ693" i="2"/>
  <c r="AH693" i="2"/>
  <c r="C693" i="2" a="1"/>
  <c r="C693" i="2"/>
  <c r="B693" i="2"/>
  <c r="A693" i="2"/>
  <c r="AL692" i="2"/>
  <c r="AJ692" i="2"/>
  <c r="AH692" i="2"/>
  <c r="C692" i="2" a="1"/>
  <c r="C692" i="2"/>
  <c r="B692" i="2"/>
  <c r="A692" i="2"/>
  <c r="AL691" i="2"/>
  <c r="AJ691" i="2"/>
  <c r="AH691" i="2"/>
  <c r="C691" i="2" a="1"/>
  <c r="C691" i="2"/>
  <c r="B691" i="2"/>
  <c r="A691" i="2"/>
  <c r="AL690" i="2"/>
  <c r="AJ690" i="2"/>
  <c r="AH690" i="2"/>
  <c r="C690" i="2" a="1"/>
  <c r="C690" i="2"/>
  <c r="B690" i="2"/>
  <c r="A690" i="2"/>
  <c r="AL689" i="2"/>
  <c r="AJ689" i="2"/>
  <c r="AH689" i="2"/>
  <c r="C689" i="2" a="1"/>
  <c r="C689" i="2"/>
  <c r="B689" i="2"/>
  <c r="A689" i="2"/>
  <c r="AL688" i="2"/>
  <c r="AJ688" i="2"/>
  <c r="AH688" i="2"/>
  <c r="C688" i="2" a="1"/>
  <c r="C688" i="2"/>
  <c r="B688" i="2"/>
  <c r="A688" i="2"/>
  <c r="AL687" i="2"/>
  <c r="AJ687" i="2"/>
  <c r="AH687" i="2"/>
  <c r="C687" i="2" a="1"/>
  <c r="C687" i="2"/>
  <c r="B687" i="2"/>
  <c r="A687" i="2"/>
  <c r="AL686" i="2"/>
  <c r="AJ686" i="2"/>
  <c r="AH686" i="2"/>
  <c r="C686" i="2" a="1"/>
  <c r="C686" i="2"/>
  <c r="B686" i="2"/>
  <c r="A686" i="2"/>
  <c r="AL685" i="2"/>
  <c r="AJ685" i="2"/>
  <c r="AH685" i="2"/>
  <c r="C685" i="2" a="1"/>
  <c r="C685" i="2"/>
  <c r="B685" i="2"/>
  <c r="A685" i="2"/>
  <c r="AL684" i="2"/>
  <c r="AJ684" i="2"/>
  <c r="AH684" i="2"/>
  <c r="C684" i="2" a="1"/>
  <c r="C684" i="2"/>
  <c r="B684" i="2"/>
  <c r="A684" i="2"/>
  <c r="AL683" i="2"/>
  <c r="AJ683" i="2"/>
  <c r="AH683" i="2"/>
  <c r="C683" i="2" a="1"/>
  <c r="C683" i="2"/>
  <c r="B683" i="2"/>
  <c r="A683" i="2"/>
  <c r="AL682" i="2"/>
  <c r="AJ682" i="2"/>
  <c r="AH682" i="2"/>
  <c r="C682" i="2" a="1"/>
  <c r="C682" i="2"/>
  <c r="B682" i="2"/>
  <c r="A682" i="2"/>
  <c r="AL681" i="2"/>
  <c r="AJ681" i="2"/>
  <c r="AH681" i="2"/>
  <c r="C681" i="2" a="1"/>
  <c r="C681" i="2"/>
  <c r="B681" i="2"/>
  <c r="A681" i="2"/>
  <c r="AL680" i="2"/>
  <c r="AJ680" i="2"/>
  <c r="AH680" i="2"/>
  <c r="C680" i="2" a="1"/>
  <c r="C680" i="2"/>
  <c r="B680" i="2"/>
  <c r="A680" i="2"/>
  <c r="AL679" i="2"/>
  <c r="AJ679" i="2"/>
  <c r="AH679" i="2"/>
  <c r="C679" i="2" a="1"/>
  <c r="C679" i="2"/>
  <c r="B679" i="2"/>
  <c r="A679" i="2"/>
  <c r="AL678" i="2"/>
  <c r="AJ678" i="2"/>
  <c r="AH678" i="2"/>
  <c r="C678" i="2" a="1"/>
  <c r="C678" i="2"/>
  <c r="B678" i="2"/>
  <c r="A678" i="2"/>
  <c r="AL677" i="2"/>
  <c r="AJ677" i="2"/>
  <c r="AH677" i="2"/>
  <c r="C677" i="2" a="1"/>
  <c r="C677" i="2"/>
  <c r="B677" i="2"/>
  <c r="A677" i="2"/>
  <c r="AL676" i="2"/>
  <c r="AJ676" i="2"/>
  <c r="AH676" i="2"/>
  <c r="C676" i="2" a="1"/>
  <c r="C676" i="2"/>
  <c r="B676" i="2"/>
  <c r="A676" i="2"/>
  <c r="AL675" i="2"/>
  <c r="AJ675" i="2"/>
  <c r="AH675" i="2"/>
  <c r="C675" i="2" a="1"/>
  <c r="C675" i="2"/>
  <c r="B675" i="2"/>
  <c r="A675" i="2"/>
  <c r="AL674" i="2"/>
  <c r="AJ674" i="2"/>
  <c r="AH674" i="2"/>
  <c r="C674" i="2" a="1"/>
  <c r="C674" i="2"/>
  <c r="B674" i="2"/>
  <c r="A674" i="2"/>
  <c r="AL673" i="2"/>
  <c r="AJ673" i="2"/>
  <c r="AH673" i="2"/>
  <c r="C673" i="2" a="1"/>
  <c r="C673" i="2"/>
  <c r="B673" i="2"/>
  <c r="A673" i="2"/>
  <c r="AL672" i="2"/>
  <c r="AJ672" i="2"/>
  <c r="AH672" i="2"/>
  <c r="C672" i="2" a="1"/>
  <c r="C672" i="2"/>
  <c r="B672" i="2"/>
  <c r="A672" i="2"/>
  <c r="AL671" i="2"/>
  <c r="AJ671" i="2"/>
  <c r="AH671" i="2"/>
  <c r="C671" i="2" a="1"/>
  <c r="C671" i="2"/>
  <c r="B671" i="2"/>
  <c r="A671" i="2"/>
  <c r="AL670" i="2"/>
  <c r="AJ670" i="2"/>
  <c r="AH670" i="2"/>
  <c r="C670" i="2" a="1"/>
  <c r="C670" i="2"/>
  <c r="B670" i="2"/>
  <c r="A670" i="2"/>
  <c r="AL669" i="2"/>
  <c r="AJ669" i="2"/>
  <c r="AH669" i="2"/>
  <c r="C669" i="2" a="1"/>
  <c r="C669" i="2"/>
  <c r="B669" i="2"/>
  <c r="A669" i="2"/>
  <c r="AL668" i="2"/>
  <c r="AJ668" i="2"/>
  <c r="AH668" i="2"/>
  <c r="C668" i="2" a="1"/>
  <c r="C668" i="2"/>
  <c r="B668" i="2"/>
  <c r="A668" i="2"/>
  <c r="AL667" i="2"/>
  <c r="AJ667" i="2"/>
  <c r="AH667" i="2"/>
  <c r="C667" i="2" a="1"/>
  <c r="C667" i="2"/>
  <c r="B667" i="2"/>
  <c r="A667" i="2"/>
  <c r="AL666" i="2"/>
  <c r="AJ666" i="2"/>
  <c r="AH666" i="2"/>
  <c r="C666" i="2" a="1"/>
  <c r="C666" i="2"/>
  <c r="B666" i="2"/>
  <c r="A666" i="2"/>
  <c r="AL665" i="2"/>
  <c r="AJ665" i="2"/>
  <c r="AH665" i="2"/>
  <c r="C665" i="2" a="1"/>
  <c r="C665" i="2"/>
  <c r="B665" i="2"/>
  <c r="A665" i="2"/>
  <c r="AL664" i="2"/>
  <c r="AJ664" i="2"/>
  <c r="AH664" i="2"/>
  <c r="C664" i="2" a="1"/>
  <c r="C664" i="2"/>
  <c r="B664" i="2"/>
  <c r="A664" i="2"/>
  <c r="AL663" i="2"/>
  <c r="AJ663" i="2"/>
  <c r="AH663" i="2"/>
  <c r="C663" i="2" a="1"/>
  <c r="C663" i="2"/>
  <c r="B663" i="2"/>
  <c r="A663" i="2"/>
  <c r="AL662" i="2"/>
  <c r="AJ662" i="2"/>
  <c r="AH662" i="2"/>
  <c r="C662" i="2" a="1"/>
  <c r="C662" i="2"/>
  <c r="B662" i="2"/>
  <c r="A662" i="2"/>
  <c r="AL661" i="2"/>
  <c r="AJ661" i="2"/>
  <c r="AH661" i="2"/>
  <c r="C661" i="2" a="1"/>
  <c r="C661" i="2"/>
  <c r="B661" i="2"/>
  <c r="A661" i="2"/>
  <c r="AL660" i="2"/>
  <c r="AJ660" i="2"/>
  <c r="AH660" i="2"/>
  <c r="C660" i="2" a="1"/>
  <c r="C660" i="2"/>
  <c r="B660" i="2"/>
  <c r="A660" i="2"/>
  <c r="AL659" i="2"/>
  <c r="AJ659" i="2"/>
  <c r="AH659" i="2"/>
  <c r="C659" i="2" a="1"/>
  <c r="C659" i="2"/>
  <c r="B659" i="2"/>
  <c r="A659" i="2"/>
  <c r="AL658" i="2"/>
  <c r="AJ658" i="2"/>
  <c r="AH658" i="2"/>
  <c r="C658" i="2" a="1"/>
  <c r="C658" i="2"/>
  <c r="B658" i="2"/>
  <c r="A658" i="2"/>
  <c r="AL657" i="2"/>
  <c r="AJ657" i="2"/>
  <c r="AH657" i="2"/>
  <c r="C657" i="2" a="1"/>
  <c r="C657" i="2"/>
  <c r="B657" i="2"/>
  <c r="A657" i="2"/>
  <c r="AL656" i="2"/>
  <c r="AJ656" i="2"/>
  <c r="AH656" i="2"/>
  <c r="C656" i="2" a="1"/>
  <c r="C656" i="2"/>
  <c r="B656" i="2"/>
  <c r="A656" i="2"/>
  <c r="AL655" i="2"/>
  <c r="AJ655" i="2"/>
  <c r="AH655" i="2"/>
  <c r="C655" i="2" a="1"/>
  <c r="C655" i="2"/>
  <c r="B655" i="2"/>
  <c r="A655" i="2"/>
  <c r="AL654" i="2"/>
  <c r="AJ654" i="2"/>
  <c r="AH654" i="2"/>
  <c r="C654" i="2" a="1"/>
  <c r="C654" i="2"/>
  <c r="B654" i="2"/>
  <c r="A654" i="2"/>
  <c r="AL653" i="2"/>
  <c r="AJ653" i="2"/>
  <c r="AH653" i="2"/>
  <c r="C653" i="2" a="1"/>
  <c r="C653" i="2"/>
  <c r="B653" i="2"/>
  <c r="A653" i="2"/>
  <c r="AL652" i="2"/>
  <c r="AJ652" i="2"/>
  <c r="AH652" i="2"/>
  <c r="C652" i="2" a="1"/>
  <c r="C652" i="2"/>
  <c r="B652" i="2"/>
  <c r="A652" i="2"/>
  <c r="AL651" i="2"/>
  <c r="AJ651" i="2"/>
  <c r="AH651" i="2"/>
  <c r="C651" i="2" a="1"/>
  <c r="C651" i="2"/>
  <c r="B651" i="2"/>
  <c r="A651" i="2"/>
  <c r="AL650" i="2"/>
  <c r="AJ650" i="2"/>
  <c r="AH650" i="2"/>
  <c r="C650" i="2" a="1"/>
  <c r="C650" i="2"/>
  <c r="B650" i="2"/>
  <c r="A650" i="2"/>
  <c r="AL649" i="2"/>
  <c r="AJ649" i="2"/>
  <c r="AH649" i="2"/>
  <c r="C649" i="2" a="1"/>
  <c r="C649" i="2"/>
  <c r="B649" i="2"/>
  <c r="A649" i="2"/>
  <c r="AL648" i="2"/>
  <c r="AJ648" i="2"/>
  <c r="AH648" i="2"/>
  <c r="C648" i="2" a="1"/>
  <c r="C648" i="2"/>
  <c r="B648" i="2"/>
  <c r="A648" i="2"/>
  <c r="AL647" i="2"/>
  <c r="AJ647" i="2"/>
  <c r="AH647" i="2"/>
  <c r="C647" i="2" a="1"/>
  <c r="C647" i="2"/>
  <c r="B647" i="2"/>
  <c r="A647" i="2"/>
  <c r="AL646" i="2"/>
  <c r="AJ646" i="2"/>
  <c r="AH646" i="2"/>
  <c r="C646" i="2" a="1"/>
  <c r="C646" i="2"/>
  <c r="B646" i="2"/>
  <c r="A646" i="2"/>
  <c r="AL645" i="2"/>
  <c r="AJ645" i="2"/>
  <c r="AH645" i="2"/>
  <c r="C645" i="2" a="1"/>
  <c r="C645" i="2"/>
  <c r="B645" i="2"/>
  <c r="A645" i="2"/>
  <c r="AL644" i="2"/>
  <c r="AJ644" i="2"/>
  <c r="AH644" i="2"/>
  <c r="C644" i="2" a="1"/>
  <c r="C644" i="2"/>
  <c r="B644" i="2"/>
  <c r="A644" i="2"/>
  <c r="AL643" i="2"/>
  <c r="AJ643" i="2"/>
  <c r="AH643" i="2"/>
  <c r="C643" i="2" a="1"/>
  <c r="C643" i="2"/>
  <c r="B643" i="2"/>
  <c r="A643" i="2"/>
  <c r="AL642" i="2"/>
  <c r="AJ642" i="2"/>
  <c r="AH642" i="2"/>
  <c r="C642" i="2" a="1"/>
  <c r="C642" i="2"/>
  <c r="B642" i="2"/>
  <c r="A642" i="2"/>
  <c r="AL641" i="2"/>
  <c r="AJ641" i="2"/>
  <c r="AH641" i="2"/>
  <c r="C641" i="2" a="1"/>
  <c r="C641" i="2"/>
  <c r="B641" i="2"/>
  <c r="A641" i="2"/>
  <c r="AL640" i="2"/>
  <c r="AJ640" i="2"/>
  <c r="AH640" i="2"/>
  <c r="C640" i="2" a="1"/>
  <c r="C640" i="2"/>
  <c r="B640" i="2"/>
  <c r="A640" i="2"/>
  <c r="AL639" i="2"/>
  <c r="AJ639" i="2"/>
  <c r="AH639" i="2"/>
  <c r="C639" i="2" a="1"/>
  <c r="C639" i="2"/>
  <c r="B639" i="2"/>
  <c r="A639" i="2"/>
  <c r="AL638" i="2"/>
  <c r="AJ638" i="2"/>
  <c r="AH638" i="2"/>
  <c r="C638" i="2" a="1"/>
  <c r="C638" i="2"/>
  <c r="B638" i="2"/>
  <c r="A638" i="2"/>
  <c r="AL637" i="2"/>
  <c r="AJ637" i="2"/>
  <c r="AH637" i="2"/>
  <c r="C637" i="2" a="1"/>
  <c r="C637" i="2"/>
  <c r="B637" i="2"/>
  <c r="A637" i="2"/>
  <c r="AL636" i="2"/>
  <c r="AJ636" i="2"/>
  <c r="AH636" i="2"/>
  <c r="C636" i="2" a="1"/>
  <c r="C636" i="2"/>
  <c r="B636" i="2"/>
  <c r="A636" i="2"/>
  <c r="AL635" i="2"/>
  <c r="AJ635" i="2"/>
  <c r="AH635" i="2"/>
  <c r="C635" i="2" a="1"/>
  <c r="C635" i="2"/>
  <c r="B635" i="2"/>
  <c r="A635" i="2"/>
  <c r="AL634" i="2"/>
  <c r="AJ634" i="2"/>
  <c r="AH634" i="2"/>
  <c r="C634" i="2" a="1"/>
  <c r="C634" i="2"/>
  <c r="B634" i="2"/>
  <c r="A634" i="2"/>
  <c r="AL633" i="2"/>
  <c r="AJ633" i="2"/>
  <c r="AH633" i="2"/>
  <c r="C633" i="2" a="1"/>
  <c r="C633" i="2"/>
  <c r="B633" i="2"/>
  <c r="A633" i="2"/>
  <c r="AL632" i="2"/>
  <c r="AJ632" i="2"/>
  <c r="AH632" i="2"/>
  <c r="C632" i="2" a="1"/>
  <c r="C632" i="2"/>
  <c r="B632" i="2"/>
  <c r="A632" i="2"/>
  <c r="AL631" i="2"/>
  <c r="AJ631" i="2"/>
  <c r="AH631" i="2"/>
  <c r="C631" i="2" a="1"/>
  <c r="C631" i="2"/>
  <c r="B631" i="2"/>
  <c r="A631" i="2"/>
  <c r="AL630" i="2"/>
  <c r="AJ630" i="2"/>
  <c r="AH630" i="2"/>
  <c r="C630" i="2" a="1"/>
  <c r="C630" i="2"/>
  <c r="B630" i="2"/>
  <c r="A630" i="2"/>
  <c r="AL629" i="2"/>
  <c r="AJ629" i="2"/>
  <c r="AH629" i="2"/>
  <c r="C629" i="2" a="1"/>
  <c r="C629" i="2"/>
  <c r="B629" i="2"/>
  <c r="A629" i="2"/>
  <c r="AL628" i="2"/>
  <c r="AJ628" i="2"/>
  <c r="AH628" i="2"/>
  <c r="C628" i="2" a="1"/>
  <c r="C628" i="2"/>
  <c r="B628" i="2"/>
  <c r="A628" i="2"/>
  <c r="AL627" i="2"/>
  <c r="AJ627" i="2"/>
  <c r="AH627" i="2"/>
  <c r="C627" i="2" a="1"/>
  <c r="C627" i="2"/>
  <c r="B627" i="2"/>
  <c r="A627" i="2"/>
  <c r="AL626" i="2"/>
  <c r="AJ626" i="2"/>
  <c r="AH626" i="2"/>
  <c r="C626" i="2" a="1"/>
  <c r="C626" i="2"/>
  <c r="B626" i="2"/>
  <c r="A626" i="2"/>
  <c r="AL625" i="2"/>
  <c r="AJ625" i="2"/>
  <c r="AH625" i="2"/>
  <c r="C625" i="2" a="1"/>
  <c r="C625" i="2"/>
  <c r="B625" i="2"/>
  <c r="A625" i="2"/>
  <c r="AL624" i="2"/>
  <c r="AJ624" i="2"/>
  <c r="AH624" i="2"/>
  <c r="C624" i="2" a="1"/>
  <c r="C624" i="2"/>
  <c r="B624" i="2"/>
  <c r="A624" i="2"/>
  <c r="AL623" i="2"/>
  <c r="AJ623" i="2"/>
  <c r="AH623" i="2"/>
  <c r="C623" i="2" a="1"/>
  <c r="C623" i="2"/>
  <c r="B623" i="2"/>
  <c r="A623" i="2"/>
  <c r="AL622" i="2"/>
  <c r="AJ622" i="2"/>
  <c r="AH622" i="2"/>
  <c r="C622" i="2" a="1"/>
  <c r="C622" i="2"/>
  <c r="B622" i="2"/>
  <c r="A622" i="2"/>
  <c r="AL621" i="2"/>
  <c r="AJ621" i="2"/>
  <c r="AH621" i="2"/>
  <c r="C621" i="2" a="1"/>
  <c r="C621" i="2"/>
  <c r="B621" i="2"/>
  <c r="A621" i="2"/>
  <c r="AL620" i="2"/>
  <c r="AJ620" i="2"/>
  <c r="AH620" i="2"/>
  <c r="C620" i="2" a="1"/>
  <c r="C620" i="2"/>
  <c r="B620" i="2"/>
  <c r="A620" i="2"/>
  <c r="AL619" i="2"/>
  <c r="AJ619" i="2"/>
  <c r="AH619" i="2"/>
  <c r="C619" i="2" a="1"/>
  <c r="C619" i="2"/>
  <c r="B619" i="2"/>
  <c r="A619" i="2"/>
  <c r="AL618" i="2"/>
  <c r="AJ618" i="2"/>
  <c r="AH618" i="2"/>
  <c r="C618" i="2" a="1"/>
  <c r="C618" i="2"/>
  <c r="B618" i="2"/>
  <c r="A618" i="2"/>
  <c r="AL617" i="2"/>
  <c r="AJ617" i="2"/>
  <c r="AH617" i="2"/>
  <c r="C617" i="2" a="1"/>
  <c r="C617" i="2"/>
  <c r="B617" i="2"/>
  <c r="A617" i="2"/>
  <c r="AL616" i="2"/>
  <c r="AJ616" i="2"/>
  <c r="AH616" i="2"/>
  <c r="C616" i="2" a="1"/>
  <c r="C616" i="2"/>
  <c r="B616" i="2"/>
  <c r="A616" i="2"/>
  <c r="AL615" i="2"/>
  <c r="AJ615" i="2"/>
  <c r="AH615" i="2"/>
  <c r="C615" i="2" a="1"/>
  <c r="C615" i="2"/>
  <c r="B615" i="2"/>
  <c r="A615" i="2"/>
  <c r="AL614" i="2"/>
  <c r="AJ614" i="2"/>
  <c r="AH614" i="2"/>
  <c r="C614" i="2" a="1"/>
  <c r="C614" i="2"/>
  <c r="B614" i="2"/>
  <c r="A614" i="2"/>
  <c r="AL613" i="2"/>
  <c r="AJ613" i="2"/>
  <c r="AH613" i="2"/>
  <c r="C613" i="2" a="1"/>
  <c r="C613" i="2"/>
  <c r="B613" i="2"/>
  <c r="A613" i="2"/>
  <c r="AL612" i="2"/>
  <c r="AJ612" i="2"/>
  <c r="AH612" i="2"/>
  <c r="C612" i="2" a="1"/>
  <c r="C612" i="2"/>
  <c r="B612" i="2"/>
  <c r="A612" i="2"/>
  <c r="AL611" i="2"/>
  <c r="AJ611" i="2"/>
  <c r="AH611" i="2"/>
  <c r="C611" i="2" a="1"/>
  <c r="C611" i="2"/>
  <c r="B611" i="2"/>
  <c r="A611" i="2"/>
  <c r="AL610" i="2"/>
  <c r="AJ610" i="2"/>
  <c r="AH610" i="2"/>
  <c r="C610" i="2" a="1"/>
  <c r="C610" i="2"/>
  <c r="B610" i="2"/>
  <c r="A610" i="2"/>
  <c r="AL609" i="2"/>
  <c r="AJ609" i="2"/>
  <c r="AH609" i="2"/>
  <c r="C609" i="2" a="1"/>
  <c r="C609" i="2"/>
  <c r="B609" i="2"/>
  <c r="A609" i="2"/>
  <c r="AL608" i="2"/>
  <c r="AJ608" i="2"/>
  <c r="AH608" i="2"/>
  <c r="C608" i="2" a="1"/>
  <c r="C608" i="2"/>
  <c r="B608" i="2"/>
  <c r="A608" i="2"/>
  <c r="AL607" i="2"/>
  <c r="AJ607" i="2"/>
  <c r="AH607" i="2"/>
  <c r="C607" i="2" a="1"/>
  <c r="C607" i="2"/>
  <c r="B607" i="2"/>
  <c r="A607" i="2"/>
  <c r="AL606" i="2"/>
  <c r="AJ606" i="2"/>
  <c r="AH606" i="2"/>
  <c r="C606" i="2" a="1"/>
  <c r="C606" i="2"/>
  <c r="B606" i="2"/>
  <c r="A606" i="2"/>
  <c r="AL605" i="2"/>
  <c r="AJ605" i="2"/>
  <c r="AH605" i="2"/>
  <c r="C605" i="2" a="1"/>
  <c r="C605" i="2"/>
  <c r="B605" i="2"/>
  <c r="A605" i="2"/>
  <c r="AL604" i="2"/>
  <c r="AJ604" i="2"/>
  <c r="AH604" i="2"/>
  <c r="C604" i="2" a="1"/>
  <c r="C604" i="2"/>
  <c r="B604" i="2"/>
  <c r="A604" i="2"/>
  <c r="AL603" i="2"/>
  <c r="AJ603" i="2"/>
  <c r="AH603" i="2"/>
  <c r="C603" i="2" a="1"/>
  <c r="C603" i="2"/>
  <c r="B603" i="2"/>
  <c r="A603" i="2"/>
  <c r="AL602" i="2"/>
  <c r="AJ602" i="2"/>
  <c r="AH602" i="2"/>
  <c r="C602" i="2" a="1"/>
  <c r="C602" i="2"/>
  <c r="B602" i="2"/>
  <c r="A602" i="2"/>
  <c r="AL601" i="2"/>
  <c r="AJ601" i="2"/>
  <c r="AH601" i="2"/>
  <c r="C601" i="2" a="1"/>
  <c r="C601" i="2"/>
  <c r="B601" i="2"/>
  <c r="A601" i="2"/>
  <c r="AL600" i="2"/>
  <c r="AJ600" i="2"/>
  <c r="AH600" i="2"/>
  <c r="C600" i="2" a="1"/>
  <c r="C600" i="2"/>
  <c r="B600" i="2"/>
  <c r="A600" i="2"/>
  <c r="AL599" i="2"/>
  <c r="AJ599" i="2"/>
  <c r="AH599" i="2"/>
  <c r="C599" i="2" a="1"/>
  <c r="C599" i="2"/>
  <c r="B599" i="2"/>
  <c r="A599" i="2"/>
  <c r="AL598" i="2"/>
  <c r="AJ598" i="2"/>
  <c r="AH598" i="2"/>
  <c r="C598" i="2" a="1"/>
  <c r="C598" i="2"/>
  <c r="B598" i="2"/>
  <c r="A598" i="2"/>
  <c r="AL597" i="2"/>
  <c r="AJ597" i="2"/>
  <c r="AH597" i="2"/>
  <c r="C597" i="2" a="1"/>
  <c r="C597" i="2"/>
  <c r="B597" i="2"/>
  <c r="A597" i="2"/>
  <c r="AL596" i="2"/>
  <c r="AJ596" i="2"/>
  <c r="AH596" i="2"/>
  <c r="C596" i="2" a="1"/>
  <c r="C596" i="2"/>
  <c r="B596" i="2"/>
  <c r="A596" i="2"/>
  <c r="AL595" i="2"/>
  <c r="AJ595" i="2"/>
  <c r="AH595" i="2"/>
  <c r="C595" i="2" a="1"/>
  <c r="C595" i="2"/>
  <c r="B595" i="2"/>
  <c r="A595" i="2"/>
  <c r="AL594" i="2"/>
  <c r="AJ594" i="2"/>
  <c r="AH594" i="2"/>
  <c r="C594" i="2" a="1"/>
  <c r="C594" i="2"/>
  <c r="B594" i="2"/>
  <c r="A594" i="2"/>
  <c r="AL593" i="2"/>
  <c r="AJ593" i="2"/>
  <c r="AH593" i="2"/>
  <c r="C593" i="2" a="1"/>
  <c r="C593" i="2"/>
  <c r="B593" i="2"/>
  <c r="A593" i="2"/>
  <c r="AL592" i="2"/>
  <c r="AJ592" i="2"/>
  <c r="AH592" i="2"/>
  <c r="C592" i="2" a="1"/>
  <c r="C592" i="2"/>
  <c r="B592" i="2"/>
  <c r="A592" i="2"/>
  <c r="AL591" i="2"/>
  <c r="AJ591" i="2"/>
  <c r="AH591" i="2"/>
  <c r="C591" i="2" a="1"/>
  <c r="C591" i="2"/>
  <c r="B591" i="2"/>
  <c r="A591" i="2"/>
  <c r="AL590" i="2"/>
  <c r="AJ590" i="2"/>
  <c r="AH590" i="2"/>
  <c r="C590" i="2" a="1"/>
  <c r="C590" i="2"/>
  <c r="B590" i="2"/>
  <c r="A590" i="2"/>
  <c r="AL589" i="2"/>
  <c r="AJ589" i="2"/>
  <c r="AH589" i="2"/>
  <c r="C589" i="2" a="1"/>
  <c r="C589" i="2"/>
  <c r="B589" i="2"/>
  <c r="A589" i="2"/>
  <c r="AL588" i="2"/>
  <c r="AJ588" i="2"/>
  <c r="AH588" i="2"/>
  <c r="C588" i="2" a="1"/>
  <c r="C588" i="2"/>
  <c r="B588" i="2"/>
  <c r="A588" i="2"/>
  <c r="AL587" i="2"/>
  <c r="AJ587" i="2"/>
  <c r="AH587" i="2"/>
  <c r="C587" i="2" a="1"/>
  <c r="C587" i="2"/>
  <c r="B587" i="2"/>
  <c r="A587" i="2"/>
  <c r="AL586" i="2"/>
  <c r="AJ586" i="2"/>
  <c r="AH586" i="2"/>
  <c r="C586" i="2" a="1"/>
  <c r="C586" i="2"/>
  <c r="B586" i="2"/>
  <c r="A586" i="2"/>
  <c r="AL585" i="2"/>
  <c r="AJ585" i="2"/>
  <c r="AH585" i="2"/>
  <c r="C585" i="2" a="1"/>
  <c r="C585" i="2"/>
  <c r="B585" i="2"/>
  <c r="A585" i="2"/>
  <c r="AL584" i="2"/>
  <c r="AJ584" i="2"/>
  <c r="AH584" i="2"/>
  <c r="C584" i="2" a="1"/>
  <c r="C584" i="2"/>
  <c r="B584" i="2"/>
  <c r="A584" i="2"/>
  <c r="AL583" i="2"/>
  <c r="AJ583" i="2"/>
  <c r="AH583" i="2"/>
  <c r="C583" i="2" a="1"/>
  <c r="C583" i="2"/>
  <c r="B583" i="2"/>
  <c r="A583" i="2"/>
  <c r="AL582" i="2"/>
  <c r="AJ582" i="2"/>
  <c r="AH582" i="2"/>
  <c r="C582" i="2" a="1"/>
  <c r="C582" i="2"/>
  <c r="B582" i="2"/>
  <c r="A582" i="2"/>
  <c r="AL581" i="2"/>
  <c r="AJ581" i="2"/>
  <c r="AH581" i="2"/>
  <c r="C581" i="2" a="1"/>
  <c r="C581" i="2"/>
  <c r="B581" i="2"/>
  <c r="A581" i="2"/>
  <c r="AL580" i="2"/>
  <c r="AJ580" i="2"/>
  <c r="AH580" i="2"/>
  <c r="C580" i="2" a="1"/>
  <c r="C580" i="2"/>
  <c r="B580" i="2"/>
  <c r="A580" i="2"/>
  <c r="AL579" i="2"/>
  <c r="AJ579" i="2"/>
  <c r="AH579" i="2"/>
  <c r="C579" i="2" a="1"/>
  <c r="C579" i="2"/>
  <c r="B579" i="2"/>
  <c r="A579" i="2"/>
  <c r="AL578" i="2"/>
  <c r="AJ578" i="2"/>
  <c r="AH578" i="2"/>
  <c r="C578" i="2" a="1"/>
  <c r="C578" i="2"/>
  <c r="B578" i="2"/>
  <c r="A578" i="2"/>
  <c r="AL577" i="2"/>
  <c r="AJ577" i="2"/>
  <c r="AH577" i="2"/>
  <c r="C577" i="2" a="1"/>
  <c r="C577" i="2"/>
  <c r="B577" i="2"/>
  <c r="A577" i="2"/>
  <c r="AL576" i="2"/>
  <c r="AJ576" i="2"/>
  <c r="AH576" i="2"/>
  <c r="C576" i="2" a="1"/>
  <c r="C576" i="2"/>
  <c r="B576" i="2"/>
  <c r="A576" i="2"/>
  <c r="AL575" i="2"/>
  <c r="AJ575" i="2"/>
  <c r="AH575" i="2"/>
  <c r="C575" i="2" a="1"/>
  <c r="C575" i="2"/>
  <c r="B575" i="2"/>
  <c r="A575" i="2"/>
  <c r="AL574" i="2"/>
  <c r="AJ574" i="2"/>
  <c r="AH574" i="2"/>
  <c r="C574" i="2" a="1"/>
  <c r="C574" i="2"/>
  <c r="B574" i="2"/>
  <c r="A574" i="2"/>
  <c r="AL573" i="2"/>
  <c r="AJ573" i="2"/>
  <c r="AH573" i="2"/>
  <c r="C573" i="2" a="1"/>
  <c r="C573" i="2"/>
  <c r="B573" i="2"/>
  <c r="A573" i="2"/>
  <c r="AL572" i="2"/>
  <c r="AJ572" i="2"/>
  <c r="AH572" i="2"/>
  <c r="C572" i="2" a="1"/>
  <c r="C572" i="2"/>
  <c r="B572" i="2"/>
  <c r="A572" i="2"/>
  <c r="AL571" i="2"/>
  <c r="AJ571" i="2"/>
  <c r="AH571" i="2"/>
  <c r="C571" i="2" a="1"/>
  <c r="C571" i="2"/>
  <c r="B571" i="2"/>
  <c r="A571" i="2"/>
  <c r="AL570" i="2"/>
  <c r="AJ570" i="2"/>
  <c r="AH570" i="2"/>
  <c r="C570" i="2" a="1"/>
  <c r="C570" i="2"/>
  <c r="B570" i="2"/>
  <c r="A570" i="2"/>
  <c r="AL569" i="2"/>
  <c r="AJ569" i="2"/>
  <c r="AH569" i="2"/>
  <c r="C569" i="2" a="1"/>
  <c r="C569" i="2"/>
  <c r="B569" i="2"/>
  <c r="A569" i="2"/>
  <c r="AL568" i="2"/>
  <c r="AJ568" i="2"/>
  <c r="AH568" i="2"/>
  <c r="C568" i="2" a="1"/>
  <c r="C568" i="2"/>
  <c r="B568" i="2"/>
  <c r="A568" i="2"/>
  <c r="AL567" i="2"/>
  <c r="AJ567" i="2"/>
  <c r="AH567" i="2"/>
  <c r="C567" i="2" a="1"/>
  <c r="C567" i="2"/>
  <c r="B567" i="2"/>
  <c r="A567" i="2"/>
  <c r="AL566" i="2"/>
  <c r="AJ566" i="2"/>
  <c r="AH566" i="2"/>
  <c r="C566" i="2" a="1"/>
  <c r="C566" i="2"/>
  <c r="B566" i="2"/>
  <c r="A566" i="2"/>
  <c r="AL565" i="2"/>
  <c r="AJ565" i="2"/>
  <c r="AH565" i="2"/>
  <c r="C565" i="2" a="1"/>
  <c r="C565" i="2"/>
  <c r="B565" i="2"/>
  <c r="A565" i="2"/>
  <c r="AL564" i="2"/>
  <c r="AJ564" i="2"/>
  <c r="AH564" i="2"/>
  <c r="C564" i="2" a="1"/>
  <c r="C564" i="2"/>
  <c r="B564" i="2"/>
  <c r="A564" i="2"/>
  <c r="AL563" i="2"/>
  <c r="AJ563" i="2"/>
  <c r="AH563" i="2"/>
  <c r="C563" i="2" a="1"/>
  <c r="C563" i="2"/>
  <c r="B563" i="2"/>
  <c r="A563" i="2"/>
  <c r="AL562" i="2"/>
  <c r="AJ562" i="2"/>
  <c r="AH562" i="2"/>
  <c r="C562" i="2" a="1"/>
  <c r="C562" i="2"/>
  <c r="B562" i="2"/>
  <c r="A562" i="2"/>
  <c r="AL561" i="2"/>
  <c r="AJ561" i="2"/>
  <c r="AH561" i="2"/>
  <c r="C561" i="2" a="1"/>
  <c r="C561" i="2"/>
  <c r="B561" i="2"/>
  <c r="A561" i="2"/>
  <c r="AL560" i="2"/>
  <c r="AJ560" i="2"/>
  <c r="AH560" i="2"/>
  <c r="C560" i="2" a="1"/>
  <c r="C560" i="2"/>
  <c r="B560" i="2"/>
  <c r="A560" i="2"/>
  <c r="AL559" i="2"/>
  <c r="AJ559" i="2"/>
  <c r="AH559" i="2"/>
  <c r="C559" i="2" a="1"/>
  <c r="C559" i="2"/>
  <c r="B559" i="2"/>
  <c r="A559" i="2"/>
  <c r="AL558" i="2"/>
  <c r="AJ558" i="2"/>
  <c r="AH558" i="2"/>
  <c r="C558" i="2" a="1"/>
  <c r="C558" i="2"/>
  <c r="B558" i="2"/>
  <c r="A558" i="2"/>
  <c r="AL557" i="2"/>
  <c r="AJ557" i="2"/>
  <c r="AH557" i="2"/>
  <c r="C557" i="2" a="1"/>
  <c r="C557" i="2"/>
  <c r="B557" i="2"/>
  <c r="A557" i="2"/>
  <c r="AL556" i="2"/>
  <c r="AJ556" i="2"/>
  <c r="AH556" i="2"/>
  <c r="C556" i="2" a="1"/>
  <c r="C556" i="2"/>
  <c r="B556" i="2"/>
  <c r="A556" i="2"/>
  <c r="AL555" i="2"/>
  <c r="AJ555" i="2"/>
  <c r="AH555" i="2"/>
  <c r="C555" i="2" a="1"/>
  <c r="C555" i="2"/>
  <c r="B555" i="2"/>
  <c r="A555" i="2"/>
  <c r="AL554" i="2"/>
  <c r="AJ554" i="2"/>
  <c r="AH554" i="2"/>
  <c r="C554" i="2" a="1"/>
  <c r="C554" i="2"/>
  <c r="B554" i="2"/>
  <c r="A554" i="2"/>
  <c r="AL553" i="2"/>
  <c r="AJ553" i="2"/>
  <c r="AH553" i="2"/>
  <c r="C553" i="2" a="1"/>
  <c r="C553" i="2"/>
  <c r="B553" i="2"/>
  <c r="A553" i="2"/>
  <c r="AL552" i="2"/>
  <c r="AJ552" i="2"/>
  <c r="AH552" i="2"/>
  <c r="C552" i="2" a="1"/>
  <c r="C552" i="2"/>
  <c r="B552" i="2"/>
  <c r="A552" i="2"/>
  <c r="AL551" i="2"/>
  <c r="AJ551" i="2"/>
  <c r="AH551" i="2"/>
  <c r="C551" i="2" a="1"/>
  <c r="C551" i="2"/>
  <c r="B551" i="2"/>
  <c r="A551" i="2"/>
  <c r="AL550" i="2"/>
  <c r="AJ550" i="2"/>
  <c r="AH550" i="2"/>
  <c r="C550" i="2" a="1"/>
  <c r="C550" i="2"/>
  <c r="B550" i="2"/>
  <c r="A550" i="2"/>
  <c r="AL549" i="2"/>
  <c r="AJ549" i="2"/>
  <c r="AH549" i="2"/>
  <c r="C549" i="2" a="1"/>
  <c r="C549" i="2"/>
  <c r="B549" i="2"/>
  <c r="A549" i="2"/>
  <c r="AL548" i="2"/>
  <c r="AJ548" i="2"/>
  <c r="AH548" i="2"/>
  <c r="C548" i="2" a="1"/>
  <c r="C548" i="2"/>
  <c r="B548" i="2"/>
  <c r="A548" i="2"/>
  <c r="AL547" i="2"/>
  <c r="AJ547" i="2"/>
  <c r="AH547" i="2"/>
  <c r="C547" i="2" a="1"/>
  <c r="C547" i="2"/>
  <c r="B547" i="2"/>
  <c r="A547" i="2"/>
  <c r="AL546" i="2"/>
  <c r="AJ546" i="2"/>
  <c r="AH546" i="2"/>
  <c r="C546" i="2" a="1"/>
  <c r="C546" i="2"/>
  <c r="B546" i="2"/>
  <c r="A546" i="2"/>
  <c r="AL545" i="2"/>
  <c r="AJ545" i="2"/>
  <c r="AH545" i="2"/>
  <c r="C545" i="2" a="1"/>
  <c r="C545" i="2"/>
  <c r="B545" i="2"/>
  <c r="A545" i="2"/>
  <c r="AL544" i="2"/>
  <c r="AJ544" i="2"/>
  <c r="AH544" i="2"/>
  <c r="C544" i="2" a="1"/>
  <c r="C544" i="2"/>
  <c r="B544" i="2"/>
  <c r="A544" i="2"/>
  <c r="AL543" i="2"/>
  <c r="AJ543" i="2"/>
  <c r="AH543" i="2"/>
  <c r="C543" i="2" a="1"/>
  <c r="C543" i="2"/>
  <c r="B543" i="2"/>
  <c r="A543" i="2"/>
  <c r="AL542" i="2"/>
  <c r="AJ542" i="2"/>
  <c r="AH542" i="2"/>
  <c r="C542" i="2" a="1"/>
  <c r="C542" i="2"/>
  <c r="B542" i="2"/>
  <c r="A542" i="2"/>
  <c r="AL541" i="2"/>
  <c r="AJ541" i="2"/>
  <c r="AH541" i="2"/>
  <c r="C541" i="2" a="1"/>
  <c r="C541" i="2"/>
  <c r="B541" i="2"/>
  <c r="A541" i="2"/>
  <c r="AL540" i="2"/>
  <c r="AJ540" i="2"/>
  <c r="AH540" i="2"/>
  <c r="C540" i="2" a="1"/>
  <c r="C540" i="2"/>
  <c r="B540" i="2"/>
  <c r="A540" i="2"/>
  <c r="AL539" i="2"/>
  <c r="AJ539" i="2"/>
  <c r="AH539" i="2"/>
  <c r="C539" i="2" a="1"/>
  <c r="C539" i="2"/>
  <c r="B539" i="2"/>
  <c r="A539" i="2"/>
  <c r="AL538" i="2"/>
  <c r="AJ538" i="2"/>
  <c r="AH538" i="2"/>
  <c r="C538" i="2" a="1"/>
  <c r="C538" i="2"/>
  <c r="B538" i="2"/>
  <c r="A538" i="2"/>
  <c r="AL537" i="2"/>
  <c r="AJ537" i="2"/>
  <c r="AH537" i="2"/>
  <c r="C537" i="2" a="1"/>
  <c r="C537" i="2"/>
  <c r="B537" i="2"/>
  <c r="A537" i="2"/>
  <c r="AL536" i="2"/>
  <c r="AJ536" i="2"/>
  <c r="AH536" i="2"/>
  <c r="C536" i="2" a="1"/>
  <c r="C536" i="2"/>
  <c r="B536" i="2"/>
  <c r="A536" i="2"/>
  <c r="AL535" i="2"/>
  <c r="AJ535" i="2"/>
  <c r="AH535" i="2"/>
  <c r="C535" i="2" a="1"/>
  <c r="C535" i="2"/>
  <c r="B535" i="2"/>
  <c r="A535" i="2"/>
  <c r="AL534" i="2"/>
  <c r="AJ534" i="2"/>
  <c r="AH534" i="2"/>
  <c r="C534" i="2" a="1"/>
  <c r="C534" i="2"/>
  <c r="B534" i="2"/>
  <c r="A534" i="2"/>
  <c r="AL533" i="2"/>
  <c r="AJ533" i="2"/>
  <c r="AH533" i="2"/>
  <c r="C533" i="2" a="1"/>
  <c r="C533" i="2"/>
  <c r="B533" i="2"/>
  <c r="A533" i="2"/>
  <c r="AL532" i="2"/>
  <c r="AJ532" i="2"/>
  <c r="AH532" i="2"/>
  <c r="C532" i="2" a="1"/>
  <c r="C532" i="2"/>
  <c r="B532" i="2"/>
  <c r="A532" i="2"/>
  <c r="AL531" i="2"/>
  <c r="AJ531" i="2"/>
  <c r="AH531" i="2"/>
  <c r="C531" i="2" a="1"/>
  <c r="C531" i="2"/>
  <c r="B531" i="2"/>
  <c r="A531" i="2"/>
  <c r="AL530" i="2"/>
  <c r="AJ530" i="2"/>
  <c r="AH530" i="2"/>
  <c r="C530" i="2" a="1"/>
  <c r="C530" i="2"/>
  <c r="B530" i="2"/>
  <c r="A530" i="2"/>
  <c r="AL529" i="2"/>
  <c r="AJ529" i="2"/>
  <c r="AH529" i="2"/>
  <c r="C529" i="2" a="1"/>
  <c r="C529" i="2"/>
  <c r="B529" i="2"/>
  <c r="A529" i="2"/>
  <c r="AL528" i="2"/>
  <c r="AJ528" i="2"/>
  <c r="AH528" i="2"/>
  <c r="C528" i="2" a="1"/>
  <c r="C528" i="2"/>
  <c r="B528" i="2"/>
  <c r="A528" i="2"/>
  <c r="AL527" i="2"/>
  <c r="AJ527" i="2"/>
  <c r="AH527" i="2"/>
  <c r="C527" i="2" a="1"/>
  <c r="C527" i="2"/>
  <c r="B527" i="2"/>
  <c r="A527" i="2"/>
  <c r="AL526" i="2"/>
  <c r="AJ526" i="2"/>
  <c r="AH526" i="2"/>
  <c r="C526" i="2" a="1"/>
  <c r="C526" i="2"/>
  <c r="B526" i="2"/>
  <c r="A526" i="2"/>
  <c r="AL525" i="2"/>
  <c r="AJ525" i="2"/>
  <c r="AH525" i="2"/>
  <c r="C525" i="2" a="1"/>
  <c r="C525" i="2"/>
  <c r="B525" i="2"/>
  <c r="A525" i="2"/>
  <c r="AL524" i="2"/>
  <c r="AJ524" i="2"/>
  <c r="AH524" i="2"/>
  <c r="C524" i="2" a="1"/>
  <c r="C524" i="2"/>
  <c r="B524" i="2"/>
  <c r="A524" i="2"/>
  <c r="AL523" i="2"/>
  <c r="AJ523" i="2"/>
  <c r="AH523" i="2"/>
  <c r="C523" i="2" a="1"/>
  <c r="C523" i="2"/>
  <c r="B523" i="2"/>
  <c r="A523" i="2"/>
  <c r="AL522" i="2"/>
  <c r="AJ522" i="2"/>
  <c r="AH522" i="2"/>
  <c r="C522" i="2" a="1"/>
  <c r="C522" i="2"/>
  <c r="B522" i="2"/>
  <c r="A522" i="2"/>
  <c r="AL521" i="2"/>
  <c r="AJ521" i="2"/>
  <c r="AH521" i="2"/>
  <c r="C521" i="2" a="1"/>
  <c r="C521" i="2"/>
  <c r="B521" i="2"/>
  <c r="A521" i="2"/>
  <c r="AL520" i="2"/>
  <c r="AJ520" i="2"/>
  <c r="AH520" i="2"/>
  <c r="C520" i="2" a="1"/>
  <c r="C520" i="2"/>
  <c r="B520" i="2"/>
  <c r="A520" i="2"/>
  <c r="AL519" i="2"/>
  <c r="AJ519" i="2"/>
  <c r="AH519" i="2"/>
  <c r="C519" i="2" a="1"/>
  <c r="C519" i="2"/>
  <c r="B519" i="2"/>
  <c r="A519" i="2"/>
  <c r="AL518" i="2"/>
  <c r="AJ518" i="2"/>
  <c r="AH518" i="2"/>
  <c r="C518" i="2" a="1"/>
  <c r="C518" i="2"/>
  <c r="B518" i="2"/>
  <c r="A518" i="2"/>
  <c r="AL517" i="2"/>
  <c r="AJ517" i="2"/>
  <c r="AH517" i="2"/>
  <c r="C517" i="2" a="1"/>
  <c r="C517" i="2"/>
  <c r="B517" i="2"/>
  <c r="A517" i="2"/>
  <c r="AL516" i="2"/>
  <c r="AJ516" i="2"/>
  <c r="AH516" i="2"/>
  <c r="C516" i="2" a="1"/>
  <c r="C516" i="2"/>
  <c r="B516" i="2"/>
  <c r="A516" i="2"/>
  <c r="AL515" i="2"/>
  <c r="AJ515" i="2"/>
  <c r="AH515" i="2"/>
  <c r="C515" i="2" a="1"/>
  <c r="C515" i="2"/>
  <c r="B515" i="2"/>
  <c r="A515" i="2"/>
  <c r="AL514" i="2"/>
  <c r="AJ514" i="2"/>
  <c r="AH514" i="2"/>
  <c r="C514" i="2" a="1"/>
  <c r="C514" i="2"/>
  <c r="B514" i="2"/>
  <c r="A514" i="2"/>
  <c r="AL513" i="2"/>
  <c r="AJ513" i="2"/>
  <c r="AH513" i="2"/>
  <c r="C513" i="2" a="1"/>
  <c r="C513" i="2"/>
  <c r="B513" i="2"/>
  <c r="A513" i="2"/>
  <c r="AL512" i="2"/>
  <c r="AJ512" i="2"/>
  <c r="AH512" i="2"/>
  <c r="C512" i="2" a="1"/>
  <c r="C512" i="2"/>
  <c r="B512" i="2"/>
  <c r="A512" i="2"/>
  <c r="AL511" i="2"/>
  <c r="AJ511" i="2"/>
  <c r="AH511" i="2"/>
  <c r="C511" i="2" a="1"/>
  <c r="C511" i="2"/>
  <c r="B511" i="2"/>
  <c r="A511" i="2"/>
  <c r="AL510" i="2"/>
  <c r="AJ510" i="2"/>
  <c r="AH510" i="2"/>
  <c r="C510" i="2" a="1"/>
  <c r="C510" i="2"/>
  <c r="B510" i="2"/>
  <c r="A510" i="2"/>
  <c r="AL509" i="2"/>
  <c r="AJ509" i="2"/>
  <c r="AH509" i="2"/>
  <c r="C509" i="2" a="1"/>
  <c r="C509" i="2"/>
  <c r="B509" i="2"/>
  <c r="A509" i="2"/>
  <c r="AL508" i="2"/>
  <c r="AJ508" i="2"/>
  <c r="AH508" i="2"/>
  <c r="C508" i="2" a="1"/>
  <c r="C508" i="2"/>
  <c r="B508" i="2"/>
  <c r="A508" i="2"/>
  <c r="AL507" i="2"/>
  <c r="AJ507" i="2"/>
  <c r="AH507" i="2"/>
  <c r="C507" i="2" a="1"/>
  <c r="C507" i="2"/>
  <c r="B507" i="2"/>
  <c r="A507" i="2"/>
  <c r="AL506" i="2"/>
  <c r="AJ506" i="2"/>
  <c r="AH506" i="2"/>
  <c r="C506" i="2" a="1"/>
  <c r="C506" i="2"/>
  <c r="B506" i="2"/>
  <c r="A506" i="2"/>
  <c r="AL505" i="2"/>
  <c r="AJ505" i="2"/>
  <c r="AH505" i="2"/>
  <c r="C505" i="2" a="1"/>
  <c r="C505" i="2"/>
  <c r="B505" i="2"/>
  <c r="A505" i="2"/>
  <c r="AL504" i="2"/>
  <c r="AJ504" i="2"/>
  <c r="AH504" i="2"/>
  <c r="C504" i="2" a="1"/>
  <c r="C504" i="2"/>
  <c r="B504" i="2"/>
  <c r="A504" i="2"/>
  <c r="AL503" i="2"/>
  <c r="AJ503" i="2"/>
  <c r="AH503" i="2"/>
  <c r="C503" i="2" a="1"/>
  <c r="C503" i="2"/>
  <c r="B503" i="2"/>
  <c r="A503" i="2"/>
  <c r="AL502" i="2"/>
  <c r="AJ502" i="2"/>
  <c r="AH502" i="2"/>
  <c r="C502" i="2" a="1"/>
  <c r="C502" i="2"/>
  <c r="B502" i="2"/>
  <c r="A502" i="2"/>
  <c r="AL501" i="2"/>
  <c r="AJ501" i="2"/>
  <c r="AH501" i="2"/>
  <c r="C501" i="2" a="1"/>
  <c r="C501" i="2"/>
  <c r="B501" i="2"/>
  <c r="A501" i="2"/>
  <c r="AL500" i="2"/>
  <c r="AJ500" i="2"/>
  <c r="AH500" i="2"/>
  <c r="C500" i="2" a="1"/>
  <c r="C500" i="2"/>
  <c r="B500" i="2"/>
  <c r="A500" i="2"/>
  <c r="AL499" i="2"/>
  <c r="AJ499" i="2"/>
  <c r="AH499" i="2"/>
  <c r="C499" i="2" a="1"/>
  <c r="C499" i="2"/>
  <c r="B499" i="2"/>
  <c r="A499" i="2"/>
  <c r="AL498" i="2"/>
  <c r="AJ498" i="2"/>
  <c r="AH498" i="2"/>
  <c r="C498" i="2" a="1"/>
  <c r="C498" i="2"/>
  <c r="B498" i="2"/>
  <c r="A498" i="2"/>
  <c r="AL497" i="2"/>
  <c r="AJ497" i="2"/>
  <c r="AH497" i="2"/>
  <c r="C497" i="2" a="1"/>
  <c r="C497" i="2"/>
  <c r="B497" i="2"/>
  <c r="A497" i="2"/>
  <c r="AL496" i="2"/>
  <c r="AJ496" i="2"/>
  <c r="AH496" i="2"/>
  <c r="C496" i="2" a="1"/>
  <c r="C496" i="2"/>
  <c r="B496" i="2"/>
  <c r="A496" i="2"/>
  <c r="AL495" i="2"/>
  <c r="AJ495" i="2"/>
  <c r="AH495" i="2"/>
  <c r="C495" i="2" a="1"/>
  <c r="C495" i="2"/>
  <c r="B495" i="2"/>
  <c r="A495" i="2"/>
  <c r="AL494" i="2"/>
  <c r="AJ494" i="2"/>
  <c r="AH494" i="2"/>
  <c r="C494" i="2" a="1"/>
  <c r="C494" i="2"/>
  <c r="B494" i="2"/>
  <c r="A494" i="2"/>
  <c r="AL493" i="2"/>
  <c r="AJ493" i="2"/>
  <c r="AH493" i="2"/>
  <c r="C493" i="2" a="1"/>
  <c r="C493" i="2"/>
  <c r="B493" i="2"/>
  <c r="A493" i="2"/>
  <c r="AL492" i="2"/>
  <c r="AJ492" i="2"/>
  <c r="AH492" i="2"/>
  <c r="C492" i="2" a="1"/>
  <c r="C492" i="2"/>
  <c r="B492" i="2"/>
  <c r="A492" i="2"/>
  <c r="AL491" i="2"/>
  <c r="AJ491" i="2"/>
  <c r="AH491" i="2"/>
  <c r="C491" i="2" a="1"/>
  <c r="C491" i="2"/>
  <c r="B491" i="2"/>
  <c r="A491" i="2"/>
  <c r="AL490" i="2"/>
  <c r="AJ490" i="2"/>
  <c r="AH490" i="2"/>
  <c r="C490" i="2" a="1"/>
  <c r="C490" i="2"/>
  <c r="B490" i="2"/>
  <c r="A490" i="2"/>
  <c r="AL489" i="2"/>
  <c r="AJ489" i="2"/>
  <c r="AH489" i="2"/>
  <c r="C489" i="2" a="1"/>
  <c r="C489" i="2"/>
  <c r="B489" i="2"/>
  <c r="A489" i="2"/>
  <c r="AL488" i="2"/>
  <c r="AJ488" i="2"/>
  <c r="AH488" i="2"/>
  <c r="C488" i="2" a="1"/>
  <c r="C488" i="2"/>
  <c r="B488" i="2"/>
  <c r="A488" i="2"/>
  <c r="AL487" i="2"/>
  <c r="AJ487" i="2"/>
  <c r="AH487" i="2"/>
  <c r="C487" i="2" a="1"/>
  <c r="C487" i="2"/>
  <c r="B487" i="2"/>
  <c r="A487" i="2"/>
  <c r="AL486" i="2"/>
  <c r="AJ486" i="2"/>
  <c r="AH486" i="2"/>
  <c r="C486" i="2" a="1"/>
  <c r="C486" i="2"/>
  <c r="B486" i="2"/>
  <c r="A486" i="2"/>
  <c r="AL485" i="2"/>
  <c r="AJ485" i="2"/>
  <c r="AH485" i="2"/>
  <c r="C485" i="2" a="1"/>
  <c r="C485" i="2"/>
  <c r="B485" i="2"/>
  <c r="A485" i="2"/>
  <c r="AL484" i="2"/>
  <c r="AJ484" i="2"/>
  <c r="AH484" i="2"/>
  <c r="C484" i="2" a="1"/>
  <c r="C484" i="2"/>
  <c r="B484" i="2"/>
  <c r="A484" i="2"/>
  <c r="AL483" i="2"/>
  <c r="AJ483" i="2"/>
  <c r="AH483" i="2"/>
  <c r="C483" i="2" a="1"/>
  <c r="C483" i="2"/>
  <c r="B483" i="2"/>
  <c r="A483" i="2"/>
  <c r="AL482" i="2"/>
  <c r="AJ482" i="2"/>
  <c r="AH482" i="2"/>
  <c r="C482" i="2" a="1"/>
  <c r="C482" i="2"/>
  <c r="B482" i="2"/>
  <c r="A482" i="2"/>
  <c r="AL481" i="2"/>
  <c r="AJ481" i="2"/>
  <c r="AH481" i="2"/>
  <c r="C481" i="2" a="1"/>
  <c r="C481" i="2"/>
  <c r="B481" i="2"/>
  <c r="A481" i="2"/>
  <c r="AL480" i="2"/>
  <c r="AJ480" i="2"/>
  <c r="AH480" i="2"/>
  <c r="C480" i="2" a="1"/>
  <c r="C480" i="2"/>
  <c r="B480" i="2"/>
  <c r="A480" i="2"/>
  <c r="AL479" i="2"/>
  <c r="AJ479" i="2"/>
  <c r="AH479" i="2"/>
  <c r="C479" i="2" a="1"/>
  <c r="C479" i="2"/>
  <c r="B479" i="2"/>
  <c r="A479" i="2"/>
  <c r="AL478" i="2"/>
  <c r="AJ478" i="2"/>
  <c r="AH478" i="2"/>
  <c r="C478" i="2" a="1"/>
  <c r="C478" i="2"/>
  <c r="B478" i="2"/>
  <c r="A478" i="2"/>
  <c r="AL477" i="2"/>
  <c r="AJ477" i="2"/>
  <c r="AH477" i="2"/>
  <c r="J477" i="2"/>
  <c r="C477" i="2" a="1"/>
  <c r="C477" i="2"/>
  <c r="B477" i="2"/>
  <c r="A477" i="2"/>
  <c r="AL476" i="2"/>
  <c r="AJ476" i="2"/>
  <c r="AH476" i="2"/>
  <c r="C476" i="2" a="1"/>
  <c r="C476" i="2"/>
  <c r="B476" i="2"/>
  <c r="A476" i="2"/>
  <c r="AL475" i="2"/>
  <c r="AJ475" i="2"/>
  <c r="AH475" i="2"/>
  <c r="C475" i="2" a="1"/>
  <c r="C475" i="2"/>
  <c r="B475" i="2"/>
  <c r="A475" i="2"/>
  <c r="AL474" i="2"/>
  <c r="AJ474" i="2"/>
  <c r="AH474" i="2"/>
  <c r="C474" i="2" a="1"/>
  <c r="C474" i="2"/>
  <c r="B474" i="2"/>
  <c r="A474" i="2"/>
  <c r="AL473" i="2"/>
  <c r="AJ473" i="2"/>
  <c r="AH473" i="2"/>
  <c r="C473" i="2" a="1"/>
  <c r="C473" i="2"/>
  <c r="B473" i="2"/>
  <c r="A473" i="2"/>
  <c r="AL472" i="2"/>
  <c r="AJ472" i="2"/>
  <c r="AH472" i="2"/>
  <c r="C472" i="2" a="1"/>
  <c r="C472" i="2"/>
  <c r="B472" i="2"/>
  <c r="A472" i="2"/>
  <c r="AL471" i="2"/>
  <c r="AJ471" i="2"/>
  <c r="AH471" i="2"/>
  <c r="C471" i="2" a="1"/>
  <c r="C471" i="2"/>
  <c r="B471" i="2"/>
  <c r="A471" i="2"/>
  <c r="AL470" i="2"/>
  <c r="AJ470" i="2"/>
  <c r="AH470" i="2"/>
  <c r="C470" i="2" a="1"/>
  <c r="C470" i="2"/>
  <c r="B470" i="2"/>
  <c r="A470" i="2"/>
  <c r="AL469" i="2"/>
  <c r="AJ469" i="2"/>
  <c r="AH469" i="2"/>
  <c r="C469" i="2" a="1"/>
  <c r="C469" i="2"/>
  <c r="B469" i="2"/>
  <c r="A469" i="2"/>
  <c r="AL468" i="2"/>
  <c r="AJ468" i="2"/>
  <c r="AH468" i="2"/>
  <c r="C468" i="2" a="1"/>
  <c r="C468" i="2"/>
  <c r="B468" i="2"/>
  <c r="A468" i="2"/>
  <c r="AL467" i="2"/>
  <c r="AJ467" i="2"/>
  <c r="AH467" i="2"/>
  <c r="C467" i="2" a="1"/>
  <c r="C467" i="2"/>
  <c r="B467" i="2"/>
  <c r="A467" i="2"/>
  <c r="AL466" i="2"/>
  <c r="AJ466" i="2"/>
  <c r="AH466" i="2"/>
  <c r="C466" i="2" a="1"/>
  <c r="C466" i="2"/>
  <c r="B466" i="2"/>
  <c r="A466" i="2"/>
  <c r="AL465" i="2"/>
  <c r="AJ465" i="2"/>
  <c r="AH465" i="2"/>
  <c r="C465" i="2" a="1"/>
  <c r="C465" i="2"/>
  <c r="B465" i="2"/>
  <c r="A465" i="2"/>
  <c r="AL464" i="2"/>
  <c r="AJ464" i="2"/>
  <c r="AH464" i="2"/>
  <c r="C464" i="2" a="1"/>
  <c r="C464" i="2"/>
  <c r="B464" i="2"/>
  <c r="A464" i="2"/>
  <c r="AL463" i="2"/>
  <c r="AJ463" i="2"/>
  <c r="AH463" i="2"/>
  <c r="C463" i="2" a="1"/>
  <c r="C463" i="2"/>
  <c r="B463" i="2"/>
  <c r="A463" i="2"/>
  <c r="AL462" i="2"/>
  <c r="AJ462" i="2"/>
  <c r="AH462" i="2"/>
  <c r="C462" i="2" a="1"/>
  <c r="C462" i="2"/>
  <c r="B462" i="2"/>
  <c r="A462" i="2"/>
  <c r="AL461" i="2"/>
  <c r="AJ461" i="2"/>
  <c r="AH461" i="2"/>
  <c r="C461" i="2" a="1"/>
  <c r="C461" i="2"/>
  <c r="B461" i="2"/>
  <c r="A461" i="2"/>
  <c r="AL460" i="2"/>
  <c r="AJ460" i="2"/>
  <c r="AH460" i="2"/>
  <c r="C460" i="2" a="1"/>
  <c r="C460" i="2"/>
  <c r="B460" i="2"/>
  <c r="A460" i="2"/>
  <c r="AL459" i="2"/>
  <c r="AJ459" i="2"/>
  <c r="AH459" i="2"/>
  <c r="C459" i="2" a="1"/>
  <c r="C459" i="2"/>
  <c r="B459" i="2"/>
  <c r="A459" i="2"/>
  <c r="AL458" i="2"/>
  <c r="AJ458" i="2"/>
  <c r="AH458" i="2"/>
  <c r="C458" i="2" a="1"/>
  <c r="C458" i="2"/>
  <c r="B458" i="2"/>
  <c r="A458" i="2"/>
  <c r="AL457" i="2"/>
  <c r="AJ457" i="2"/>
  <c r="AH457" i="2"/>
  <c r="C457" i="2" a="1"/>
  <c r="C457" i="2"/>
  <c r="B457" i="2"/>
  <c r="A457" i="2"/>
  <c r="AL456" i="2"/>
  <c r="AJ456" i="2"/>
  <c r="AH456" i="2"/>
  <c r="C456" i="2" a="1"/>
  <c r="C456" i="2"/>
  <c r="B456" i="2"/>
  <c r="A456" i="2"/>
  <c r="AL455" i="2"/>
  <c r="AJ455" i="2"/>
  <c r="AH455" i="2"/>
  <c r="C455" i="2" a="1"/>
  <c r="C455" i="2"/>
  <c r="B455" i="2"/>
  <c r="A455" i="2"/>
  <c r="AL454" i="2"/>
  <c r="AJ454" i="2"/>
  <c r="AH454" i="2"/>
  <c r="C454" i="2" a="1"/>
  <c r="C454" i="2"/>
  <c r="B454" i="2"/>
  <c r="A454" i="2"/>
  <c r="AL453" i="2"/>
  <c r="AJ453" i="2"/>
  <c r="AH453" i="2"/>
  <c r="C453" i="2" a="1"/>
  <c r="C453" i="2"/>
  <c r="B453" i="2"/>
  <c r="A453" i="2"/>
  <c r="AL452" i="2"/>
  <c r="AJ452" i="2"/>
  <c r="AH452" i="2"/>
  <c r="C452" i="2" a="1"/>
  <c r="C452" i="2"/>
  <c r="B452" i="2"/>
  <c r="A452" i="2"/>
  <c r="AL451" i="2"/>
  <c r="AJ451" i="2"/>
  <c r="AH451" i="2"/>
  <c r="C451" i="2" a="1"/>
  <c r="C451" i="2"/>
  <c r="B451" i="2"/>
  <c r="A451" i="2"/>
  <c r="AL450" i="2"/>
  <c r="AJ450" i="2"/>
  <c r="AH450" i="2"/>
  <c r="C450" i="2" a="1"/>
  <c r="C450" i="2"/>
  <c r="B450" i="2"/>
  <c r="A450" i="2"/>
  <c r="AL449" i="2"/>
  <c r="AJ449" i="2"/>
  <c r="AH449" i="2"/>
  <c r="C449" i="2" a="1"/>
  <c r="C449" i="2"/>
  <c r="B449" i="2"/>
  <c r="A449" i="2"/>
  <c r="AL448" i="2"/>
  <c r="AJ448" i="2"/>
  <c r="AH448" i="2"/>
  <c r="C448" i="2" a="1"/>
  <c r="C448" i="2"/>
  <c r="B448" i="2"/>
  <c r="A448" i="2"/>
  <c r="AL447" i="2"/>
  <c r="AJ447" i="2"/>
  <c r="AH447" i="2"/>
  <c r="C447" i="2" a="1"/>
  <c r="C447" i="2"/>
  <c r="B447" i="2"/>
  <c r="A447" i="2"/>
  <c r="AL446" i="2"/>
  <c r="AJ446" i="2"/>
  <c r="AH446" i="2"/>
  <c r="C446" i="2" a="1"/>
  <c r="C446" i="2"/>
  <c r="B446" i="2"/>
  <c r="A446" i="2"/>
  <c r="AL445" i="2"/>
  <c r="AJ445" i="2"/>
  <c r="AH445" i="2"/>
  <c r="C445" i="2" a="1"/>
  <c r="C445" i="2"/>
  <c r="B445" i="2"/>
  <c r="A445" i="2"/>
  <c r="AL444" i="2"/>
  <c r="AJ444" i="2"/>
  <c r="AH444" i="2"/>
  <c r="C444" i="2" a="1"/>
  <c r="C444" i="2"/>
  <c r="B444" i="2"/>
  <c r="A444" i="2"/>
  <c r="AL443" i="2"/>
  <c r="AJ443" i="2"/>
  <c r="AH443" i="2"/>
  <c r="C443" i="2" a="1"/>
  <c r="C443" i="2"/>
  <c r="B443" i="2"/>
  <c r="A443" i="2"/>
  <c r="AL442" i="2"/>
  <c r="AJ442" i="2"/>
  <c r="AH442" i="2"/>
  <c r="C442" i="2" a="1"/>
  <c r="C442" i="2"/>
  <c r="B442" i="2"/>
  <c r="A442" i="2"/>
  <c r="AL441" i="2"/>
  <c r="AJ441" i="2"/>
  <c r="AH441" i="2"/>
  <c r="C441" i="2" a="1"/>
  <c r="C441" i="2"/>
  <c r="B441" i="2"/>
  <c r="A441" i="2"/>
  <c r="AL440" i="2"/>
  <c r="AJ440" i="2"/>
  <c r="AH440" i="2"/>
  <c r="C440" i="2" a="1"/>
  <c r="C440" i="2"/>
  <c r="B440" i="2"/>
  <c r="A440" i="2"/>
  <c r="AL439" i="2"/>
  <c r="AJ439" i="2"/>
  <c r="AH439" i="2"/>
  <c r="C439" i="2" a="1"/>
  <c r="C439" i="2"/>
  <c r="B439" i="2"/>
  <c r="A439" i="2"/>
  <c r="AL438" i="2"/>
  <c r="AJ438" i="2"/>
  <c r="AH438" i="2"/>
  <c r="C438" i="2" a="1"/>
  <c r="C438" i="2"/>
  <c r="B438" i="2"/>
  <c r="A438" i="2"/>
  <c r="AL437" i="2"/>
  <c r="AJ437" i="2"/>
  <c r="AH437" i="2"/>
  <c r="C437" i="2" a="1"/>
  <c r="C437" i="2"/>
  <c r="B437" i="2"/>
  <c r="A437" i="2"/>
  <c r="AL436" i="2"/>
  <c r="AJ436" i="2"/>
  <c r="AH436" i="2"/>
  <c r="C436" i="2" a="1"/>
  <c r="C436" i="2"/>
  <c r="B436" i="2"/>
  <c r="A436" i="2"/>
  <c r="AL435" i="2"/>
  <c r="AJ435" i="2"/>
  <c r="AH435" i="2"/>
  <c r="C435" i="2" a="1"/>
  <c r="C435" i="2"/>
  <c r="B435" i="2"/>
  <c r="A435" i="2"/>
  <c r="AL434" i="2"/>
  <c r="AJ434" i="2"/>
  <c r="AH434" i="2"/>
  <c r="C434" i="2" a="1"/>
  <c r="C434" i="2"/>
  <c r="B434" i="2"/>
  <c r="A434" i="2"/>
  <c r="AL433" i="2"/>
  <c r="AJ433" i="2"/>
  <c r="AH433" i="2"/>
  <c r="C433" i="2" a="1"/>
  <c r="C433" i="2"/>
  <c r="B433" i="2"/>
  <c r="A433" i="2"/>
  <c r="AL432" i="2"/>
  <c r="AJ432" i="2"/>
  <c r="AH432" i="2"/>
  <c r="C432" i="2" a="1"/>
  <c r="C432" i="2"/>
  <c r="B432" i="2"/>
  <c r="A432" i="2"/>
  <c r="AL431" i="2"/>
  <c r="AJ431" i="2"/>
  <c r="AH431" i="2"/>
  <c r="C431" i="2" a="1"/>
  <c r="C431" i="2"/>
  <c r="B431" i="2"/>
  <c r="A431" i="2"/>
  <c r="AL430" i="2"/>
  <c r="AJ430" i="2"/>
  <c r="AH430" i="2"/>
  <c r="C430" i="2" a="1"/>
  <c r="C430" i="2"/>
  <c r="B430" i="2"/>
  <c r="A430" i="2"/>
  <c r="AL429" i="2"/>
  <c r="AJ429" i="2"/>
  <c r="AH429" i="2"/>
  <c r="C429" i="2" a="1"/>
  <c r="C429" i="2"/>
  <c r="B429" i="2"/>
  <c r="A429" i="2"/>
  <c r="AL428" i="2"/>
  <c r="AJ428" i="2"/>
  <c r="AH428" i="2"/>
  <c r="C428" i="2" a="1"/>
  <c r="C428" i="2"/>
  <c r="B428" i="2"/>
  <c r="A428" i="2"/>
  <c r="AL427" i="2"/>
  <c r="AJ427" i="2"/>
  <c r="AH427" i="2"/>
  <c r="C427" i="2" a="1"/>
  <c r="C427" i="2"/>
  <c r="B427" i="2"/>
  <c r="A427" i="2"/>
  <c r="AL426" i="2"/>
  <c r="AJ426" i="2"/>
  <c r="AH426" i="2"/>
  <c r="C426" i="2" a="1"/>
  <c r="C426" i="2"/>
  <c r="B426" i="2"/>
  <c r="A426" i="2"/>
  <c r="AL425" i="2"/>
  <c r="AJ425" i="2"/>
  <c r="AH425" i="2"/>
  <c r="C425" i="2" a="1"/>
  <c r="C425" i="2"/>
  <c r="B425" i="2"/>
  <c r="A425" i="2"/>
  <c r="AL424" i="2"/>
  <c r="AJ424" i="2"/>
  <c r="AH424" i="2"/>
  <c r="C424" i="2" a="1"/>
  <c r="C424" i="2"/>
  <c r="B424" i="2"/>
  <c r="A424" i="2"/>
  <c r="AL423" i="2"/>
  <c r="AJ423" i="2"/>
  <c r="AH423" i="2"/>
  <c r="C423" i="2" a="1"/>
  <c r="C423" i="2"/>
  <c r="B423" i="2"/>
  <c r="A423" i="2"/>
  <c r="AL422" i="2"/>
  <c r="AJ422" i="2"/>
  <c r="AH422" i="2"/>
  <c r="C422" i="2" a="1"/>
  <c r="C422" i="2"/>
  <c r="B422" i="2"/>
  <c r="A422" i="2"/>
  <c r="AL421" i="2"/>
  <c r="AJ421" i="2"/>
  <c r="AH421" i="2"/>
  <c r="C421" i="2" a="1"/>
  <c r="C421" i="2"/>
  <c r="B421" i="2"/>
  <c r="A421" i="2"/>
  <c r="AL420" i="2"/>
  <c r="AJ420" i="2"/>
  <c r="AH420" i="2"/>
  <c r="C420" i="2" a="1"/>
  <c r="C420" i="2"/>
  <c r="B420" i="2"/>
  <c r="A420" i="2"/>
  <c r="AL419" i="2"/>
  <c r="AJ419" i="2"/>
  <c r="AH419" i="2"/>
  <c r="C419" i="2" a="1"/>
  <c r="C419" i="2"/>
  <c r="B419" i="2"/>
  <c r="A419" i="2"/>
  <c r="AL418" i="2"/>
  <c r="AJ418" i="2"/>
  <c r="AH418" i="2"/>
  <c r="C418" i="2" a="1"/>
  <c r="C418" i="2"/>
  <c r="B418" i="2"/>
  <c r="A418" i="2"/>
  <c r="AL417" i="2"/>
  <c r="AJ417" i="2"/>
  <c r="AH417" i="2"/>
  <c r="C417" i="2" a="1"/>
  <c r="C417" i="2"/>
  <c r="B417" i="2"/>
  <c r="A417" i="2"/>
  <c r="AL416" i="2"/>
  <c r="AJ416" i="2"/>
  <c r="AH416" i="2"/>
  <c r="C416" i="2" a="1"/>
  <c r="C416" i="2"/>
  <c r="B416" i="2"/>
  <c r="A416" i="2"/>
  <c r="AL415" i="2"/>
  <c r="AJ415" i="2"/>
  <c r="AH415" i="2"/>
  <c r="C415" i="2" a="1"/>
  <c r="C415" i="2"/>
  <c r="B415" i="2"/>
  <c r="A415" i="2"/>
  <c r="AL414" i="2"/>
  <c r="AJ414" i="2"/>
  <c r="AH414" i="2"/>
  <c r="C414" i="2" a="1"/>
  <c r="C414" i="2"/>
  <c r="B414" i="2"/>
  <c r="A414" i="2"/>
  <c r="AL413" i="2"/>
  <c r="AJ413" i="2"/>
  <c r="AH413" i="2"/>
  <c r="C413" i="2" a="1"/>
  <c r="C413" i="2"/>
  <c r="B413" i="2"/>
  <c r="A413" i="2"/>
  <c r="AL412" i="2"/>
  <c r="AJ412" i="2"/>
  <c r="AH412" i="2"/>
  <c r="C412" i="2" a="1"/>
  <c r="C412" i="2"/>
  <c r="B412" i="2"/>
  <c r="A412" i="2"/>
  <c r="AL411" i="2"/>
  <c r="AJ411" i="2"/>
  <c r="AH411" i="2"/>
  <c r="C411" i="2" a="1"/>
  <c r="C411" i="2"/>
  <c r="B411" i="2"/>
  <c r="A411" i="2"/>
  <c r="AL410" i="2"/>
  <c r="AJ410" i="2"/>
  <c r="AH410" i="2"/>
  <c r="C410" i="2" a="1"/>
  <c r="C410" i="2"/>
  <c r="B410" i="2"/>
  <c r="A410" i="2"/>
  <c r="AL409" i="2"/>
  <c r="AJ409" i="2"/>
  <c r="AH409" i="2"/>
  <c r="C409" i="2" a="1"/>
  <c r="C409" i="2"/>
  <c r="B409" i="2"/>
  <c r="A409" i="2"/>
  <c r="AL408" i="2"/>
  <c r="AJ408" i="2"/>
  <c r="AH408" i="2"/>
  <c r="C408" i="2" a="1"/>
  <c r="C408" i="2"/>
  <c r="B408" i="2"/>
  <c r="A408" i="2"/>
  <c r="AL407" i="2"/>
  <c r="AJ407" i="2"/>
  <c r="AH407" i="2"/>
  <c r="C407" i="2" a="1"/>
  <c r="C407" i="2"/>
  <c r="B407" i="2"/>
  <c r="A407" i="2"/>
  <c r="AL406" i="2"/>
  <c r="AJ406" i="2"/>
  <c r="AH406" i="2"/>
  <c r="C406" i="2" a="1"/>
  <c r="C406" i="2"/>
  <c r="B406" i="2"/>
  <c r="A406" i="2"/>
  <c r="AL405" i="2"/>
  <c r="AJ405" i="2"/>
  <c r="AH405" i="2"/>
  <c r="C405" i="2" a="1"/>
  <c r="C405" i="2"/>
  <c r="B405" i="2"/>
  <c r="A405" i="2"/>
  <c r="AL404" i="2"/>
  <c r="AJ404" i="2"/>
  <c r="AH404" i="2"/>
  <c r="C404" i="2" a="1"/>
  <c r="C404" i="2"/>
  <c r="B404" i="2"/>
  <c r="A404" i="2"/>
  <c r="AL403" i="2"/>
  <c r="AJ403" i="2"/>
  <c r="AH403" i="2"/>
  <c r="C403" i="2" a="1"/>
  <c r="C403" i="2"/>
  <c r="B403" i="2"/>
  <c r="A403" i="2"/>
  <c r="AL402" i="2"/>
  <c r="AJ402" i="2"/>
  <c r="AH402" i="2"/>
  <c r="C402" i="2" a="1"/>
  <c r="C402" i="2"/>
  <c r="B402" i="2"/>
  <c r="A402" i="2"/>
  <c r="AL401" i="2"/>
  <c r="AJ401" i="2"/>
  <c r="AH401" i="2"/>
  <c r="C401" i="2" a="1"/>
  <c r="C401" i="2"/>
  <c r="B401" i="2"/>
  <c r="A401" i="2"/>
  <c r="AL400" i="2"/>
  <c r="AJ400" i="2"/>
  <c r="AH400" i="2"/>
  <c r="C400" i="2" a="1"/>
  <c r="C400" i="2"/>
  <c r="B400" i="2"/>
  <c r="A400" i="2"/>
  <c r="AL399" i="2"/>
  <c r="AJ399" i="2"/>
  <c r="AH399" i="2"/>
  <c r="C399" i="2" a="1"/>
  <c r="C399" i="2"/>
  <c r="B399" i="2"/>
  <c r="A399" i="2"/>
  <c r="AL398" i="2"/>
  <c r="AJ398" i="2"/>
  <c r="AH398" i="2"/>
  <c r="C398" i="2" a="1"/>
  <c r="C398" i="2"/>
  <c r="B398" i="2"/>
  <c r="A398" i="2"/>
  <c r="AL397" i="2"/>
  <c r="AJ397" i="2"/>
  <c r="AH397" i="2"/>
  <c r="C397" i="2" a="1"/>
  <c r="C397" i="2"/>
  <c r="B397" i="2"/>
  <c r="A397" i="2"/>
  <c r="AL396" i="2"/>
  <c r="AJ396" i="2"/>
  <c r="AH396" i="2"/>
  <c r="C396" i="2" a="1"/>
  <c r="C396" i="2"/>
  <c r="B396" i="2"/>
  <c r="A396" i="2"/>
  <c r="AL395" i="2"/>
  <c r="AJ395" i="2"/>
  <c r="AH395" i="2"/>
  <c r="C395" i="2" a="1"/>
  <c r="C395" i="2"/>
  <c r="B395" i="2"/>
  <c r="A395" i="2"/>
  <c r="AL394" i="2"/>
  <c r="AJ394" i="2"/>
  <c r="AH394" i="2"/>
  <c r="C394" i="2" a="1"/>
  <c r="C394" i="2"/>
  <c r="B394" i="2"/>
  <c r="A394" i="2"/>
  <c r="AL393" i="2"/>
  <c r="AJ393" i="2"/>
  <c r="AH393" i="2"/>
  <c r="C393" i="2" a="1"/>
  <c r="C393" i="2"/>
  <c r="B393" i="2"/>
  <c r="A393" i="2"/>
  <c r="AL392" i="2"/>
  <c r="AJ392" i="2"/>
  <c r="AH392" i="2"/>
  <c r="C392" i="2" a="1"/>
  <c r="C392" i="2"/>
  <c r="B392" i="2"/>
  <c r="A392" i="2"/>
  <c r="AL391" i="2"/>
  <c r="AJ391" i="2"/>
  <c r="AH391" i="2"/>
  <c r="C391" i="2" a="1"/>
  <c r="C391" i="2"/>
  <c r="B391" i="2"/>
  <c r="A391" i="2"/>
  <c r="AL390" i="2"/>
  <c r="AJ390" i="2"/>
  <c r="AH390" i="2"/>
  <c r="C390" i="2" a="1"/>
  <c r="C390" i="2"/>
  <c r="B390" i="2"/>
  <c r="A390" i="2"/>
  <c r="AL389" i="2"/>
  <c r="AJ389" i="2"/>
  <c r="AH389" i="2"/>
  <c r="C389" i="2" a="1"/>
  <c r="C389" i="2"/>
  <c r="B389" i="2"/>
  <c r="A389" i="2"/>
  <c r="AL388" i="2"/>
  <c r="AJ388" i="2"/>
  <c r="AH388" i="2"/>
  <c r="C388" i="2" a="1"/>
  <c r="C388" i="2"/>
  <c r="B388" i="2"/>
  <c r="A388" i="2"/>
  <c r="AL387" i="2"/>
  <c r="AJ387" i="2"/>
  <c r="AH387" i="2"/>
  <c r="C387" i="2" a="1"/>
  <c r="C387" i="2"/>
  <c r="B387" i="2"/>
  <c r="A387" i="2"/>
  <c r="AL386" i="2"/>
  <c r="AJ386" i="2"/>
  <c r="AH386" i="2"/>
  <c r="C386" i="2" a="1"/>
  <c r="C386" i="2"/>
  <c r="B386" i="2"/>
  <c r="A386" i="2"/>
  <c r="AL385" i="2"/>
  <c r="AJ385" i="2"/>
  <c r="AH385" i="2"/>
  <c r="C385" i="2" a="1"/>
  <c r="C385" i="2"/>
  <c r="B385" i="2"/>
  <c r="A385" i="2"/>
  <c r="AL384" i="2"/>
  <c r="AJ384" i="2"/>
  <c r="AH384" i="2"/>
  <c r="C384" i="2" a="1"/>
  <c r="C384" i="2"/>
  <c r="B384" i="2"/>
  <c r="A384" i="2"/>
  <c r="AL383" i="2"/>
  <c r="AJ383" i="2"/>
  <c r="AH383" i="2"/>
  <c r="C383" i="2" a="1"/>
  <c r="C383" i="2"/>
  <c r="B383" i="2"/>
  <c r="A383" i="2"/>
  <c r="AL382" i="2"/>
  <c r="AJ382" i="2"/>
  <c r="AH382" i="2"/>
  <c r="C382" i="2" a="1"/>
  <c r="C382" i="2"/>
  <c r="B382" i="2"/>
  <c r="A382" i="2"/>
  <c r="AL381" i="2"/>
  <c r="AJ381" i="2"/>
  <c r="AH381" i="2"/>
  <c r="C381" i="2" a="1"/>
  <c r="C381" i="2"/>
  <c r="B381" i="2"/>
  <c r="A381" i="2"/>
  <c r="AL380" i="2"/>
  <c r="AJ380" i="2"/>
  <c r="AH380" i="2"/>
  <c r="C380" i="2" a="1"/>
  <c r="C380" i="2"/>
  <c r="B380" i="2"/>
  <c r="A380" i="2"/>
  <c r="AL379" i="2"/>
  <c r="AJ379" i="2"/>
  <c r="AH379" i="2"/>
  <c r="C379" i="2" a="1"/>
  <c r="C379" i="2"/>
  <c r="B379" i="2"/>
  <c r="A379" i="2"/>
  <c r="AL378" i="2"/>
  <c r="AJ378" i="2"/>
  <c r="AH378" i="2"/>
  <c r="C378" i="2" a="1"/>
  <c r="C378" i="2"/>
  <c r="B378" i="2"/>
  <c r="A378" i="2"/>
  <c r="AL377" i="2"/>
  <c r="AJ377" i="2"/>
  <c r="AH377" i="2"/>
  <c r="C377" i="2" a="1"/>
  <c r="C377" i="2"/>
  <c r="B377" i="2"/>
  <c r="A377" i="2"/>
  <c r="AL376" i="2"/>
  <c r="AJ376" i="2"/>
  <c r="AH376" i="2"/>
  <c r="C376" i="2" a="1"/>
  <c r="C376" i="2"/>
  <c r="B376" i="2"/>
  <c r="A376" i="2"/>
  <c r="AL375" i="2"/>
  <c r="AJ375" i="2"/>
  <c r="AH375" i="2"/>
  <c r="C375" i="2" a="1"/>
  <c r="C375" i="2"/>
  <c r="B375" i="2"/>
  <c r="A375" i="2"/>
  <c r="AL374" i="2"/>
  <c r="AJ374" i="2"/>
  <c r="AH374" i="2"/>
  <c r="C374" i="2" a="1"/>
  <c r="C374" i="2"/>
  <c r="B374" i="2"/>
  <c r="A374" i="2"/>
  <c r="AL373" i="2"/>
  <c r="AJ373" i="2"/>
  <c r="AH373" i="2"/>
  <c r="C373" i="2" a="1"/>
  <c r="C373" i="2"/>
  <c r="B373" i="2"/>
  <c r="A373" i="2"/>
  <c r="AL372" i="2"/>
  <c r="AJ372" i="2"/>
  <c r="AH372" i="2"/>
  <c r="C372" i="2" a="1"/>
  <c r="C372" i="2"/>
  <c r="B372" i="2"/>
  <c r="A372" i="2"/>
  <c r="AL371" i="2"/>
  <c r="AJ371" i="2"/>
  <c r="AH371" i="2"/>
  <c r="C371" i="2" a="1"/>
  <c r="C371" i="2"/>
  <c r="B371" i="2"/>
  <c r="A371" i="2"/>
  <c r="AL370" i="2"/>
  <c r="AJ370" i="2"/>
  <c r="AH370" i="2"/>
  <c r="C370" i="2" a="1"/>
  <c r="C370" i="2"/>
  <c r="B370" i="2"/>
  <c r="A370" i="2"/>
  <c r="AL369" i="2"/>
  <c r="AJ369" i="2"/>
  <c r="AH369" i="2"/>
  <c r="C369" i="2" a="1"/>
  <c r="C369" i="2"/>
  <c r="B369" i="2"/>
  <c r="A369" i="2"/>
  <c r="AL368" i="2"/>
  <c r="AJ368" i="2"/>
  <c r="AH368" i="2"/>
  <c r="C368" i="2" a="1"/>
  <c r="C368" i="2"/>
  <c r="B368" i="2"/>
  <c r="A368" i="2"/>
  <c r="AL367" i="2"/>
  <c r="AJ367" i="2"/>
  <c r="AH367" i="2"/>
  <c r="C367" i="2" a="1"/>
  <c r="C367" i="2"/>
  <c r="B367" i="2"/>
  <c r="A367" i="2"/>
  <c r="AL366" i="2"/>
  <c r="AJ366" i="2"/>
  <c r="AH366" i="2"/>
  <c r="C366" i="2" a="1"/>
  <c r="C366" i="2"/>
  <c r="B366" i="2"/>
  <c r="A366" i="2"/>
  <c r="AL365" i="2"/>
  <c r="AJ365" i="2"/>
  <c r="AH365" i="2"/>
  <c r="C365" i="2" a="1"/>
  <c r="C365" i="2"/>
  <c r="B365" i="2"/>
  <c r="A365" i="2"/>
  <c r="AL364" i="2"/>
  <c r="AJ364" i="2"/>
  <c r="AH364" i="2"/>
  <c r="C364" i="2" a="1"/>
  <c r="C364" i="2"/>
  <c r="B364" i="2"/>
  <c r="A364" i="2"/>
  <c r="AL363" i="2"/>
  <c r="AJ363" i="2"/>
  <c r="AH363" i="2"/>
  <c r="C363" i="2" a="1"/>
  <c r="C363" i="2"/>
  <c r="B363" i="2"/>
  <c r="A363" i="2"/>
  <c r="AL362" i="2"/>
  <c r="AJ362" i="2"/>
  <c r="AH362" i="2"/>
  <c r="C362" i="2" a="1"/>
  <c r="C362" i="2"/>
  <c r="B362" i="2"/>
  <c r="A362" i="2"/>
  <c r="AL361" i="2"/>
  <c r="AJ361" i="2"/>
  <c r="AH361" i="2"/>
  <c r="C361" i="2" a="1"/>
  <c r="C361" i="2"/>
  <c r="B361" i="2"/>
  <c r="A361" i="2"/>
  <c r="AL360" i="2"/>
  <c r="AJ360" i="2"/>
  <c r="AH360" i="2"/>
  <c r="C360" i="2" a="1"/>
  <c r="C360" i="2"/>
  <c r="B360" i="2"/>
  <c r="A360" i="2"/>
  <c r="AL359" i="2"/>
  <c r="AJ359" i="2"/>
  <c r="AH359" i="2"/>
  <c r="C359" i="2" a="1"/>
  <c r="C359" i="2"/>
  <c r="B359" i="2"/>
  <c r="A359" i="2"/>
  <c r="AL358" i="2"/>
  <c r="AJ358" i="2"/>
  <c r="AH358" i="2"/>
  <c r="C358" i="2" a="1"/>
  <c r="C358" i="2"/>
  <c r="B358" i="2"/>
  <c r="A358" i="2"/>
  <c r="AL357" i="2"/>
  <c r="AJ357" i="2"/>
  <c r="AH357" i="2"/>
  <c r="C357" i="2" a="1"/>
  <c r="C357" i="2"/>
  <c r="B357" i="2"/>
  <c r="A357" i="2"/>
  <c r="AL356" i="2"/>
  <c r="AJ356" i="2"/>
  <c r="AH356" i="2"/>
  <c r="C356" i="2" a="1"/>
  <c r="C356" i="2"/>
  <c r="B356" i="2"/>
  <c r="A356" i="2"/>
  <c r="AL355" i="2"/>
  <c r="AJ355" i="2"/>
  <c r="AH355" i="2"/>
  <c r="C355" i="2" a="1"/>
  <c r="C355" i="2"/>
  <c r="B355" i="2"/>
  <c r="A355" i="2"/>
  <c r="AL354" i="2"/>
  <c r="AJ354" i="2"/>
  <c r="AH354" i="2"/>
  <c r="C354" i="2" a="1"/>
  <c r="C354" i="2"/>
  <c r="B354" i="2"/>
  <c r="A354" i="2"/>
  <c r="AL353" i="2"/>
  <c r="AJ353" i="2"/>
  <c r="AH353" i="2"/>
  <c r="C353" i="2" a="1"/>
  <c r="C353" i="2"/>
  <c r="B353" i="2"/>
  <c r="A353" i="2"/>
  <c r="AL352" i="2"/>
  <c r="AJ352" i="2"/>
  <c r="AH352" i="2"/>
  <c r="C352" i="2" a="1"/>
  <c r="C352" i="2"/>
  <c r="B352" i="2"/>
  <c r="A352" i="2"/>
  <c r="AL351" i="2"/>
  <c r="AJ351" i="2"/>
  <c r="AH351" i="2"/>
  <c r="C351" i="2" a="1"/>
  <c r="C351" i="2"/>
  <c r="B351" i="2"/>
  <c r="A351" i="2"/>
  <c r="AL350" i="2"/>
  <c r="AJ350" i="2"/>
  <c r="AH350" i="2"/>
  <c r="C350" i="2" a="1"/>
  <c r="C350" i="2"/>
  <c r="B350" i="2"/>
  <c r="A350" i="2"/>
  <c r="AL349" i="2"/>
  <c r="AJ349" i="2"/>
  <c r="AH349" i="2"/>
  <c r="C349" i="2" a="1"/>
  <c r="C349" i="2"/>
  <c r="B349" i="2"/>
  <c r="A349" i="2"/>
  <c r="AL348" i="2"/>
  <c r="AJ348" i="2"/>
  <c r="AH348" i="2"/>
  <c r="C348" i="2" a="1"/>
  <c r="C348" i="2"/>
  <c r="B348" i="2"/>
  <c r="A348" i="2"/>
  <c r="AL347" i="2"/>
  <c r="AJ347" i="2"/>
  <c r="AH347" i="2"/>
  <c r="C347" i="2" a="1"/>
  <c r="C347" i="2"/>
  <c r="B347" i="2"/>
  <c r="A347" i="2"/>
  <c r="AL346" i="2"/>
  <c r="AJ346" i="2"/>
  <c r="AH346" i="2"/>
  <c r="C346" i="2" a="1"/>
  <c r="C346" i="2"/>
  <c r="B346" i="2"/>
  <c r="A346" i="2"/>
  <c r="AL345" i="2"/>
  <c r="AJ345" i="2"/>
  <c r="AH345" i="2"/>
  <c r="C345" i="2" a="1"/>
  <c r="C345" i="2"/>
  <c r="B345" i="2"/>
  <c r="A345" i="2"/>
  <c r="AL344" i="2"/>
  <c r="AJ344" i="2"/>
  <c r="AH344" i="2"/>
  <c r="C344" i="2" a="1"/>
  <c r="C344" i="2"/>
  <c r="B344" i="2"/>
  <c r="A344" i="2"/>
  <c r="AL343" i="2"/>
  <c r="AJ343" i="2"/>
  <c r="AH343" i="2"/>
  <c r="C343" i="2" a="1"/>
  <c r="C343" i="2"/>
  <c r="B343" i="2"/>
  <c r="A343" i="2"/>
  <c r="AL342" i="2"/>
  <c r="AJ342" i="2"/>
  <c r="AH342" i="2"/>
  <c r="C342" i="2" a="1"/>
  <c r="C342" i="2"/>
  <c r="B342" i="2"/>
  <c r="A342" i="2"/>
  <c r="AL341" i="2"/>
  <c r="AJ341" i="2"/>
  <c r="AH341" i="2"/>
  <c r="C341" i="2" a="1"/>
  <c r="C341" i="2"/>
  <c r="B341" i="2"/>
  <c r="A341" i="2"/>
  <c r="AL340" i="2"/>
  <c r="AJ340" i="2"/>
  <c r="AH340" i="2"/>
  <c r="C340" i="2" a="1"/>
  <c r="C340" i="2"/>
  <c r="B340" i="2"/>
  <c r="A340" i="2"/>
  <c r="AL339" i="2"/>
  <c r="AJ339" i="2"/>
  <c r="AH339" i="2"/>
  <c r="C339" i="2" a="1"/>
  <c r="C339" i="2"/>
  <c r="B339" i="2"/>
  <c r="A339" i="2"/>
  <c r="AL338" i="2"/>
  <c r="AJ338" i="2"/>
  <c r="AH338" i="2"/>
  <c r="C338" i="2" a="1"/>
  <c r="C338" i="2"/>
  <c r="B338" i="2"/>
  <c r="A338" i="2"/>
  <c r="AL337" i="2"/>
  <c r="AJ337" i="2"/>
  <c r="AH337" i="2"/>
  <c r="C337" i="2" a="1"/>
  <c r="C337" i="2"/>
  <c r="B337" i="2"/>
  <c r="A337" i="2"/>
  <c r="AL336" i="2"/>
  <c r="AJ336" i="2"/>
  <c r="AH336" i="2"/>
  <c r="C336" i="2" a="1"/>
  <c r="C336" i="2"/>
  <c r="B336" i="2"/>
  <c r="A336" i="2"/>
  <c r="AL335" i="2"/>
  <c r="AJ335" i="2"/>
  <c r="AH335" i="2"/>
  <c r="C335" i="2" a="1"/>
  <c r="C335" i="2"/>
  <c r="B335" i="2"/>
  <c r="A335" i="2"/>
  <c r="AL334" i="2"/>
  <c r="AJ334" i="2"/>
  <c r="AH334" i="2"/>
  <c r="C334" i="2" a="1"/>
  <c r="C334" i="2"/>
  <c r="B334" i="2"/>
  <c r="A334" i="2"/>
  <c r="AL333" i="2"/>
  <c r="AJ333" i="2"/>
  <c r="AH333" i="2"/>
  <c r="C333" i="2" a="1"/>
  <c r="C333" i="2"/>
  <c r="B333" i="2"/>
  <c r="A333" i="2"/>
  <c r="AL332" i="2"/>
  <c r="AJ332" i="2"/>
  <c r="AH332" i="2"/>
  <c r="C332" i="2" a="1"/>
  <c r="C332" i="2"/>
  <c r="B332" i="2"/>
  <c r="A332" i="2"/>
  <c r="AL331" i="2"/>
  <c r="AJ331" i="2"/>
  <c r="AH331" i="2"/>
  <c r="C331" i="2" a="1"/>
  <c r="C331" i="2"/>
  <c r="B331" i="2"/>
  <c r="A331" i="2"/>
  <c r="AL330" i="2"/>
  <c r="AJ330" i="2"/>
  <c r="AH330" i="2"/>
  <c r="C330" i="2" a="1"/>
  <c r="C330" i="2"/>
  <c r="B330" i="2"/>
  <c r="A330" i="2"/>
  <c r="AL329" i="2"/>
  <c r="AJ329" i="2"/>
  <c r="AH329" i="2"/>
  <c r="C329" i="2" a="1"/>
  <c r="C329" i="2"/>
  <c r="B329" i="2"/>
  <c r="A329" i="2"/>
  <c r="AL328" i="2"/>
  <c r="AJ328" i="2"/>
  <c r="AH328" i="2"/>
  <c r="C328" i="2" a="1"/>
  <c r="C328" i="2"/>
  <c r="B328" i="2"/>
  <c r="A328" i="2"/>
  <c r="AL327" i="2"/>
  <c r="AJ327" i="2"/>
  <c r="AH327" i="2"/>
  <c r="C327" i="2" a="1"/>
  <c r="C327" i="2"/>
  <c r="B327" i="2"/>
  <c r="A327" i="2"/>
  <c r="AL326" i="2"/>
  <c r="AJ326" i="2"/>
  <c r="AH326" i="2"/>
  <c r="C326" i="2" a="1"/>
  <c r="C326" i="2"/>
  <c r="B326" i="2"/>
  <c r="A326" i="2"/>
  <c r="AL325" i="2"/>
  <c r="AJ325" i="2"/>
  <c r="AH325" i="2"/>
  <c r="C325" i="2" a="1"/>
  <c r="C325" i="2"/>
  <c r="B325" i="2"/>
  <c r="A325" i="2"/>
  <c r="AL324" i="2"/>
  <c r="AJ324" i="2"/>
  <c r="AH324" i="2"/>
  <c r="C324" i="2" a="1"/>
  <c r="C324" i="2"/>
  <c r="B324" i="2"/>
  <c r="A324" i="2"/>
  <c r="AL323" i="2"/>
  <c r="AJ323" i="2"/>
  <c r="AH323" i="2"/>
  <c r="C323" i="2" a="1"/>
  <c r="C323" i="2"/>
  <c r="B323" i="2"/>
  <c r="A323" i="2"/>
  <c r="AL322" i="2"/>
  <c r="AJ322" i="2"/>
  <c r="AH322" i="2"/>
  <c r="C322" i="2" a="1"/>
  <c r="C322" i="2"/>
  <c r="B322" i="2"/>
  <c r="A322" i="2"/>
  <c r="AL321" i="2"/>
  <c r="AJ321" i="2"/>
  <c r="AH321" i="2"/>
  <c r="C321" i="2" a="1"/>
  <c r="C321" i="2"/>
  <c r="B321" i="2"/>
  <c r="A321" i="2"/>
  <c r="AL320" i="2"/>
  <c r="AJ320" i="2"/>
  <c r="AH320" i="2"/>
  <c r="C320" i="2" a="1"/>
  <c r="C320" i="2"/>
  <c r="B320" i="2"/>
  <c r="A320" i="2"/>
  <c r="AL319" i="2"/>
  <c r="AJ319" i="2"/>
  <c r="AH319" i="2"/>
  <c r="C319" i="2" a="1"/>
  <c r="C319" i="2"/>
  <c r="B319" i="2"/>
  <c r="A319" i="2"/>
  <c r="AL318" i="2"/>
  <c r="AJ318" i="2"/>
  <c r="AH318" i="2"/>
  <c r="C318" i="2" a="1"/>
  <c r="C318" i="2"/>
  <c r="B318" i="2"/>
  <c r="A318" i="2"/>
  <c r="AL317" i="2"/>
  <c r="AJ317" i="2"/>
  <c r="AH317" i="2"/>
  <c r="C317" i="2" a="1"/>
  <c r="C317" i="2"/>
  <c r="B317" i="2"/>
  <c r="A317" i="2"/>
  <c r="AL316" i="2"/>
  <c r="AJ316" i="2"/>
  <c r="AH316" i="2"/>
  <c r="C316" i="2" a="1"/>
  <c r="C316" i="2"/>
  <c r="B316" i="2"/>
  <c r="A316" i="2"/>
  <c r="AL315" i="2"/>
  <c r="AJ315" i="2"/>
  <c r="AH315" i="2"/>
  <c r="C315" i="2" a="1"/>
  <c r="C315" i="2"/>
  <c r="B315" i="2"/>
  <c r="A315" i="2"/>
  <c r="AL314" i="2"/>
  <c r="AJ314" i="2"/>
  <c r="AH314" i="2"/>
  <c r="C314" i="2" a="1"/>
  <c r="C314" i="2"/>
  <c r="B314" i="2"/>
  <c r="A314" i="2"/>
  <c r="AL313" i="2"/>
  <c r="AJ313" i="2"/>
  <c r="AH313" i="2"/>
  <c r="C313" i="2" a="1"/>
  <c r="C313" i="2"/>
  <c r="B313" i="2"/>
  <c r="A313" i="2"/>
  <c r="AL312" i="2"/>
  <c r="AJ312" i="2"/>
  <c r="AH312" i="2"/>
  <c r="C312" i="2" a="1"/>
  <c r="C312" i="2"/>
  <c r="B312" i="2"/>
  <c r="A312" i="2"/>
  <c r="AL311" i="2"/>
  <c r="AJ311" i="2"/>
  <c r="AH311" i="2"/>
  <c r="C311" i="2" a="1"/>
  <c r="C311" i="2"/>
  <c r="B311" i="2"/>
  <c r="A311" i="2"/>
  <c r="AL310" i="2"/>
  <c r="AJ310" i="2"/>
  <c r="AH310" i="2"/>
  <c r="C310" i="2" a="1"/>
  <c r="C310" i="2"/>
  <c r="B310" i="2"/>
  <c r="A310" i="2"/>
  <c r="AL309" i="2"/>
  <c r="AJ309" i="2"/>
  <c r="AH309" i="2"/>
  <c r="C309" i="2" a="1"/>
  <c r="C309" i="2"/>
  <c r="B309" i="2"/>
  <c r="A309" i="2"/>
  <c r="AL308" i="2"/>
  <c r="AJ308" i="2"/>
  <c r="AH308" i="2"/>
  <c r="C308" i="2" a="1"/>
  <c r="C308" i="2"/>
  <c r="B308" i="2"/>
  <c r="A308" i="2"/>
  <c r="AL307" i="2"/>
  <c r="AJ307" i="2"/>
  <c r="AH307" i="2"/>
  <c r="C307" i="2" a="1"/>
  <c r="C307" i="2"/>
  <c r="B307" i="2"/>
  <c r="A307" i="2"/>
  <c r="AL306" i="2"/>
  <c r="AJ306" i="2"/>
  <c r="AH306" i="2"/>
  <c r="C306" i="2" a="1"/>
  <c r="C306" i="2"/>
  <c r="B306" i="2"/>
  <c r="A306" i="2"/>
  <c r="AL305" i="2"/>
  <c r="AJ305" i="2"/>
  <c r="AH305" i="2"/>
  <c r="C305" i="2" a="1"/>
  <c r="C305" i="2"/>
  <c r="B305" i="2"/>
  <c r="A305" i="2"/>
  <c r="AL304" i="2"/>
  <c r="AJ304" i="2"/>
  <c r="AH304" i="2"/>
  <c r="C304" i="2" a="1"/>
  <c r="C304" i="2"/>
  <c r="B304" i="2"/>
  <c r="A304" i="2"/>
  <c r="AL303" i="2"/>
  <c r="AJ303" i="2"/>
  <c r="AH303" i="2"/>
  <c r="C303" i="2" a="1"/>
  <c r="C303" i="2"/>
  <c r="B303" i="2"/>
  <c r="A303" i="2"/>
  <c r="AL302" i="2"/>
  <c r="AJ302" i="2"/>
  <c r="AH302" i="2"/>
  <c r="C302" i="2" a="1"/>
  <c r="C302" i="2"/>
  <c r="B302" i="2"/>
  <c r="A302" i="2"/>
  <c r="AL301" i="2"/>
  <c r="AJ301" i="2"/>
  <c r="AH301" i="2"/>
  <c r="C301" i="2" a="1"/>
  <c r="C301" i="2"/>
  <c r="B301" i="2"/>
  <c r="A301" i="2"/>
  <c r="AL300" i="2"/>
  <c r="AJ300" i="2"/>
  <c r="AH300" i="2"/>
  <c r="C300" i="2" a="1"/>
  <c r="C300" i="2"/>
  <c r="B300" i="2"/>
  <c r="A300" i="2"/>
  <c r="AL299" i="2"/>
  <c r="AJ299" i="2"/>
  <c r="AH299" i="2"/>
  <c r="C299" i="2" a="1"/>
  <c r="C299" i="2"/>
  <c r="B299" i="2"/>
  <c r="A299" i="2"/>
  <c r="AL298" i="2"/>
  <c r="AJ298" i="2"/>
  <c r="AH298" i="2"/>
  <c r="C298" i="2" a="1"/>
  <c r="C298" i="2"/>
  <c r="B298" i="2"/>
  <c r="A298" i="2"/>
  <c r="AL297" i="2"/>
  <c r="AJ297" i="2"/>
  <c r="AH297" i="2"/>
  <c r="C297" i="2" a="1"/>
  <c r="C297" i="2"/>
  <c r="B297" i="2"/>
  <c r="A297" i="2"/>
  <c r="AL296" i="2"/>
  <c r="AJ296" i="2"/>
  <c r="AH296" i="2"/>
  <c r="C296" i="2" a="1"/>
  <c r="C296" i="2"/>
  <c r="B296" i="2"/>
  <c r="A296" i="2"/>
  <c r="AL295" i="2"/>
  <c r="AJ295" i="2"/>
  <c r="AH295" i="2"/>
  <c r="C295" i="2" a="1"/>
  <c r="C295" i="2"/>
  <c r="B295" i="2"/>
  <c r="A295" i="2"/>
  <c r="AL294" i="2"/>
  <c r="AJ294" i="2"/>
  <c r="AH294" i="2"/>
  <c r="C294" i="2" a="1"/>
  <c r="C294" i="2"/>
  <c r="B294" i="2"/>
  <c r="A294" i="2"/>
  <c r="AL293" i="2"/>
  <c r="AJ293" i="2"/>
  <c r="AH293" i="2"/>
  <c r="C293" i="2" a="1"/>
  <c r="C293" i="2"/>
  <c r="B293" i="2"/>
  <c r="A293" i="2"/>
  <c r="AL292" i="2"/>
  <c r="AJ292" i="2"/>
  <c r="AH292" i="2"/>
  <c r="C292" i="2" a="1"/>
  <c r="C292" i="2"/>
  <c r="B292" i="2"/>
  <c r="A292" i="2"/>
  <c r="AL291" i="2"/>
  <c r="AJ291" i="2"/>
  <c r="AH291" i="2"/>
  <c r="C291" i="2" a="1"/>
  <c r="C291" i="2"/>
  <c r="B291" i="2"/>
  <c r="A291" i="2"/>
  <c r="AL290" i="2"/>
  <c r="AJ290" i="2"/>
  <c r="AH290" i="2"/>
  <c r="C290" i="2" a="1"/>
  <c r="C290" i="2"/>
  <c r="B290" i="2"/>
  <c r="A290" i="2"/>
  <c r="AL289" i="2"/>
  <c r="AJ289" i="2"/>
  <c r="AH289" i="2"/>
  <c r="C289" i="2" a="1"/>
  <c r="C289" i="2"/>
  <c r="B289" i="2"/>
  <c r="A289" i="2"/>
  <c r="AL288" i="2"/>
  <c r="AJ288" i="2"/>
  <c r="AH288" i="2"/>
  <c r="C288" i="2" a="1"/>
  <c r="C288" i="2"/>
  <c r="B288" i="2"/>
  <c r="A288" i="2"/>
  <c r="AL287" i="2"/>
  <c r="AJ287" i="2"/>
  <c r="AH287" i="2"/>
  <c r="C287" i="2" a="1"/>
  <c r="C287" i="2"/>
  <c r="B287" i="2"/>
  <c r="A287" i="2"/>
  <c r="AL286" i="2"/>
  <c r="AJ286" i="2"/>
  <c r="AH286" i="2"/>
  <c r="C286" i="2" a="1"/>
  <c r="C286" i="2"/>
  <c r="B286" i="2"/>
  <c r="A286" i="2"/>
  <c r="AL285" i="2"/>
  <c r="AJ285" i="2"/>
  <c r="AH285" i="2"/>
  <c r="C285" i="2" a="1"/>
  <c r="C285" i="2"/>
  <c r="B285" i="2"/>
  <c r="A285" i="2"/>
  <c r="AL284" i="2"/>
  <c r="AJ284" i="2"/>
  <c r="AH284" i="2"/>
  <c r="C284" i="2" a="1"/>
  <c r="C284" i="2"/>
  <c r="B284" i="2"/>
  <c r="A284" i="2"/>
  <c r="AL283" i="2"/>
  <c r="AJ283" i="2"/>
  <c r="AH283" i="2"/>
  <c r="C283" i="2" a="1"/>
  <c r="C283" i="2"/>
  <c r="B283" i="2"/>
  <c r="A283" i="2"/>
  <c r="AL282" i="2"/>
  <c r="AJ282" i="2"/>
  <c r="AH282" i="2"/>
  <c r="C282" i="2" a="1"/>
  <c r="C282" i="2"/>
  <c r="B282" i="2"/>
  <c r="A282" i="2"/>
  <c r="AL281" i="2"/>
  <c r="AJ281" i="2"/>
  <c r="AH281" i="2"/>
  <c r="C281" i="2" a="1"/>
  <c r="C281" i="2"/>
  <c r="B281" i="2"/>
  <c r="A281" i="2"/>
  <c r="AL280" i="2"/>
  <c r="AJ280" i="2"/>
  <c r="AH280" i="2"/>
  <c r="C280" i="2" a="1"/>
  <c r="C280" i="2"/>
  <c r="B280" i="2"/>
  <c r="A280" i="2"/>
  <c r="AL279" i="2"/>
  <c r="AJ279" i="2"/>
  <c r="AH279" i="2"/>
  <c r="C279" i="2" a="1"/>
  <c r="C279" i="2"/>
  <c r="B279" i="2"/>
  <c r="A279" i="2"/>
  <c r="AL278" i="2"/>
  <c r="AJ278" i="2"/>
  <c r="AH278" i="2"/>
  <c r="C278" i="2" a="1"/>
  <c r="C278" i="2"/>
  <c r="B278" i="2"/>
  <c r="A278" i="2"/>
  <c r="AL277" i="2"/>
  <c r="AJ277" i="2"/>
  <c r="AH277" i="2"/>
  <c r="C277" i="2" a="1"/>
  <c r="C277" i="2"/>
  <c r="B277" i="2"/>
  <c r="A277" i="2"/>
  <c r="AL276" i="2"/>
  <c r="AJ276" i="2"/>
  <c r="AH276" i="2"/>
  <c r="C276" i="2" a="1"/>
  <c r="C276" i="2"/>
  <c r="B276" i="2"/>
  <c r="A276" i="2"/>
  <c r="AL275" i="2"/>
  <c r="AJ275" i="2"/>
  <c r="AH275" i="2"/>
  <c r="C275" i="2" a="1"/>
  <c r="C275" i="2"/>
  <c r="B275" i="2"/>
  <c r="A275" i="2"/>
  <c r="AL274" i="2"/>
  <c r="AJ274" i="2"/>
  <c r="AH274" i="2"/>
  <c r="C274" i="2" a="1"/>
  <c r="C274" i="2"/>
  <c r="B274" i="2"/>
  <c r="A274" i="2"/>
  <c r="AL273" i="2"/>
  <c r="AJ273" i="2"/>
  <c r="AH273" i="2"/>
  <c r="C273" i="2" a="1"/>
  <c r="C273" i="2"/>
  <c r="B273" i="2"/>
  <c r="A273" i="2"/>
  <c r="AL272" i="2"/>
  <c r="AJ272" i="2"/>
  <c r="AH272" i="2"/>
  <c r="C272" i="2" a="1"/>
  <c r="C272" i="2"/>
  <c r="B272" i="2"/>
  <c r="A272" i="2"/>
  <c r="AL271" i="2"/>
  <c r="AJ271" i="2"/>
  <c r="AH271" i="2"/>
  <c r="C271" i="2" a="1"/>
  <c r="C271" i="2"/>
  <c r="B271" i="2"/>
  <c r="A271" i="2"/>
  <c r="AL270" i="2"/>
  <c r="AJ270" i="2"/>
  <c r="AH270" i="2"/>
  <c r="C270" i="2" a="1"/>
  <c r="C270" i="2"/>
  <c r="B270" i="2"/>
  <c r="A270" i="2"/>
  <c r="AL269" i="2"/>
  <c r="AJ269" i="2"/>
  <c r="AH269" i="2"/>
  <c r="C269" i="2" a="1"/>
  <c r="C269" i="2"/>
  <c r="B269" i="2"/>
  <c r="A269" i="2"/>
  <c r="AL268" i="2"/>
  <c r="AJ268" i="2"/>
  <c r="AH268" i="2"/>
  <c r="C268" i="2" a="1"/>
  <c r="C268" i="2"/>
  <c r="B268" i="2"/>
  <c r="A268" i="2"/>
  <c r="AL267" i="2"/>
  <c r="AJ267" i="2"/>
  <c r="AH267" i="2"/>
  <c r="C267" i="2" a="1"/>
  <c r="C267" i="2"/>
  <c r="B267" i="2"/>
  <c r="A267" i="2"/>
  <c r="AL266" i="2"/>
  <c r="AJ266" i="2"/>
  <c r="AH266" i="2"/>
  <c r="C266" i="2" a="1"/>
  <c r="C266" i="2"/>
  <c r="B266" i="2"/>
  <c r="A266" i="2"/>
  <c r="AL265" i="2"/>
  <c r="AJ265" i="2"/>
  <c r="AH265" i="2"/>
  <c r="C265" i="2" a="1"/>
  <c r="C265" i="2"/>
  <c r="B265" i="2"/>
  <c r="A265" i="2"/>
  <c r="AL264" i="2"/>
  <c r="AJ264" i="2"/>
  <c r="AH264" i="2"/>
  <c r="C264" i="2" a="1"/>
  <c r="C264" i="2"/>
  <c r="B264" i="2"/>
  <c r="A264" i="2"/>
  <c r="AL263" i="2"/>
  <c r="AJ263" i="2"/>
  <c r="AH263" i="2"/>
  <c r="C263" i="2" a="1"/>
  <c r="C263" i="2"/>
  <c r="B263" i="2"/>
  <c r="A263" i="2"/>
  <c r="AL262" i="2"/>
  <c r="AJ262" i="2"/>
  <c r="AH262" i="2"/>
  <c r="C262" i="2" a="1"/>
  <c r="C262" i="2"/>
  <c r="B262" i="2"/>
  <c r="A262" i="2"/>
  <c r="AL261" i="2"/>
  <c r="AJ261" i="2"/>
  <c r="AH261" i="2"/>
  <c r="C261" i="2" a="1"/>
  <c r="C261" i="2"/>
  <c r="B261" i="2"/>
  <c r="A261" i="2"/>
  <c r="AL260" i="2"/>
  <c r="AJ260" i="2"/>
  <c r="AH260" i="2"/>
  <c r="C260" i="2" a="1"/>
  <c r="C260" i="2"/>
  <c r="B260" i="2"/>
  <c r="A260" i="2"/>
  <c r="AL259" i="2"/>
  <c r="AJ259" i="2"/>
  <c r="AH259" i="2"/>
  <c r="C259" i="2" a="1"/>
  <c r="C259" i="2"/>
  <c r="B259" i="2"/>
  <c r="A259" i="2"/>
  <c r="AL258" i="2"/>
  <c r="AJ258" i="2"/>
  <c r="AH258" i="2"/>
  <c r="C258" i="2" a="1"/>
  <c r="C258" i="2"/>
  <c r="B258" i="2"/>
  <c r="A258" i="2"/>
  <c r="AL257" i="2"/>
  <c r="AJ257" i="2"/>
  <c r="AH257" i="2"/>
  <c r="C257" i="2" a="1"/>
  <c r="C257" i="2"/>
  <c r="B257" i="2"/>
  <c r="A257" i="2"/>
  <c r="AL256" i="2"/>
  <c r="AJ256" i="2"/>
  <c r="AH256" i="2"/>
  <c r="C256" i="2" a="1"/>
  <c r="C256" i="2"/>
  <c r="B256" i="2"/>
  <c r="A256" i="2"/>
  <c r="AL255" i="2"/>
  <c r="AJ255" i="2"/>
  <c r="AH255" i="2"/>
  <c r="C255" i="2" a="1"/>
  <c r="C255" i="2"/>
  <c r="B255" i="2"/>
  <c r="A255" i="2"/>
  <c r="AL254" i="2"/>
  <c r="AJ254" i="2"/>
  <c r="AH254" i="2"/>
  <c r="C254" i="2" a="1"/>
  <c r="C254" i="2"/>
  <c r="B254" i="2"/>
  <c r="A254" i="2"/>
  <c r="AL253" i="2"/>
  <c r="AJ253" i="2"/>
  <c r="AH253" i="2"/>
  <c r="C253" i="2" a="1"/>
  <c r="C253" i="2"/>
  <c r="B253" i="2"/>
  <c r="A253" i="2"/>
  <c r="AL252" i="2"/>
  <c r="AJ252" i="2"/>
  <c r="AH252" i="2"/>
  <c r="C252" i="2" a="1"/>
  <c r="C252" i="2"/>
  <c r="B252" i="2"/>
  <c r="A252" i="2"/>
  <c r="AL251" i="2"/>
  <c r="AJ251" i="2"/>
  <c r="AH251" i="2"/>
  <c r="C251" i="2" a="1"/>
  <c r="C251" i="2"/>
  <c r="B251" i="2"/>
  <c r="A251" i="2"/>
  <c r="AL250" i="2"/>
  <c r="AJ250" i="2"/>
  <c r="AH250" i="2"/>
  <c r="C250" i="2" a="1"/>
  <c r="C250" i="2"/>
  <c r="B250" i="2"/>
  <c r="A250" i="2"/>
  <c r="AL249" i="2"/>
  <c r="AJ249" i="2"/>
  <c r="AH249" i="2"/>
  <c r="C249" i="2" a="1"/>
  <c r="C249" i="2"/>
  <c r="B249" i="2"/>
  <c r="A249" i="2"/>
  <c r="AL248" i="2"/>
  <c r="AJ248" i="2"/>
  <c r="AH248" i="2"/>
  <c r="C248" i="2" a="1"/>
  <c r="C248" i="2"/>
  <c r="B248" i="2"/>
  <c r="A248" i="2"/>
  <c r="AL247" i="2"/>
  <c r="AJ247" i="2"/>
  <c r="AH247" i="2"/>
  <c r="C247" i="2" a="1"/>
  <c r="C247" i="2"/>
  <c r="B247" i="2"/>
  <c r="A247" i="2"/>
  <c r="AL246" i="2"/>
  <c r="AJ246" i="2"/>
  <c r="AH246" i="2"/>
  <c r="C246" i="2" a="1"/>
  <c r="C246" i="2"/>
  <c r="B246" i="2"/>
  <c r="A246" i="2"/>
  <c r="AL245" i="2"/>
  <c r="AJ245" i="2"/>
  <c r="AH245" i="2"/>
  <c r="C245" i="2" a="1"/>
  <c r="C245" i="2"/>
  <c r="B245" i="2"/>
  <c r="A245" i="2"/>
  <c r="AL244" i="2"/>
  <c r="AJ244" i="2"/>
  <c r="AH244" i="2"/>
  <c r="C244" i="2" a="1"/>
  <c r="C244" i="2"/>
  <c r="B244" i="2"/>
  <c r="A244" i="2"/>
  <c r="AL243" i="2"/>
  <c r="AJ243" i="2"/>
  <c r="AH243" i="2"/>
  <c r="C243" i="2" a="1"/>
  <c r="C243" i="2"/>
  <c r="B243" i="2"/>
  <c r="A243" i="2"/>
  <c r="AL242" i="2"/>
  <c r="AJ242" i="2"/>
  <c r="AH242" i="2"/>
  <c r="C242" i="2" a="1"/>
  <c r="C242" i="2"/>
  <c r="B242" i="2"/>
  <c r="A242" i="2"/>
  <c r="AL241" i="2"/>
  <c r="AJ241" i="2"/>
  <c r="AH241" i="2"/>
  <c r="C241" i="2" a="1"/>
  <c r="C241" i="2"/>
  <c r="B241" i="2"/>
  <c r="A241" i="2"/>
  <c r="AL240" i="2"/>
  <c r="AJ240" i="2"/>
  <c r="AH240" i="2"/>
  <c r="C240" i="2" a="1"/>
  <c r="C240" i="2"/>
  <c r="B240" i="2"/>
  <c r="A240" i="2"/>
  <c r="AL239" i="2"/>
  <c r="AJ239" i="2"/>
  <c r="AH239" i="2"/>
  <c r="C239" i="2" a="1"/>
  <c r="C239" i="2"/>
  <c r="B239" i="2"/>
  <c r="A239" i="2"/>
  <c r="AL238" i="2"/>
  <c r="AJ238" i="2"/>
  <c r="AH238" i="2"/>
  <c r="C238" i="2" a="1"/>
  <c r="C238" i="2"/>
  <c r="B238" i="2"/>
  <c r="A238" i="2"/>
  <c r="AL237" i="2"/>
  <c r="AJ237" i="2"/>
  <c r="AH237" i="2"/>
  <c r="C237" i="2" a="1"/>
  <c r="C237" i="2"/>
  <c r="B237" i="2"/>
  <c r="A237" i="2"/>
  <c r="AL236" i="2"/>
  <c r="AJ236" i="2"/>
  <c r="AH236" i="2"/>
  <c r="C236" i="2" a="1"/>
  <c r="C236" i="2"/>
  <c r="B236" i="2"/>
  <c r="A236" i="2"/>
  <c r="AL235" i="2"/>
  <c r="AJ235" i="2"/>
  <c r="AH235" i="2"/>
  <c r="C235" i="2" a="1"/>
  <c r="C235" i="2"/>
  <c r="B235" i="2"/>
  <c r="A235" i="2"/>
  <c r="AL234" i="2"/>
  <c r="AJ234" i="2"/>
  <c r="AH234" i="2"/>
  <c r="C234" i="2" a="1"/>
  <c r="C234" i="2"/>
  <c r="B234" i="2"/>
  <c r="A234" i="2"/>
  <c r="AL233" i="2"/>
  <c r="AJ233" i="2"/>
  <c r="AH233" i="2"/>
  <c r="C233" i="2" a="1"/>
  <c r="C233" i="2"/>
  <c r="B233" i="2"/>
  <c r="A233" i="2"/>
  <c r="AL232" i="2"/>
  <c r="AJ232" i="2"/>
  <c r="AH232" i="2"/>
  <c r="C232" i="2" a="1"/>
  <c r="C232" i="2"/>
  <c r="B232" i="2"/>
  <c r="A232" i="2"/>
  <c r="AL231" i="2"/>
  <c r="AJ231" i="2"/>
  <c r="AH231" i="2"/>
  <c r="C231" i="2" a="1"/>
  <c r="C231" i="2"/>
  <c r="B231" i="2"/>
  <c r="A231" i="2"/>
  <c r="AL230" i="2"/>
  <c r="AJ230" i="2"/>
  <c r="AH230" i="2"/>
  <c r="C230" i="2" a="1"/>
  <c r="C230" i="2"/>
  <c r="B230" i="2"/>
  <c r="A230" i="2"/>
  <c r="AL229" i="2"/>
  <c r="AJ229" i="2"/>
  <c r="AH229" i="2"/>
  <c r="C229" i="2" a="1"/>
  <c r="C229" i="2"/>
  <c r="B229" i="2"/>
  <c r="A229" i="2"/>
  <c r="AL228" i="2"/>
  <c r="AJ228" i="2"/>
  <c r="AH228" i="2"/>
  <c r="C228" i="2" a="1"/>
  <c r="C228" i="2"/>
  <c r="B228" i="2"/>
  <c r="A228" i="2"/>
  <c r="AL227" i="2"/>
  <c r="AJ227" i="2"/>
  <c r="AH227" i="2"/>
  <c r="C227" i="2" a="1"/>
  <c r="C227" i="2"/>
  <c r="B227" i="2"/>
  <c r="A227" i="2"/>
  <c r="AL226" i="2"/>
  <c r="AJ226" i="2"/>
  <c r="C226" i="2" a="1"/>
  <c r="C226" i="2"/>
  <c r="B226" i="2"/>
  <c r="A226" i="2"/>
  <c r="AL225" i="2"/>
  <c r="AJ225" i="2"/>
  <c r="C225" i="2" a="1"/>
  <c r="C225" i="2"/>
  <c r="B225" i="2"/>
  <c r="A225" i="2"/>
  <c r="AL224" i="2"/>
  <c r="AJ224" i="2"/>
  <c r="C224" i="2" a="1"/>
  <c r="C224" i="2"/>
  <c r="B224" i="2"/>
  <c r="A224" i="2"/>
  <c r="AL223" i="2"/>
  <c r="AJ223" i="2"/>
  <c r="C223" i="2" a="1"/>
  <c r="C223" i="2"/>
  <c r="B223" i="2"/>
  <c r="A223" i="2"/>
  <c r="AL222" i="2"/>
  <c r="AJ222" i="2"/>
  <c r="C222" i="2" a="1"/>
  <c r="C222" i="2"/>
  <c r="B222" i="2"/>
  <c r="A222" i="2"/>
  <c r="AL221" i="2"/>
  <c r="AJ221" i="2"/>
  <c r="C221" i="2" a="1"/>
  <c r="C221" i="2"/>
  <c r="B221" i="2"/>
  <c r="A221" i="2"/>
  <c r="AL220" i="2"/>
  <c r="AJ220" i="2"/>
  <c r="C220" i="2" a="1"/>
  <c r="C220" i="2"/>
  <c r="B220" i="2"/>
  <c r="A220" i="2"/>
  <c r="AL219" i="2"/>
  <c r="AJ219" i="2"/>
  <c r="C219" i="2" a="1"/>
  <c r="C219" i="2"/>
  <c r="B219" i="2"/>
  <c r="A219" i="2"/>
  <c r="AL218" i="2"/>
  <c r="AJ218" i="2"/>
  <c r="C218" i="2" a="1"/>
  <c r="C218" i="2"/>
  <c r="B218" i="2"/>
  <c r="A218" i="2"/>
  <c r="AL217" i="2"/>
  <c r="AJ217" i="2"/>
  <c r="C217" i="2" a="1"/>
  <c r="C217" i="2"/>
  <c r="B217" i="2"/>
  <c r="A217" i="2"/>
  <c r="AL216" i="2"/>
  <c r="AJ216" i="2"/>
  <c r="C216" i="2" a="1"/>
  <c r="C216" i="2"/>
  <c r="B216" i="2"/>
  <c r="A216" i="2"/>
  <c r="AL215" i="2"/>
  <c r="AJ215" i="2"/>
  <c r="C215" i="2" a="1"/>
  <c r="C215" i="2"/>
  <c r="B215" i="2"/>
  <c r="A215" i="2"/>
  <c r="AL214" i="2"/>
  <c r="AJ214" i="2"/>
  <c r="C214" i="2" a="1"/>
  <c r="C214" i="2"/>
  <c r="B214" i="2"/>
  <c r="A214" i="2"/>
  <c r="AL213" i="2"/>
  <c r="AJ213" i="2"/>
  <c r="C213" i="2" a="1"/>
  <c r="C213" i="2"/>
  <c r="B213" i="2"/>
  <c r="A213" i="2"/>
  <c r="AL212" i="2"/>
  <c r="AJ212" i="2"/>
  <c r="C212" i="2" a="1"/>
  <c r="C212" i="2"/>
  <c r="B212" i="2"/>
  <c r="A212" i="2"/>
  <c r="AL211" i="2"/>
  <c r="AJ211" i="2"/>
  <c r="C211" i="2" a="1"/>
  <c r="C211" i="2"/>
  <c r="B211" i="2"/>
  <c r="A211" i="2"/>
  <c r="AL210" i="2"/>
  <c r="AJ210" i="2"/>
  <c r="C210" i="2" a="1"/>
  <c r="C210" i="2"/>
  <c r="B210" i="2"/>
  <c r="A210" i="2"/>
  <c r="AL209" i="2"/>
  <c r="AJ209" i="2"/>
  <c r="C209" i="2" a="1"/>
  <c r="C209" i="2"/>
  <c r="B209" i="2"/>
  <c r="A209" i="2"/>
  <c r="AL208" i="2"/>
  <c r="AJ208" i="2"/>
  <c r="C208" i="2" a="1"/>
  <c r="C208" i="2"/>
  <c r="B208" i="2"/>
  <c r="A208" i="2"/>
  <c r="AL207" i="2"/>
  <c r="AJ207" i="2"/>
  <c r="C207" i="2" a="1"/>
  <c r="C207" i="2"/>
  <c r="B207" i="2"/>
  <c r="A207" i="2"/>
  <c r="AL206" i="2"/>
  <c r="AJ206" i="2"/>
  <c r="C206" i="2" a="1"/>
  <c r="C206" i="2"/>
  <c r="B206" i="2"/>
  <c r="A206" i="2"/>
  <c r="AL205" i="2"/>
  <c r="AJ205" i="2"/>
  <c r="C205" i="2" a="1"/>
  <c r="C205" i="2"/>
  <c r="B205" i="2"/>
  <c r="A205" i="2"/>
  <c r="AL204" i="2"/>
  <c r="AJ204" i="2"/>
  <c r="C204" i="2" a="1"/>
  <c r="C204" i="2"/>
  <c r="B204" i="2"/>
  <c r="A204" i="2"/>
  <c r="AL203" i="2"/>
  <c r="AJ203" i="2"/>
  <c r="C203" i="2" a="1"/>
  <c r="C203" i="2"/>
  <c r="B203" i="2"/>
  <c r="A203" i="2"/>
  <c r="AL202" i="2"/>
  <c r="AJ202" i="2"/>
  <c r="C202" i="2" a="1"/>
  <c r="C202" i="2"/>
  <c r="B202" i="2"/>
  <c r="A202" i="2"/>
  <c r="AL201" i="2"/>
  <c r="AJ201" i="2"/>
  <c r="C201" i="2" a="1"/>
  <c r="C201" i="2"/>
  <c r="B201" i="2"/>
  <c r="A201" i="2"/>
  <c r="AL200" i="2"/>
  <c r="AJ200" i="2"/>
  <c r="C200" i="2" a="1"/>
  <c r="C200" i="2"/>
  <c r="B200" i="2"/>
  <c r="A200" i="2"/>
  <c r="AL199" i="2"/>
  <c r="AJ199" i="2"/>
  <c r="C199" i="2" a="1"/>
  <c r="C199" i="2"/>
  <c r="B199" i="2"/>
  <c r="A199" i="2"/>
  <c r="AL198" i="2"/>
  <c r="AJ198" i="2"/>
  <c r="C198" i="2" a="1"/>
  <c r="C198" i="2"/>
  <c r="B198" i="2"/>
  <c r="A198" i="2"/>
  <c r="AL197" i="2"/>
  <c r="AJ197" i="2"/>
  <c r="C197" i="2" a="1"/>
  <c r="C197" i="2"/>
  <c r="B197" i="2"/>
  <c r="A197" i="2"/>
  <c r="AL196" i="2"/>
  <c r="AJ196" i="2"/>
  <c r="C196" i="2" a="1"/>
  <c r="C196" i="2"/>
  <c r="B196" i="2"/>
  <c r="A196" i="2"/>
  <c r="AL195" i="2"/>
  <c r="AJ195" i="2"/>
  <c r="C195" i="2" a="1"/>
  <c r="C195" i="2"/>
  <c r="B195" i="2"/>
  <c r="A195" i="2"/>
  <c r="AL194" i="2"/>
  <c r="C194" i="2" a="1"/>
  <c r="C194" i="2"/>
  <c r="B194" i="2"/>
  <c r="A194" i="2"/>
  <c r="AL193" i="2"/>
  <c r="AJ193" i="2"/>
  <c r="C193" i="2" a="1"/>
  <c r="C193" i="2"/>
  <c r="B193" i="2"/>
  <c r="A193" i="2"/>
  <c r="AL192" i="2"/>
  <c r="AJ192" i="2"/>
  <c r="C192" i="2" a="1"/>
  <c r="C192" i="2"/>
  <c r="B192" i="2"/>
  <c r="A192" i="2"/>
  <c r="AL191" i="2"/>
  <c r="AJ191" i="2"/>
  <c r="C191" i="2" a="1"/>
  <c r="C191" i="2"/>
  <c r="B191" i="2"/>
  <c r="A191" i="2"/>
  <c r="AL190" i="2"/>
  <c r="AJ190" i="2"/>
  <c r="C190" i="2" a="1"/>
  <c r="C190" i="2"/>
  <c r="B190" i="2"/>
  <c r="A190" i="2"/>
  <c r="AL189" i="2"/>
  <c r="AJ189" i="2"/>
  <c r="C189" i="2" a="1"/>
  <c r="C189" i="2"/>
  <c r="B189" i="2"/>
  <c r="A189" i="2"/>
  <c r="AL188" i="2"/>
  <c r="AJ188" i="2"/>
  <c r="C188" i="2" a="1"/>
  <c r="C188" i="2"/>
  <c r="B188" i="2"/>
  <c r="A188" i="2"/>
  <c r="AL187" i="2"/>
  <c r="AJ187" i="2"/>
  <c r="C187" i="2" a="1"/>
  <c r="C187" i="2"/>
  <c r="B187" i="2"/>
  <c r="A187" i="2"/>
  <c r="AL186" i="2"/>
  <c r="AJ186" i="2"/>
  <c r="C186" i="2" a="1"/>
  <c r="C186" i="2"/>
  <c r="B186" i="2"/>
  <c r="A186" i="2"/>
  <c r="AL185" i="2"/>
  <c r="AJ185" i="2"/>
  <c r="C185" i="2" a="1"/>
  <c r="C185" i="2"/>
  <c r="B185" i="2"/>
  <c r="A185" i="2"/>
  <c r="AL184" i="2"/>
  <c r="AJ184" i="2"/>
  <c r="C184" i="2" a="1"/>
  <c r="C184" i="2"/>
  <c r="B184" i="2"/>
  <c r="A184" i="2"/>
  <c r="AL183" i="2"/>
  <c r="AJ183" i="2"/>
  <c r="C183" i="2" a="1"/>
  <c r="C183" i="2"/>
  <c r="B183" i="2"/>
  <c r="A183" i="2"/>
  <c r="AL182" i="2"/>
  <c r="AJ182" i="2"/>
  <c r="C182" i="2" a="1"/>
  <c r="C182" i="2"/>
  <c r="B182" i="2"/>
  <c r="A182" i="2"/>
  <c r="AL181" i="2"/>
  <c r="AJ181" i="2"/>
  <c r="C181" i="2" a="1"/>
  <c r="C181" i="2"/>
  <c r="B181" i="2"/>
  <c r="A181" i="2"/>
  <c r="AL180" i="2"/>
  <c r="AJ180" i="2"/>
  <c r="C180" i="2" a="1"/>
  <c r="C180" i="2"/>
  <c r="B180" i="2"/>
  <c r="A180" i="2"/>
  <c r="AL179" i="2"/>
  <c r="AJ179" i="2"/>
  <c r="C179" i="2" a="1"/>
  <c r="C179" i="2"/>
  <c r="B179" i="2"/>
  <c r="A179" i="2"/>
  <c r="AL178" i="2"/>
  <c r="AJ178" i="2"/>
  <c r="C178" i="2" a="1"/>
  <c r="C178" i="2"/>
  <c r="B178" i="2"/>
  <c r="A178" i="2"/>
  <c r="AL177" i="2"/>
  <c r="AJ177" i="2"/>
  <c r="C177" i="2" a="1"/>
  <c r="C177" i="2"/>
  <c r="B177" i="2"/>
  <c r="A177" i="2"/>
  <c r="AL176" i="2"/>
  <c r="AJ176" i="2"/>
  <c r="C176" i="2" a="1"/>
  <c r="C176" i="2"/>
  <c r="B176" i="2"/>
  <c r="A176" i="2"/>
  <c r="AL175" i="2"/>
  <c r="AJ175" i="2"/>
  <c r="C175" i="2" a="1"/>
  <c r="C175" i="2"/>
  <c r="B175" i="2"/>
  <c r="A175" i="2"/>
  <c r="AL174" i="2"/>
  <c r="AJ174" i="2"/>
  <c r="C174" i="2" a="1"/>
  <c r="C174" i="2"/>
  <c r="B174" i="2"/>
  <c r="A174" i="2"/>
  <c r="AL173" i="2"/>
  <c r="AJ173" i="2"/>
  <c r="C173" i="2" a="1"/>
  <c r="C173" i="2"/>
  <c r="B173" i="2"/>
  <c r="A173" i="2"/>
  <c r="AL172" i="2"/>
  <c r="AJ172" i="2"/>
  <c r="C172" i="2" a="1"/>
  <c r="C172" i="2"/>
  <c r="B172" i="2"/>
  <c r="A172" i="2"/>
  <c r="AL171" i="2"/>
  <c r="C171" i="2" a="1"/>
  <c r="C171" i="2"/>
  <c r="B171" i="2"/>
  <c r="A171" i="2"/>
  <c r="AL170" i="2"/>
  <c r="C170" i="2" a="1"/>
  <c r="C170" i="2"/>
  <c r="B170" i="2"/>
  <c r="A170" i="2"/>
  <c r="AL169" i="2"/>
  <c r="C169" i="2" a="1"/>
  <c r="C169" i="2"/>
  <c r="B169" i="2"/>
  <c r="A169" i="2"/>
  <c r="AL168" i="2"/>
  <c r="AJ168" i="2"/>
  <c r="C168" i="2" a="1"/>
  <c r="C168" i="2"/>
  <c r="B168" i="2"/>
  <c r="A168" i="2"/>
  <c r="AL167" i="2"/>
  <c r="AJ167" i="2"/>
  <c r="C167" i="2" a="1"/>
  <c r="C167" i="2"/>
  <c r="B167" i="2"/>
  <c r="A167" i="2"/>
  <c r="AL166" i="2"/>
  <c r="AJ166" i="2"/>
  <c r="C166" i="2" a="1"/>
  <c r="C166" i="2"/>
  <c r="B166" i="2"/>
  <c r="A166" i="2"/>
  <c r="AL165" i="2"/>
  <c r="AJ165" i="2"/>
  <c r="C165" i="2" a="1"/>
  <c r="C165" i="2"/>
  <c r="B165" i="2"/>
  <c r="A165" i="2"/>
  <c r="AL164" i="2"/>
  <c r="AJ164" i="2"/>
  <c r="C164" i="2" a="1"/>
  <c r="C164" i="2"/>
  <c r="B164" i="2"/>
  <c r="A164" i="2"/>
  <c r="AL163" i="2"/>
  <c r="AJ163" i="2"/>
  <c r="C163" i="2" a="1"/>
  <c r="C163" i="2"/>
  <c r="B163" i="2"/>
  <c r="A163" i="2"/>
  <c r="AL162" i="2"/>
  <c r="AJ162" i="2"/>
  <c r="C162" i="2" a="1"/>
  <c r="C162" i="2"/>
  <c r="B162" i="2"/>
  <c r="A162" i="2"/>
  <c r="AL161" i="2"/>
  <c r="AJ161" i="2"/>
  <c r="C161" i="2" a="1"/>
  <c r="C161" i="2"/>
  <c r="B161" i="2"/>
  <c r="A161" i="2"/>
  <c r="AL160" i="2"/>
  <c r="AJ160" i="2"/>
  <c r="C160" i="2" a="1"/>
  <c r="C160" i="2"/>
  <c r="B160" i="2"/>
  <c r="A160" i="2"/>
  <c r="AL159" i="2"/>
  <c r="AJ159" i="2"/>
  <c r="C159" i="2" a="1"/>
  <c r="C159" i="2"/>
  <c r="B159" i="2"/>
  <c r="A159" i="2"/>
  <c r="AL158" i="2"/>
  <c r="AJ158" i="2"/>
  <c r="C158" i="2" a="1"/>
  <c r="C158" i="2"/>
  <c r="B158" i="2"/>
  <c r="A158" i="2"/>
  <c r="AL157" i="2"/>
  <c r="AJ157" i="2"/>
  <c r="C157" i="2" a="1"/>
  <c r="C157" i="2"/>
  <c r="B157" i="2"/>
  <c r="A157" i="2"/>
  <c r="AL156" i="2"/>
  <c r="AJ156" i="2"/>
  <c r="C156" i="2" a="1"/>
  <c r="C156" i="2"/>
  <c r="B156" i="2"/>
  <c r="A156" i="2"/>
  <c r="AL155" i="2"/>
  <c r="AJ155" i="2"/>
  <c r="C155" i="2" a="1"/>
  <c r="C155" i="2"/>
  <c r="B155" i="2"/>
  <c r="A155" i="2"/>
  <c r="AL154" i="2"/>
  <c r="AJ154" i="2"/>
  <c r="C154" i="2" a="1"/>
  <c r="C154" i="2"/>
  <c r="B154" i="2"/>
  <c r="A154" i="2"/>
  <c r="AL153" i="2"/>
  <c r="AJ153" i="2"/>
  <c r="C153" i="2" a="1"/>
  <c r="C153" i="2"/>
  <c r="B153" i="2"/>
  <c r="A153" i="2"/>
  <c r="AL152" i="2"/>
  <c r="AJ152" i="2"/>
  <c r="C152" i="2" a="1"/>
  <c r="C152" i="2"/>
  <c r="B152" i="2"/>
  <c r="A152" i="2"/>
  <c r="AL151" i="2"/>
  <c r="AJ151" i="2"/>
  <c r="C151" i="2" a="1"/>
  <c r="C151" i="2"/>
  <c r="B151" i="2"/>
  <c r="A151" i="2"/>
  <c r="AL150" i="2"/>
  <c r="AJ150" i="2"/>
  <c r="C150" i="2" a="1"/>
  <c r="C150" i="2"/>
  <c r="B150" i="2"/>
  <c r="A150" i="2"/>
  <c r="AL149" i="2"/>
  <c r="AJ149" i="2"/>
  <c r="C149" i="2" a="1"/>
  <c r="C149" i="2"/>
  <c r="B149" i="2"/>
  <c r="A149" i="2"/>
  <c r="AL148" i="2"/>
  <c r="AJ148" i="2"/>
  <c r="C148" i="2" a="1"/>
  <c r="C148" i="2"/>
  <c r="B148" i="2"/>
  <c r="A148" i="2"/>
  <c r="AL147" i="2"/>
  <c r="AJ147" i="2"/>
  <c r="C147" i="2" a="1"/>
  <c r="C147" i="2"/>
  <c r="B147" i="2"/>
  <c r="A147" i="2"/>
  <c r="AL146" i="2"/>
  <c r="AJ146" i="2"/>
  <c r="C146" i="2" a="1"/>
  <c r="C146" i="2"/>
  <c r="B146" i="2"/>
  <c r="A146" i="2"/>
  <c r="AL145" i="2"/>
  <c r="AJ145" i="2"/>
  <c r="C145" i="2" a="1"/>
  <c r="C145" i="2"/>
  <c r="B145" i="2"/>
  <c r="A145" i="2"/>
  <c r="AL144" i="2"/>
  <c r="AJ144" i="2"/>
  <c r="C144" i="2" a="1"/>
  <c r="C144" i="2"/>
  <c r="B144" i="2"/>
  <c r="A144" i="2"/>
  <c r="AL143" i="2"/>
  <c r="AJ143" i="2"/>
  <c r="C143" i="2" a="1"/>
  <c r="C143" i="2"/>
  <c r="B143" i="2"/>
  <c r="A143" i="2"/>
  <c r="AL142" i="2"/>
  <c r="AJ142" i="2"/>
  <c r="C142" i="2" a="1"/>
  <c r="C142" i="2"/>
  <c r="B142" i="2"/>
  <c r="A142" i="2"/>
  <c r="AL141" i="2"/>
  <c r="AJ141" i="2"/>
  <c r="C141" i="2" a="1"/>
  <c r="C141" i="2"/>
  <c r="B141" i="2"/>
  <c r="A141" i="2"/>
  <c r="AL140" i="2"/>
  <c r="AJ140" i="2"/>
  <c r="C140" i="2" a="1"/>
  <c r="C140" i="2"/>
  <c r="B140" i="2"/>
  <c r="A140" i="2"/>
  <c r="AL139" i="2"/>
  <c r="AJ139" i="2"/>
  <c r="C139" i="2" a="1"/>
  <c r="C139" i="2"/>
  <c r="B139" i="2"/>
  <c r="A139" i="2"/>
  <c r="AL138" i="2"/>
  <c r="AJ138" i="2"/>
  <c r="C138" i="2" a="1"/>
  <c r="C138" i="2"/>
  <c r="B138" i="2"/>
  <c r="A138" i="2"/>
  <c r="AL137" i="2"/>
  <c r="AJ137" i="2"/>
  <c r="C137" i="2" a="1"/>
  <c r="C137" i="2"/>
  <c r="B137" i="2"/>
  <c r="A137" i="2"/>
  <c r="AL136" i="2"/>
  <c r="AJ136" i="2"/>
  <c r="C136" i="2" a="1"/>
  <c r="C136" i="2"/>
  <c r="B136" i="2"/>
  <c r="A136" i="2"/>
  <c r="AL135" i="2"/>
  <c r="AJ135" i="2"/>
  <c r="C135" i="2" a="1"/>
  <c r="C135" i="2"/>
  <c r="B135" i="2"/>
  <c r="A135" i="2"/>
  <c r="AL134" i="2"/>
  <c r="AJ134" i="2"/>
  <c r="C134" i="2" a="1"/>
  <c r="C134" i="2"/>
  <c r="B134" i="2"/>
  <c r="A134" i="2"/>
  <c r="AL133" i="2"/>
  <c r="AJ133" i="2"/>
  <c r="C133" i="2" a="1"/>
  <c r="C133" i="2"/>
  <c r="B133" i="2"/>
  <c r="A133" i="2"/>
  <c r="AL132" i="2"/>
  <c r="AJ132" i="2"/>
  <c r="C132" i="2" a="1"/>
  <c r="C132" i="2"/>
  <c r="B132" i="2"/>
  <c r="A132" i="2"/>
  <c r="AL131" i="2"/>
  <c r="AJ131" i="2"/>
  <c r="C131" i="2" a="1"/>
  <c r="C131" i="2"/>
  <c r="B131" i="2"/>
  <c r="A131" i="2"/>
  <c r="AL130" i="2"/>
  <c r="AJ130" i="2"/>
  <c r="C130" i="2" a="1"/>
  <c r="C130" i="2"/>
  <c r="B130" i="2"/>
  <c r="A130" i="2"/>
  <c r="AL129" i="2"/>
  <c r="AJ129" i="2"/>
  <c r="C129" i="2" a="1"/>
  <c r="C129" i="2"/>
  <c r="B129" i="2"/>
  <c r="A129" i="2"/>
  <c r="AL128" i="2"/>
  <c r="AJ128" i="2"/>
  <c r="C128" i="2" a="1"/>
  <c r="C128" i="2"/>
  <c r="B128" i="2"/>
  <c r="A128" i="2"/>
  <c r="AL127" i="2"/>
  <c r="AJ127" i="2"/>
  <c r="C127" i="2" a="1"/>
  <c r="C127" i="2"/>
  <c r="B127" i="2"/>
  <c r="A127" i="2"/>
  <c r="AL126" i="2"/>
  <c r="AJ126" i="2"/>
  <c r="C126" i="2" a="1"/>
  <c r="C126" i="2"/>
  <c r="B126" i="2"/>
  <c r="A126" i="2"/>
  <c r="AL125" i="2"/>
  <c r="AJ125" i="2"/>
  <c r="C125" i="2" a="1"/>
  <c r="C125" i="2"/>
  <c r="B125" i="2"/>
  <c r="A125" i="2"/>
  <c r="AL124" i="2"/>
  <c r="AJ124" i="2"/>
  <c r="C124" i="2" a="1"/>
  <c r="C124" i="2"/>
  <c r="B124" i="2"/>
  <c r="A124" i="2"/>
  <c r="AL123" i="2"/>
  <c r="AJ123" i="2"/>
  <c r="C123" i="2" a="1"/>
  <c r="C123" i="2"/>
  <c r="B123" i="2"/>
  <c r="A123" i="2"/>
  <c r="AL122" i="2"/>
  <c r="AJ122" i="2"/>
  <c r="C122" i="2" a="1"/>
  <c r="C122" i="2"/>
  <c r="B122" i="2"/>
  <c r="A122" i="2"/>
  <c r="AL121" i="2"/>
  <c r="AJ121" i="2"/>
  <c r="C121" i="2" a="1"/>
  <c r="C121" i="2"/>
  <c r="B121" i="2"/>
  <c r="A121" i="2"/>
  <c r="AL120" i="2"/>
  <c r="AJ120" i="2"/>
  <c r="C120" i="2" a="1"/>
  <c r="C120" i="2"/>
  <c r="B120" i="2"/>
  <c r="A120" i="2"/>
  <c r="AL119" i="2"/>
  <c r="AJ119" i="2"/>
  <c r="C119" i="2" a="1"/>
  <c r="C119" i="2"/>
  <c r="B119" i="2"/>
  <c r="A119" i="2"/>
  <c r="AL118" i="2"/>
  <c r="AJ118" i="2"/>
  <c r="C118" i="2" a="1"/>
  <c r="C118" i="2"/>
  <c r="B118" i="2"/>
  <c r="A118" i="2"/>
  <c r="AL117" i="2"/>
  <c r="AJ117" i="2"/>
  <c r="C117" i="2" a="1"/>
  <c r="C117" i="2"/>
  <c r="B117" i="2"/>
  <c r="A117" i="2"/>
  <c r="AL116" i="2"/>
  <c r="AJ116" i="2"/>
  <c r="C116" i="2" a="1"/>
  <c r="C116" i="2"/>
  <c r="B116" i="2"/>
  <c r="A116" i="2"/>
  <c r="AL115" i="2"/>
  <c r="AJ115" i="2"/>
  <c r="C115" i="2" a="1"/>
  <c r="C115" i="2"/>
  <c r="B115" i="2"/>
  <c r="A115" i="2"/>
  <c r="AL114" i="2"/>
  <c r="AJ114" i="2"/>
  <c r="C114" i="2" a="1"/>
  <c r="C114" i="2"/>
  <c r="B114" i="2"/>
  <c r="A114" i="2"/>
  <c r="AL113" i="2"/>
  <c r="AJ113" i="2"/>
  <c r="C113" i="2" a="1"/>
  <c r="C113" i="2"/>
  <c r="B113" i="2"/>
  <c r="A113" i="2"/>
  <c r="AL112" i="2"/>
  <c r="C112" i="2" a="1"/>
  <c r="C112" i="2"/>
  <c r="B112" i="2"/>
  <c r="A112" i="2"/>
  <c r="AL111" i="2"/>
  <c r="C111" i="2" a="1"/>
  <c r="C111" i="2"/>
  <c r="B111" i="2"/>
  <c r="A111" i="2"/>
  <c r="AL110" i="2"/>
  <c r="C110" i="2" a="1"/>
  <c r="C110" i="2"/>
  <c r="B110" i="2"/>
  <c r="A110" i="2"/>
  <c r="AL109" i="2"/>
  <c r="C109" i="2" a="1"/>
  <c r="C109" i="2"/>
  <c r="B109" i="2"/>
  <c r="A109" i="2"/>
  <c r="AL108" i="2"/>
  <c r="AJ108" i="2"/>
  <c r="C108" i="2" a="1"/>
  <c r="C108" i="2"/>
  <c r="B108" i="2"/>
  <c r="A108" i="2"/>
  <c r="AL107" i="2"/>
  <c r="AJ107" i="2"/>
  <c r="C107" i="2" a="1"/>
  <c r="C107" i="2"/>
  <c r="B107" i="2"/>
  <c r="A107" i="2"/>
  <c r="AL106" i="2"/>
  <c r="AJ106" i="2"/>
  <c r="C106" i="2" a="1"/>
  <c r="C106" i="2"/>
  <c r="B106" i="2"/>
  <c r="A106" i="2"/>
  <c r="AL105" i="2"/>
  <c r="AJ105" i="2"/>
  <c r="C105" i="2" a="1"/>
  <c r="C105" i="2"/>
  <c r="B105" i="2"/>
  <c r="A105" i="2"/>
  <c r="AL104" i="2"/>
  <c r="AJ104" i="2"/>
  <c r="C104" i="2" a="1"/>
  <c r="C104" i="2"/>
  <c r="B104" i="2"/>
  <c r="A104" i="2"/>
  <c r="AL103" i="2"/>
  <c r="AJ103" i="2"/>
  <c r="C103" i="2" a="1"/>
  <c r="C103" i="2"/>
  <c r="B103" i="2"/>
  <c r="A103" i="2"/>
  <c r="AL102" i="2"/>
  <c r="AJ102" i="2"/>
  <c r="C102" i="2" a="1"/>
  <c r="C102" i="2"/>
  <c r="B102" i="2"/>
  <c r="A102" i="2"/>
  <c r="AL101" i="2"/>
  <c r="AJ101" i="2"/>
  <c r="C101" i="2" a="1"/>
  <c r="C101" i="2"/>
  <c r="B101" i="2"/>
  <c r="A101" i="2"/>
  <c r="AL100" i="2"/>
  <c r="AJ100" i="2"/>
  <c r="C100" i="2" a="1"/>
  <c r="C100" i="2"/>
  <c r="B100" i="2"/>
  <c r="A100" i="2"/>
  <c r="AL99" i="2"/>
  <c r="AJ99" i="2"/>
  <c r="C99" i="2" a="1"/>
  <c r="C99" i="2"/>
  <c r="B99" i="2"/>
  <c r="A99" i="2"/>
  <c r="AL98" i="2"/>
  <c r="AJ98" i="2"/>
  <c r="C98" i="2" a="1"/>
  <c r="C98" i="2"/>
  <c r="B98" i="2"/>
  <c r="A98" i="2"/>
  <c r="AL97" i="2"/>
  <c r="AJ97" i="2"/>
  <c r="C97" i="2" a="1"/>
  <c r="C97" i="2"/>
  <c r="B97" i="2"/>
  <c r="A97" i="2"/>
  <c r="AL96" i="2"/>
  <c r="AJ96" i="2"/>
  <c r="C96" i="2" a="1"/>
  <c r="C96" i="2"/>
  <c r="B96" i="2"/>
  <c r="A96" i="2"/>
  <c r="AL95" i="2"/>
  <c r="AJ95" i="2"/>
  <c r="C95" i="2" a="1"/>
  <c r="C95" i="2"/>
  <c r="B95" i="2"/>
  <c r="A95" i="2"/>
  <c r="AL94" i="2"/>
  <c r="AJ94" i="2"/>
  <c r="C94" i="2" a="1"/>
  <c r="C94" i="2"/>
  <c r="B94" i="2"/>
  <c r="A94" i="2"/>
  <c r="AL93" i="2"/>
  <c r="C93" i="2" a="1"/>
  <c r="C93" i="2"/>
  <c r="B93" i="2"/>
  <c r="A93" i="2"/>
  <c r="AL92" i="2"/>
  <c r="C92" i="2" a="1"/>
  <c r="C92" i="2"/>
  <c r="B92" i="2"/>
  <c r="A92" i="2"/>
  <c r="AL91" i="2"/>
  <c r="C91" i="2" a="1"/>
  <c r="C91" i="2"/>
  <c r="B91" i="2"/>
  <c r="A91" i="2"/>
  <c r="AL90" i="2"/>
  <c r="C90" i="2" a="1"/>
  <c r="C90" i="2"/>
  <c r="B90" i="2"/>
  <c r="A90" i="2"/>
  <c r="AL89" i="2"/>
  <c r="C89" i="2" a="1"/>
  <c r="C89" i="2"/>
  <c r="B89" i="2"/>
  <c r="A89" i="2"/>
  <c r="AL88" i="2"/>
  <c r="C88" i="2" a="1"/>
  <c r="C88" i="2"/>
  <c r="B88" i="2"/>
  <c r="A88" i="2"/>
  <c r="AL87" i="2"/>
  <c r="C87" i="2" a="1"/>
  <c r="C87" i="2"/>
  <c r="B87" i="2"/>
  <c r="A87" i="2"/>
  <c r="AL86" i="2"/>
  <c r="AJ86" i="2"/>
  <c r="C86" i="2" a="1"/>
  <c r="C86" i="2"/>
  <c r="B86" i="2"/>
  <c r="A86" i="2"/>
  <c r="AL85" i="2"/>
  <c r="AJ85" i="2"/>
  <c r="C85" i="2" a="1"/>
  <c r="C85" i="2"/>
  <c r="B85" i="2"/>
  <c r="A85" i="2"/>
  <c r="AL84" i="2"/>
  <c r="AJ84" i="2"/>
  <c r="C84" i="2" a="1"/>
  <c r="C84" i="2"/>
  <c r="B84" i="2"/>
  <c r="A84" i="2"/>
  <c r="AL83" i="2"/>
  <c r="AJ83" i="2"/>
  <c r="C83" i="2" a="1"/>
  <c r="C83" i="2"/>
  <c r="B83" i="2"/>
  <c r="A83" i="2"/>
  <c r="AL82" i="2"/>
  <c r="AJ82" i="2"/>
  <c r="C82" i="2" a="1"/>
  <c r="C82" i="2"/>
  <c r="B82" i="2"/>
  <c r="A82" i="2"/>
  <c r="AL81" i="2"/>
  <c r="AJ81" i="2"/>
  <c r="C81" i="2" a="1"/>
  <c r="C81" i="2"/>
  <c r="B81" i="2"/>
  <c r="A81" i="2"/>
  <c r="AL80" i="2"/>
  <c r="AJ80" i="2"/>
  <c r="C80" i="2" a="1"/>
  <c r="C80" i="2"/>
  <c r="B80" i="2"/>
  <c r="A80" i="2"/>
  <c r="AL79" i="2"/>
  <c r="AJ79" i="2"/>
  <c r="C79" i="2" a="1"/>
  <c r="C79" i="2"/>
  <c r="B79" i="2"/>
  <c r="A79" i="2"/>
  <c r="AL78" i="2"/>
  <c r="AJ78" i="2"/>
  <c r="C78" i="2" a="1"/>
  <c r="C78" i="2"/>
  <c r="B78" i="2"/>
  <c r="A78" i="2"/>
  <c r="AL77" i="2"/>
  <c r="AJ77" i="2"/>
  <c r="C77" i="2" a="1"/>
  <c r="C77" i="2"/>
  <c r="B77" i="2"/>
  <c r="A77" i="2"/>
  <c r="AL76" i="2"/>
  <c r="AJ76" i="2"/>
  <c r="C76" i="2" a="1"/>
  <c r="C76" i="2"/>
  <c r="B76" i="2"/>
  <c r="A76" i="2"/>
  <c r="AL75" i="2"/>
  <c r="AJ75" i="2"/>
  <c r="C75" i="2" a="1"/>
  <c r="C75" i="2"/>
  <c r="B75" i="2"/>
  <c r="A75" i="2"/>
  <c r="AL74" i="2"/>
  <c r="AJ74" i="2"/>
  <c r="C74" i="2" a="1"/>
  <c r="C74" i="2"/>
  <c r="B74" i="2"/>
  <c r="A74" i="2"/>
  <c r="AL73" i="2"/>
  <c r="AJ73" i="2"/>
  <c r="C73" i="2" a="1"/>
  <c r="C73" i="2"/>
  <c r="B73" i="2"/>
  <c r="A73" i="2"/>
  <c r="AL72" i="2"/>
  <c r="AJ72" i="2"/>
  <c r="C72" i="2" a="1"/>
  <c r="C72" i="2"/>
  <c r="B72" i="2"/>
  <c r="A72" i="2"/>
  <c r="AL71" i="2"/>
  <c r="AJ71" i="2"/>
  <c r="C71" i="2" a="1"/>
  <c r="C71" i="2"/>
  <c r="B71" i="2"/>
  <c r="A71" i="2"/>
  <c r="AL70" i="2"/>
  <c r="AJ70" i="2"/>
  <c r="C70" i="2" a="1"/>
  <c r="C70" i="2"/>
  <c r="B70" i="2"/>
  <c r="A70" i="2"/>
  <c r="AL69" i="2"/>
  <c r="AJ69" i="2"/>
  <c r="C69" i="2" a="1"/>
  <c r="C69" i="2"/>
  <c r="B69" i="2"/>
  <c r="A69" i="2"/>
  <c r="AL68" i="2"/>
  <c r="AJ68" i="2"/>
  <c r="C68" i="2" a="1"/>
  <c r="C68" i="2"/>
  <c r="B68" i="2"/>
  <c r="A68" i="2"/>
  <c r="AL67" i="2"/>
  <c r="AJ67" i="2"/>
  <c r="C67" i="2" a="1"/>
  <c r="C67" i="2"/>
  <c r="B67" i="2"/>
  <c r="A67" i="2"/>
  <c r="AL66" i="2"/>
  <c r="AJ66" i="2"/>
  <c r="C66" i="2" a="1"/>
  <c r="C66" i="2"/>
  <c r="B66" i="2"/>
  <c r="A66" i="2"/>
  <c r="AL65" i="2"/>
  <c r="AJ65" i="2"/>
  <c r="C65" i="2" a="1"/>
  <c r="C65" i="2"/>
  <c r="B65" i="2"/>
  <c r="A65" i="2"/>
  <c r="AL64" i="2"/>
  <c r="AJ64" i="2"/>
  <c r="C64" i="2" a="1"/>
  <c r="C64" i="2"/>
  <c r="B64" i="2"/>
  <c r="A64" i="2"/>
  <c r="AL63" i="2"/>
  <c r="AJ63" i="2"/>
  <c r="C63" i="2" a="1"/>
  <c r="C63" i="2"/>
  <c r="B63" i="2"/>
  <c r="A63" i="2"/>
  <c r="AL62" i="2"/>
  <c r="AJ62" i="2"/>
  <c r="C62" i="2" a="1"/>
  <c r="C62" i="2"/>
  <c r="B62" i="2"/>
  <c r="A62" i="2"/>
  <c r="AL61" i="2"/>
  <c r="AJ61" i="2"/>
  <c r="C61" i="2" a="1"/>
  <c r="C61" i="2"/>
  <c r="B61" i="2"/>
  <c r="A61" i="2"/>
  <c r="AL60" i="2"/>
  <c r="AJ60" i="2"/>
  <c r="C60" i="2" a="1"/>
  <c r="C60" i="2"/>
  <c r="B60" i="2"/>
  <c r="A60" i="2"/>
  <c r="AL59" i="2"/>
  <c r="AJ59" i="2"/>
  <c r="C59" i="2" a="1"/>
  <c r="C59" i="2"/>
  <c r="B59" i="2"/>
  <c r="A59" i="2"/>
  <c r="AL58" i="2"/>
  <c r="AJ58" i="2"/>
  <c r="C58" i="2" a="1"/>
  <c r="C58" i="2"/>
  <c r="B58" i="2"/>
  <c r="A58" i="2"/>
  <c r="AL57" i="2"/>
  <c r="AJ57" i="2"/>
  <c r="C57" i="2" a="1"/>
  <c r="C57" i="2"/>
  <c r="B57" i="2"/>
  <c r="A57" i="2"/>
  <c r="AL56" i="2"/>
  <c r="AJ56" i="2"/>
  <c r="C56" i="2" a="1"/>
  <c r="C56" i="2"/>
  <c r="B56" i="2"/>
  <c r="A56" i="2"/>
  <c r="AL55" i="2"/>
  <c r="AJ55" i="2"/>
  <c r="C55" i="2" a="1"/>
  <c r="C55" i="2"/>
  <c r="B55" i="2"/>
  <c r="A55" i="2"/>
  <c r="AL54" i="2"/>
  <c r="AJ54" i="2"/>
  <c r="C54" i="2" a="1"/>
  <c r="C54" i="2"/>
  <c r="B54" i="2"/>
  <c r="A54" i="2"/>
  <c r="AL53" i="2"/>
  <c r="AJ53" i="2"/>
  <c r="C53" i="2" a="1"/>
  <c r="C53" i="2"/>
  <c r="B53" i="2"/>
  <c r="A53" i="2"/>
  <c r="AL52" i="2"/>
  <c r="AJ52" i="2"/>
  <c r="C52" i="2" a="1"/>
  <c r="C52" i="2"/>
  <c r="B52" i="2"/>
  <c r="A52" i="2"/>
  <c r="AL51" i="2"/>
  <c r="AJ51" i="2"/>
  <c r="C51" i="2" a="1"/>
  <c r="C51" i="2"/>
  <c r="B51" i="2"/>
  <c r="A51" i="2"/>
  <c r="AL50" i="2"/>
  <c r="AJ50" i="2"/>
  <c r="C50" i="2" a="1"/>
  <c r="C50" i="2"/>
  <c r="B50" i="2"/>
  <c r="A50" i="2"/>
  <c r="AL49" i="2"/>
  <c r="AJ49" i="2"/>
  <c r="C49" i="2" a="1"/>
  <c r="C49" i="2"/>
  <c r="B49" i="2"/>
  <c r="A49" i="2"/>
  <c r="AL48" i="2"/>
  <c r="AJ48" i="2"/>
  <c r="C48" i="2" a="1"/>
  <c r="C48" i="2"/>
  <c r="B48" i="2"/>
  <c r="A48" i="2"/>
  <c r="AL47" i="2"/>
  <c r="AJ47" i="2"/>
  <c r="C47" i="2" a="1"/>
  <c r="C47" i="2"/>
  <c r="B47" i="2"/>
  <c r="A47" i="2"/>
  <c r="AL46" i="2"/>
  <c r="AJ46" i="2"/>
  <c r="C46" i="2" a="1"/>
  <c r="C46" i="2"/>
  <c r="B46" i="2"/>
  <c r="A46" i="2"/>
  <c r="AL45" i="2"/>
  <c r="AJ45" i="2"/>
  <c r="C45" i="2" a="1"/>
  <c r="C45" i="2"/>
  <c r="B45" i="2"/>
  <c r="A45" i="2"/>
  <c r="AL44" i="2"/>
  <c r="AJ44" i="2"/>
  <c r="C44" i="2" a="1"/>
  <c r="C44" i="2"/>
  <c r="B44" i="2"/>
  <c r="A44" i="2"/>
  <c r="AL43" i="2"/>
  <c r="AJ43" i="2"/>
  <c r="C43" i="2" a="1"/>
  <c r="C43" i="2"/>
  <c r="B43" i="2"/>
  <c r="A43" i="2"/>
  <c r="AL42" i="2"/>
  <c r="AJ42" i="2"/>
  <c r="C42" i="2" a="1"/>
  <c r="C42" i="2"/>
  <c r="B42" i="2"/>
  <c r="A42" i="2"/>
  <c r="AL41" i="2"/>
  <c r="AJ41" i="2"/>
  <c r="C41" i="2" a="1"/>
  <c r="C41" i="2"/>
  <c r="B41" i="2"/>
  <c r="A41" i="2"/>
  <c r="AL40" i="2"/>
  <c r="AJ40" i="2"/>
  <c r="C40" i="2" a="1"/>
  <c r="C40" i="2"/>
  <c r="B40" i="2"/>
  <c r="A40" i="2"/>
  <c r="AL39" i="2"/>
  <c r="AJ39" i="2"/>
  <c r="C39" i="2" a="1"/>
  <c r="C39" i="2"/>
  <c r="B39" i="2"/>
  <c r="A39" i="2"/>
  <c r="AL38" i="2"/>
  <c r="AJ38" i="2"/>
  <c r="C38" i="2" a="1"/>
  <c r="C38" i="2"/>
  <c r="B38" i="2"/>
  <c r="A38" i="2"/>
  <c r="AL37" i="2"/>
  <c r="AJ37" i="2"/>
  <c r="C37" i="2" a="1"/>
  <c r="C37" i="2"/>
  <c r="B37" i="2"/>
  <c r="A37" i="2"/>
  <c r="AL36" i="2"/>
  <c r="AJ36" i="2"/>
  <c r="C36" i="2" a="1"/>
  <c r="C36" i="2"/>
  <c r="B36" i="2"/>
  <c r="A36" i="2"/>
  <c r="AL35" i="2"/>
  <c r="AJ35" i="2"/>
  <c r="C35" i="2" a="1"/>
  <c r="C35" i="2"/>
  <c r="B35" i="2"/>
  <c r="A35" i="2"/>
  <c r="AL34" i="2"/>
  <c r="AJ34" i="2"/>
  <c r="C34" i="2" a="1"/>
  <c r="C34" i="2"/>
  <c r="B34" i="2"/>
  <c r="A34" i="2"/>
  <c r="AL33" i="2"/>
  <c r="AJ33" i="2"/>
  <c r="C33" i="2" a="1"/>
  <c r="C33" i="2"/>
  <c r="B33" i="2"/>
  <c r="A33" i="2"/>
  <c r="AL32" i="2"/>
  <c r="AJ32" i="2"/>
  <c r="C32" i="2" a="1"/>
  <c r="C32" i="2"/>
  <c r="B32" i="2"/>
  <c r="A32" i="2"/>
  <c r="AL31" i="2"/>
  <c r="AJ31" i="2"/>
  <c r="C31" i="2" a="1"/>
  <c r="C31" i="2"/>
  <c r="B31" i="2"/>
  <c r="A31" i="2"/>
  <c r="AL30" i="2"/>
  <c r="AJ30" i="2"/>
  <c r="AL29" i="2"/>
  <c r="AJ29" i="2"/>
  <c r="B29" i="2"/>
  <c r="AL28" i="2"/>
  <c r="AJ28" i="2"/>
  <c r="B28" i="2"/>
  <c r="AL27" i="2"/>
  <c r="AJ27" i="2"/>
  <c r="B27" i="2"/>
  <c r="AL26" i="2"/>
  <c r="AJ26" i="2"/>
  <c r="B26" i="2"/>
  <c r="AL25" i="2"/>
  <c r="AJ25" i="2"/>
  <c r="B25" i="2"/>
  <c r="A25" i="2"/>
  <c r="AL24" i="2"/>
  <c r="AJ24" i="2"/>
  <c r="B24" i="2"/>
  <c r="A24" i="2"/>
  <c r="AL23" i="2"/>
  <c r="AJ23" i="2"/>
  <c r="C23" i="2" a="1"/>
  <c r="C23" i="2"/>
  <c r="B23" i="2"/>
  <c r="A23" i="2"/>
  <c r="AL22" i="2"/>
  <c r="AJ22" i="2"/>
  <c r="C22" i="2" a="1"/>
  <c r="C22" i="2"/>
  <c r="B22" i="2"/>
  <c r="AL21" i="2"/>
  <c r="AJ21" i="2"/>
  <c r="C21" i="2" a="1"/>
  <c r="C21" i="2"/>
  <c r="B21" i="2"/>
  <c r="A21" i="2"/>
  <c r="AL20" i="2"/>
  <c r="AJ20" i="2"/>
  <c r="C20" i="2" a="1"/>
  <c r="C20" i="2"/>
  <c r="B20" i="2"/>
  <c r="A20" i="2"/>
  <c r="AL19" i="2"/>
  <c r="AJ19" i="2"/>
  <c r="C19" i="2" a="1"/>
  <c r="C19" i="2"/>
  <c r="B19" i="2"/>
  <c r="A19" i="2"/>
  <c r="AL18" i="2"/>
  <c r="AJ18" i="2"/>
  <c r="B18" i="2"/>
  <c r="AL17" i="2"/>
  <c r="AJ17" i="2"/>
  <c r="C17" i="2" a="1"/>
  <c r="C17" i="2"/>
  <c r="B17" i="2"/>
  <c r="A17" i="2"/>
  <c r="AL16" i="2"/>
  <c r="AJ16" i="2"/>
  <c r="B16" i="2"/>
  <c r="A16" i="2"/>
  <c r="AL15" i="2"/>
  <c r="AJ15" i="2"/>
  <c r="C15" i="2" a="1"/>
  <c r="C15" i="2"/>
  <c r="B15" i="2"/>
  <c r="A15" i="2"/>
  <c r="AL14" i="2"/>
  <c r="AJ14" i="2"/>
  <c r="C14" i="2" a="1"/>
  <c r="C14" i="2"/>
  <c r="B14" i="2"/>
  <c r="A14" i="2"/>
  <c r="AL13" i="2"/>
  <c r="AJ13" i="2"/>
  <c r="B13" i="2"/>
  <c r="A13" i="2"/>
  <c r="AL12" i="2"/>
  <c r="AJ12" i="2"/>
  <c r="B12" i="2"/>
  <c r="A12" i="2"/>
  <c r="AL11" i="2"/>
  <c r="AJ11" i="2"/>
  <c r="B11" i="2"/>
  <c r="A11" i="2"/>
  <c r="AL10" i="2"/>
  <c r="AJ10" i="2"/>
  <c r="B10" i="2"/>
  <c r="A10" i="2"/>
  <c r="AL9" i="2"/>
  <c r="AJ9" i="2"/>
  <c r="C9" i="2" a="1"/>
  <c r="C9" i="2"/>
  <c r="B9" i="2"/>
  <c r="A9" i="2"/>
  <c r="AL8" i="2"/>
  <c r="AJ8" i="2"/>
  <c r="C8" i="2" a="1"/>
  <c r="C8" i="2"/>
  <c r="B8" i="2"/>
  <c r="A8" i="2"/>
  <c r="AL7" i="2"/>
  <c r="AJ7" i="2"/>
  <c r="C7" i="2" a="1"/>
  <c r="C7" i="2"/>
  <c r="B7" i="2"/>
  <c r="A7" i="2"/>
  <c r="AL6" i="2"/>
  <c r="AJ6" i="2"/>
  <c r="C6" i="2" a="1"/>
  <c r="C6" i="2"/>
  <c r="B6" i="2"/>
  <c r="A6" i="2"/>
  <c r="AL5" i="2"/>
  <c r="AJ5" i="2"/>
  <c r="C5" i="2" a="1"/>
  <c r="C5" i="2"/>
  <c r="B5" i="2"/>
  <c r="A5" i="2"/>
  <c r="AL4" i="2"/>
  <c r="AJ4" i="2"/>
  <c r="C4" i="2" a="1"/>
  <c r="C4" i="2"/>
  <c r="B4" i="2"/>
  <c r="A4" i="2"/>
  <c r="AL3" i="2"/>
  <c r="AJ3" i="2"/>
  <c r="C3" i="2" a="1"/>
  <c r="C3" i="2"/>
  <c r="B3" i="2"/>
  <c r="A3" i="2"/>
  <c r="AL2" i="2"/>
  <c r="AJ2" i="2"/>
  <c r="C2" i="2" a="1"/>
  <c r="C2" i="2"/>
  <c r="B2" i="2"/>
  <c r="A2" i="2"/>
  <c r="C69" i="1"/>
  <c r="B69" i="1"/>
  <c r="A69" i="1"/>
  <c r="C68" i="1"/>
  <c r="B68" i="1"/>
  <c r="A68" i="1"/>
  <c r="A52" i="4"/>
  <c r="A49" i="4"/>
  <c r="A48" i="4"/>
  <c r="A47" i="4"/>
  <c r="A46" i="4"/>
  <c r="A45" i="4"/>
  <c r="A43" i="4"/>
  <c r="A42" i="4"/>
  <c r="A41" i="4"/>
  <c r="A40" i="4"/>
  <c r="A39" i="4"/>
  <c r="B35" i="4" a="1"/>
  <c r="B35" i="4"/>
  <c r="D35" i="4" a="1"/>
  <c r="D35" i="4"/>
  <c r="G35" i="4" a="1"/>
  <c r="G35" i="4"/>
  <c r="J35" i="4"/>
  <c r="B34" i="4" a="1"/>
  <c r="B34" i="4" s="1"/>
  <c r="D34" i="4" a="1"/>
  <c r="D34" i="4" s="1"/>
  <c r="J34" i="4" s="1"/>
  <c r="G34" i="4" a="1"/>
  <c r="G34" i="4"/>
</calcChain>
</file>

<file path=xl/sharedStrings.xml><?xml version="1.0" encoding="utf-8"?>
<sst xmlns="http://schemas.openxmlformats.org/spreadsheetml/2006/main" count="5008" uniqueCount="1416">
  <si>
    <t>🏛️</t>
  </si>
  <si>
    <t>تقرير جاهزية مشروع
READINESS REPORT</t>
  </si>
  <si>
    <t>وحدة الرقابة والمتابعة</t>
  </si>
  <si>
    <t>رقم التقرير: RPT-2024-047</t>
  </si>
  <si>
    <t>تاريخ الإصدار: 15/03/2024</t>
  </si>
  <si>
    <t>السرية: 🔒 داخلي</t>
  </si>
  <si>
    <t>أولاً — بيانات المشروع</t>
  </si>
  <si>
    <t>اسم المشروع</t>
  </si>
  <si>
    <t>توزيع الوجبات الغذائية</t>
  </si>
  <si>
    <t>رقم ونوع المشروع</t>
  </si>
  <si>
    <t>غذائي/912</t>
  </si>
  <si>
    <t>الجهة المانحة</t>
  </si>
  <si>
    <t>بريدجز لوجيستيكس انترناشونال</t>
  </si>
  <si>
    <t>مندوب المشتريات</t>
  </si>
  <si>
    <t>هاني رمانة</t>
  </si>
  <si>
    <t>مدير المشروع</t>
  </si>
  <si>
    <t>فاطمة عرمانة</t>
  </si>
  <si>
    <t xml:space="preserve">منسق المشروع </t>
  </si>
  <si>
    <t>جهاد أبو الريش / انيس حسن</t>
  </si>
  <si>
    <t>تاريخ التنفيذ المخطط</t>
  </si>
  <si>
    <t>21 – 25/ يونيو 2026</t>
  </si>
  <si>
    <t>الموقع الجغرافي</t>
  </si>
  <si>
    <t>مخيم المناصرة / مخيم أبو هاشم</t>
  </si>
  <si>
    <t>ثانياً — بيانات المراقب الميداني</t>
  </si>
  <si>
    <t>ثالثاً — بيانات التنفيذ</t>
  </si>
  <si>
    <t>اسم المراقب</t>
  </si>
  <si>
    <t>سمير نصار</t>
  </si>
  <si>
    <t>إجمالي المستفيدين المستهدفين</t>
  </si>
  <si>
    <t>8000مستفيد</t>
  </si>
  <si>
    <t>طريقة المراقبة</t>
  </si>
  <si>
    <t>ميداني</t>
  </si>
  <si>
    <t>عدد مناطق التنفيذ</t>
  </si>
  <si>
    <t>2مناطق</t>
  </si>
  <si>
    <t>تاريخ المراقبة - الساعة</t>
  </si>
  <si>
    <t>المدة الزمنية المقدرة</t>
  </si>
  <si>
    <t>5ايام عمل</t>
  </si>
  <si>
    <t>مرحلة المراقبة</t>
  </si>
  <si>
    <t>أثناء التنفيذ</t>
  </si>
  <si>
    <t>الميزانية المرصودة</t>
  </si>
  <si>
    <t>120,000شيكل - لكل مستفيد 200 شيكل</t>
  </si>
  <si>
    <t>رابعاً — قائمة التحقق من الجاهزية</t>
  </si>
  <si>
    <t>📦  اللوجستيك والموارد</t>
  </si>
  <si>
    <t>📸  التحضيرات الميدانية</t>
  </si>
  <si>
    <t>👷  الموارد البشرية</t>
  </si>
  <si>
    <t>البند</t>
  </si>
  <si>
    <t>المنسق</t>
  </si>
  <si>
    <t>المراقب</t>
  </si>
  <si>
    <t>المهمة / البند</t>
  </si>
  <si>
    <t>المواد والمستلزمات</t>
  </si>
  <si>
    <t>جاهز</t>
  </si>
  <si>
    <t>تبليغ المستفيدين</t>
  </si>
  <si>
    <t>الاستقبال — جهاد أبو الريش</t>
  </si>
  <si>
    <t>تأكيد المورد</t>
  </si>
  <si>
    <t>التنسيق مع الرقابة</t>
  </si>
  <si>
    <t>المطابقة — نهاد اللحام</t>
  </si>
  <si>
    <t>حركة السيارات</t>
  </si>
  <si>
    <t>التنسيق مع المندوب/ المخيم</t>
  </si>
  <si>
    <t>التسليم — عبد اللطيف صيام</t>
  </si>
  <si>
    <t>خيار غير مطلوب</t>
  </si>
  <si>
    <t>الكشوفات الاسماء معتمدة</t>
  </si>
  <si>
    <t>الموقع جاهز ومهيأ / الاعلام</t>
  </si>
  <si>
    <t>المستودع — محمد بدوان</t>
  </si>
  <si>
    <t>التنسيق مع الإعلام</t>
  </si>
  <si>
    <t xml:space="preserve">كود الكشوفات والكبوانات </t>
  </si>
  <si>
    <t>التوثيق — براء الحسنات</t>
  </si>
  <si>
    <t>طباعة الاعلاميات</t>
  </si>
  <si>
    <t>تقرير ختامي + ورابط توثيق</t>
  </si>
  <si>
    <t>مراحل التصوير - قبل واثناء</t>
  </si>
  <si>
    <t>كشوفات توقيع الختامية</t>
  </si>
  <si>
    <t>خامساً — ملخص الجاهزية الميدانية</t>
  </si>
  <si>
    <t>نسبة اكتمال اللوجستيك</t>
  </si>
  <si>
    <t>نسبة جاهزية التحضيرات</t>
  </si>
  <si>
    <t>نسبة توافر الكوادر</t>
  </si>
  <si>
    <t>التقييم الإجمالي للجاهزية</t>
  </si>
  <si>
    <t>سادساً — ملاحظات وتوصيات المراقب الميداني</t>
  </si>
  <si>
    <t>📝  الملاحظات الميدانية</t>
  </si>
  <si>
    <t>تأخر إحدى مركبات النقل ساعة عن الموعد المحدد</t>
  </si>
  <si>
    <t>كاميرا التوثيق الاحتياطية تعطلت في اليوم الأول</t>
  </si>
  <si>
    <t>3 مناطق من أصل 5 لم تُنفَّذ بعد وتسير وفق الجدول</t>
  </si>
  <si>
    <t>📌  التوصيات</t>
  </si>
  <si>
    <t>تأمين مركبة بديلة احتياطية لباقي أيام التنفيذ</t>
  </si>
  <si>
    <t>استبدال كاميرا التوثيق أو الاستعانة بكاميرا احتياطية</t>
  </si>
  <si>
    <t>تسريع وتيرة التنفيذ للوصول إلى النسبة المستهدفة 100%</t>
  </si>
  <si>
    <t>سابعاً — الاعتماد والتوقيع</t>
  </si>
  <si>
    <t>المراقب الميداني</t>
  </si>
  <si>
    <t>مدير الرقابة والمتابعة</t>
  </si>
  <si>
    <t>خالد يوسف ناصر</t>
  </si>
  <si>
    <t>أحمد محمود سالم</t>
  </si>
  <si>
    <t>التوقيع:</t>
  </si>
  <si>
    <t>وحدة الرقابة والمتابعة  •  هذا التقرير سري للاستخدام الداخلي فقط  •  يُحفظ في ملف المشروع</t>
  </si>
  <si>
    <t>المركز الرئيسي</t>
  </si>
  <si>
    <t>الدائرة</t>
  </si>
  <si>
    <t>الجهة</t>
  </si>
  <si>
    <t>نوع النشاط</t>
  </si>
  <si>
    <t>المسؤول عن النشاط</t>
  </si>
  <si>
    <t>رقم المشروع</t>
  </si>
  <si>
    <t>* الممول</t>
  </si>
  <si>
    <t>الجمعية</t>
  </si>
  <si>
    <t>المراكز الصحية</t>
  </si>
  <si>
    <t>سكرتاريا</t>
  </si>
  <si>
    <t>دائرة الشؤون الإدارية</t>
  </si>
  <si>
    <t>دائرة التنمية الاجتماعية</t>
  </si>
  <si>
    <t>دائرة المشاريع والتسويق والإعلام</t>
  </si>
  <si>
    <t>دائرة الشؤون المالية</t>
  </si>
  <si>
    <t>دائرة الاستثمار الخيري</t>
  </si>
  <si>
    <t>يافا</t>
  </si>
  <si>
    <t>الكويتي</t>
  </si>
  <si>
    <t>الوسطى</t>
  </si>
  <si>
    <t>تسمية التنفيذ</t>
  </si>
  <si>
    <t>قيمة التنفيذ</t>
  </si>
  <si>
    <t>تسمية الجودة</t>
  </si>
  <si>
    <t>قيمة الجودة</t>
  </si>
  <si>
    <t>تسمية الإغلاق</t>
  </si>
  <si>
    <t>قيمة الإغلاق</t>
  </si>
  <si>
    <t>تسمية الخصم</t>
  </si>
  <si>
    <t>قيمة الخصم</t>
  </si>
  <si>
    <t>تفتيش ميداني</t>
  </si>
  <si>
    <t>جهاد محمد محروس ابو الريش</t>
  </si>
  <si>
    <t>الرغيف الخيري</t>
  </si>
  <si>
    <t>سكودا فابيا</t>
  </si>
  <si>
    <t>مؤسسة المناصرة الأردنية</t>
  </si>
  <si>
    <t>سكرتير المجلس</t>
  </si>
  <si>
    <t>قسم شؤون الموظفين</t>
  </si>
  <si>
    <t>قسم الأيتام والأسر</t>
  </si>
  <si>
    <t>مكتب خانيونس</t>
  </si>
  <si>
    <t>قسم الحسابات</t>
  </si>
  <si>
    <t>قسم التعليم</t>
  </si>
  <si>
    <t>عيادة مسالك بولية</t>
  </si>
  <si>
    <t>قسم البانوراما</t>
  </si>
  <si>
    <t>عيادة الاسنان- رجال</t>
  </si>
  <si>
    <t>ممتاز 100%</t>
  </si>
  <si>
    <t>مكتمل 100%</t>
  </si>
  <si>
    <t>لا خصم 0</t>
  </si>
  <si>
    <t>جودة خدمة</t>
  </si>
  <si>
    <t>اياد أبو عبدو</t>
  </si>
  <si>
    <t>محمود سالم هزاع القريناوي</t>
  </si>
  <si>
    <t>متابعة السيارات</t>
  </si>
  <si>
    <t>باص تيوتا</t>
  </si>
  <si>
    <t>مؤسسة أحباء غزة ماليزيا</t>
  </si>
  <si>
    <t>سكرتير</t>
  </si>
  <si>
    <t>قسم تنمية الموارد البشرية</t>
  </si>
  <si>
    <t>المدارس</t>
  </si>
  <si>
    <t>مكتب رفح</t>
  </si>
  <si>
    <t>قسم المشتريات</t>
  </si>
  <si>
    <t>قسم الزراعة</t>
  </si>
  <si>
    <t>عيادة فحص السمع</t>
  </si>
  <si>
    <t>قسم الايكو اطفال</t>
  </si>
  <si>
    <t>عيادة عظام</t>
  </si>
  <si>
    <t>مقبول 60%</t>
  </si>
  <si>
    <t>جيد 85%</t>
  </si>
  <si>
    <t>معلق 30%</t>
  </si>
  <si>
    <t>مخالفة −25</t>
  </si>
  <si>
    <t>فحص سلامة</t>
  </si>
  <si>
    <t>محمد حسن</t>
  </si>
  <si>
    <t>بسام محمد حميدان الخطيب</t>
  </si>
  <si>
    <t>كسوة صيفية</t>
  </si>
  <si>
    <t>كرافتر 1</t>
  </si>
  <si>
    <t xml:space="preserve"> أوردا H.H</t>
  </si>
  <si>
    <t>قسم الحاسوب والشبكات</t>
  </si>
  <si>
    <t>مكتب دير البلح</t>
  </si>
  <si>
    <t>قسم المخازن</t>
  </si>
  <si>
    <t>قسم المشاريع التنموية</t>
  </si>
  <si>
    <t>عيادة النطق</t>
  </si>
  <si>
    <t>قسم الايكو Echo</t>
  </si>
  <si>
    <t>عيادة طب العيون</t>
  </si>
  <si>
    <t>جيد 80%</t>
  </si>
  <si>
    <t>مقبول 70%</t>
  </si>
  <si>
    <t>جزئي 60%</t>
  </si>
  <si>
    <t>امتثال −20</t>
  </si>
  <si>
    <t>فحص مخزون</t>
  </si>
  <si>
    <t>طارق حسن ع.القادر قنديل</t>
  </si>
  <si>
    <t>توزيع أدوات منزلية</t>
  </si>
  <si>
    <t>سكودا اسود</t>
  </si>
  <si>
    <t>Cousins/London</t>
  </si>
  <si>
    <t>قسم الصيانة العامة</t>
  </si>
  <si>
    <t>مكتب المغازي</t>
  </si>
  <si>
    <t>قسم الموازنة والتدقيق</t>
  </si>
  <si>
    <t>مطبخ البركة</t>
  </si>
  <si>
    <t>عيادة النساء</t>
  </si>
  <si>
    <t>قسم الألتراساوند US</t>
  </si>
  <si>
    <t>عيادة طب اسرة</t>
  </si>
  <si>
    <t>خطر 40%</t>
  </si>
  <si>
    <t>ضعيف 50%</t>
  </si>
  <si>
    <t>مفتوح 0%</t>
  </si>
  <si>
    <t>عجز −10</t>
  </si>
  <si>
    <t>متابعة شكاوى</t>
  </si>
  <si>
    <t>جيهان سليمان ابراهيم برهوم</t>
  </si>
  <si>
    <t>حفر بئر مياه</t>
  </si>
  <si>
    <t>باص كرافتر 2</t>
  </si>
  <si>
    <t>G2G</t>
  </si>
  <si>
    <t>قسم الخدمات</t>
  </si>
  <si>
    <t>مكتب الزوايدة</t>
  </si>
  <si>
    <t>مطبخ الزيناتي / خارجي</t>
  </si>
  <si>
    <t>عيادة الاوعية الدموية</t>
  </si>
  <si>
    <t>قسم الأشعة المقطعية CT</t>
  </si>
  <si>
    <t>عيادة جلدية</t>
  </si>
  <si>
    <t>تأخير −5</t>
  </si>
  <si>
    <t>مراجعة إجراءات</t>
  </si>
  <si>
    <t>سمية عطا خليل أبو معروف</t>
  </si>
  <si>
    <t>مشروع صحي</t>
  </si>
  <si>
    <t>شحن مرسيدس 418</t>
  </si>
  <si>
    <t>HANA IMAN</t>
  </si>
  <si>
    <t>مكتب البريج</t>
  </si>
  <si>
    <t>عمارة سعد</t>
  </si>
  <si>
    <t>قسم اشعة</t>
  </si>
  <si>
    <t>عيادة جراحة واعصاب</t>
  </si>
  <si>
    <t>جودة −15</t>
  </si>
  <si>
    <t>جرد مفاجئ</t>
  </si>
  <si>
    <t>عماد عبد المنعم خليل نطط</t>
  </si>
  <si>
    <t>احذية أطفال</t>
  </si>
  <si>
    <t>SOUTHHALL FAMILY</t>
  </si>
  <si>
    <t>مكتب غزة</t>
  </si>
  <si>
    <t>عمارة المدينة</t>
  </si>
  <si>
    <t>عيادة اسنان -نساء</t>
  </si>
  <si>
    <t>بانوراما اشعة</t>
  </si>
  <si>
    <t>مراجعة عقود</t>
  </si>
  <si>
    <t>هديل سعيد احمد نصار</t>
  </si>
  <si>
    <t>ادوية طبية</t>
  </si>
  <si>
    <t>نشاط مكتب</t>
  </si>
  <si>
    <t>VIP</t>
  </si>
  <si>
    <t>مكتب جباليا</t>
  </si>
  <si>
    <t>عيادة باطنة</t>
  </si>
  <si>
    <t>تدقيق مالي</t>
  </si>
  <si>
    <t>باسم ديب عبد الله المبحوح</t>
  </si>
  <si>
    <t>اغاثة أسرة</t>
  </si>
  <si>
    <t>شكوى</t>
  </si>
  <si>
    <t xml:space="preserve">الاقصى اليمن </t>
  </si>
  <si>
    <t>قسم المشاريع</t>
  </si>
  <si>
    <t>المختبر</t>
  </si>
  <si>
    <t>متابعة حضور</t>
  </si>
  <si>
    <t>سالم احمد حسين البحيصي</t>
  </si>
  <si>
    <t>افطار صائم</t>
  </si>
  <si>
    <t>الإنتربال</t>
  </si>
  <si>
    <t>قسم التسويق</t>
  </si>
  <si>
    <t>عيادة العلاج الطبيعي</t>
  </si>
  <si>
    <t>مؤمنة نعيم علي الطويل</t>
  </si>
  <si>
    <t>امانات</t>
  </si>
  <si>
    <t xml:space="preserve">الإنتربال </t>
  </si>
  <si>
    <t>قسم الإعلام</t>
  </si>
  <si>
    <t>الصيدلية</t>
  </si>
  <si>
    <t>خلود تيسير محمود الجوراني</t>
  </si>
  <si>
    <t>إنشاء مصلى</t>
  </si>
  <si>
    <t>الإيسيكو</t>
  </si>
  <si>
    <t>عيادة جراحة عامة</t>
  </si>
  <si>
    <t>عيادة اذن وانف حنجرة</t>
  </si>
  <si>
    <t>سعيد فرج محمد أبو جزر</t>
  </si>
  <si>
    <t>بسطة سكاكر وحلوى</t>
  </si>
  <si>
    <t xml:space="preserve">الدولي </t>
  </si>
  <si>
    <t>عيادة بصريات</t>
  </si>
  <si>
    <t>بسكويت</t>
  </si>
  <si>
    <t>السيدة / Farida Umar</t>
  </si>
  <si>
    <t>عبد القادر صلاح الدين علي ابو جلهوم</t>
  </si>
  <si>
    <t>بكج هدايا</t>
  </si>
  <si>
    <t>المناصرة - اسبانيا</t>
  </si>
  <si>
    <t>محمد إبراهيم عودة بدوان</t>
  </si>
  <si>
    <t>ترميم منزل</t>
  </si>
  <si>
    <t>المناصرة الأردنية</t>
  </si>
  <si>
    <t>عيادة العمليات</t>
  </si>
  <si>
    <t>ميسرة سالم عبد القادر موسى</t>
  </si>
  <si>
    <t>تشغيل خريجين</t>
  </si>
  <si>
    <t xml:space="preserve">المناصرة الأردينة </t>
  </si>
  <si>
    <t>ابراهيم اسماعيل ابراهيم حرب</t>
  </si>
  <si>
    <t>تكية</t>
  </si>
  <si>
    <t>المؤسسة التركية</t>
  </si>
  <si>
    <t>ابراهيم عطا ابراهيم سلمان</t>
  </si>
  <si>
    <t>جلباب بناتي</t>
  </si>
  <si>
    <t>الوافاء- صندوق الخير</t>
  </si>
  <si>
    <t>احمد إسماعيل إبراهيم حرب</t>
  </si>
  <si>
    <t>جهاز حاسوب</t>
  </si>
  <si>
    <t>الوافاء - جمعية كاف</t>
  </si>
  <si>
    <t>احمد إسماعيل ماضي أبو ماضي</t>
  </si>
  <si>
    <t>حطب للطهي</t>
  </si>
  <si>
    <t>الوفاء - saf</t>
  </si>
  <si>
    <t>احمد سعيد احمد نصار</t>
  </si>
  <si>
    <t>حفل</t>
  </si>
  <si>
    <t>الوفاء - اخوات الفينو الرحيق المختوم</t>
  </si>
  <si>
    <t>احمد صالح سليمان أبو عرمانة</t>
  </si>
  <si>
    <t>حليب أطفال</t>
  </si>
  <si>
    <t>الوفاء - الامل العالمية أحمد التلة</t>
  </si>
  <si>
    <t>احمد وائل احمد بركة</t>
  </si>
  <si>
    <t>خزعات المركز الكويتي</t>
  </si>
  <si>
    <t>الوفاء - الانوار</t>
  </si>
  <si>
    <t>اسراء خميس خليل أبو كريم</t>
  </si>
  <si>
    <t>خيام</t>
  </si>
  <si>
    <t>الوفاء - الأخت نادية من الكويت</t>
  </si>
  <si>
    <t>اسماء كمال حمودة زمزم - "دلو"</t>
  </si>
  <si>
    <t>خيام + شادر</t>
  </si>
  <si>
    <t>الوفاء - التاجر التركي</t>
  </si>
  <si>
    <t>اعتماد احمد محمد تمراز</t>
  </si>
  <si>
    <t>زكاة مال</t>
  </si>
  <si>
    <t>الوفاء - الحاج محمد الخالدي</t>
  </si>
  <si>
    <t>المعتصم بالله محمد روحي يوسف الحداد</t>
  </si>
  <si>
    <t>سقيا ماء</t>
  </si>
  <si>
    <t>الوفاء - المصطفى</t>
  </si>
  <si>
    <t>اميرة محمد محمد مدوخ</t>
  </si>
  <si>
    <t>سلال خضار</t>
  </si>
  <si>
    <t>الوفاء - الهلال الدنماركي</t>
  </si>
  <si>
    <t>انس بشير عبد المجيد قفة</t>
  </si>
  <si>
    <t>شراء دابة</t>
  </si>
  <si>
    <t>الوفاء - ايسر 1</t>
  </si>
  <si>
    <t>انعام فضل صابر أبو عيسى</t>
  </si>
  <si>
    <t>شراء لحوم</t>
  </si>
  <si>
    <t>الوفاء - أبو عبد الرحمن</t>
  </si>
  <si>
    <t>صندوق المريض الفلسطيني</t>
  </si>
  <si>
    <t>الوفاء - أبو محمد الصادق</t>
  </si>
  <si>
    <t>ايمان محرز حسين بريص</t>
  </si>
  <si>
    <t>طرد خضار</t>
  </si>
  <si>
    <t>الوفاء - بتيم وقفي</t>
  </si>
  <si>
    <t>ايمان هاشم يوسف الشاعر-الدده</t>
  </si>
  <si>
    <t>طرد صحي</t>
  </si>
  <si>
    <t>الوفاء - بشرى حسين سالم</t>
  </si>
  <si>
    <t>أحمد سليمان حسين ابو قينص</t>
  </si>
  <si>
    <t>طرد غذائي</t>
  </si>
  <si>
    <t>الوفاء - بنات قطر</t>
  </si>
  <si>
    <t>أحمد عبد الخالق محمد البحيصي</t>
  </si>
  <si>
    <t>غاطس مياه</t>
  </si>
  <si>
    <t>الوفاء - بيموزا</t>
  </si>
  <si>
    <t>أسماء احمد حرب الكرد</t>
  </si>
  <si>
    <t>فراش موكيت / مصلى</t>
  </si>
  <si>
    <t>الوفاء - جسور</t>
  </si>
  <si>
    <t>أكرم زكي صالح صويلح</t>
  </si>
  <si>
    <t>فرشوحة شاورما</t>
  </si>
  <si>
    <t>الوفاء - جميعة كاف</t>
  </si>
  <si>
    <t>أمجد يوسف إبراهيم جبر</t>
  </si>
  <si>
    <t>قسائم شرائية</t>
  </si>
  <si>
    <t xml:space="preserve">الوفاء - شباب الخير </t>
  </si>
  <si>
    <t>أنيس سليمان إبراهيم حسن</t>
  </si>
  <si>
    <t>كرسي بلاستك</t>
  </si>
  <si>
    <t>الوفاء - شباب وصبايا لبنان</t>
  </si>
  <si>
    <t>باسم محمد سليم الهباش</t>
  </si>
  <si>
    <t>كرسي متحرك</t>
  </si>
  <si>
    <t>الوفاء - صندوق الخير</t>
  </si>
  <si>
    <t>براء عمر محمد الحسنات</t>
  </si>
  <si>
    <t>كرفانات مدرسية</t>
  </si>
  <si>
    <t>الوفاء - فيزيار</t>
  </si>
  <si>
    <t>بشير نعيم سليمان أبو نصيرة</t>
  </si>
  <si>
    <t>كسوة</t>
  </si>
  <si>
    <t>الوفاء - قطر</t>
  </si>
  <si>
    <t>بلال اياد محمد الهباش</t>
  </si>
  <si>
    <t>كعك العيد</t>
  </si>
  <si>
    <t>الوفاء - محمد الشهواني</t>
  </si>
  <si>
    <t>تهاني توفيق احمد "الغفاري"</t>
  </si>
  <si>
    <t>مساعدات مالية</t>
  </si>
  <si>
    <t>الوفاء - مؤسسة لاجو</t>
  </si>
  <si>
    <t>جمال السيد حسن الاخرس</t>
  </si>
  <si>
    <t>مساعدة عينية</t>
  </si>
  <si>
    <t>الوفاء - نادية من الكويت</t>
  </si>
  <si>
    <t>جهاد محمد احمد عياش</t>
  </si>
  <si>
    <t>مصلى</t>
  </si>
  <si>
    <t>الوفاء جمعية فيزار</t>
  </si>
  <si>
    <t>حامد عثمان مصطفي جرادة</t>
  </si>
  <si>
    <t>معلبات لحمة</t>
  </si>
  <si>
    <t>امباود اتش - المساعدات القطرية</t>
  </si>
  <si>
    <t>حسام خليل جبر نصار</t>
  </si>
  <si>
    <t>مكافأة</t>
  </si>
  <si>
    <t>امل الامة الدولية</t>
  </si>
  <si>
    <t>خميس منير خميس اليحيى</t>
  </si>
  <si>
    <t>مكافأة مشرف</t>
  </si>
  <si>
    <t xml:space="preserve">اوردا - فاعلة خير </t>
  </si>
  <si>
    <t>خولة موسى محمد السماك</t>
  </si>
  <si>
    <t>منبر مسجد</t>
  </si>
  <si>
    <t>اوفاء - ايسر 2</t>
  </si>
  <si>
    <t>دعاء سلمان حسن أبو العطا (بريص)</t>
  </si>
  <si>
    <t>نظارات طبية</t>
  </si>
  <si>
    <t>أبو أحمد الشنطي</t>
  </si>
  <si>
    <t>دلال حسن إبراهيم كريم "مزين"</t>
  </si>
  <si>
    <t>وجبات</t>
  </si>
  <si>
    <t xml:space="preserve">أبو عدنان كاليفورنيا </t>
  </si>
  <si>
    <t>راوية محمود إدريس البحيصي (حماد)</t>
  </si>
  <si>
    <t>وجبات ساخنة</t>
  </si>
  <si>
    <t>أبو محمد الشنطي</t>
  </si>
  <si>
    <t>ربا علي حسن البلبيسي</t>
  </si>
  <si>
    <t>كسوة شتوية</t>
  </si>
  <si>
    <t>أبو محمد صادق - شباب الخير</t>
  </si>
  <si>
    <t>ريم عبد القادر احمد سلمان</t>
  </si>
  <si>
    <t>العمارات</t>
  </si>
  <si>
    <t>أحباء ماليزيا</t>
  </si>
  <si>
    <t>سعد الدين زكريا الافرنجي</t>
  </si>
  <si>
    <t>جرد</t>
  </si>
  <si>
    <t>أسبانيا</t>
  </si>
  <si>
    <t>سعيد عواد مسلم ابو شحادة</t>
  </si>
  <si>
    <t>كفالات</t>
  </si>
  <si>
    <t>ألدو رادو - أبو محمد غريب</t>
  </si>
  <si>
    <t>سلامة يوسف سلامة ابو خطاب</t>
  </si>
  <si>
    <t>ألدو رادو  - أبو محمد غريب</t>
  </si>
  <si>
    <t>سماح محمد احمد اسليم(الحبشي)</t>
  </si>
  <si>
    <t xml:space="preserve">أمل الأمة </t>
  </si>
  <si>
    <t>سناء حمد اسليم ابو عمرة</t>
  </si>
  <si>
    <t>أمين اسليم</t>
  </si>
  <si>
    <t>سهاري سمير خليل درويش</t>
  </si>
  <si>
    <t>أمين أند فاميلي</t>
  </si>
  <si>
    <t>سهيل جميل عبد الفتاح ابو العطا</t>
  </si>
  <si>
    <t>أوردا</t>
  </si>
  <si>
    <t>شادي احمد علي الحاج علي</t>
  </si>
  <si>
    <t xml:space="preserve">أوردا- اليوم الأول </t>
  </si>
  <si>
    <t>صابر صالح عطا الله والي</t>
  </si>
  <si>
    <t>أوردا- اليوم الثالث</t>
  </si>
  <si>
    <t>صبحي سليمان عبدالله مبروك</t>
  </si>
  <si>
    <t>أوردا- اليوم الثاني</t>
  </si>
  <si>
    <t>صبحية حسن محمد غراب</t>
  </si>
  <si>
    <t>أوردا-BMK</t>
  </si>
  <si>
    <t>عامر علي سليمان دبور</t>
  </si>
  <si>
    <t>أوردا - COA</t>
  </si>
  <si>
    <t>عبد اللطيف عمر عبد الهادي صيام</t>
  </si>
  <si>
    <t>أوردا - Smart Qurban</t>
  </si>
  <si>
    <t>عبد الله محسن يونس صيدم</t>
  </si>
  <si>
    <t>أوردا - STNT</t>
  </si>
  <si>
    <t>عبد الله محمد عبد الله الدعالسة</t>
  </si>
  <si>
    <t>أوردا - قربان برو</t>
  </si>
  <si>
    <t>عدنان مجدي عبد الحميد عليان</t>
  </si>
  <si>
    <t>أوردا -COA</t>
  </si>
  <si>
    <t>علي عبد العزيز محمد أبو عمرة</t>
  </si>
  <si>
    <t>أوردا -H.C</t>
  </si>
  <si>
    <t>غادة  فتحي محمد أبو طواحينه (ثابت)</t>
  </si>
  <si>
    <t>أوردا ALLY</t>
  </si>
  <si>
    <t>فاطمة حامد درويش أبو صفر</t>
  </si>
  <si>
    <t>أوردا bmk</t>
  </si>
  <si>
    <t>فاطمة عبد الرحمن فارس مهنا</t>
  </si>
  <si>
    <t>أوردا G2G</t>
  </si>
  <si>
    <t>فاطمة منهل احمد عمران (ابو عرمانة)</t>
  </si>
  <si>
    <t>أوردا Qurban pro</t>
  </si>
  <si>
    <t>فداء جمال جبر اعبيد (نصار)</t>
  </si>
  <si>
    <t>أوردا UFH</t>
  </si>
  <si>
    <t>فريد محمود محمد قنديل</t>
  </si>
  <si>
    <t>أوردا مسلم برو</t>
  </si>
  <si>
    <t>قاسم محمود عبد الرحمن غريب</t>
  </si>
  <si>
    <t>بريدجيز</t>
  </si>
  <si>
    <t>مالكة مرشد عليان القاضي</t>
  </si>
  <si>
    <t>تشيلي</t>
  </si>
  <si>
    <t>مجدولين حمدان حسن أبو لبدة</t>
  </si>
  <si>
    <t>تم الإغاء</t>
  </si>
  <si>
    <t>محمد سعيد حسين أبو ميري</t>
  </si>
  <si>
    <t>تمويل / فريدة عمر</t>
  </si>
  <si>
    <t>محمد سيف الإسلام منذر جمال حبوش</t>
  </si>
  <si>
    <t>جمعية أجنحة الرحمة</t>
  </si>
  <si>
    <t>محمد عبد العزيز عبد الله الحاج</t>
  </si>
  <si>
    <t xml:space="preserve">جمعية دار اليتيم </t>
  </si>
  <si>
    <t>محمد محمود عبد الرحمن ابو دقه</t>
  </si>
  <si>
    <t>جمعية نداء الطفل</t>
  </si>
  <si>
    <t>محمد نافذ فضل نصار</t>
  </si>
  <si>
    <t>جهة داخلية</t>
  </si>
  <si>
    <t>محمود اسماعيل حرب الكرد</t>
  </si>
  <si>
    <t>خير امة</t>
  </si>
  <si>
    <t>محمود حسن محمود عبيدة</t>
  </si>
  <si>
    <t>خير امه</t>
  </si>
  <si>
    <t>مصطفى محمد عبد الخالق البحيصي</t>
  </si>
  <si>
    <t>خير أمة بواسطة أنيس حسن</t>
  </si>
  <si>
    <t>موفق ماضي محمد الحسنات</t>
  </si>
  <si>
    <t>خيرات النور- فاعلي خير الأردن</t>
  </si>
  <si>
    <t>ندى ياسين محمد سعد الدين</t>
  </si>
  <si>
    <t xml:space="preserve">خيرات النور </t>
  </si>
  <si>
    <t>نهاد فتحي عبد الله اللحام</t>
  </si>
  <si>
    <t>خيرات النور - الجالية المسلمة بلجيكا</t>
  </si>
  <si>
    <t>نهلة لطفي عبد الرحمن مسامح (عياش)</t>
  </si>
  <si>
    <t>خيرات النور - الشركة الكاملة لتكنولوجيا الطباعة</t>
  </si>
  <si>
    <t>هدى احمد علي الحاج (العامودي)</t>
  </si>
  <si>
    <t xml:space="preserve">خيرات النور - المهندس حسان الذنبيات </t>
  </si>
  <si>
    <t>وداد عبد ربه ابراهيم ابو غفرة "التعبان"</t>
  </si>
  <si>
    <t>خيرات النور - أبو اشرف ونهى محمد سمحان</t>
  </si>
  <si>
    <t>وسام ربحي صبحي الخطيب</t>
  </si>
  <si>
    <t>خيرات النور - أبو أشرف</t>
  </si>
  <si>
    <t>وسيم نامق خالد العلمي</t>
  </si>
  <si>
    <t>خيرات النور - أبو عمر الرفاعي</t>
  </si>
  <si>
    <t>يحيى محمد احمد مصلح</t>
  </si>
  <si>
    <t>خيرات النور - أبو عمر الغزالي</t>
  </si>
  <si>
    <t>حمزة هنية - عقد</t>
  </si>
  <si>
    <t>خيرات النور - أبو ماجد وام ماجد عن روح والديهما</t>
  </si>
  <si>
    <t>حسين البرعي</t>
  </si>
  <si>
    <t>خيرات النور - أحمد قطيشان</t>
  </si>
  <si>
    <t>خيرات النور - أحمد محمد الأحمد</t>
  </si>
  <si>
    <t>خيرات النور - آل حبور الكرام</t>
  </si>
  <si>
    <t>خيرات النور - آل دحبور الكرام</t>
  </si>
  <si>
    <t>خيرات النور - باسم داوود أبو شعلة ومن ختام</t>
  </si>
  <si>
    <t>خيرات النور - بلال العمري</t>
  </si>
  <si>
    <t>خيرات النور - رحماء بينهم</t>
  </si>
  <si>
    <t xml:space="preserve">خيرات النور - روان محمد حسين </t>
  </si>
  <si>
    <t>خيرات النور - روح المرحومة الحاجة إجلال كمال</t>
  </si>
  <si>
    <t>خيرات النور - رؤى أبو العنين</t>
  </si>
  <si>
    <t>خيرات النور - سري كابتيلو</t>
  </si>
  <si>
    <t>خيرات النور - سري كباتيلو رقم 1</t>
  </si>
  <si>
    <t>خيرات النور - سري كباتيلو رقم 2</t>
  </si>
  <si>
    <t>خيرات النور - سلطان صالح عبدالله من خلال العروة الوثقى</t>
  </si>
  <si>
    <t xml:space="preserve">خيرات النور - سلطان صالح عبدالله وفارس دندن وإبراهيم لطفي وفاعلي خير من الأردن </t>
  </si>
  <si>
    <t>خيرات النور - شباب الجامعة الأردنية</t>
  </si>
  <si>
    <t xml:space="preserve">خيرات النور - شرحبيل عيسى </t>
  </si>
  <si>
    <t>خيرات النور - عبد العزيز هيك</t>
  </si>
  <si>
    <t xml:space="preserve">خيرات النور - عبد العزيز هيك </t>
  </si>
  <si>
    <t>خيرات النور - عبد الغني أحمد رقم  2</t>
  </si>
  <si>
    <t>خيرات النور - عبد الله زياد</t>
  </si>
  <si>
    <t xml:space="preserve">خيرات النور - عطاف مبيضين </t>
  </si>
  <si>
    <t>خيرات النور - عمة المليطي وايمن ياغي واحسان قطيشات</t>
  </si>
  <si>
    <t>خيرات النور - عمر محمد العمر</t>
  </si>
  <si>
    <t xml:space="preserve">خيرات النور - عن روح المرحومة الحاجة / سهير عبد الحليم </t>
  </si>
  <si>
    <t>خيرات النور - عن روح المرحومة الحاجة أم سمير جرادات</t>
  </si>
  <si>
    <t>خيرات النور - عن روح سهير عبد الحليم</t>
  </si>
  <si>
    <t xml:space="preserve">خيرات النور - فاعل خير </t>
  </si>
  <si>
    <t>خيرات النور - فاعل خير الأردن</t>
  </si>
  <si>
    <t>خيرات النور - فاعل خير من الأردن</t>
  </si>
  <si>
    <t>خيرات النور - فاعلي خير من الأردن واللوزي والبرغوثي</t>
  </si>
  <si>
    <t>خيرات النور - فجر الجديد</t>
  </si>
  <si>
    <t>خيرات النور - م. حسان الذنيبات وابنائه عمر د/ محمد</t>
  </si>
  <si>
    <t xml:space="preserve">خيرات النور - مبادرة أهالي كفر أسد 31 بالتعاون مع المحسنين الكرام من المملكة العربية السعودية </t>
  </si>
  <si>
    <t xml:space="preserve">خيرات النور - مبادرة أهالي كفر أسد 32 بالتعاون مع المحسنين الكرام من المملكة العربية السعودية </t>
  </si>
  <si>
    <t>خيرات النور - مجموعة إنصاف السبع</t>
  </si>
  <si>
    <t>خيرات النور - محسنون من طرف أبو موسى</t>
  </si>
  <si>
    <t>خيرات النور - محمد الجغبير ولؤي عيسى وفاعلي خير</t>
  </si>
  <si>
    <t>خيرات النور - محمد عبد الله حسن</t>
  </si>
  <si>
    <t>خيرات النور - محمد كرمول</t>
  </si>
  <si>
    <t>خيرات النور - محمود أبو حمزة</t>
  </si>
  <si>
    <t>خيرات النور - منير حسن عقيل ومتبرعين من الأردن</t>
  </si>
  <si>
    <t>خيرات النور - مؤسسة أرض التقنيات التجارية</t>
  </si>
  <si>
    <t>خيرات النور - مي أبو دبسة</t>
  </si>
  <si>
    <t xml:space="preserve">خيرات النور - وليد جاتم </t>
  </si>
  <si>
    <t>خيرات النور - وليد جانم</t>
  </si>
  <si>
    <t>خيرات النور -أبو عمر الغزاوي</t>
  </si>
  <si>
    <t>خيرات النور -عبد الرحمن كامل محارب</t>
  </si>
  <si>
    <t>خيرات النور -عبد الله زياد</t>
  </si>
  <si>
    <t>دار اليتيم</t>
  </si>
  <si>
    <t>دار اليتيم - فريق التسويق</t>
  </si>
  <si>
    <t>زكاة فطر الشنطي</t>
  </si>
  <si>
    <t>شركة امباود اتش</t>
  </si>
  <si>
    <t>شركة ميجا</t>
  </si>
  <si>
    <t>شركة ميجا - أبو أحمد الشنطي</t>
  </si>
  <si>
    <t>صالون VIP</t>
  </si>
  <si>
    <t>عرفان الإنسانية</t>
  </si>
  <si>
    <t>فاعة خير قطر</t>
  </si>
  <si>
    <t xml:space="preserve">فاعل خير </t>
  </si>
  <si>
    <t>فاعل خير - الشنطي</t>
  </si>
  <si>
    <t>فاعل خير - القدس</t>
  </si>
  <si>
    <t>فاعل خير - أبو أحمد الشنطي</t>
  </si>
  <si>
    <t>فاعل خير - بريطانيا</t>
  </si>
  <si>
    <t>فاعل خير - فريق التسويق</t>
  </si>
  <si>
    <t xml:space="preserve">فاعل خير - قطر </t>
  </si>
  <si>
    <t xml:space="preserve">فاعل خير - وسيم العلمي </t>
  </si>
  <si>
    <t>فاعل خير بريطانيا</t>
  </si>
  <si>
    <t>فاعل خير بواسطة أبو عبد الله</t>
  </si>
  <si>
    <t>فاعل خير سلطنة عمان</t>
  </si>
  <si>
    <t>فاعل خير فلوريدا - خلود الجوراني</t>
  </si>
  <si>
    <t>فاعل خير من القدس</t>
  </si>
  <si>
    <t>فاعل خير من سلطنة عمان</t>
  </si>
  <si>
    <t xml:space="preserve">فاعلة خير قطر </t>
  </si>
  <si>
    <t>فاعلي خير - فلوريدا</t>
  </si>
  <si>
    <t>فاعلي خير فلوريدا</t>
  </si>
  <si>
    <t>فريدة هيشر - الجزائر</t>
  </si>
  <si>
    <t>فريق التسويق</t>
  </si>
  <si>
    <t>فوزية اليابان</t>
  </si>
  <si>
    <t>فيدار التركيا</t>
  </si>
  <si>
    <t>قربان طريق احسان</t>
  </si>
  <si>
    <t xml:space="preserve">قطر الخيرية </t>
  </si>
  <si>
    <t>كوتشي من اليابان</t>
  </si>
  <si>
    <t>ليلى الجزائر</t>
  </si>
  <si>
    <t>ليليا اغمير من الجزائر</t>
  </si>
  <si>
    <t>مبارة زين</t>
  </si>
  <si>
    <t>مجموعة بهار</t>
  </si>
  <si>
    <t>مجموعة مكسر</t>
  </si>
  <si>
    <t>محمد اسلام الجزائر</t>
  </si>
  <si>
    <t xml:space="preserve">منظة إجابة تركيا </t>
  </si>
  <si>
    <t>منظمة الامل العالمية</t>
  </si>
  <si>
    <t>منظمة امل الامة</t>
  </si>
  <si>
    <t>منظمة امل الامة الدولي</t>
  </si>
  <si>
    <t>منظمة إجابة</t>
  </si>
  <si>
    <t xml:space="preserve">منظمة إجابة </t>
  </si>
  <si>
    <t>منظمة إجابة - فريق التسويق</t>
  </si>
  <si>
    <t>منظمة إجابة  - فريق  التسويق</t>
  </si>
  <si>
    <t>منظمة إجابة تركيا</t>
  </si>
  <si>
    <t>منظمة أمل الامة الدولية</t>
  </si>
  <si>
    <t>مؤسسة 7SPIKES</t>
  </si>
  <si>
    <t>مؤسسة AGOSTINA</t>
  </si>
  <si>
    <t>مؤسسة COUSINS</t>
  </si>
  <si>
    <t>مؤسسة GAZA TREK</t>
  </si>
  <si>
    <t>مؤسسة SPIKES</t>
  </si>
  <si>
    <t>مؤسسة الايسكو</t>
  </si>
  <si>
    <t>مؤسسة الإيسيكو</t>
  </si>
  <si>
    <t>مؤسسة الأحرار</t>
  </si>
  <si>
    <t>مؤسسة الدو رادو</t>
  </si>
  <si>
    <t>مؤسسة الوفاء</t>
  </si>
  <si>
    <t xml:space="preserve">مؤسسة الوفاء </t>
  </si>
  <si>
    <t>مؤسسة الوفاء - الأمل العالمية</t>
  </si>
  <si>
    <t xml:space="preserve">مؤسسة الوفاء - الخيرون في البرازيل </t>
  </si>
  <si>
    <t>مؤسسة الوفاء - أبو محمد الصادق</t>
  </si>
  <si>
    <t>مؤسسة الوفاء - أبو محمد الصادق -  هاند ان هاند</t>
  </si>
  <si>
    <t>مؤسسة الوفاء - أبو محمد الصادق - إيسر</t>
  </si>
  <si>
    <t>مؤسسة الوفاء - أبو محمد الصادق - بواسطة اسونيا</t>
  </si>
  <si>
    <t xml:space="preserve">مؤسسة الوفاء - أبو محمد الصادق - بواسطة أبواب الخير </t>
  </si>
  <si>
    <t>مؤسسة الوفاء - أبو محمد الصادق - جمعية بدر</t>
  </si>
  <si>
    <t xml:space="preserve">مؤسسة الوفاء - أبو محمد الصادق - متبرعين من قطر </t>
  </si>
  <si>
    <t>مؤسسة الوفاء - أبو محمد الصادق -الخيرون بالبرازيل 2</t>
  </si>
  <si>
    <t>مؤسسة الوفاء - أبو محمد الصادق -الخيرون بالبرازيل3</t>
  </si>
  <si>
    <t>مؤسسة الوفاء - أبو محمد الصادق -فاعلات خير الكويت</t>
  </si>
  <si>
    <t xml:space="preserve">مؤسسة الوفاء - أبو محمد صادق </t>
  </si>
  <si>
    <t>مؤسسة الوفاء - أدارا الامل</t>
  </si>
  <si>
    <t>مؤسسة الوفاء - جمعية SAF</t>
  </si>
  <si>
    <t xml:space="preserve">مؤسسة الوفاء - فاعلة خير </t>
  </si>
  <si>
    <t>مؤسسة الوفاء - مقدونيا</t>
  </si>
  <si>
    <t>مؤسسة الوفاء  أبو محمد صادق  كفالات ايتام فلسطين</t>
  </si>
  <si>
    <t xml:space="preserve">مؤسسة الوفاء  أبو محمد صادق كريمة وطالبات الخصون </t>
  </si>
  <si>
    <t xml:space="preserve">مؤسسة الوفاء صندوق الخير </t>
  </si>
  <si>
    <t xml:space="preserve">مؤسسة الوفاء صندوق الخير -الكويت </t>
  </si>
  <si>
    <t>مؤسسة الوفاء صندوق الخير  - شباب و صبايا لبنان</t>
  </si>
  <si>
    <t xml:space="preserve">مؤسسة الوفاء صندوق الخير  - صندوق الخير - فاعلة خير </t>
  </si>
  <si>
    <t>مؤسسة أجابة</t>
  </si>
  <si>
    <t>مؤسسة ألدو رادو - أبو محمد غريب</t>
  </si>
  <si>
    <t>مؤسسة أوردا</t>
  </si>
  <si>
    <t xml:space="preserve">مؤسسة أوردا </t>
  </si>
  <si>
    <t>مؤسسة أوردا - G2G</t>
  </si>
  <si>
    <t xml:space="preserve">مؤسسة أيسو كتشن - ألدو رادو </t>
  </si>
  <si>
    <t>مؤسسة بهار</t>
  </si>
  <si>
    <t xml:space="preserve">مؤسسة بهار </t>
  </si>
  <si>
    <t>مؤسسة خير أمة</t>
  </si>
  <si>
    <t>مؤسسة زادنا</t>
  </si>
  <si>
    <t>مؤسسة زين - فريق التسويق</t>
  </si>
  <si>
    <t>مؤسسة سبع سنابل</t>
  </si>
  <si>
    <t>مؤسسة عرفان الإنسانية</t>
  </si>
  <si>
    <t>مؤسسة غزة ترك</t>
  </si>
  <si>
    <t>مؤسسة فيدار التركية</t>
  </si>
  <si>
    <t>مؤسسة قربان طريق الاحسان</t>
  </si>
  <si>
    <t>مؤسسة كزنز</t>
  </si>
  <si>
    <t>مؤسسة ميديكس</t>
  </si>
  <si>
    <t>ميرسي ماليزيا</t>
  </si>
  <si>
    <t xml:space="preserve">هيومان ابيل </t>
  </si>
  <si>
    <t>أيسو كتشن</t>
  </si>
  <si>
    <t>فاعل خير</t>
  </si>
  <si>
    <t>التسلسل</t>
  </si>
  <si>
    <t>اليوم</t>
  </si>
  <si>
    <t>مرجع النشاط</t>
  </si>
  <si>
    <t>✓ تحقق</t>
  </si>
  <si>
    <t>التاريخ</t>
  </si>
  <si>
    <t>الوقت</t>
  </si>
  <si>
    <t>القسم / الإدارة</t>
  </si>
  <si>
    <t xml:space="preserve"> اسم المشروع</t>
  </si>
  <si>
    <t xml:space="preserve"> رقم/ المشروع</t>
  </si>
  <si>
    <t xml:space="preserve"> الممول</t>
  </si>
  <si>
    <t>عدد المستفيدين</t>
  </si>
  <si>
    <t>الميزانية (₪)</t>
  </si>
  <si>
    <t>نسبة الجاهزية %</t>
  </si>
  <si>
    <t>حالة الجاهزية</t>
  </si>
  <si>
    <t>التوصيات</t>
  </si>
  <si>
    <t>الموضوع</t>
  </si>
  <si>
    <t>الملاحظة</t>
  </si>
  <si>
    <t>مشكلة ميدانية</t>
  </si>
  <si>
    <t>الإجراء المتخذ</t>
  </si>
  <si>
    <t>KPI</t>
  </si>
  <si>
    <t>التصنيف</t>
  </si>
  <si>
    <t>الشهر</t>
  </si>
  <si>
    <t>السنة</t>
  </si>
  <si>
    <t>زيارة ميدانية مفاجئة لمخبز زادنا</t>
  </si>
  <si>
    <t>وُجد طحين قديم في المخزن استُخدم مما أثّر على جودة الخبز — تحذير نهائي لصاحب المخبز</t>
  </si>
  <si>
    <t>نعم</t>
  </si>
  <si>
    <t>تحذير كتابي</t>
  </si>
  <si>
    <t>متابعة وجبات مطبخ دار محسن رمضان — النصيرات (1 أبريل)</t>
  </si>
  <si>
    <t>480 وجبة مفرد — الصالحي(160)، سلام(120)، الخطيب(140)،ابو محمود صالح(60) — تقييم ممتاز</t>
  </si>
  <si>
    <t>لا</t>
  </si>
  <si>
    <t>مذكرة تذكيرية</t>
  </si>
  <si>
    <t>متابعة وجبات مطبخ دار محسن رمضان — البريج (2 أبريل)</t>
  </si>
  <si>
    <t>480 وجبة مفرد (350ج رز+لحمة شقف) — النادي(150)، بلوك12(200)، البركس(50)، عزاءابو غليبة(30) — جودة جيد جداً</t>
  </si>
  <si>
    <t>هيومن ابيل</t>
  </si>
  <si>
    <t>متابعة وجبات مطبخ الأخوة — خانيونس (2 أبريل)</t>
  </si>
  <si>
    <t>3400 وجبة فردي (85ج لحمة+300ج رز) — ناصر(600)، الكويتي(300)، أطباء بلا حدود(200)، موظفو هيومن ابيل(500)، المتحابين(950)، جدار المتحابين(550)، بسمة أمل(300) — استلام 14:45، توزيع 16:00 — تقييم ممتاز</t>
  </si>
  <si>
    <t>متابعة وجبات مطبخ دار محسن رمضان — البريج والنصيرات (2 أبريل)</t>
  </si>
  <si>
    <t>480 وجبة مفرد — البريج(450)، النصيرات(30) — تقييم ممتاز</t>
  </si>
  <si>
    <t>متابعة وجبات مطبخ دار محسن رمضان — المغازي (3 أبريل)</t>
  </si>
  <si>
    <t>480 وجبة مفرد (350ج رز+لحمة) — بركة الوز وحارة القساطنة والمهاجرين — تقييم ممتاز</t>
  </si>
  <si>
    <t>متابعة وجبات مطبخ دار محسن رمضان — المغازي والنصيرات (3 أبريل)</t>
  </si>
  <si>
    <t>480 وجبة مفرد — المغازي(450)، النصيرات(30) — تقييم ممتاز</t>
  </si>
  <si>
    <t>متابعة وجبات مطبخ الأخوة — خانيونس (4 أبريل)</t>
  </si>
  <si>
    <t>3400 وجبة فردي (85ج لحمة+300ج رز) — ناصر(600)، الكويتي(300)، أطباء بلا حدود(200)، السلطان(550)، الشهم(400)، المستقبل(600)، شريان الحياة(750) — استلام 13:30، توزيع 15:15 — ملاحظة: تأخير من المطبخ</t>
  </si>
  <si>
    <t>إشعار رسمي</t>
  </si>
  <si>
    <t>فحص سيارة تويوتا</t>
  </si>
  <si>
    <t>فحص زيت ومياه وتدقيق كشف حركة السيارة — سير طبيعي</t>
  </si>
  <si>
    <t>فحص سيارة كرافت</t>
  </si>
  <si>
    <t>متابعة استلام رول كاشير — مركز يافا</t>
  </si>
  <si>
    <t>استلام 150 رول كاشير وتسليمها لمركز يافا</t>
  </si>
  <si>
    <t>متابعة استلام مواد غذائية — قسم المخازن</t>
  </si>
  <si>
    <t>250 كيلو سكر + 100 وقية قهوة بن زحيمان</t>
  </si>
  <si>
    <t>زيارة مطبخ البركة — متابعة تجهيز وجبات</t>
  </si>
  <si>
    <t>200 وجبة مفرد تم تجهيزها</t>
  </si>
  <si>
    <t>زيارة ميدانية للمستشفى الكويتي — متابعة سير العمل والنظافة</t>
  </si>
  <si>
    <t>نظافة ممتازة — مقترح توفير أجهزة لتخفيف التجمهر على شباك الحجز — مقترحات لتطوير وتوسيع العمل</t>
  </si>
  <si>
    <t>زيارة ليلية للحراسة — عمارة السعد</t>
  </si>
  <si>
    <t>تواجد الحارس في المكان</t>
  </si>
  <si>
    <t>زيارة ليلية للحراسة — مركز يافا</t>
  </si>
  <si>
    <t>تواجد الحراس — كاميرا لا تعمل، نصف الكاميرات تتوقف عند إيقاف الكهرباء، كاميرا باب الكويتي لا تكشف الباب الزينقو، البوابة الرئيسية بدون قفل، الباب الزجاجي الغربي ضعيف بدون قفل، فتحة بجانب الصيدلية تحتاج إغلاق، لا يوجد حمام للحراسة</t>
  </si>
  <si>
    <t>تقرير عاجل</t>
  </si>
  <si>
    <t>زيارة ليلية للحراسة — صالة النخيل (المخازن والمطبخ)</t>
  </si>
  <si>
    <t>تواجد الحراس — لا يتوفر مكان للحراسة ولا فرشات ولا حرامات ولا مستلزمات أساسية</t>
  </si>
  <si>
    <t>متابعة علب لحمة مطبوخة ووجبات ساخنة — الزوايدة (11 أبريل)</t>
  </si>
  <si>
    <t>850 علبة لحمة مطبوخة + 300 وجبة فردية رز+لحمة — إيواء السواركة</t>
  </si>
  <si>
    <t>متابعة الرغيف الخيري — رفح مخيم التعاون فش فريش (11 أبريل)</t>
  </si>
  <si>
    <t>200 ربطة(1ك) — مخيم التعاون فش فريش — مخبز زادنا — استلام 13:30، توزيع 13:30</t>
  </si>
  <si>
    <t>متابعة الرغيف الخيري — خانيونس مخيم الهلال (11 أبريل)</t>
  </si>
  <si>
    <t>200 ربطة(1ك) — مخيم الهلال — مخبز زادنا — استلام 10:20، توزيع 10:45</t>
  </si>
  <si>
    <t>متابعة تجهيز طرود صحية — دير البلح والمقر العام</t>
  </si>
  <si>
    <t>55 طرد صحي — دير البلح(45 مخيم إيواء النجوم)، المقر العام(10) — ملاحظات: نقص سائل الجلي(5 واستبداله بسائل يد)، شفر حلاقة تبكيت يدوي، تنوع أنواع سائل الجلي</t>
  </si>
  <si>
    <t>متابعة الرغيف الخيري — المغازي مخيم السلام (12 أبريل)</t>
  </si>
  <si>
    <t>200 ربطة(1ك) — مخيم السلام المغازي — مخبز زادنا — جودة جيد</t>
  </si>
  <si>
    <t>زيارة قسم المشاريع — متابعة المشاريع المنفذة 2026</t>
  </si>
  <si>
    <t>استلام كشف بالمشاريع المنفذة منذ بداية 2026 — متابعة عدد منها على أن يستكمل الباقي</t>
  </si>
  <si>
    <t>متابعة الرغيف الخيري — الزوايدة إيواءابو شميس (13 أبريل)</t>
  </si>
  <si>
    <t>200 ربطة(1ك) — إيواءابو شميس — مخبز زادنا — وصل 12:00 — جودة ممتازة</t>
  </si>
  <si>
    <t>متابعة الرغيف الخيري — خانيونس مخيم العلا (13 أبريل)</t>
  </si>
  <si>
    <t>200 ربطة(1ك) — مخيم العلا — مخبز زادنا — استلام 10:20، توزيع 10:45</t>
  </si>
  <si>
    <t>متابعة توزيع كعك — البريج (13 أبريل)</t>
  </si>
  <si>
    <t>215 كيلو كعك — محل الجوهرة النصيرات — منطقة البريج — جودة ممتازة</t>
  </si>
  <si>
    <t>ربط الكشوفات والكبوانات بكود</t>
  </si>
  <si>
    <t>متابعة الرغيف الخيري — رفح مخيم اللوتس (13 أبريل)</t>
  </si>
  <si>
    <t>200 ربطة(1ك) — مخيم اللوتس فش فش الشمالي — مخبز زادنا</t>
  </si>
  <si>
    <t>متابعة توزيع ربطات الخبز — مكتب غزة</t>
  </si>
  <si>
    <t>200 ربطة (وزن 1 كيلو) — مخيم الصفا(200) — استلام 14:00، توزيع 14:30 — جودة ممتازة</t>
  </si>
  <si>
    <t>فحص سيارة تويوتا — السائق سعيد أبو جزر</t>
  </si>
  <si>
    <t>نقص زيت المحرك(النصف)، عدم تسجيل سائق آخر في كشف الحركة، كاوشوك خلفي سيء(اثنين)، فراغ في الستيرن، بلف الضغط عطل، الكشاف الأمامي مكسور، الغماز محروق — تحتاج صيانة عاجلة</t>
  </si>
  <si>
    <t>فحص باص تويوتا — السائق سالم البحيصي</t>
  </si>
  <si>
    <t>نقص زيت المحرك، الكاوشوك الأمامي بحالة سيئة</t>
  </si>
  <si>
    <t>فحص باص نص نقل — السائق عماد نطط</t>
  </si>
  <si>
    <t>نقص زيت البريك والكلاتش(وضع خطر)، الصملتين الخلفيتين عطل، الغماز الأيمن عطل، ضوء اللفيرس عطل، كاوشوك خلفي سيء، ماتور مساحات عطل، عداد الكيلو عطل</t>
  </si>
  <si>
    <t>سعيد فرج محمدابو جزر</t>
  </si>
  <si>
    <t>فحص سيارة سكودا — السائق سعيدابو جزر</t>
  </si>
  <si>
    <t>نقص زيت المحرك(النصف)، سائق آخر لا يسجل في كشف الحركة، كاوشوك خلفي سيء(اثنين)، فراغ في الستيرن، بلف الضغط عطل، الكشاف الأمامي مكسور، الغماز محروق — تحتاج صيانة عاجلة</t>
  </si>
  <si>
    <t>نقص زيت البريك والكلاتش(خطر)، الصملتين الخلفيتين عطل، الغماز الأيمن عطل، ضوء اللفيرس عطل، كاوشوك خلفي سيء، ماتور مساحات عطل، عداد الكيلو عطل</t>
  </si>
  <si>
    <t>متابعة توزيع كعك — المغازي (14 أبريل)</t>
  </si>
  <si>
    <t>215 كيلو كعك — مركز الوسطى الطبي — جودة ممتازة</t>
  </si>
  <si>
    <t>متابعة الرغيف الخيري — البريج إيواء الأخوة (14 أبريل)</t>
  </si>
  <si>
    <t>200 ربطة(1ك) — إيواء الأخوة — مخبز زادنا — استلام 12:45 — جودة ممتازة</t>
  </si>
  <si>
    <t>متابعة توزيع علب حليب — الزوايدة (14 أبريل)</t>
  </si>
  <si>
    <t>375 علبة حليب — الزوايدة — جمعية إغاثة أطفال فلسطين</t>
  </si>
  <si>
    <t>احمد صالح سليمانابو عرمانة</t>
  </si>
  <si>
    <t>فحص سيارة كرافتا — السائق أحمد التليني (15 أبريل)</t>
  </si>
  <si>
    <t>عدم تسجيل السائق يوسف منصور في كشف الحركة، نقص زيت البريك، سنبرس أمامي متهالك — مشكلة تكررت</t>
  </si>
  <si>
    <t>متابعة توزيع كعك — الزوايدة (15 أبريل)</t>
  </si>
  <si>
    <t>218 كيلو كعك — السواركة وأبو شميس — جودة ممتازة ومغلف بغلاف متين</t>
  </si>
  <si>
    <t>متابعة الرغيف الخيري — خانيونس مخيم عبد الجواد (15 أبريل)</t>
  </si>
  <si>
    <t>200 ربطة(1ك) — مخيم عبد الجواد — مخبز زادنا</t>
  </si>
  <si>
    <t>متابعة الرغيف الخيري — رفح مخيم العزة (15 أبريل)</t>
  </si>
  <si>
    <t>200 ربطة(1ك) — مخيم العزة فش فش الشمالي — مخبز زادنا — استلام 12:20، توزيع 12:30</t>
  </si>
  <si>
    <t>شكوى نقص سقيا الماء — البريج (16 أبريل)</t>
  </si>
  <si>
    <t>تم تخصيص 10 كوب ووصل 5 فقط(سيارة واحدة من اثنتين) — منظمة إجابة — السائق حسن إسليم — نطالب بمتابعة وحل المشكلة</t>
  </si>
  <si>
    <t>متابعة الرغيف الخيري — خانيونس مخيم طارق بن زياد (18 أبريل)</t>
  </si>
  <si>
    <t>200 ربطة(1ك) — مخيم طارق بن زياد — مخبز زادنا — استلام 11:40، توزيع 12:30</t>
  </si>
  <si>
    <t>متابعة الرغيف الخيري — رفح مخيم السلام (18 أبريل)</t>
  </si>
  <si>
    <t>200 ربطة(1ك) — مخيم السلام فش فش الشمالي — استلام 12:20، توزيع 12:30</t>
  </si>
  <si>
    <t>متابعة الرغيف الخيري — المغازي (18 أبريل)</t>
  </si>
  <si>
    <t>200 ربطة(1ك) — مخيم البلدية ونادي الشباب — مخبز زادنا — وصل 12:00 — جودة ممتازة</t>
  </si>
  <si>
    <t>متابعة وجبات مطبخ البركة — دير البلح (19 أبريل)</t>
  </si>
  <si>
    <t>300 وجبة مجوز(700ج رز+350ج لحمة) المقر العام(150)+مكتب دير البلح(150) + 240 وجبة مجوز(رز+علب لحمة مطبوخة) — منطقة دير البلح</t>
  </si>
  <si>
    <t>متابعة أنشطة متعددة — الزوايدة (19 أبريل)</t>
  </si>
  <si>
    <t>رغيف 200 ربطة(1ك) المناصرة الأردنية + 106 طرد غذائي إنقاذ أطفال فلسطين + 212 طرد صحي+4 قرب/عائلة من مؤسسة تامر + 388 علبة حليب من إنقاذ فلسطين — الزوايدة</t>
  </si>
  <si>
    <t>متابعة وجبات مطبخ البركة — المغازي والبريج (20 أبريل)</t>
  </si>
  <si>
    <t>300 وجبة مجوز رز+لحمة شقف — عزاء الشهداء البريج(100)، المغازي البلدية وبركة الوز(200) — جودة جيد</t>
  </si>
  <si>
    <t>متابعة الرغيف الخيري — البريج (20 أبريل)</t>
  </si>
  <si>
    <t>200 ربطة(1ك) — إيواء سواعد وعائدون 2 — وصل 12:00</t>
  </si>
  <si>
    <t>متابعة الرغيف الخيري — خانيونس مخيم أحمد نمر (20 أبريل)</t>
  </si>
  <si>
    <t>200 ربطة(1ك) — مخيم أحمد نمر — استلام 14:30، توزيع 15:00</t>
  </si>
  <si>
    <t>متابعة الرغيف الخيري — رفح مخيم السلام قاطع A (20 أبريل)</t>
  </si>
  <si>
    <t>200 ربطة(1ك) — مخيم السلام قاطع A — استلام 15:44، توزيع 16:00</t>
  </si>
  <si>
    <t>أحمد إسماعيل إبراهيم حرب</t>
  </si>
  <si>
    <t>متابعة توزيع فرشات — مخيم طبريا خانيونس المواصي (20 أبريل)</t>
  </si>
  <si>
    <t>21 أسرة متعففة — 2 فرشة/أسرة (واحدة 3 فرشات) — أجنحة الرحمة جنوب أفريقيا — الإجمالي 59 فرشة، نُفِّذ 43 والمتبقي 16 في المخازن</t>
  </si>
  <si>
    <t>متابعة الرغيف الخيري — النصيرات مخيم سلام (21 أبريل)</t>
  </si>
  <si>
    <t>200 ربطة(1ك) — مخيم سلام النصيرات — مخبز زادنا</t>
  </si>
  <si>
    <t>متابعة وجبات مطبخ البركة — الزوايدة (21 أبريل)</t>
  </si>
  <si>
    <t>200 وجبة مجوز رز+لحمة شقف — إيواء ابن رشد(180)، عزاء شهيد(20) — جودة ممتازة — ملاحظة: وصول متأخر الساعة 14:30 — طُلبت متابعة سبب التأخير</t>
  </si>
  <si>
    <t>متابعة وجبات ساخنة — خانيونس والمواصي (22 أبريل)</t>
  </si>
  <si>
    <t>8000 وجبة فردي (85ج لحمة+300ج رز) — ناصر(600)، الكويتي(300)، يبنا(600)، الفجر3(650)، معا(950)، الصداقة(550)، النور(1350)، الشوربجي(1000) مجموع 6000 — المواصي: الشرقية(350)، النجوم(300)، الغد المشرق(1350) مجموع 2000 — استلام 11:40، توزيع 14:00 — تقييم ممتاز</t>
  </si>
  <si>
    <t>متابعة الرغيف الخيري — خانيونس مخيم ناصر (22 أبريل)</t>
  </si>
  <si>
    <t>200 ربطة(1ك) — مخيم ناصر — استلام 12:30، توزيع 13:00</t>
  </si>
  <si>
    <t>متابعة الرغيف الخيري ووجبات — الزوايدة (22 أبريل)</t>
  </si>
  <si>
    <t>200 ربطة(1ك) مخيم يافا — وصل 11:00 + 100 وجبة مجوز رز+لحمة شقف السوارحة الشرقية — وصل 14:00</t>
  </si>
  <si>
    <t>متابعة الرغيف الخيري — رفح مخيم المزرعة (22 أبريل)</t>
  </si>
  <si>
    <t>200 ربطة(1ك) — مخيم المزرعة — استلام 13:58، توزيع 14:30</t>
  </si>
  <si>
    <t>متابعة وجبات مطبخ البركة — البريج (22 أبريل)</t>
  </si>
  <si>
    <t>100 وجبة مجوز رز+لحمة شقف — عزاء الشهداء البريج — وصل 14:00 — جودة ممتازة</t>
  </si>
  <si>
    <t>متابعة وجبات مطبخ البركة — المغازي بركة الوز (22 أبريل)</t>
  </si>
  <si>
    <t>100 وجبة مجوز — بركة الوز — وصل 14:00 — جودة ممتازة</t>
  </si>
  <si>
    <t>متابعة الرغيف الخيري — المغازي (23 أبريل)</t>
  </si>
  <si>
    <t>200 ربطة(1ك) — بركة الوز وشعبة المهاجرين — وصل 12:25</t>
  </si>
  <si>
    <t>متابعة وجبات ساخنة — خانيونس والمواصي (23 أبريل)</t>
  </si>
  <si>
    <t>8000 وجبة فردي (85ج لحمة+300ج رز) — ناصر(600)، الكويتي(300)، الإبداع(700)، الأصدقاء(1500)، الأمل(1800)، طيبة التربوي(1100) مجموع 6000 — المواصي: الحق(250)، الفجر(600)، الأخوة(450)، الهدى(700) مجموع 2000 — ملاحظة: خلل في أوزان الأكياس تم تصحيحه</t>
  </si>
  <si>
    <t>متابعة الرغيف الخيري — رفح مخيم رائع المنصور (25 أبريل)</t>
  </si>
  <si>
    <t>200 ربطة(1ك) — مخيم رائع المنصور — استلام 14:58، توزيع 15:20</t>
  </si>
  <si>
    <t>متابعة وجبات ساخنة — خانيونس والمواصي (25 أبريل)</t>
  </si>
  <si>
    <t>8000 وجبة فردي (85ج لحمة+300ج رز) — ناصر(600 ناقص 55 سيُعوَّض)، الكويتي(300)، البسمة(900)، الوحدة(600)، التعاون(700)، العلم(1050)، عطايا الخير(750)، الأمل(500)، المزرعة(600) مجموع 6000 — المواصي: الأخلاص(550)، أرض المانجا(450)، الكرامة(1000) مجموع 2000 — عجز 55 وجبة ناصر سيُعوَّض غداً</t>
  </si>
  <si>
    <t>متابعة الرغيف الخيري — خانيونس مخيم الهولندي (25 أبريل)</t>
  </si>
  <si>
    <t>200 ربطة(1ك) — مخيم الهولندي — استلام 12:30، توزيع 13:00</t>
  </si>
  <si>
    <t>متابعة الرغيف الخيري — النصيرات (25 أبريل)</t>
  </si>
  <si>
    <t>200 ربطة(1ك) — منطقة النصيرات — مخبز زادنا</t>
  </si>
  <si>
    <t>متابعة توزيع بمبرز وحليب أطفال — مستشفى شهداء الأقصى دير البلح</t>
  </si>
  <si>
    <t>51 باكيت بمبرز + 49 علبة حليب — 51 طفل من قسم الحضانة — مستشفى شهداء الأقصى</t>
  </si>
  <si>
    <t>متابعة قسائم شرائية للأيتام — خانيونس ورفح (26 أبريل)</t>
  </si>
  <si>
    <t>18 يتيم (16 من رفح+2 من خانيونس) — قسيمة 260 شيكل/يتيم — بالتعاون مع مكتب رفح</t>
  </si>
  <si>
    <t>متابعة وجبات ساخنة — خانيونس والمواصي (26 أبريل)</t>
  </si>
  <si>
    <t>8000 وجبة فردي (85ج لحمة+300ج رز) — ناصر(600 تعويض عجز أمس)، الكويتي(300)، التحرير(900)، الكرامة(1400)، الزيتون(900)، العودة(500)، الفداء(1400) مجموع 6000 — المواصي ودير البلح(2000) — استلام 11:30، توزيع 14:30 — تقييم ممتاز</t>
  </si>
  <si>
    <t>متابعة وجبات ساخنة — خانيونس والمواصي (27 أبريل)</t>
  </si>
  <si>
    <t>8000 وجبة فردي (85ج لحمة+300ج رز) — ناصر(600)، الكويتي(300)، النور(1100)، شمس(1100)، الحياة للنازحين(1500)، السعيد(1000)، نور الهدى(400) مجموع 6000 — المواصي: العبادلة(400)، الساحل(500)، النور(600)، يافا(500) مجموع 2000 — استلام 10:50، توزيع 14:30 — تقييم ممتاز</t>
  </si>
  <si>
    <t>متابعة الرغيف الخيري — رفح مخيم مكة وطيبة (27 أبريل)</t>
  </si>
  <si>
    <t>200 ربطة(1ك) — مخيم مكة وطيبة — استلام 14:00، توزيع 14:20</t>
  </si>
  <si>
    <t>متابعة الرغيف الخيري — خانيونس (27 أبريل)</t>
  </si>
  <si>
    <t>200 ربطة(1ك) — منطقة خانيونس — استلام 12:30، توزيع 13:00</t>
  </si>
  <si>
    <t>متابعة وجبات مطبخ دار محسن رمضان — النصيرات (27 أبريل)</t>
  </si>
  <si>
    <t>215 وجبة مفرد — النصيرات(215) — الأمور جيدة</t>
  </si>
  <si>
    <t>متابعة وجبات مطبخ دار محسن رمضان — البريج (28 أبريل)</t>
  </si>
  <si>
    <t>215 وجبة مفرد — إيواء النادي البريج — الأمور جيدة وممتازة</t>
  </si>
  <si>
    <t>متابعة وجبات شاورما — احتفال أيتام جباليا في شاليه دير البلح (28 أبريل)</t>
  </si>
  <si>
    <t>335 وجبة شاورما — محل شاورما شعفوط دير البلح — أسر أيتام نازحين شمال غزة جباليا — جودة جيد جداً</t>
  </si>
  <si>
    <t>متابعة وجبات ساخنة — خانيونس والمواصي (28 أبريل)</t>
  </si>
  <si>
    <t>7964 وجبة فردي (85ج لحمة+300ج رز) — ناصر(600)، الكويتي(300)، الزهور(850)، السنية1(1700)، السنية2(900)، الرضوان(550)، الرحمة الجنوبي(1100) مجموع 6000 — المواصي: الورد(500)، نبراس الأمل(450)، الياسمين(450)، أم النصر(300)، صبيح(264) مجموع 1964 + عجز 360 على مخيم صبيح سيُعوَّض غداً — استلام 10:45، توزيع 14:15</t>
  </si>
  <si>
    <t>متابعة توزيع مساعدات عينية للأيتام — خانيونس (28 أبريل)</t>
  </si>
  <si>
    <t>783 يتيم من محافظة خانيونس — طرد صحي+4 بامبرز+3 بطانيات لكل يتيم</t>
  </si>
  <si>
    <t>متابعة إجراءات</t>
  </si>
  <si>
    <t>متابعة معاينة موقع مشروع حفر بئر مياه — خانيونس (28 أبريل)</t>
  </si>
  <si>
    <t>معاينة موقع غرب القرارة — سيبدأ التنفيذ غداً إن شاء الله</t>
  </si>
  <si>
    <t>متابعة وجبات مطبخ الجماهير — الزوايدة (29 أبريل)</t>
  </si>
  <si>
    <t>215 وجبة مفرد (250ج رز+120ج لحمة) — إيواء يافا — انتهاء الطبخ 12:00 — جودة جيد جداً</t>
  </si>
  <si>
    <t>متابعة وجبات ساخنة — خانيونس والمواصي (29 أبريل)</t>
  </si>
  <si>
    <t>8036 وجبة فردي (85ج لحمة+300ج رز) — ناصر(600 تعويض عجز أمس)، الكويتي(300)، يبنا(650)، الفجر3(650)، معا(950)، الصداقة(550)، النور(1350)، الشوربجي(1000) مجموع 6000 — المواصي: الشرقية(350)، النجوم(300)، الغد المشرق(1350) مجموع 2036 — تعويض عجز 36 من أمس — استلام 10:50، توزيع 13:40 — تقييم ممتاز</t>
  </si>
  <si>
    <t>متابعة قسائم شرائية — مكتب رفح (29 أبريل)</t>
  </si>
  <si>
    <t>14 أسرة — قسيمة 200 شيكل — مول الطيبات — تقييم ممتاز</t>
  </si>
  <si>
    <t>شكوى عدم تواصل بشأن سقيا الماء — البريج (29 أبريل)</t>
  </si>
  <si>
    <t>تم تخصيص 24 كوب مياه للبريج ونُفِّذ المشروع بدون التواصل مع مكتب البريج — لا يعرف مكتب البريج أين وزِّع — يُطالب بإجراء رسمي لعدم تكرار المشكلة</t>
  </si>
  <si>
    <t>متابعة الرغيف الخيري — رفح مخيمات الكرامة (30 أبريل)</t>
  </si>
  <si>
    <t>599 ربطة(وزن 1.5ك) — مخيمات الكرامة 1و2و3 — مخبز زادنا — استلام 13:10، توزيع 13:30</t>
  </si>
  <si>
    <t>متابعة الرغيف الخيري — رفح مخيمات هدى القطري (30 أبريل)</t>
  </si>
  <si>
    <t>380 ربطة(وزن 1.5ك) — مخيمات هدى القطري — مخبز زادنا — استلام 12:30، توزيع 13:00</t>
  </si>
  <si>
    <t>متابعة وجبات ساخنة — مكتب رفح (30 أبريل)</t>
  </si>
  <si>
    <t>5100 وجبة فردي (85ج لحمة+300ج رز) — الزهور والسنية1 والسنية2 والرضوان والرحمة الجنوبي — استلام 10:50، توزيع 13:40 — تقييم ممتاز</t>
  </si>
  <si>
    <t>متابعة توزيع وجبات ساخنة — مكتب خانيونس والمواصي ودير البلح</t>
  </si>
  <si>
    <t>8000 وجبة فردي (85ج لحمة+300ج رز) — استلام 11:05، توزيع 13:35 — خانيونس: ناصر(576 عجز 24)، كويتي(300)، البسمة(900)، الوحدة(600)، التعاون(700)، العلم(1050)، عطايا الخير(750)، الأمل(500)، المزرعة(600) مجموع 5976 — المواصي: الأخلاص(550)، أرض المانجا(450)، الكرامة(1000) مجموع 2000 — عجز 24 وجبة في ناصر — تقييم ممتاز</t>
  </si>
  <si>
    <t>متابعة أعمال مشروع حفر بئر مياه — خانيونس غرب القرارة</t>
  </si>
  <si>
    <t>متابعة أعمال إنشاء وحفر بئر مياه في منطقة خانيونس غرب القرارة</t>
  </si>
  <si>
    <t>متابعة توزيع الرغيف الخيري — منطقة النصيرات</t>
  </si>
  <si>
    <t>200 ربطة (وزن 1 كيلو) مخبز زادنا — مخيم سنابل النصيرات (200) — سير طبيعي</t>
  </si>
  <si>
    <t>متابعة جودة وجبات مطبخ البركة — المغازي ودير البلح</t>
  </si>
  <si>
    <t>500 وجبة فردي (≈250 مجوز) وزن 700ج رز+155ج لحمة شقف — المغازي مسجدابو بكر(150 مجوز)، دير البلح(100 مجوز) — جودة جيد جداً</t>
  </si>
  <si>
    <t>متابعة توزيع الرغيف الخيري — منطقة البريج</t>
  </si>
  <si>
    <t>196 من أصل 200 ربطة (وزن 1 كيلو) — مخيم تونس الخضراء(65)، زهرة المدائن(75)، عمال البركس(6)، الشرقية(50) — عجز 4 ربطات عند مكتب البريج</t>
  </si>
  <si>
    <t>متابعة توزيع الرغيف الخيري — منطقة رفح</t>
  </si>
  <si>
    <t>400 ربطة (وزن 1 كيلو) — مخيم المحبة(200)، مخيم بيسان(200) — سير طبيعي</t>
  </si>
  <si>
    <t>متابعة توزيع الرغيف الخيري — منطقة الزوايدة</t>
  </si>
  <si>
    <t>200 ربطة (وزن 1 كيلو) — إيواء نابلس الزوايدة (200) — جودة ممتاز</t>
  </si>
  <si>
    <t>متابعة توزيع الرغيف الخيري — منطقة خانيونس</t>
  </si>
  <si>
    <t>400 ربطة (وزن 1 كيلو) — مخيم القدرة(200)، مخيم النمساوي(200) — تقييم ممتاز</t>
  </si>
  <si>
    <t>8000 وجبة فردي (85ج لحمة+300ج رز) — استلام 11:10، توزيع 14:00 — خانيونس: ناصر(610 تعويض عجز أمس)، كويتي(300)، التحرير(900)، الكرامة(1400)، الزيتون(900)، العودة(500)، الفداء(1400) مجموع 6010 — المواصي: تجمع الأحرار(350)، الشام(450)، السلام(400)، المصطفى(400)، المروة(400) مجموع 2000 — تعويض 10 وجبات ناصر من عجز أمس — تقييم ممتاز</t>
  </si>
  <si>
    <t>متابعة توزيع طرود أدوات منزلية لأسر أيتام رفح</t>
  </si>
  <si>
    <t>10 طرود أدوات منزلية — مكتب رفح — أسر أيتام رفح — استلام وتوزيع 14:30</t>
  </si>
  <si>
    <t>متابعة توريد طرود أدوات المطبخ لأسر الأيتام — جميع المناطق</t>
  </si>
  <si>
    <t>200 طرد أدوات منزلية — أسر أيتام جميع المناطق — مؤسسة أحباء غزة ماليزيا</t>
  </si>
  <si>
    <t>جرد مخازن الجمعية 2026 — المقر العام</t>
  </si>
  <si>
    <t>جرد أرصدة جميع الأصناف بحضور محمد بدوان — تم التدقيق والمطابقة حسب الأصول بشكل ممتاز</t>
  </si>
  <si>
    <t>متابعة توزيع الرغيف الخيري — رفح مخيمات الكرامة</t>
  </si>
  <si>
    <t>600 ربطة (وزن 1.5 كيلو) — مخيمات الكرامة 1و2و3 (600) — استلام 13:10، توزيع 13:30</t>
  </si>
  <si>
    <t>متابعة توزيع الرغيف الخيري — رفح مخيمات هدى القطري</t>
  </si>
  <si>
    <t>380 ربطة (وزن 1.5 كيلو) — مخيمات هدى القطري (380) — استلام 12:30، توزيع 13:00</t>
  </si>
  <si>
    <t>520 ربطة (وزن 1.5 كيلو) — منطقة خانيونس (520) — استلام 12:30، توزيع 13:00</t>
  </si>
  <si>
    <t>8014 وجبة فردي (85ج لحمة+300ج رز) — استلام 10:50، توزيع 13:00 — خانيونس: ناصر(614)، كويتي(300)، النور(1100)، شمس(1100)، الحياة للنازحين(1500)، السعيد(1000)، نور الهدى(400) مجموع 6014 — المواصي: العبادلة(400)، الساحل(500)، النور(600)، يافا(500) مجموع 2000 — تقييم ممتاز</t>
  </si>
  <si>
    <t>متابعة افتتاح مشروع حفر بئر مياه — خانيونس</t>
  </si>
  <si>
    <t>افتتاح بئر المياه في منطقة نزوح بخانيونس — تم حل أزمة المياه في المنطقة</t>
  </si>
  <si>
    <t>متابعة مشروع الرعاية الصحية للأيتام — مستشفى دار السلام خانيونس</t>
  </si>
  <si>
    <t>186 يتيم مستهدف — بالتنسيق مع مستشفى دار السلام — ممول من أحباء غزة ماليزيا</t>
  </si>
  <si>
    <t>520 ربطة (وزن 1.5 كيلو) — الشام(100)، السلام(85)، المروة(90)، الكرامة(195)، موظفو هيومن ابيل(50) — استلام 12:30، توزيع 13:00</t>
  </si>
  <si>
    <t>8000 وجبة فردي (85ج لحمة+300ج رز) — استلام 10:55، توزيع 13:45 — خانيونس: ناصر(600)، كويتي(300)، الزهور(850)، السنية1(1700)، السنية2(900)، الرضوان(550)، الرحمة الجنوبي(1100) مجموع 6000 — المواصي: الورد(500)، نبراس الأمل(450)، الياسمين(450)، أم النصر(300)، صبيح(300) مجموع 2000 — تقييم ممتاز</t>
  </si>
  <si>
    <t>شكوى نقص سقيا الماء — منطقة البريج</t>
  </si>
  <si>
    <t>تم تخصيص 20 كوب لكن وصل 14 فقط (3 سيارات من أصل 4) — بلوك 3 لم يصله ماء — طلب متابعة بحزم بسبب تكرار المشكلة</t>
  </si>
  <si>
    <t>نقص زيت البريك والكلاتش والمحرك، الكاوشوك الخلفي سيء، ماتور المساحات عطل، عداد الكيلو عطل — الباص موقوف بأمر مسؤول الصيانة بسبب رشاشات وزيت المحرك</t>
  </si>
  <si>
    <t>فحص سيارة تويوتا — السائق سالم البحيصي</t>
  </si>
  <si>
    <t>نقص حاد في زيت المحرك (أقل من نصف سيخ)، ضوء البريك الخلفي واللفيرس معطل، عطل في جوزة الستيرن</t>
  </si>
  <si>
    <t>فحص باص كرافتر يافا — السائق عماد نطط</t>
  </si>
  <si>
    <t>ضوء البريك الخلفي معطل</t>
  </si>
  <si>
    <t>8000 وجبة فردي (85ج لحمة+300ج رز) — استلام 11:20، توزيع 13:50 — خانيونس: ناصر(600)، كويتي(300)، يبنا(650)، الفجر3(650)، معا(950)، الصداقة(550)، النور(1350)، الشوربجي(1000) مجموع 6000 — المواصي: الشرقية(350)، النجوم(300)، الغد المشرق(1350) مجموع 2000 — تقييم ممتاز</t>
  </si>
  <si>
    <t>متابعة توزيع طرود أدوات المطبخ — مكتب خانيونس</t>
  </si>
  <si>
    <t>32 طرد أدوات مطبخ لأيتام أحباء غزة ماليزيا — مكتب خانيونس</t>
  </si>
  <si>
    <t>8000 وجبة فردي (85ج لحمة+300ج رز) — استلام 11:10، توزيع 13:35 — خانيونس: ناصر(600)، كويتي(300)، الإبداع(700)، الأصدقاء(1500)، الأمل(1800)، طيبة التربوي(1100) مجموع 6000 — المواصي: الحق(250)، الفجر(600)، الأخوة(450)، الهدى(700) مجموع 2000 — تقييم ممتاز</t>
  </si>
  <si>
    <t>متابعة توزيع الرغيف الخيري — رفح مخيم المحسنين 1</t>
  </si>
  <si>
    <t>350 ربطة (وزن 1.5 كيلو) — مخيم المحسنين1 رفح (350) — استلام 13:40، توزيع 13:55</t>
  </si>
  <si>
    <t>متابعة توزيع الرغيف الخيري — رفح مخيم المحسنين 2</t>
  </si>
  <si>
    <t>500 ربطة (وزن 1.5 كيلو) — مخيم المحسنين2 رفح (500) — استلام 14:10، توزيع 14:20</t>
  </si>
  <si>
    <t>متابعة توزيع الرغيف الخيري — رفح مخيم الأمل</t>
  </si>
  <si>
    <t>116 ربطة (وزن 1.5 كيلو) — مخيم الأمل رفح (116) — استلام 14:30، توزيع 14:40</t>
  </si>
  <si>
    <t>متابعة توزيع الرغيف الخيري — رفح مخيم رفعات</t>
  </si>
  <si>
    <t>160 ربطة (وزن 1.5 كيلو) — مخيم رفعات رفح (160) — استلام 15:00، توزيع 15:30</t>
  </si>
  <si>
    <t>ملخص توزيع الرغيف الخيري اليومي — رفح والجنوب والوسطى</t>
  </si>
  <si>
    <t>إجمالي: مكتب هيومن ابيل(50)، الجنوب رفح(1212)، الوسطى دير البلح(404) — المجموع 1666 ربطة</t>
  </si>
  <si>
    <t>8000 وجبة فردي (85ج لحمة+300ج رز) — استلام 11:00، توزيع 14:35 — خانيونس: ناصر(600)، كويتي(300)، البسمة(900)، الوحدة(600)، التعاون(700)، العلم(1050)، عطايا الخير(750)، الأمل(500)، المزرعة(600) مجموع 6000 — المواصي: الأخلاص(550)، أرض المانجا(450)، الكرامة(1000) مجموع 2000 — تقييم ممتاز</t>
  </si>
  <si>
    <t>سمية عطا خليلابو معروف</t>
  </si>
  <si>
    <t>متابعة تجهيز طرود غذائية — قسم الأيتام والأسر</t>
  </si>
  <si>
    <t>73 طرد غذائي بقيمة 137 شيكل/طرد — من شركة يو أنو مي للتجارة العامة — بحضور محمد بدوان — تم التجهيز حسب العينة والمواصفات</t>
  </si>
  <si>
    <t>متابعة جودة وجبات مطبخ البركة — المغازي والزوايدة ودير البلح</t>
  </si>
  <si>
    <t>500 مجوز+200 فردي وزن 800-850ج — المغازي(250 مجوز استلام 15:10) مخيم 13 وبركة الوز، الزوايدة(250 مجوز)، دير البلح(200 فردي) — جودة ممتاز</t>
  </si>
  <si>
    <t>ملخص توزيع الرغيف الخيري — 7 مايو</t>
  </si>
  <si>
    <t>مكتب هيومن ابيل(50)، الجنوب رفح(1212)، الوسطى دير البلح(404) — المجموع 1666 ربطة — بتاريخ 07/05/2026</t>
  </si>
  <si>
    <t>ملخص توزيع الرغيف الخيري اليومي — 10 مايو</t>
  </si>
  <si>
    <t>مكتب هيومن ابيل(50)، الجنوب رفح(1213)، الوسطى دير البلح(404) — المجموع 1667 ربطة</t>
  </si>
  <si>
    <t>متابعة توزيع الرغيف الخيري — خانيونس مخيم رفعات</t>
  </si>
  <si>
    <t>160 ربطة (وزن 1.5 كيلو) — مخيم رفعات خانيونس (160) — استلام 13:10، توزيع 13:30</t>
  </si>
  <si>
    <t>350 ربطة (وزن 1.5 كيلو) — مخيم المحسنين1 (350) — استلام 11:30، توزيع 11:40</t>
  </si>
  <si>
    <t>500 ربطة (وزن 1.5 كيلو) — مخيم المحسنين2 (500) — استلام 11:30، توزيع 11:40</t>
  </si>
  <si>
    <t>116 ربطة (وزن 1.5 كيلو) — مخيم الأمل رفح (116) — استلام 13:00، توزيع 13:15</t>
  </si>
  <si>
    <t>متابعة توزيع الرغيف الخيري — رفح مخيم الشوكة</t>
  </si>
  <si>
    <t>86 ربطة (وزن 1.5 كيلو) — مخيم الشوكة رفح (86) — استلام 12:22، توزيع 12:30</t>
  </si>
  <si>
    <t>8000 وجبة فردي (85ج لحمة+300ج رز) — استلام 11:10، توزيع 14:00 — خانيونس: ناصر(600)، كويتي(300)، التحرير(900)، الكرامة(1400)، الزيتون(900)، العودة(500)، الفداء(1400) مجموع 6000 — المواصي: تجمع الأحرار(350)، الشام(450)، السلام(400)، المصطفى(400)، المروة(400) مجموع 2000 — تقييم ممتاز</t>
  </si>
  <si>
    <t>متابعة استلام لحمة — قسم المخازن</t>
  </si>
  <si>
    <t>24 كيلو و300 جرام لحمة</t>
  </si>
  <si>
    <t>8000 وجبة فردي (85ج لحمة+300ج رز) — استلام 11:15، توزيع 14:35 — خانيونس: ناصر(600)، كويتي(300)، النور(1100)، شمس(1100)، الحياة للنازحين(1500)، السعيد(1000)، نور الهدى(400) مجموع 6000 — المواصي: العبادلة(400)، الساحل(500)، النور(600)، يافا(500) مجموع 2000 — تقييم ممتاز</t>
  </si>
  <si>
    <t>متابعة توزيع طرود غذائية لأسر الأيتام — مكتب رفح</t>
  </si>
  <si>
    <t>73 طرد غذائي من جمعية أقصى اليمن — الكلية التطبيقية رفح — استلام 12:00، توزيع 16:00 — 73 طرد كاملة</t>
  </si>
  <si>
    <t>متابعة مشروع كسوة عيد للأيتام — غزة وجباليا</t>
  </si>
  <si>
    <t>155 يتيم — قسيمة 200 شيكل/يتيم — 3 محلات شارع عمر المختار غزة — الملابس متوفرة — تم التوافق على آلية التنفيذ والمعاملات المالية</t>
  </si>
  <si>
    <t>زيارة مطبخ البركة — متابعة تجهيز طبيخ</t>
  </si>
  <si>
    <t>فاصوليا 6 قدور + رز 4 قدور</t>
  </si>
  <si>
    <t>متابعة توريد طرود سلة خضار — دير البلح والمقر العام</t>
  </si>
  <si>
    <t>149 طرد سلة خضار 100 شيكل/طرد — شركة مدينة الثمار الطيبة دير البلح — مكتب دير البلح(49 مخيم شهداء الأقصى)، المقر العام(100) — حسب المواصفات وكتاب التوريد</t>
  </si>
  <si>
    <t>8000 وجبة فردي (85ج لحمة+300ج رز) — استلام 11:20، توزيع 14:05 — خانيونس: ناصر(600)، كويتي(300)، الزهور(850)، السنية1(1700)، السنية2(900)، الرضوان(550)، الرحمة الجنوبي(1100) مجموع 6000 — المواصي: الورد(500)، نبراس الأمل(450)، الياسمين(450)، أم النصر(300)، صبيح(300) مجموع 2000 — تقييم ممتاز</t>
  </si>
  <si>
    <t>ملخص توزيع الرغيف الخيري اليومي — 12 مايو</t>
  </si>
  <si>
    <t>350 ربطة (وزن 1.5 كيلو) — مخيم المحسنين1 (350) — استلام 10:30، توزيع 10:40</t>
  </si>
  <si>
    <t>86 ربطة (وزن 1.5 كيلو) — مخيم الشوكة (86) — استلام 11:00، توزيع 11:10</t>
  </si>
  <si>
    <t>متابعة توزيع الرغيف الخيري — رفح مخيم الأمل والمحسنين 2</t>
  </si>
  <si>
    <t>616 ربطة (وزن 1.5 كيلو) — مخيم الأمل: استلام 12:40، توزيع 12:50 (116) — مخيم المحسنين2: استلام 12:50، توزيع 13:00 (500)</t>
  </si>
  <si>
    <t>زيارة ليلية مفاجئة للحراسة — مستشفى يافا</t>
  </si>
  <si>
    <t>تواجد الحراس في المكان — ملاحظة: متابعة تنفيذ ما سُجِّل في زيارة سابقة</t>
  </si>
  <si>
    <t>8000 وجبة فردي (85ج لحمة+300ج رز) — استلام 11:10، توزيع 13:35 — خانيونس: ناصر(600)، كويتي(300)، يبنا(650)، الفجر3(650)، معا(950)، الصداقة(550)، النور(1350)، الشوربجي(1000) مجموع 6000 — المواصي: الشرقية(350)، النجوم(300)، الغد المشرق(1350) مجموع 2000 — تقييم ممتاز</t>
  </si>
  <si>
    <t>8000 وجبة فردي (85ج لحمة+300ج رز) — استلام 11:05، توزيع 13:35 — خانيونس: ناصر(600)، كويتي(300)، الإبداع(700)، الأصدقاء(1500)، الأمل(1800)، طيبة التربوي(1100) مجموع 6000 — المواصي: الحق(250)، الفجر(600)، الأخوة(450)، الهدى(700) مجموع 2000 — تقييم ممتاز</t>
  </si>
  <si>
    <t>متابعة توزيع جلباب كابوي — مدرسة خديجة دير البلح البصة</t>
  </si>
  <si>
    <t>51 طالبة — جلباب أزرق/كحلي 120 شيكل — مدرسة خديجة دير البلح البصة — بحضور شيماء دلول</t>
  </si>
  <si>
    <t>متابعة توزيع الرغيف الخيري — خانيونس والمواصي ودير البلح</t>
  </si>
  <si>
    <t>1500 ربطة (وزن 1.5 كيلو) مخبز زادنا — خانيونس: طيبة أبراج طيبة(165)، الهلال دوارابو علاء(95)، القدس دوار النص(300)، الأخلاص محطة نعنع(250)، موظفو هيومن ابيل(50) — المواصي ودير البلح: نبراس الأمل(100)، النجوم(60)، الغد(255)، الفجر(125)، الأخوة(100) — الإجمالي 1500</t>
  </si>
  <si>
    <t>8000 وجبة فردي (85ج لحمة+300ج رز) — استلام 11:20، توزيع 13:40 — خانيونس: ناصر(600)، كويتي(300)، البسمة(900)، الوحدة(600)، التعاون(700)، العلم(1050)، عطايا الخير(750)، الأمل(500)، المزرعة(600) مجموع 6000 — المواصي: الأخلاص(550)، أرض المانجا(450)، الكرامة(1000) مجموع 2000 — تقييم ممتاز</t>
  </si>
  <si>
    <t>8000 وجبة فردي (85ج لحمة+300ج رز) — استلام 11:00، توزيع 13:15 — خانيونس: ناصر(600)، كويتي(300)، التحرير(900)، الكرامة(1400)، الزيتون(900)، العودة(500)، الفداء(1400) مجموع 6000 — المواصي: تجمع الأحرار(350)، الشام(450)، السلام(400)، المصطفى(400)، المروة(400) مجموع 2000 — تقييم ممتاز</t>
  </si>
  <si>
    <t>8000 وجبة فردي (85ج لحمة+300ج رز) — استلام 10:40، توزيع 13:30 — خانيونس: ناصر(600)، كويتي(300)، النور(1100)، شمس(1100)، الحياة للنازحين(1500)، السعيد(1000)، نور الهدى(400) مجموع 6000 — المواصي: العبادلة(400)، الساحل(500)، النور(600)، يافا(500) مجموع 2000 — تقييم ممتاز</t>
  </si>
  <si>
    <t>278 كيلو لحمة — ملاحظة: عظم كثير في الكمية المستلمة</t>
  </si>
  <si>
    <t>8000 وجبة فردي (85ج لحمة+300ج رز) — استلام 10:30، توزيع 13:10 — خانيونس: ناصر(600)، كويتي(300)، الزهور(850)، السنية1(1700)، السنية2(900)، الرضوان(550)، الرحمة الجنوبي(1100) مجموع 6000 — المواصي: الورد(500)، نبراس الأمل(450)، الياسمين(450)، أم النصر(300)، صبيح(300) مجموع 2000 — تقييم ممتاز</t>
  </si>
  <si>
    <t>متابعة مشروع قسائم شرائية للأيتام — مول الطيبات خانيونس</t>
  </si>
  <si>
    <t>19 يتيم (خانيونس ورفح) — قسيمة 400-500 شيكل — مول الطيبات خانيونس — تم الانتهاء — رضى كامل</t>
  </si>
  <si>
    <t>متابعة مشروع قسائم شرائية للأيتام — مولابو دلال النصيرات</t>
  </si>
  <si>
    <t>14 يتيم (البريج/النصيرات/الزوايدة/المغازي) — قسيمة 400-500 شيكل — مولابو دلال النصيرات — تم الانتهاء — الأصناف متوفرة</t>
  </si>
  <si>
    <t>متابعة توزيع الرغيف الخيري والتمر — منطقة الزوايدة</t>
  </si>
  <si>
    <t>200 ربطة خبز(وزن 1 كيلو) إيواءابو شميس — جودة جيد جداً + 400 كرتونة تمر من الفارس الشهم لـ400 أسرة منطقة الزوايدة</t>
  </si>
  <si>
    <t>متابعة مشروع قسائم شرائية للأيتام — سوبر ماركتابو قمر جباليا</t>
  </si>
  <si>
    <t>47 مستفيد (45 يتيم+2 أسر أيتام) — قسيمة 200-600 شيكل — سوبر ماركتابو قمر دوار الأمن العام جباليا</t>
  </si>
  <si>
    <t>زيارة مطبخ البركة — متابعة تجهيز وجبات ساخنة</t>
  </si>
  <si>
    <t>رز + لحمة — كمية اللحمة قليلة بسبب كثرة العظم</t>
  </si>
  <si>
    <t>8000 وجبة فردي (85ج لحمة+300ج رز) — استلام 11:00، توزيع 13:40 — خانيونس: ناصر(600)، كويتي(300)، يبنا(650)، الفجر3(650)، معا(950)، الصداقة(550)، النور(1350)، الشوربجي(1000) مجموع 6000 — المواصي: الشرقية(350)، النجوم(300)، الغد المشرق(1350) مجموع 2000 — تقييم ممتاز</t>
  </si>
  <si>
    <t>متابعة افتتاح مصلى الصابرين — منطقة الإقليمي</t>
  </si>
  <si>
    <t>مصلى الصابرين 90م² — مكتب رفح بالتعاون مع خانيونس — تقييم جيد جداً — بحضور مدير أوقاف رفح ومكتب دار اليتيم</t>
  </si>
  <si>
    <t>متابعة مشروع قسائم شرائية للأيتام — مول السقا غزة</t>
  </si>
  <si>
    <t>92 يتيم منطقة غزة — قسيمة 400-500 شيكل — مول السقا غزة — تم الانتهاء — الأصناف متوفرة والأسعار مناسبة</t>
  </si>
  <si>
    <t>متابعة توزيع كسوة عيد للأيتام — محلات الصباغ والحويطي غزة</t>
  </si>
  <si>
    <t>158 يتيم (غزة وجباليا) — قسيمة 200 شيكل — تم تسليم 140، المتبقي 18 مؤجل لليوم التالي — الملابس متوفرة — المكان مناسب</t>
  </si>
  <si>
    <t>متابعة وجبات غذائية ساخنة — مكتب دير البلح</t>
  </si>
  <si>
    <t>460 وجبة فردية — إيواء فلسطين الإعلام(120 فردي)، المعسكر(170 زوجي) — تقييم جيد جداً</t>
  </si>
  <si>
    <t>8000 وجبة فردي (85ج لحمة+300ج رز) — استلام 11:10، توزيع 13:05 — خانيونس: ناصر(600)، كويتي(300)، الإبداع(700)، الأصدقاء(1500)، الأمل(1800)، طيبة التربوي(1100) مجموع 6000 — المواصي: الحق(250)، الفجر(600)، الأخوة(450)، الهدى(700) مجموع 2000 — تقييم ممتاز</t>
  </si>
  <si>
    <t>متابعة توزيع كسوة عيد للأيتام — محلات النصيرات (المحافظة الوسطى)</t>
  </si>
  <si>
    <t>156 يتيم (المغازي/البريج/الزوايدة/النصيرات/دير البلح) — قسيمة 200 شيكل — تم تسليم 156 كاملاً — الملابس متوفرة والأسعار مناسبة</t>
  </si>
  <si>
    <t>متابعة توزيع كسوة عيد للأيتام — محل الطفل السعيد خانيونس</t>
  </si>
  <si>
    <t>186 يتيم (خانيونس ورفح) — قسيمة 200 شيكل — تم تسليم 186 — ملابس ممتازة وأسعار مناسبة</t>
  </si>
  <si>
    <t>متابعة توزيع كسوة العيد للأيتام — محلات النصيرات</t>
  </si>
  <si>
    <t>156 يتيم — محل فراس، محل الطفل السعيد البردويل، محل الطفل السعيد حرزالله — حضور الإعلام ومندوب عن كل فرع</t>
  </si>
  <si>
    <t>8000 وجبة فردي (85ج لحمة+300ج رز) — استلام 10:40، توزيع 13:40 — خانيونس: ناصر(600)، كويتي(300)، طيبة1(750)، الفجر الشبابي2(750)، الصداقة(1000)، رفح المواصي(550)، جود الخيري(900)، وقفة خير(450)، رفعات(700) مجموع 6000 — المواصي: اليرموك1(500)، اليرموك2(500)، العنان(200)، التكافل(800) مجموع 2000 — تقييم ممتاز</t>
  </si>
  <si>
    <t>فحص سيارة كرافتا — السائق أحمد التليني</t>
  </si>
  <si>
    <t>طقم صواميل عجال خلفي كامل (متكرر)، نقص زيت البور، ضوء البريك واللفيرس الخلفي الشمال معطل — مشاكل متكررة من فحص سابق</t>
  </si>
  <si>
    <t>مشاكل متكررة: نقص حاد زيت المحرك(أقل نصف سيخ)، ضوء البريك واللفيرس معطل، عطل جوزة الستيرن، مشكلة العفشة الأمامية، صواميل ناقصة خلفي(2) وبرغي أمامي يمين</t>
  </si>
  <si>
    <t>ضوء البريك الخلفي معطل، صواميل ناقصة خلفي(1) وبرغي كامل أمامي</t>
  </si>
  <si>
    <t>8000 وجبة فردي (85ج لحمة+300ج رز) — استلام 11:10، توزيع 13:35 — خانيونس: ناصر(400)، البرج1(1000)، البرج2(1250)، البرج3(1050)، رسل السلام1(900)، رسل السلام2(500)، غصن الزيتون(900) مجموع 6000 — المواصي: المصلحة1-5(2000) — تقييم ممتاز</t>
  </si>
  <si>
    <t>متابعة مشروع سقيا ماء — مراكز إيواء جباليا</t>
  </si>
  <si>
    <t>20 كوب مياه — اليمن السعيد، عيادة الفاخورة، مدرسةابو حسين، مركز إيواء عثمان بن عفان — جباليا</t>
  </si>
  <si>
    <t>متابعة مشروع سقيا الماء — منطقة البريج</t>
  </si>
  <si>
    <t>9 كوب مياه — منطقة البريج</t>
  </si>
  <si>
    <t>متابعة مشروع سقيا الماء — البريج بلوكات 3-6</t>
  </si>
  <si>
    <t>18 كوب مياه — شارع السوق/شاورما مبارك، دوار العودة، دوار نظير بلوك12، بلوك7 دوار العوضي</t>
  </si>
  <si>
    <t>8000 وجبة فردي (85ج لحمة+300ج رز) — استلام 11:05، توزيع 13:00 — خانيونس: ناصر(600)، كويتي(300)، العطاء1-7(3800)، الشروق(1300) مجموع 6000 — المواصي: المصلحة6-7(600)، وطن الشمالي(350)، الدكتور خيري الأغا(1050) مجموع 2000 — تقييم ممتاز</t>
  </si>
  <si>
    <t>متابعة توزيع كفالات أيتام — مؤسسة نصرة الأقصى لبنان</t>
  </si>
  <si>
    <t>44 يتيم — كفالة 240 شيكل/يتيم — مؤسسة نصرة الأقصى لبنان</t>
  </si>
  <si>
    <t>متابعة توزيع كفالات أيتام — التسويق الدولي</t>
  </si>
  <si>
    <t>12 يتيم — إجمالي 1915 شيكل — التسويق الدولي</t>
  </si>
  <si>
    <t>متابعة توزيع كفالات أيتام — مؤسسة أقصى اليمن</t>
  </si>
  <si>
    <t>180 يتيم — إجمالي 184,700 شيكل — مؤسسة أقصى اليمن</t>
  </si>
  <si>
    <t>متابعة مشروع كسوة العيد للأيتام — خانيونس</t>
  </si>
  <si>
    <t>50 يتيم — 217 شيكل/يتيم — مكتب خانيونس</t>
  </si>
  <si>
    <t>متابعة توزيع طرود صحية لأسر الأيتام — مخيمابو مزيد المغازي</t>
  </si>
  <si>
    <t>41 أسرة أيتام — 200 شيكل/طرد — تأخر وصول الطرود بسبب عطل سيارة النقل — تم التوزيع وحصل فريق الإعلام على التصوير</t>
  </si>
  <si>
    <t>تم حلها</t>
  </si>
  <si>
    <t>متابعة مشروع قسائم شرائية — مول ديريال دير البلح</t>
  </si>
  <si>
    <t>58 مستفيد أسر أيتام المنطقة الوسطى — قسيمة 500 شيكل — تم تسليم جميع القسائم</t>
  </si>
  <si>
    <t>متابعة توزيع كفالات أيتام — حملة زليتن دير البلح</t>
  </si>
  <si>
    <t>110 يتيم من جميع المناطق — كفالة 765 شيكل — عمار السعد دير البلح</t>
  </si>
  <si>
    <t>متابعة توزيع كفالات أيتام — جمعية الأقصى اليمنية دير البلح</t>
  </si>
  <si>
    <t>100 يتيم منطقة دير البلح — كفالة 1020 شيكل — قاعة ريحانة يافا</t>
  </si>
  <si>
    <t>متابعة توزيع كفالات أيتام — جمعية الأقصى اليمنية رفح</t>
  </si>
  <si>
    <t>115 يتيم منطقة رفح — كفالة 1020 شيكل (≈410$)</t>
  </si>
  <si>
    <t>متابعة مشروع قسائم شرائية — مول السقا غزة</t>
  </si>
  <si>
    <t>81 قسيمة بقيمة 150 شيكل — مول السقا غزة</t>
  </si>
  <si>
    <t>30 قسيمة بقيمة 200 شيكل — مول السقا غزة</t>
  </si>
  <si>
    <t>متابعة مشروع قسائم شرائية — ديريال مول</t>
  </si>
  <si>
    <t>61 قسيمة بقيمة 500 شيكل — ديريال مول</t>
  </si>
  <si>
    <t>متابعة توزيع كسوة عيد متعددة المصادر — محلات النصيرات</t>
  </si>
  <si>
    <t>محل فراس للأزياء: 147 يتيم 200شيكل (26450ش) — محل الطفل السعيد حرزالله (أسبانيا): 90 يتيم 200شيكل (17955ش) — محل الطفل السعيد البردويل (جنوب أفريقيا-أجنحة الرحمة): 50 يتيم 217شيكل (10864ش) — ملاحظة: الأسعار مرتفعة نسبياً</t>
  </si>
  <si>
    <t>12000 وجبة فردي (85ج لحمة+300ج رز) — استلام 13:45، توزيع 15:45 — خانيونس: ناصر(600)، كويتي(300)، القدس(950)، النخيل والزيتون(2300)، البواسل(950)، الجزائري(900)، مسك وليان(2300)، الولاء والنخلة والمنسي(1700) مجموع 10000 — المواصي: الإحسان(450)، ساحل النخيل(600)، التل الشرقي(550)، المطاحن(400) مجموع 2000 — تقييم ممتاز</t>
  </si>
  <si>
    <t>متابعة توزيع كسوة العيد متعددة المصادر — محلات النصيرات</t>
  </si>
  <si>
    <t>محل فراس(147 يتيم 200ش)، محل الطفل السعيد حرزالله(90 يتيم 200ش)، محل الطفل السعيد البردويل(50 يتيم 217ش) — محل البردويل صغير وغير مناسب — الأسعار مرتفعة</t>
  </si>
  <si>
    <t>متابعة تجهيز كعك العيد — مخبز الجوهرة النصيرات</t>
  </si>
  <si>
    <t>200 كيلو كعك — مخبز الجوهرة النصيرات — تم الاستلام والتوزيع على مخيم إيواء والموظفين</t>
  </si>
  <si>
    <t>متابعة تقطيع وتوزيع لحوم مجمدة — مسلخ البيوك</t>
  </si>
  <si>
    <t>2600 كيلو لحمة — غزة(500)، جباليا(300)، البريج(300)، المغازي(200)، الزوايدة(200)، دير البلح(500)، خانيونس(300)، رفح(300) — سير ممتاز وتوصيل بأقصى سرعة</t>
  </si>
  <si>
    <t>متابعة وجبات مطبخ دار محسن رمضان — منطقة البريج</t>
  </si>
  <si>
    <t>489 من أصل 500 وجبة فردية (كل صينية 400ج رز) — عجز 11 وجبة — التوزيع في منطقة الصفاء حسب رغبة المتبرع</t>
  </si>
  <si>
    <t>متابعة توزيع وجبات ساخنة — مكتب خانيونس والقرارة</t>
  </si>
  <si>
    <t>10000 وجبة فردي (85ج لحمة+300ج رز) — تحرك 09:45، انتهاء 12:30 — خانيونس: ناصر(600)، نسيم السلطان(850)، الكرامة(750)، المجد1(1100)، المجد2(700)، المجد3(1100)، رفح الخير(900)، السعادة(1400)، زاد الخير(800)، جنان(1800) مجموع 10000 — القرارة: العبادلة(900)، عائدون(400)، الجنان(700) مجموع 2000 — تقييم ممتاز</t>
  </si>
  <si>
    <t>الكمية الإجمالية 4 طن — موزعة على جميع المناطق</t>
  </si>
  <si>
    <t>متابعة توزيع لحوم مجمدة — مكتب غزة</t>
  </si>
  <si>
    <t>500 كيلو لحمة مجمدة — وصلت بحالة جيدة وتم توزيعها فور الاستلام</t>
  </si>
  <si>
    <t>متابعة توزيع لحوم مجمدة — مكتب جباليا</t>
  </si>
  <si>
    <t>300 كيلو لحمة مجمدة — وصلت بحالة جيدة وتم توزيعها فور الاستلام</t>
  </si>
  <si>
    <t>متابعة توزيع لحوم مجمدة — مكتب دير البلح</t>
  </si>
  <si>
    <t>850 كيلو لحمة مجمدة — مخيم الأقصى(350)، المناطق الأخرى(500) — وصلت بحالة جيدة</t>
  </si>
  <si>
    <t>10000 وجبة فردي (85ج لحمة+300ج رز) — تحرك 09:35، انتهاء 14:15 — خانيونس: ناصر(500)، أجيال1(900)، أجيال2(900)، الشروق(700)، الوعد(950)، النخيل1(1200)، النخيل2(850)، العهد(600)، التعاون(1350)، الأسرة(1350)، الحبشة(700) مجموع 10000 — القرارة: أمجاد(650)، الواحة1و2(1350) مجموع 2000 — تقييم ممتاز</t>
  </si>
  <si>
    <t>متابعة توزيع وجبات ساخنة — مكتب خانيونس</t>
  </si>
  <si>
    <t>10000 وجبة فردي (85ج لحمة+300ج رز) — تحرك 09:50، انتهاء 13:05 — خانيونس: بهلول(350)، البر والتقوى(450)، البرازيل(650)، الأحمد(550)، نور الرحمة(550)، وفاء الخير(1300)، وفاء الجورة(750)، براعم الزهور(900)، حطين(650)، جذور(950)، الإسراء(650)، عين شمس(350)، التابعين(500)، أرض السلام(400)، العودة(1000) مجموع 10000 — تقييم ممتاز</t>
  </si>
  <si>
    <t>متابعة تكية طعام مطبخ دار محسن رمضان — النصيرات والبريج ودير البلح</t>
  </si>
  <si>
    <t>11 قدر بطاطا بالكفتة + 11 قدر أرز — النصيرات(8 قدور)، البريج(8 قدور)، دير البلح المقر العام(6 قدور) — جودة جيد جداً</t>
  </si>
  <si>
    <t>متابعة توزيع وجبات ساخنة — مكتب خانيونس والقرارة ودير البلح</t>
  </si>
  <si>
    <t>14000 وجبة فردي (85ج لحمة+300ج رز) — تحرك 10:10، انتهاء 13:30 — خانيونس: ناصر(600)، كويتي(300)، طيبة1(750)، الفجر الشبابي2(750)، الصداقة(1000)، رفح المواصي(550)، جود الخيري(900)، وقفة خير(450)، رفعات(700)، ملك(700)، طبريا1(950)، طبريا2(1000)، القبة1(600)، البراء(750) مجموع 10000 — القرارة ودير البلح: اليرموك1(500)، اليرموك2(500)، العنان(200)، التكافل(800)، القاسم(600)، المصباح(700)، الناصر(700) مجموع 4000 — تقييم ممتاز</t>
  </si>
  <si>
    <t>متابعة تكية طعام — مكتب جباليا (مطبخ جنيد)</t>
  </si>
  <si>
    <t>750 وجبة رز زوجي + 1450 علبة بطاطا مع كفتة — استلام 13:30، تسليم 15:30 — تقييم ممتاز — تأخير ساعة بسبب تأخر مطبوعات الفاست الجالية</t>
  </si>
  <si>
    <t>14 كوب مياه — منطقة البريج — تمويل مؤسسة أيسو كتشن</t>
  </si>
  <si>
    <t>متابعة حفل ترفيهي للأيتام — صالة روان خانيونس</t>
  </si>
  <si>
    <t>218 يتيم (حضر 205) — 436 مشارك مع الأمهات — أيتام خانيونس ورفح — أنشطة ترفيهية وثقافية وتوزيع هدايا ووجبة معجنات وعصير</t>
  </si>
  <si>
    <t>تواجد الحارس أبو عيسى — المكان نظيف</t>
  </si>
  <si>
    <t>تواجد الحراس — ضروري إعادة ترتيب توزيع الكاميرات</t>
  </si>
  <si>
    <t>8000 وجبة فردية (85 ج لحمة + 300 ج رز). خانيونس: ناصر 600، كويتي 300، الشروق 1300، العطاء 1-7 عدد 3800 (مجموع 6000). القرارة ودير البلح: المصلحة 6-7 عدد 600، د.خيري الأغا 1050، وطن الشمالي 350 (مجموع 2000). تقييم الناس: ممتازة. زيارة ميدانية من هيومان أبيل — الأمور تمام.</t>
  </si>
  <si>
    <t>متابعة توزيع مياه — مكتب المغازي</t>
  </si>
  <si>
    <t>14 كوب مياه: مخيم المنتزه، دوار مكي، حارة القساطنة.</t>
  </si>
  <si>
    <t>متابعة نظافة وسلامة عمارة السعد</t>
  </si>
  <si>
    <t>نظافة الدرج بحاجة لتحسين دوري — أتربة متراكمة. الساحة نظيفة. الحارس غير موجود.</t>
  </si>
  <si>
    <t>اجتماع طارئ</t>
  </si>
  <si>
    <t>متابعة توزيع مساعدات متعددة — مكتب الزوايدة</t>
  </si>
  <si>
    <t>200 ش × 39 أسرة (13 شهداء + 13 أيتام + 13 خيام)؛ 600 ش × 30 أسرة؛ 200 ش × 46 أسرة؛ 100 كغ لحمة × 100 أسرة؛ 50 ش عيدية × 138 طفل؛ كسوة كاملة × 91.</t>
  </si>
  <si>
    <t>متابعة توزيع وجبات ساخنة — مطبخ البركة دير البلح</t>
  </si>
  <si>
    <t>22 قدرًا (11 بطاطا بالكفتة + 11 أرز): 8 قدور الزوايدة (4+4)، 14 قدرًا دير البلح (7+7). جودة جيد جدًا. تأخير قسم الإعلام.</t>
  </si>
  <si>
    <t>متابعة توزيع طرود غذائية — مكتب دير البلح</t>
  </si>
  <si>
    <t>139 طردًا (100 ش/طرد): 110 دير البلح، 19 المقر العام، 10 مكتب دير البلح. بصل تالف. المكان غير مناسب للتجهيز.</t>
  </si>
  <si>
    <t>عجز ?10</t>
  </si>
  <si>
    <t>8000 وجبة فردية (85 ج لحمة + 300 ج رز). خانيونس: ناصر 600، كويتي 300، القدس 950، النخيل والزيتون 2300، البواسل 950، الجزائري 900. القرارة: الإحسان 450، ساحل النخيل 600، التل الشرقي 550، المطاحن 400. تقييم: ممتازة.</t>
  </si>
  <si>
    <t>8 كيلو لحمة مجمدة — 8 أسر أيتام — مخيم كنعان، دير البلح — ممول من كزنز</t>
  </si>
  <si>
    <t>متابعة توزيع الرغيف الخيري — مكتب دير البلح</t>
  </si>
  <si>
    <t>1061 ربطة (1ك) — مخبز زادنا — 61 ربطة دير البلح من أيسو كتشن (ألدو رادو) — الباقي حسب الجدول</t>
  </si>
  <si>
    <t>8000 وجبة فردي (85ج لحمة+300ج رز) — استلام 10:50/تسليم 1:10 — 6000 في خانيونس: ناصر(500)، أجيال1(900)، أجيال2(900)، الشروق(700)، الوعد(950)، النخيل1(1200)، النخيل2(850) — 2000 في القرارة: أمجاد(650)، الواحة(1350) — تقييم: ممتاز</t>
  </si>
  <si>
    <t>8000 وجبة فردي (85ج لحمة+300ج رز) — استلام 11:05/تسليم 2:20 — 6000 في خانيونس: ناصر(600)، كويتي(300)، طيبة1(750)، الفجر الشبابي2(750)، الصداقة(1000)، رفح المواصي(550)، جود الخيري(900)، وقفة خير(450)، رفعات(700) — 2000 في القرارة: اليرموك1(500)، اليرموك2(500)، العنان(200)، التكافل(800) — تقييم: ممتاز</t>
  </si>
  <si>
    <t>8000 وجبة فردي (85ج لحمة+300ج رز) — استلام 10:50/تسليم 1:30 — 6000 في خانيونس: ناصر(600)، البرج1(1000)، البرج2(1250)، البرج3(1050)، رسل السلام1(900)، رسل السلام2(500)، غصن الزيتون(900) — 2000 في القرارة: المصلحة1-5(2000) — تقييم: ممتاز</t>
  </si>
  <si>
    <t>معاينة طرود صحية — قسم المخازن</t>
  </si>
  <si>
    <t>63 طرد صحي — قيمة الطرد 196 شيكل — العينات مطابقة للأصناف في كشف التوريد والمواصفات المطلوبة</t>
  </si>
  <si>
    <t>متابعة توزيع كسوة أطفال — مكتب دير البلح</t>
  </si>
  <si>
    <t>100 طفل — منطقة دير البلح — قيمة القسيمة 120 شيكل — محل الباشا الصغير — الأصناف متوفرة بمختلف المقاسات والفئات العمرية — ترتيب مناسب يسهل العرض والبيع</t>
  </si>
  <si>
    <t>ملاحظة</t>
  </si>
  <si>
    <t>مخالفة توزيع — تمييز مخيم شهداء الأقصى</t>
  </si>
  <si>
    <t>لوحظ حصول مخيم شهداء الأقصى على حصة أكبر من المساعدات مقارنة بالمخيمات الأخرى — يستدعي مراجعة آليات التخصيص لضمان العدالة — مسؤول المخيم: محمد أبو شرخ</t>
  </si>
  <si>
    <t>جلسة استماع عاجلة</t>
  </si>
  <si>
    <t>متابعة تركيب غاطس جديد — مكتب خانيونس</t>
  </si>
  <si>
    <t>تم الانتهاء من تركيب غاطس جديد 3 حصان بنجاح — جاهز للاستخدام — نفذت الأعمال وفق المواصفات الفنية المعتمدة — يوفر المياه لمنطقة خانيونس</t>
  </si>
  <si>
    <t>8000 وجبة فردي (85ج لحمة+300ج رز) — استلام 10:50/تسليم 12:35 — 6000 في خانيونس: ناصر(600)، كويتي(300)، العطاء1-6(3800)، الشروق(1300) — 2000 في القرارة: المصلحة6-7(600)، د.الأغا(1050)، وطن الشمالي(350) — تقييم: ممتاز</t>
  </si>
  <si>
    <t>📊 ملخص الكل</t>
  </si>
  <si>
    <t>2026-06-03</t>
  </si>
  <si>
    <t>12:10</t>
  </si>
  <si>
    <t>893</t>
  </si>
  <si>
    <t>13:20</t>
  </si>
  <si>
    <t>883</t>
  </si>
  <si>
    <t>2026-06-04</t>
  </si>
  <si>
    <t>13:35</t>
  </si>
  <si>
    <t>887</t>
  </si>
  <si>
    <t>2026-06-06</t>
  </si>
  <si>
    <t>14:55</t>
  </si>
  <si>
    <t>895</t>
  </si>
  <si>
    <t>2026-06-07</t>
  </si>
  <si>
    <t>14:10</t>
  </si>
  <si>
    <t>11:10</t>
  </si>
  <si>
    <t>🏛️  محضر اجتماع رقابي</t>
  </si>
  <si>
    <t>رقم المحضر:</t>
  </si>
  <si>
    <t>التاريخ:</t>
  </si>
  <si>
    <t>🔒 سري — داخلي</t>
  </si>
  <si>
    <t>①  بيانات الاجتماع</t>
  </si>
  <si>
    <t>نوع الاجتماع</t>
  </si>
  <si>
    <t>المكان</t>
  </si>
  <si>
    <t>المركز</t>
  </si>
  <si>
    <t>②  الحضور</t>
  </si>
  <si>
    <t>م</t>
  </si>
  <si>
    <t>الاسم</t>
  </si>
  <si>
    <t>المسمى الوظيفي</t>
  </si>
  <si>
    <t>الدور</t>
  </si>
  <si>
    <t>③  الملاحظات الرقابية  +  الإجراءات التصحيحية  |  كل صف = نشاط مستقل في DATA</t>
  </si>
  <si>
    <t>◄  الملاحظة الرقابية</t>
  </si>
  <si>
    <t>◄  الإجراء التصحيحي</t>
  </si>
  <si>
    <t>الملاحظة / المخالفة</t>
  </si>
  <si>
    <t>الوصف التفصيلي</t>
  </si>
  <si>
    <t>التأثير</t>
  </si>
  <si>
    <t>التكرار</t>
  </si>
  <si>
    <t>حالة الملاحظة</t>
  </si>
  <si>
    <t>المسؤول</t>
  </si>
  <si>
    <t>الموعد النهائي</t>
  </si>
  <si>
    <t>الأولوية</t>
  </si>
  <si>
    <t>حالة الإجراء</t>
  </si>
  <si>
    <t>④  الاستنتاج الرقابي والمتابعة</t>
  </si>
  <si>
    <t>مستوى الالتزام</t>
  </si>
  <si>
    <t>التدخل الإداري</t>
  </si>
  <si>
    <t>موعد المتابعة</t>
  </si>
  <si>
    <t>طريقة المتابعة</t>
  </si>
  <si>
    <t>مسؤول المتابعة</t>
  </si>
  <si>
    <t>الاستنتاج الرقابي</t>
  </si>
  <si>
    <t>⑤  الاعتماد والتوقيع</t>
  </si>
  <si>
    <t>المسؤول عن القسم / الجهة</t>
  </si>
  <si>
    <t>الاسم: ___________________________
التوقيع: ________________________</t>
  </si>
  <si>
    <t>وحدة الرقابة والمتابعة  •  محضر سري للاستخدام الداخلي  •  كل ملاحظة تُسجَّل نشاطاً مستقلاً في DATA</t>
  </si>
  <si>
    <t>🏢  تقرير رقابة وتقييم الأقسام</t>
  </si>
  <si>
    <t>نظام متابعة أداء وجاهزية الأقسام — المراقب الميداني</t>
  </si>
  <si>
    <t>أولاً — بيانات القسم</t>
  </si>
  <si>
    <t>مسؤول القسم</t>
  </si>
  <si>
    <t>المراقب المسؤول</t>
  </si>
  <si>
    <t>الفترة (الشهر / السنة)</t>
  </si>
  <si>
    <t>تاريخ التقرير</t>
  </si>
  <si>
    <t>عدد الأنشطة خلال الفترة</t>
  </si>
  <si>
    <t>ثانياً — الكوادر والموارد البشرية</t>
  </si>
  <si>
    <t>ينطبق</t>
  </si>
  <si>
    <t>العدد الفعلي للعاملين</t>
  </si>
  <si>
    <t>العدد المطلوب</t>
  </si>
  <si>
    <t>نسبة الكفاية</t>
  </si>
  <si>
    <t>هل العدد كافٍ؟</t>
  </si>
  <si>
    <t>العجز / الفائض</t>
  </si>
  <si>
    <t>حالة التجهيزات</t>
  </si>
  <si>
    <t>احتياجات إضافية</t>
  </si>
  <si>
    <t>ثالثاً — تقييم جاهزية القسم</t>
  </si>
  <si>
    <t>الحالة</t>
  </si>
  <si>
    <t>①  بنود عامة — تنطبق على جميع الأقسام</t>
  </si>
  <si>
    <t>الالتزام بخطة العمل والمهام الموكلة</t>
  </si>
  <si>
    <t>جودة المخرجات والخدمات المقدّمة</t>
  </si>
  <si>
    <t>الالتزام بالمواعيد والجدول الزمني</t>
  </si>
  <si>
    <t>دقة التوثيق والتقارير الدورية</t>
  </si>
  <si>
    <t>التعاون والتنسيق مع الأقسام الأخرى</t>
  </si>
  <si>
    <t>②  بنود خاصة بالقسم — تظهر تلقائياً حسب الدائرة المختارة</t>
  </si>
  <si>
    <t>نسبة جاهزية القسم</t>
  </si>
  <si>
    <t>رابعاً — المشاكل والتحديات</t>
  </si>
  <si>
    <t>خامساً — الحلول المقترحة</t>
  </si>
  <si>
    <t>سادساً — التوصيات</t>
  </si>
  <si>
    <t>سابعاً — التقييم الإجمالي للقسم</t>
  </si>
  <si>
    <t>ثامناً — الاعتماد والتوقيع</t>
  </si>
  <si>
    <t>التوقيع: ........................</t>
  </si>
  <si>
    <t>تاسعاً — ملخّص الترحيل إلى قاعدة البيانات (بعد الاعتماد)</t>
  </si>
  <si>
    <t>نسبة الجاهزية</t>
  </si>
  <si>
    <t>أبرز المشاكل</t>
  </si>
  <si>
    <t>الحلول المقترحة</t>
  </si>
  <si>
    <t>📌 يُرحَّل هذا الملخّص إلى ورقة DATA كسجل للقسم بعد اعتماد التقرير وتوقيعه.</t>
  </si>
  <si>
    <t>تقرير إنجاز المراقب الرقابي</t>
  </si>
  <si>
    <t>وحدة الرقابة الداخلية  ·  تقرير شامل ومفصّل للأداء الرقابي  ·  معتمد للإدارة</t>
  </si>
  <si>
    <t>👤 المراقب:</t>
  </si>
  <si>
    <t>📅 من:</t>
  </si>
  <si>
    <t>إلى:</t>
  </si>
  <si>
    <t>📅 تاريخ ووقت الطباعة:</t>
  </si>
  <si>
    <t>📊 مقارنة بالفريق:</t>
  </si>
  <si>
    <t>⚡ اختر المراقب والفترة — كل شيء يتحدث تلقائياً</t>
  </si>
  <si>
    <t>▌  ملخص مؤشرات الأداء الرقابي</t>
  </si>
  <si>
    <t>📊 متوسط KPI</t>
  </si>
  <si>
    <t>📋 إجمالي الأنشطة</t>
  </si>
  <si>
    <t>⭐ ممتاز ≥85</t>
  </si>
  <si>
    <t>🟢 جيد 70-84</t>
  </si>
  <si>
    <t>🟡 مقبول 60-69</t>
  </si>
  <si>
    <t>🔴 ضعيف &lt;60</t>
  </si>
  <si>
    <t>✅ نسبة الامتثال</t>
  </si>
  <si>
    <t>⬇️ أدنى KPI</t>
  </si>
  <si>
    <t>التصنيف العام:</t>
  </si>
  <si>
    <t>مؤشر الأداء:</t>
  </si>
  <si>
    <t>متوسط الفريق (مساعد)</t>
  </si>
  <si>
    <t>مقارنة بالفريق:</t>
  </si>
  <si>
    <t>▌  توزيع الأنشطة حسب النوع — عدد الأنشطة ومتوسط أدائها</t>
  </si>
  <si>
    <t>العدد</t>
  </si>
  <si>
    <t>عدد المشاريع</t>
  </si>
  <si>
    <t>متوسط KPI</t>
  </si>
  <si>
    <t>نسبة الامتثال</t>
  </si>
  <si>
    <t>📊 شريط أداء بصري</t>
  </si>
  <si>
    <t>✓ التصفية (الفرق عن DATA)</t>
  </si>
  <si>
    <t>▌  أبرز المشكلات المرصودة وتوصيات الحل</t>
  </si>
  <si>
    <t>📌 أبرز المشكلة</t>
  </si>
  <si>
    <t>القسم</t>
  </si>
  <si>
    <t>تصنيف</t>
  </si>
  <si>
    <t>💡 توصية الحل</t>
  </si>
  <si>
    <t>صف DATA مساعد (مشاكل)</t>
  </si>
  <si>
    <t>▌  أبرز الإنجازات الرقابية المتميزة خلال الفترة</t>
  </si>
  <si>
    <t>🏆 أبرز إنجاز</t>
  </si>
  <si>
    <t>✅ نقطة قوة</t>
  </si>
  <si>
    <t>صف DATA مساعد (إنجازات)</t>
  </si>
  <si>
    <t>▌  الملاحظات والتوصيات الرسمية التلقائية — للإدارة</t>
  </si>
  <si>
    <t>وحدة الرقابة الداخلية  •  نظام متابعة الأنشطة الرقابية  •  تقرير معتمد تلقائياً  •  جميع البيانات مرتبطة بجدول DATA</t>
  </si>
  <si>
    <t>▌  تفاصيل الأنشطة حسب التصنيف — اختر الفئة للمناقشة مع الإدارة</t>
  </si>
  <si>
    <t>الفئة المختارة:</t>
  </si>
  <si>
    <t>#</t>
  </si>
  <si>
    <t>صف DATA مساعد (ضعيف)</t>
  </si>
  <si>
    <t xml:space="preserve">الدائرة </t>
  </si>
  <si>
    <t>الجهات المتابعة</t>
  </si>
  <si>
    <t>يناير</t>
  </si>
  <si>
    <t>فبراير</t>
  </si>
  <si>
    <t>مارس</t>
  </si>
  <si>
    <t>أبريل</t>
  </si>
  <si>
    <t>مايو</t>
  </si>
  <si>
    <t>يونيو</t>
  </si>
  <si>
    <t>يوليو</t>
  </si>
  <si>
    <t>أغسطس</t>
  </si>
  <si>
    <t>سبتمبر</t>
  </si>
  <si>
    <t>أكتوبر</t>
  </si>
  <si>
    <t>نوفمبر</t>
  </si>
  <si>
    <t>ديسمبر</t>
  </si>
  <si>
    <t>إجمالي السنة</t>
  </si>
  <si>
    <t>النسبة %</t>
  </si>
  <si>
    <t>نسبة الدائرة</t>
  </si>
  <si>
    <t>الاحتفالات / الافطارات</t>
  </si>
  <si>
    <t>إجمالي الأنشطة</t>
  </si>
  <si>
    <t>تصفية (الفرق)</t>
  </si>
  <si>
    <t>جدول 1: نوع النشاط × الأشهر</t>
  </si>
  <si>
    <t>الإجمالي</t>
  </si>
  <si>
    <t>جدول 2: اسم المشروع × الأشهر</t>
  </si>
  <si>
    <t>تقارير الأداء — حسب فترة محددة (من DATA)</t>
  </si>
  <si>
    <t>من تاريخ:</t>
  </si>
  <si>
    <t>إلى تاريخ:</t>
  </si>
  <si>
    <t>⬅ غيّر «من/إلى تاريخ» أعلاه فتتحدّث الجداول الثلاثة فوراً</t>
  </si>
  <si>
    <t>① حسب المشروع</t>
  </si>
  <si>
    <t>② حسب المراقب</t>
  </si>
  <si>
    <t>③ حسب الشهر</t>
  </si>
  <si>
    <t>المشروع</t>
  </si>
  <si>
    <t>عدد الأنشطة</t>
  </si>
  <si>
    <t>🔍 التصفية — مطابقة الجداول مع DATA (نفس الفترة)</t>
  </si>
  <si>
    <t>الجدول</t>
  </si>
  <si>
    <t>إجمالي الجدول</t>
  </si>
  <si>
    <t>إجمالي DATA بالفترة</t>
  </si>
  <si>
    <t>الفرق</t>
  </si>
  <si>
    <t>حسب المشروع</t>
  </si>
  <si>
    <t>حسب المراقب</t>
  </si>
  <si>
    <t>حسب الشهر</t>
  </si>
  <si>
    <t>لوحة الرقابة — جودة بيانات الأنشطة</t>
  </si>
  <si>
    <t>إجمالي سجلات الأنشطة</t>
  </si>
  <si>
    <t>مكتملة ✓</t>
  </si>
  <si>
    <t>بها نواقص ✗</t>
  </si>
  <si>
    <t>نسبة الاكتمال</t>
  </si>
  <si>
    <t>الفجوات الحرجة</t>
  </si>
  <si>
    <t>ناقص الممول</t>
  </si>
  <si>
    <t>ناقص التاريخ</t>
  </si>
  <si>
    <t>ناقص المراقب</t>
  </si>
  <si>
    <t>ناقص نوع النشاط</t>
  </si>
  <si>
    <t>رقم المشروع (معبّأ)</t>
  </si>
  <si>
    <t>نطاق التواريخ</t>
  </si>
  <si>
    <t>تقرير الأقسام والأنشطة الرقابية</t>
  </si>
  <si>
    <t>وحدة الرقابة الداخلية  ·  تحليل ثلاثي: القسم × النوع × المراقب  ·  تقرير رسمي للإدارة</t>
  </si>
  <si>
    <t>🏢</t>
  </si>
  <si>
    <t>الكل</t>
  </si>
  <si>
    <t>🗂</t>
  </si>
  <si>
    <t>👤</t>
  </si>
  <si>
    <t>⚡ اختر أي فلتر</t>
  </si>
  <si>
    <t>📅</t>
  </si>
  <si>
    <t>من:</t>
  </si>
  <si>
    <t>▌  ملخص مؤشرات الأداء — بناءً على الفلاتر المختارة</t>
  </si>
  <si>
    <t>🏆 أعلى KPI</t>
  </si>
  <si>
    <t>التنبيهات الرقابية:</t>
  </si>
  <si>
    <t>▌  تحليل الأداء حسب القسم / الإدارة</t>
  </si>
  <si>
    <t>الأنشطة</t>
  </si>
  <si>
    <t>أعلى</t>
  </si>
  <si>
    <t>أدنى</t>
  </si>
  <si>
    <t>⭐ ممتاز</t>
  </si>
  <si>
    <t>🔴 ضعيف</t>
  </si>
  <si>
    <t>امتثال</t>
  </si>
  <si>
    <t>📊 شريط الأداء</t>
  </si>
  <si>
    <t>الشؤون المالية</t>
  </si>
  <si>
    <t>الموارد البشرية</t>
  </si>
  <si>
    <t>المستودعات</t>
  </si>
  <si>
    <t>الصيانة</t>
  </si>
  <si>
    <t>خدمة العملاء</t>
  </si>
  <si>
    <t>تقنية المعلومات</t>
  </si>
  <si>
    <t>المشتريات</t>
  </si>
  <si>
    <t>الجودة</t>
  </si>
  <si>
    <t>اللوجستيات</t>
  </si>
  <si>
    <t>الإدارة العامة</t>
  </si>
  <si>
    <t>▌  تحليل الأداء حسب نوع النشاط الرقابي</t>
  </si>
  <si>
    <t>نوع النشاط الرقابي</t>
  </si>
  <si>
    <t>▌  تصنيف المراقبين حسب الأداء — مقارنة شاملة</t>
  </si>
  <si>
    <t>ايادابو عبدو</t>
  </si>
  <si>
    <t>محمود خالد</t>
  </si>
  <si>
    <t>فاطمة حسن</t>
  </si>
  <si>
    <t>عمر يوسف</t>
  </si>
  <si>
    <t>خالد إبراهيم</t>
  </si>
  <si>
    <t>نور الدين</t>
  </si>
  <si>
    <t>ريم سالم</t>
  </si>
  <si>
    <t>▌  مصفوفة التقاطع: القسم × نوع النشاط — متوسط KPI</t>
  </si>
  <si>
    <t>القسم \ النشاط</t>
  </si>
  <si>
    <t>تدقيق</t>
  </si>
  <si>
    <t>حضور</t>
  </si>
  <si>
    <t>سلامة</t>
  </si>
  <si>
    <t>خدمة</t>
  </si>
  <si>
    <t>إجراءات</t>
  </si>
  <si>
    <t>عقود</t>
  </si>
  <si>
    <t>تفتيش</t>
  </si>
  <si>
    <t>مخزون</t>
  </si>
  <si>
    <t>شكاوى</t>
  </si>
  <si>
    <t>متوسط القسم</t>
  </si>
  <si>
    <t>▌  الملاحظات التحليلية والتوصيات الاستراتيجية — للإدارة العليا</t>
  </si>
  <si>
    <t>وحدة الرقابة الداخلية  •  تحليل ثلاثي الأبعاد  •  جميع البيانات مرتبطة بجدول DATA  •  التقرير يتحدث تلقائياً</t>
  </si>
  <si>
    <t>تنظيم وأرشفة المراسلات والوثائق</t>
  </si>
  <si>
    <t>انتظام ملفات الموظفين وسجلات الدوام</t>
  </si>
  <si>
    <t>مطابقة المستفيدين لمعايير الاستحقاق</t>
  </si>
  <si>
    <t>نسبة إنجاز المشاريع وفق الخطة</t>
  </si>
  <si>
    <t>دقة القيود المحاسبية والمطابقات البنكية</t>
  </si>
  <si>
    <t>متابعة أداء الأصول والاستثمارات</t>
  </si>
  <si>
    <t>تطبيق معايير السلامة والتعقيم</t>
  </si>
  <si>
    <t>متابعة جدول المواعيد والاجتماعات</t>
  </si>
  <si>
    <t>متابعة العقود والتجديدات</t>
  </si>
  <si>
    <t>جودة تنفيذ البرامج المجتمعية</t>
  </si>
  <si>
    <t>جودة المحتوى الإعلامي والتسويقي</t>
  </si>
  <si>
    <t>الالتزام بالدورة المستندية والاعتمادات</t>
  </si>
  <si>
    <t>دقة تقارير العائد والمخاطر</t>
  </si>
  <si>
    <t>توفر المخزون الدوائي والمستلزمات</t>
  </si>
  <si>
    <t>سرعة الرد على المخاطبات الواردة</t>
  </si>
  <si>
    <t>إدارة اللوازم والمشتريات الإدارية</t>
  </si>
  <si>
    <t>متابعة الحالات والتقارير الميدانية</t>
  </si>
  <si>
    <t>الالتزام بميزانيات المشاريع</t>
  </si>
  <si>
    <t>إعداد التقارير المالية في موعدها</t>
  </si>
  <si>
    <t>الالتزام بالضوابط الشرعية والقانونية</t>
  </si>
  <si>
    <t>جودة الخدمة الطبية ورضا المراجعين</t>
  </si>
  <si>
    <t>دقة إعداد المحاضر والتقارير</t>
  </si>
  <si>
    <t>صيانة المرافق والأصول</t>
  </si>
  <si>
    <t>قياس رضا المستفيدين عن الخدمات</t>
  </si>
  <si>
    <t>إعداد تقارير الممولين في موعدها</t>
  </si>
  <si>
    <t>ضبط الصرف ضمن الموازنة المعتمدة</t>
  </si>
  <si>
    <t>دراسة جدوى المشاريع الاستثمارية الجديدة</t>
  </si>
  <si>
    <t>دقة السجلات والملفات الصحية</t>
  </si>
  <si>
    <t>تنظيم الملفات الورقية والإلكترونية</t>
  </si>
  <si>
    <t>تطبيق اللوائح والأنظمة الإدارية</t>
  </si>
  <si>
    <t>التنسيق مع الشركاء المجتمعيين</t>
  </si>
  <si>
    <t>فاعلية الحملات والتغطية الإعلامية</t>
  </si>
  <si>
    <t>جاهزية المستندات للتدقيق</t>
  </si>
  <si>
    <t>متابعة العقود والإيجارات</t>
  </si>
  <si>
    <t>الالتزام بمواعيد العيادات والكوادر</t>
  </si>
  <si>
    <t>🏛️  محضر اجتماع رقابي متكامل</t>
  </si>
  <si>
    <t>وحدة الرقابة والمتابعة  •  الجمعية  •  محضر سري للاستخدام الداخلي</t>
  </si>
  <si>
    <t>رقم المحضر</t>
  </si>
  <si>
    <t>م-ر-2026/047</t>
  </si>
  <si>
    <t>تاريخ الاجتماع</t>
  </si>
  <si>
    <t>وقت الاجتماع</t>
  </si>
  <si>
    <t>10:00 صباحاً</t>
  </si>
  <si>
    <t>اجتماع رقابي دوري</t>
  </si>
  <si>
    <t>الجهة المستفيدة</t>
  </si>
  <si>
    <t>قسم المطابخ الخيرية والمستفيدون من مشروع الرغيف الخيري</t>
  </si>
  <si>
    <t>هدف الاجتماع</t>
  </si>
  <si>
    <t>متابعة نتائج الزيارات الميدانية على المطابخ والمخابز، وتقييم مدى الالتزام بمعايير الجودة والسلامة الغذائية، واعتماد الإجراءات التصحيحية اللازمة.</t>
  </si>
  <si>
    <t>سبب الاجتماع</t>
  </si>
  <si>
    <t>ورود ملاحظات رقابية متكررة بشأن جودة بعض الأصناف ومخالفات في حفظ المواد الأولية خلال جولات الرقابة الميدانية.</t>
  </si>
  <si>
    <t>②  قائمة الحضور</t>
  </si>
  <si>
    <t>الدور في الاجتماع</t>
  </si>
  <si>
    <t>د. سمير نصار</t>
  </si>
  <si>
    <t>رئيس الاجتماع</t>
  </si>
  <si>
    <t>مراقب ميداني</t>
  </si>
  <si>
    <t>مقرر المحضر</t>
  </si>
  <si>
    <t>جهاد محمد أبو الريش</t>
  </si>
  <si>
    <t>مسؤول مطبخ الزيناتي</t>
  </si>
  <si>
    <t>عضو / الجهة المعنية</t>
  </si>
  <si>
    <t>محمود سالم القريناوي</t>
  </si>
  <si>
    <t>مشرف الجودة</t>
  </si>
  <si>
    <t>قسم المطابخ الخيرية</t>
  </si>
  <si>
    <t>عضو</t>
  </si>
  <si>
    <t>بسام محمد الخطيب</t>
  </si>
  <si>
    <t>مسؤول المخازن</t>
  </si>
  <si>
    <t>③  جدول مناقشات الاجتماع</t>
  </si>
  <si>
    <t>ملخص المناقشة</t>
  </si>
  <si>
    <t>القرار المتخذ</t>
  </si>
  <si>
    <t>جودة الأصناف المقدّمة</t>
  </si>
  <si>
    <t>نوقشت ملاحظات تكرار تقديم أصناف غير مطابقة لمواصفات الجودة في مطبخ الزيناتي، ورُدّت إلى ضعف الرقابة على مرحلة الطهي.</t>
  </si>
  <si>
    <t>اعتماد قائمة فحص يومية للأصناف قبل التوزيع.</t>
  </si>
  <si>
    <t>حفظ المواد الأولية</t>
  </si>
  <si>
    <t>لوحظ تخزين مواد أولية دون مراعاة درجات الحرارة وتواريخ الصلاحية.</t>
  </si>
  <si>
    <t>إلزام المطبخ بسجل تخزين وتبريد موثّق.</t>
  </si>
  <si>
    <t>التزام المخابز بمعايير السلامة</t>
  </si>
  <si>
    <t>استُعرضت نتائج فحص السلامة في المخابز وبيان نقاط الضعف في النظافة العامة.</t>
  </si>
  <si>
    <t>جدولة زيارة تفتيشية مفاجئة خلال أسبوع.</t>
  </si>
  <si>
    <t>متابعة شكاوى المستفيدين</t>
  </si>
  <si>
    <t>مراجعة الشكاوى الواردة من المستفيدين حول تفاوت كميات التوزيع.</t>
  </si>
  <si>
    <t>توحيد آلية استقبال الشكاوى وربطها بسجل المتابعة.</t>
  </si>
  <si>
    <t>رقم</t>
  </si>
  <si>
    <t>السبب الجذري</t>
  </si>
  <si>
    <t>P-01</t>
  </si>
  <si>
    <t>تكرار تقديم أصناف غير مطابقة لمواصفات الجودة</t>
  </si>
  <si>
    <t>غياب قائمة فحص يومية قبل التوزيع</t>
  </si>
  <si>
    <t>جهاد أبو الريش</t>
  </si>
  <si>
    <t>P-02</t>
  </si>
  <si>
    <t>تخزين مواد أولية دون ضبط الحرارة والصلاحية</t>
  </si>
  <si>
    <t>عدم وجود سجل تبريد وتخزين موثّق</t>
  </si>
  <si>
    <t>بسام الخطيب</t>
  </si>
  <si>
    <t>P-03</t>
  </si>
  <si>
    <t>ضعف النظافة العامة في أحد المخابز</t>
  </si>
  <si>
    <t>نقص إجراءات النظافة الدورية ومتابعتها</t>
  </si>
  <si>
    <t>محمود القريناوي</t>
  </si>
  <si>
    <t>P-04</t>
  </si>
  <si>
    <t>تفاوت كميات التوزيع على المستفيدين</t>
  </si>
  <si>
    <t>عدم توحيد آلية الصرف والتسجيل</t>
  </si>
  <si>
    <t>أظهرت نتائج المتابعة الميدانية وجود ملاحظات رقابية متكررة تتعلق بجودة الأصناف وحفظ المواد الأولية والنظافة العامة وعدالة التوزيع. وتُعدّ هذه الملاحظات قابلة للمعالجة عبر ضوابط رقابية واضحة وإجراءات تصحيحية محددة المسؤولية والمدة، وقد تم الاتفاق على حزمة قرارات وإجراءات مع آلية متابعة دورية لضمان عدم تكرار المخالفات والارتقاء بمستوى الالتزام بمعايير الجودة والسلامة الغذائية.</t>
  </si>
  <si>
    <t>التوصية</t>
  </si>
  <si>
    <t>المسؤول / الجهة</t>
  </si>
  <si>
    <t>R-01</t>
  </si>
  <si>
    <t>اعتماد دليل موحّد لمعايير الجودة والسلامة الغذائية في جميع المطابخ والمخابز</t>
  </si>
  <si>
    <t>إدارة الجودة</t>
  </si>
  <si>
    <t>R-02</t>
  </si>
  <si>
    <t>تفعيل نظام إلكتروني موحّد لتسجيل الزيارات والملاحظات وربطه بقاعدة بيانات الرقابة</t>
  </si>
  <si>
    <t>R-03</t>
  </si>
  <si>
    <t>عقد دورات تدريبية دورية للعاملين حول السلامة الغذائية وحفظ المواد</t>
  </si>
  <si>
    <t>معدّ المحضر (المراقب)</t>
  </si>
  <si>
    <t>مسؤول القسم / الجهة</t>
  </si>
  <si>
    <t>وفق الاعتماد</t>
  </si>
  <si>
    <t>التوقيع: ...........................</t>
  </si>
  <si>
    <t>التوقيع: ...............</t>
  </si>
  <si>
    <t>④  سجل المشاكل والإجراءات والقرارات والمتابعة</t>
  </si>
  <si>
    <t>المشكلة / الملاحظة</t>
  </si>
  <si>
    <t>الإجراء التصحيحي والقرار</t>
  </si>
  <si>
    <t>إعداد واعتماد قائمة فحص يومية للأصناف قبل التوزيع وتدريب الطهاة عليها
قرار: اعتماد القائمة وإلزام جميع المطابخ بتطبيقها</t>
  </si>
  <si>
    <t>تركيب نظام سجل تبريد وتخزين موثّق مع جرد دوري للصلاحيات
قرار: إقرار سجل التبريد والتخزين وتعميمه على المخازن</t>
  </si>
  <si>
    <t>اعتماد جدول نظافة دوري موثّق والتحقق منه في كل زيارة
قرار: تكليف فريق الرقابة بزيارة تفتيشية مفاجئة للمخابز</t>
  </si>
  <si>
    <t>توحيد نموذج صرف موحّد وربطه بسجل المستفيدين الإلكتروني
قرار: توحيد آلية صرف المساعدات وربطها بالنظام الإلكتروني</t>
  </si>
  <si>
    <t>⑤  الاستنتاج النهائي</t>
  </si>
  <si>
    <t>⑥  التوصيات</t>
  </si>
  <si>
    <t>⑦  الاعتماد والتوقيع</t>
  </si>
  <si>
    <t>غير جاهز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</si>
</sst>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0;[Red]\(#,##0\);\-"/>
    <numFmt numFmtId="167" formatCode="0.0%;[Red]0.0%;\-"/>
    <numFmt numFmtId="168" formatCode="#,##0;\-#,##0;;"/>
    <numFmt numFmtId="169" formatCode="m/d/yyyy"/>
    <numFmt numFmtId="170" formatCode="hh:mm\ AM/PM"/>
    <numFmt numFmtId="171" formatCode="yyyy\-mm\-dd;@"/>
    <numFmt numFmtId="172" formatCode="#,##0\ \₪"/>
    <numFmt numFmtId="173" formatCode="0.0%"/>
    <numFmt numFmtId="174" formatCode="yyyy/mm/dd"/>
    <numFmt numFmtId="175" formatCode="yyyy\-mm\-dd"/>
    <numFmt numFmtId="176" formatCode="yyyy/mm/dd\ \ hh:mm\ AM/PM"/>
  </numFmts>
  <fonts count="165">
    <font>
      <sz val="11"/>
      <color theme="1"/>
      <name val="Calibri"/>
      <family val="2"/>
      <charset val="1"/>
    </font>
    <font>
      <sz val="10"/>
      <color rgb="FF000000"/>
      <name val="Arial"/>
      <family val="2"/>
      <charset val="1"/>
    </font>
    <font>
      <b/>
      <sz val="9"/>
      <color rgb="FFFFFFFF"/>
      <name val="Arial"/>
      <family val="2"/>
      <charset val="1"/>
    </font>
    <font>
      <b/>
      <sz val="11"/>
      <color rgb="FFFFFFFF"/>
      <name val="Arial"/>
      <family val="2"/>
      <charset val="1"/>
    </font>
    <font>
      <sz val="10"/>
      <color rgb="FF0D1F4E"/>
      <name val="Arial"/>
      <family val="2"/>
      <charset val="1"/>
    </font>
    <font>
      <b/>
      <sz val="10"/>
      <color rgb="FF0D1F4E"/>
      <name val="Arial"/>
      <family val="2"/>
      <charset val="1"/>
    </font>
    <font>
      <sz val="11"/>
      <color rgb="FF0000FF"/>
      <name val="Calibri"/>
      <family val="2"/>
      <charset val="178"/>
    </font>
    <font>
      <sz val="11"/>
      <color theme="0"/>
      <name val="Calibri"/>
      <family val="2"/>
      <charset val="178"/>
    </font>
    <font>
      <b/>
      <sz val="11"/>
      <color rgb="FF1F4E78"/>
      <name val="FreeSans"/>
      <family val="2"/>
      <charset val="1"/>
    </font>
    <font>
      <b/>
      <sz val="11"/>
      <color rgb="FF0D1F4E"/>
      <name val="Arial"/>
      <family val="2"/>
      <charset val="1"/>
    </font>
    <font>
      <sz val="15"/>
      <color theme="1"/>
      <name val="Calibri"/>
      <family val="2"/>
      <charset val="1"/>
    </font>
    <font>
      <b/>
      <sz val="12"/>
      <color rgb="FFFFFFFF"/>
      <name val="FreeSans"/>
      <family val="2"/>
      <charset val="1"/>
    </font>
    <font>
      <b/>
      <sz val="15"/>
      <color rgb="FFFFFFFF"/>
      <name val="FreeSans"/>
      <family val="2"/>
      <charset val="1"/>
    </font>
    <font>
      <b/>
      <sz val="12"/>
      <color rgb="FFFFFFFF"/>
      <name val="Calibri"/>
      <family val="2"/>
      <charset val="1"/>
    </font>
    <font>
      <b/>
      <sz val="11"/>
      <color rgb="FFFFFFFF"/>
      <name val="FreeSans"/>
      <family val="2"/>
      <charset val="1"/>
    </font>
    <font>
      <b/>
      <sz val="15"/>
      <color rgb="FF1F4E78"/>
      <name val="FreeSans"/>
      <family val="2"/>
      <charset val="1"/>
    </font>
    <font>
      <b/>
      <sz val="14"/>
      <color theme="1"/>
      <name val="FreeSans"/>
      <family val="2"/>
      <charset val="1"/>
    </font>
    <font>
      <sz val="11"/>
      <color rgb="FF000000"/>
      <name val="Calibri"/>
      <family val="2"/>
      <charset val="1"/>
    </font>
    <font>
      <b/>
      <sz val="11"/>
      <color rgb="FF7F6000"/>
      <name val="Calibri"/>
      <family val="2"/>
      <charset val="1"/>
    </font>
    <font>
      <b/>
      <sz val="11"/>
      <color rgb="FF1F4E78"/>
      <name val="Calibri"/>
      <family val="2"/>
      <charset val="1"/>
    </font>
    <font>
      <b/>
      <sz val="11"/>
      <color rgb="FF000000"/>
      <name val="Calibri"/>
      <family val="2"/>
      <charset val="1"/>
    </font>
    <font>
      <b/>
      <sz val="15"/>
      <color rgb="FF000000"/>
      <name val="FreeSans"/>
      <family val="2"/>
      <charset val="1"/>
    </font>
    <font>
      <b/>
      <sz val="14"/>
      <color rgb="FFFFFFFF"/>
      <name val="FreeSans"/>
      <family val="2"/>
      <charset val="1"/>
    </font>
    <font>
      <b/>
      <sz val="14"/>
      <color rgb="FFFF0000"/>
      <name val="Calibri"/>
      <family val="2"/>
      <charset val="1"/>
    </font>
    <font>
      <b/>
      <sz val="24"/>
      <color rgb="FFFFFFFF"/>
      <name val="Arial"/>
      <family val="2"/>
      <charset val="1"/>
    </font>
    <font>
      <sz val="10"/>
      <color rgb="FFFFFFFF"/>
      <name val="Arial"/>
      <family val="2"/>
      <charset val="1"/>
    </font>
    <font>
      <b/>
      <sz val="13"/>
      <color rgb="FFFFFFFF"/>
      <name val="Arial"/>
      <family val="2"/>
      <charset val="1"/>
    </font>
    <font>
      <b/>
      <sz val="12"/>
      <color rgb="FF2563A8"/>
      <name val="Arial"/>
      <family val="2"/>
      <charset val="1"/>
    </font>
    <font>
      <b/>
      <sz val="11"/>
      <color rgb="FF2563A8"/>
      <name val="Arial"/>
      <family val="2"/>
      <charset val="1"/>
    </font>
    <font>
      <b/>
      <sz val="10"/>
      <color rgb="FF996600"/>
      <name val="Arial"/>
      <family val="2"/>
      <charset val="1"/>
    </font>
    <font>
      <b/>
      <i/>
      <sz val="10"/>
      <color rgb="FF2563A8"/>
      <name val="Arial"/>
      <family val="2"/>
      <charset val="178"/>
    </font>
    <font>
      <b/>
      <sz val="12"/>
      <color rgb="FFFFFFFF"/>
      <name val="Arial"/>
      <family val="2"/>
      <charset val="1"/>
    </font>
    <font>
      <b/>
      <sz val="20"/>
      <color rgb="FF2563A8"/>
      <name val="Arial"/>
      <family val="2"/>
      <charset val="1"/>
    </font>
    <font>
      <b/>
      <sz val="20"/>
      <color rgb="FF0D1F4E"/>
      <name val="Arial"/>
      <family val="2"/>
      <charset val="1"/>
    </font>
    <font>
      <b/>
      <sz val="20"/>
      <color rgb="FF1A5C2A"/>
      <name val="Arial"/>
      <family val="2"/>
      <charset val="1"/>
    </font>
    <font>
      <b/>
      <sz val="20"/>
      <color rgb="FF0A6E6E"/>
      <name val="Arial"/>
      <family val="2"/>
      <charset val="1"/>
    </font>
    <font>
      <b/>
      <sz val="20"/>
      <color rgb="FF9C4000"/>
      <name val="Arial"/>
      <family val="2"/>
      <charset val="1"/>
    </font>
    <font>
      <b/>
      <sz val="20"/>
      <color rgb="FF8B1A1A"/>
      <name val="Arial"/>
      <family val="2"/>
      <charset val="1"/>
    </font>
    <font>
      <b/>
      <sz val="20"/>
      <color rgb="FF996600"/>
      <name val="Arial"/>
      <family val="2"/>
      <charset val="1"/>
    </font>
    <font>
      <b/>
      <sz val="15"/>
      <color rgb="FF2563A8"/>
      <name val="Arial"/>
      <family val="2"/>
      <charset val="1"/>
    </font>
    <font>
      <b/>
      <sz val="11"/>
      <color rgb="FF996600"/>
      <name val="Arial"/>
      <family val="2"/>
      <charset val="1"/>
    </font>
    <font>
      <sz val="10"/>
      <color rgb="FF2563A8"/>
      <name val="Arial"/>
      <family val="2"/>
      <charset val="1"/>
    </font>
    <font>
      <b/>
      <sz val="11"/>
      <color rgb="FF1A5C2A"/>
      <name val="Arial"/>
      <family val="2"/>
      <charset val="1"/>
    </font>
    <font>
      <sz val="10"/>
      <color rgb="FF8B1A1A"/>
      <name val="Arial"/>
      <family val="2"/>
      <charset val="1"/>
    </font>
    <font>
      <sz val="10"/>
      <color rgb="FF1A5C2A"/>
      <name val="Arial"/>
      <family val="2"/>
      <charset val="1"/>
    </font>
    <font>
      <sz val="8"/>
      <color rgb="FFC0C5D0"/>
      <name val="Arial"/>
      <family val="2"/>
      <charset val="1"/>
    </font>
    <font>
      <b/>
      <sz val="14"/>
      <color rgb="FF0A6E6E"/>
      <name val="Arial"/>
      <family val="2"/>
      <charset val="1"/>
    </font>
    <font>
      <b/>
      <sz val="9"/>
      <color rgb="FF0A6E6E"/>
      <name val="Arial"/>
      <family val="2"/>
      <charset val="1"/>
    </font>
    <font>
      <b/>
      <sz val="14"/>
      <color rgb="FF7D5A00"/>
      <name val="Arial"/>
      <family val="2"/>
      <charset val="1"/>
    </font>
    <font>
      <b/>
      <sz val="9"/>
      <color rgb="FF7D5A00"/>
      <name val="Arial"/>
      <family val="2"/>
      <charset val="1"/>
    </font>
    <font>
      <b/>
      <sz val="14"/>
      <color rgb="FF2563A8"/>
      <name val="Arial"/>
      <family val="2"/>
      <charset val="1"/>
    </font>
    <font>
      <b/>
      <sz val="9"/>
      <color rgb="FF2563A8"/>
      <name val="Arial"/>
      <family val="2"/>
      <charset val="1"/>
    </font>
    <font>
      <i/>
      <sz val="9"/>
      <color rgb="FF2563A8"/>
      <name val="Arial"/>
      <family val="2"/>
      <charset val="1"/>
    </font>
    <font>
      <b/>
      <sz val="12"/>
      <color rgb="FF0D1F4E"/>
      <name val="Arial"/>
      <family val="2"/>
      <charset val="1"/>
    </font>
    <font>
      <b/>
      <sz val="10"/>
      <color rgb="FFFFFFFF"/>
      <name val="Arial"/>
      <family val="2"/>
      <charset val="1"/>
    </font>
    <font>
      <b/>
      <sz val="10"/>
      <color rgb="FF0A6E6E"/>
      <name val="Arial"/>
      <family val="2"/>
      <charset val="1"/>
    </font>
    <font>
      <i/>
      <sz val="9"/>
      <color rgb="FF3D4455"/>
      <name val="Arial"/>
      <family val="2"/>
      <charset val="1"/>
    </font>
    <font>
      <b/>
      <sz val="20"/>
      <color rgb="FF7D5A00"/>
      <name val="Arial"/>
      <family val="2"/>
      <charset val="1"/>
    </font>
    <font>
      <b/>
      <sz val="11"/>
      <color rgb="FF8B1A1A"/>
      <name val="Arial"/>
      <family val="2"/>
      <charset val="1"/>
    </font>
    <font>
      <b/>
      <sz val="10"/>
      <color rgb="FF085A5A"/>
      <name val="Arial"/>
      <family val="2"/>
      <charset val="1"/>
    </font>
    <font>
      <sz val="11"/>
      <color rgb="FF0D1F4E"/>
      <name val="Arial"/>
      <family val="2"/>
      <charset val="1"/>
    </font>
    <font>
      <sz val="10"/>
      <color rgb="FF7D5A00"/>
      <name val="Arial"/>
      <family val="2"/>
      <charset val="1"/>
    </font>
    <font>
      <sz val="10"/>
      <color rgb="FF0A6E6E"/>
      <name val="Arial"/>
      <family val="2"/>
      <charset val="1"/>
    </font>
    <font>
      <b/>
      <sz val="10"/>
      <color rgb="FF5C4200"/>
      <name val="Arial"/>
      <family val="2"/>
      <charset val="1"/>
    </font>
    <font>
      <b/>
      <sz val="10"/>
      <color rgb="FF1A3A6B"/>
      <name val="Arial"/>
      <family val="2"/>
      <charset val="1"/>
    </font>
    <font>
      <b/>
      <sz val="8"/>
      <color rgb="FFFFFFFF"/>
      <name val="Arial"/>
      <family val="2"/>
      <charset val="1"/>
    </font>
    <font>
      <b/>
      <sz val="9"/>
      <color rgb="FF4A1070"/>
      <name val="Arial"/>
      <family val="2"/>
      <charset val="1"/>
    </font>
    <font>
      <sz val="9"/>
      <color rgb="FF4A1070"/>
      <name val="Arial"/>
      <family val="2"/>
      <charset val="1"/>
    </font>
    <font>
      <sz val="11"/>
      <color theme="1"/>
      <name val="Calibri"/>
      <family val="2"/>
      <charset val="1"/>
    </font>
    <font>
      <b/>
      <sz val="11"/>
      <color rgb="FFFFFFFF"/>
      <name val="Segoe UI"/>
      <family val="2"/>
    </font>
    <font>
      <sz val="10"/>
      <color rgb="FF1F2937"/>
      <name val="Segoe UI"/>
      <family val="2"/>
    </font>
    <font>
      <b/>
      <sz val="9"/>
      <color rgb="FF0B3D91"/>
      <name val="Segoe UI"/>
      <family val="2"/>
    </font>
    <font>
      <sz val="9"/>
      <color rgb="FF0B3D91"/>
      <name val="Segoe UI"/>
      <family val="2"/>
    </font>
    <font>
      <b/>
      <sz val="10"/>
      <color rgb="FF0B3D91"/>
      <name val="Segoe UI"/>
      <family val="2"/>
    </font>
    <font>
      <sz val="10"/>
      <color rgb="FF0B3D91"/>
      <name val="Segoe UI"/>
      <family val="2"/>
    </font>
    <font>
      <b/>
      <sz val="12"/>
      <color rgb="FF0B3D91"/>
      <name val="Segoe UI"/>
      <family val="2"/>
    </font>
    <font>
      <sz val="8"/>
      <color rgb="FF9CA3AF"/>
      <name val="Calibri"/>
      <family val="2"/>
      <charset val="1"/>
    </font>
    <font>
      <sz val="14"/>
      <color rgb="FF0D1F4E"/>
      <name val="Arial"/>
      <family val="2"/>
      <charset val="1"/>
    </font>
    <font>
      <sz val="14"/>
      <color rgb="FF2563A8"/>
      <name val="Arial"/>
      <family val="2"/>
      <charset val="1"/>
    </font>
    <font>
      <sz val="14"/>
      <color rgb="FF996600"/>
      <name val="Arial"/>
      <family val="2"/>
      <charset val="1"/>
    </font>
    <font>
      <sz val="14"/>
      <color rgb="FF8B1A1A"/>
      <name val="Arial"/>
      <family val="2"/>
      <charset val="1"/>
    </font>
    <font>
      <sz val="11"/>
      <color rgb="FF1A5C2A"/>
      <name val="Arial"/>
      <family val="2"/>
      <charset val="1"/>
    </font>
    <font>
      <i/>
      <sz val="11"/>
      <color rgb="FF0D1F4E"/>
      <name val="Arial"/>
      <family val="2"/>
      <charset val="1"/>
    </font>
    <font>
      <sz val="10"/>
      <color rgb="FF1F2937"/>
      <name val="Segoe UI"/>
      <family val="2"/>
    </font>
    <font>
      <b/>
      <sz val="9"/>
      <color rgb="FFFFFFFF"/>
      <name val="Arial"/>
      <family val="2"/>
    </font>
    <font>
      <b/>
      <sz val="10"/>
      <color rgb="FFFFFFFF"/>
      <name val="Arial"/>
      <family val="2"/>
    </font>
    <font>
      <b/>
      <sz val="14"/>
      <color rgb="FFFF0000"/>
      <name val="Arial"/>
      <family val="2"/>
    </font>
    <font>
      <b/>
      <sz val="11"/>
      <color rgb="FF1F4E78"/>
      <name val="Arial"/>
      <family val="2"/>
      <charset val="1"/>
    </font>
    <font>
      <b/>
      <sz val="14"/>
      <color rgb="FFFF0000"/>
      <name val="Arial"/>
      <family val="2"/>
      <charset val="1"/>
    </font>
    <font>
      <b/>
      <sz val="12"/>
      <color rgb="FFFFFFFF"/>
      <name val="Arial"/>
      <family val="2"/>
    </font>
    <font>
      <b/>
      <sz val="12"/>
      <color rgb="FF0D1F4E"/>
      <name val="Arial"/>
      <family val="2"/>
    </font>
    <font>
      <sz val="12"/>
      <color rgb="FF0D1F4E"/>
      <name val="Arial"/>
      <family val="2"/>
    </font>
    <font>
      <sz val="10"/>
      <color theme="1"/>
      <name val="Calibri"/>
      <family val="2"/>
      <charset val="178"/>
    </font>
    <font>
      <b/>
      <sz val="12"/>
      <color rgb="FF2563A8"/>
      <name val="Arial"/>
      <family val="2"/>
    </font>
    <font>
      <sz val="12"/>
      <color rgb="FF8B1A1A"/>
      <name val="Arial"/>
      <family val="2"/>
      <charset val="178"/>
    </font>
    <font>
      <b/>
      <sz val="12"/>
      <color rgb="FF8B1A1A"/>
      <name val="Arial"/>
      <family val="2"/>
      <charset val="178"/>
    </font>
    <font>
      <i/>
      <sz val="12"/>
      <color rgb="FF0D1F4E"/>
      <name val="Arial"/>
      <family val="2"/>
      <charset val="178"/>
    </font>
    <font>
      <b/>
      <sz val="20"/>
      <color rgb="FF8B1A1A"/>
      <name val="Arial"/>
      <family val="2"/>
    </font>
    <font>
      <sz val="11"/>
      <color rgb="FFC0C5D0"/>
      <name val="Arial"/>
      <family val="2"/>
      <charset val="1"/>
    </font>
    <font>
      <sz val="9"/>
      <color rgb="FF0D1F4E"/>
      <name val="Arial"/>
    </font>
    <font>
      <b/>
      <sz val="10"/>
      <color rgb="FFFFFFFF"/>
      <name val="Arial"/>
    </font>
    <font>
      <sz val="9"/>
      <color rgb="FF0D1F4E"/>
      <name val="Arial"/>
      <family val="2"/>
    </font>
    <font>
      <b/>
      <sz val="11"/>
      <color rgb="FFFFFFFF"/>
      <name val="Arial"/>
    </font>
    <font>
      <sz val="8"/>
      <color rgb="FF9CA3AF"/>
      <name val="Calibri"/>
    </font>
    <font>
      <b/>
      <sz val="10"/>
      <color rgb="FF0D1F4E"/>
      <name val="Arial"/>
    </font>
    <font>
      <b/>
      <sz val="11"/>
      <color rgb="FF8B1A1A"/>
      <name val="Arial"/>
    </font>
    <font>
      <b/>
      <sz val="11"/>
      <color rgb="FF1F2937"/>
      <name val="Calibri"/>
      <family val="2"/>
      <charset val="1"/>
    </font>
    <font>
      <b/>
      <sz val="11"/>
      <color rgb="FF1F2937"/>
      <name val="Segoe UI"/>
      <family val="2"/>
    </font>
    <font>
      <b/>
      <sz val="11"/>
      <color rgb="FFFFFFFF"/>
      <name val="Calibri"/>
      <family val="2"/>
      <charset val="1"/>
    </font>
    <font>
      <sz val="28"/>
      <color rgb="FFFFFFFF"/>
      <name val="Arial"/>
      <charset val="1"/>
    </font>
    <font>
      <b/>
      <sz val="16"/>
      <color rgb="FFFFFFFF"/>
      <name val="Arial"/>
      <charset val="1"/>
    </font>
    <font>
      <b/>
      <sz val="11"/>
      <color rgb="FFFFFFFF"/>
      <name val="Arial"/>
      <family val="2"/>
    </font>
    <font>
      <sz val="11"/>
      <color rgb="FF1A1A2E"/>
      <name val="Arial"/>
      <family val="2"/>
    </font>
    <font>
      <b/>
      <sz val="11"/>
      <color rgb="FFFFFFFF"/>
      <name val="Arial"/>
      <charset val="1"/>
    </font>
    <font>
      <b/>
      <sz val="9"/>
      <color rgb="FFFFFFFF"/>
      <name val="Arial"/>
      <charset val="1"/>
    </font>
    <font>
      <sz val="9"/>
      <color rgb="FF1A1A2E"/>
      <name val="Arial"/>
      <charset val="1"/>
    </font>
    <font>
      <sz val="9"/>
      <color rgb="FF1A1A2E"/>
      <name val="Arial"/>
      <family val="2"/>
    </font>
    <font>
      <b/>
      <sz val="9"/>
      <color rgb="FF1E6B3C"/>
      <name val="Arial"/>
      <charset val="1"/>
    </font>
    <font>
      <b/>
      <sz val="18"/>
      <color rgb="FF1E6B3C"/>
      <name val="Arial"/>
      <charset val="1"/>
    </font>
    <font>
      <i/>
      <sz val="11"/>
      <color rgb="FFC5CDD6"/>
      <name val="Arial"/>
      <family val="2"/>
    </font>
    <font>
      <i/>
      <sz val="11"/>
      <color rgb="FFF4F6F9"/>
      <name val="Arial"/>
      <family val="2"/>
    </font>
    <font>
      <b/>
      <sz val="11"/>
      <color rgb="FFFFFFFF"/>
      <name val="Segoe UI"/>
    </font>
    <font>
      <b/>
      <sz val="11"/>
      <color rgb="FFFFFFFF"/>
      <name val="Calibri"/>
    </font>
    <font>
      <sz val="11"/>
      <color rgb="FF0000FF"/>
      <name val="Calibri"/>
      <family val="2"/>
      <charset val="1"/>
    </font>
    <font>
      <b/>
      <sz val="13"/>
      <color rgb="FFFFFFFF"/>
      <name val="Calibri"/>
      <family val="2"/>
      <charset val="1"/>
    </font>
    <font>
      <b/>
      <sz val="11"/>
      <color theme="1"/>
      <name val="Calibri"/>
      <family val="2"/>
      <charset val="1"/>
    </font>
    <font>
      <b/>
      <sz val="11"/>
      <color rgb="FF1F3864"/>
      <name val="Calibri"/>
      <family val="2"/>
      <charset val="1"/>
    </font>
    <font>
      <b/>
      <sz val="11"/>
      <color rgb="FF0000FF"/>
      <name val="Calibri"/>
      <family val="2"/>
      <charset val="1"/>
    </font>
    <font>
      <i/>
      <sz val="11"/>
      <color rgb="FF7F6000"/>
      <name val="Calibri"/>
      <family val="2"/>
      <charset val="1"/>
    </font>
    <font>
      <b/>
      <sz val="11"/>
      <color rgb="FF1E6B3C"/>
      <name val="Arial"/>
      <charset val="1"/>
    </font>
    <font>
      <b/>
      <sz val="16"/>
      <color rgb="FF1E6B3C"/>
      <name val="Calibri"/>
      <family val="2"/>
      <charset val="1"/>
    </font>
    <font>
      <b/>
      <sz val="16"/>
      <color rgb="FF1E6B3C"/>
      <name val="Arial"/>
      <charset val="1"/>
    </font>
    <font>
      <b/>
      <sz val="10"/>
      <color rgb="FFFFFFFF"/>
      <name val="Arial"/>
      <charset val="1"/>
    </font>
    <font>
      <b/>
      <sz val="11"/>
      <color rgb="FF1A4B8C"/>
      <name val="Arial"/>
    </font>
    <font>
      <sz val="10"/>
      <color rgb="FF1A1A2E"/>
      <name val="Arial"/>
    </font>
    <font>
      <b/>
      <sz val="20"/>
      <color rgb="FFFFFFFF"/>
      <name val="Arial"/>
    </font>
    <font>
      <sz val="11"/>
      <color rgb="FFFFFFFF"/>
      <name val="Arial"/>
    </font>
    <font>
      <b/>
      <sz val="12"/>
      <color rgb="FFFFFFFF"/>
      <name val="Arial"/>
    </font>
    <font>
      <sz val="10"/>
      <color rgb="FF0000FF"/>
      <name val="Arial"/>
    </font>
    <font>
      <b/>
      <sz val="10"/>
      <color rgb="FF000000"/>
      <name val="Arial"/>
    </font>
    <font>
      <sz val="9"/>
      <color rgb="FF1A1A2E"/>
      <name val="Arial"/>
    </font>
    <font>
      <b/>
      <sz val="16"/>
      <color rgb="FF16213E"/>
      <name val="Arial"/>
    </font>
    <font>
      <i/>
      <sz val="10"/>
      <color rgb="FF9AA3AF"/>
      <name val="Arial"/>
    </font>
    <font>
      <sz val="10"/>
      <color rgb="FF000000"/>
      <name val="Arial"/>
    </font>
    <font>
      <i/>
      <sz val="9"/>
      <color rgb="FF7A5B00"/>
      <name val="Arial"/>
    </font>
    <font>
      <b/>
      <sz val="10"/>
      <color rgb="FF7A5C00"/>
      <name val="Arial"/>
    </font>
    <font>
      <b/>
      <sz val="9"/>
      <color rgb="FFFFFFFF"/>
      <name val="Arial"/>
    </font>
    <font>
      <b/>
      <sz val="11"/>
      <color rgb="FFFFFFFF"/>
      <name val="Arial"/>
    </font>
    <font>
      <b/>
      <sz val="9"/>
      <color rgb="FF000000"/>
      <name val="Arial"/>
    </font>
    <font>
      <b/>
      <sz val="8"/>
      <color rgb="FFFFFFFF"/>
      <name val="Arial"/>
    </font>
    <font>
      <sz val="9"/>
      <color rgb="FF000000"/>
      <name val="Arial"/>
    </font>
    <font>
      <b/>
      <sz val="11"/>
      <color rgb="FF1F4E79"/>
      <name val="Arial"/>
    </font>
    <font>
      <i/>
      <sz val="8"/>
      <color rgb="FFBDD7EE"/>
      <name val="Arial"/>
    </font>
    <font>
      <b/>
      <sz val="18"/>
      <color rgb="FFFFFFFF"/>
      <name val="Arial"/>
    </font>
    <font>
      <sz val="10"/>
      <color rgb="FF1F4E79"/>
      <name val="Arial"/>
    </font>
    <font>
      <sz val="10"/>
      <color rgb="FF000000"/>
      <name val="Arial"/>
    </font>
    <font>
      <sz val="9"/>
      <color rgb="FF595959"/>
      <name val="Arial"/>
    </font>
    <font>
      <sz val="18"/>
      <color rgb="FFFFFFFF"/>
      <name val="Arial"/>
    </font>
    <font>
      <i/>
      <sz val="10"/>
      <color rgb="FFFFFFFF"/>
      <name val="Arial"/>
    </font>
    <font>
      <sz val="12"/>
      <color rgb="FFFFFFFF"/>
      <name val="Arial"/>
    </font>
    <font>
      <sz val="9"/>
      <color rgb="FFFFFFFF"/>
      <name val="Arial"/>
    </font>
    <font>
      <sz val="10"/>
      <color rgb="FF1F2937"/>
      <name val="Arial"/>
    </font>
    <font>
      <sz val="9"/>
      <color rgb="FF1F2937"/>
      <name val="Arial"/>
    </font>
    <font>
      <sz val="9"/>
      <color rgb="FF1F4E79"/>
      <name val="Arial"/>
    </font>
    <font>
      <sz val="9"/>
      <color rgb="FF6B7280"/>
      <name val="Arial"/>
    </font>
  </fonts>
  <fills count="85">
    <fill>
      <patternFill patternType="none"/>
    </fill>
    <fill>
      <patternFill patternType="gray125"/>
    </fill>
    <fill>
      <patternFill patternType="solid">
        <fgColor rgb="FF1F4E78"/>
        <bgColor rgb="FF1A3A6B"/>
      </patternFill>
    </fill>
    <fill>
      <patternFill patternType="solid">
        <fgColor rgb="FF0D1F4E"/>
        <bgColor rgb="FF1F3864"/>
      </patternFill>
    </fill>
    <fill>
      <patternFill patternType="solid">
        <fgColor rgb="FFF5F6FA"/>
        <bgColor rgb="FFF7F8FA"/>
      </patternFill>
    </fill>
    <fill>
      <patternFill patternType="solid">
        <fgColor rgb="FFD6E9FA"/>
        <bgColor rgb="FFD9E2F3"/>
      </patternFill>
    </fill>
    <fill>
      <patternFill patternType="solid">
        <fgColor rgb="FFE6F4EA"/>
        <bgColor rgb="FFE8F5E9"/>
      </patternFill>
    </fill>
    <fill>
      <patternFill patternType="solid">
        <fgColor rgb="FFFDECEA"/>
        <bgColor rgb="FFFEF0E6"/>
      </patternFill>
    </fill>
    <fill>
      <patternFill patternType="solid">
        <fgColor rgb="FFF3E8FF"/>
        <bgColor rgb="FFF3E5F5"/>
      </patternFill>
    </fill>
    <fill>
      <patternFill patternType="solid">
        <fgColor rgb="FFFFF8DC"/>
        <bgColor rgb="FFFFF8E1"/>
      </patternFill>
    </fill>
    <fill>
      <patternFill patternType="solid">
        <fgColor rgb="FFFFFFFF"/>
        <bgColor rgb="FFF7F8FA"/>
      </patternFill>
    </fill>
    <fill>
      <patternFill patternType="solid">
        <fgColor rgb="FFD9E2F3"/>
        <bgColor rgb="FFD6E9FA"/>
      </patternFill>
    </fill>
    <fill>
      <patternFill patternType="solid">
        <fgColor rgb="FFF2F7FC"/>
        <bgColor rgb="FFF5F6FA"/>
      </patternFill>
    </fill>
    <fill>
      <patternFill patternType="solid">
        <fgColor rgb="FFFFF2CC"/>
        <bgColor rgb="FFFFF4D6"/>
      </patternFill>
    </fill>
    <fill>
      <patternFill patternType="darkGray">
        <fgColor rgb="FF327AAE"/>
        <bgColor rgb="FF2563A8"/>
      </patternFill>
    </fill>
    <fill>
      <patternFill patternType="solid">
        <fgColor rgb="FFFFC000"/>
        <bgColor rgb="FFFFD700"/>
      </patternFill>
    </fill>
    <fill>
      <patternFill patternType="solid">
        <fgColor rgb="FF315122"/>
        <bgColor rgb="FF1A5C27"/>
      </patternFill>
    </fill>
    <fill>
      <patternFill patternType="darkGray">
        <fgColor rgb="FF327AAE"/>
        <bgColor rgb="FF277E34"/>
      </patternFill>
    </fill>
    <fill>
      <patternFill patternType="solid">
        <fgColor rgb="FF2563A8"/>
        <bgColor rgb="FF327AAE"/>
      </patternFill>
    </fill>
    <fill>
      <patternFill patternType="solid">
        <fgColor rgb="FF996600"/>
        <bgColor rgb="FF7D5A00"/>
      </patternFill>
    </fill>
    <fill>
      <patternFill patternType="solid">
        <fgColor rgb="FFFFF8E1"/>
        <bgColor rgb="FFFFF8DC"/>
      </patternFill>
    </fill>
    <fill>
      <patternFill patternType="mediumGray">
        <fgColor rgb="FF135C1E"/>
        <bgColor rgb="FF1A5C27"/>
      </patternFill>
    </fill>
    <fill>
      <patternFill patternType="solid">
        <fgColor rgb="FF0A6E6E"/>
        <bgColor rgb="FF085A5A"/>
      </patternFill>
    </fill>
    <fill>
      <patternFill patternType="darkGray">
        <fgColor rgb="FF9C4000"/>
        <bgColor rgb="FF994101"/>
      </patternFill>
    </fill>
    <fill>
      <patternFill patternType="solid">
        <fgColor rgb="FF8B1A1A"/>
        <bgColor rgb="FF670505"/>
      </patternFill>
    </fill>
    <fill>
      <patternFill patternType="solid">
        <fgColor rgb="FFE0F5F5"/>
        <bgColor rgb="FFDCF5F5"/>
      </patternFill>
    </fill>
    <fill>
      <patternFill patternType="solid">
        <fgColor rgb="FFFEF0E6"/>
        <bgColor rgb="FFFFF0E6"/>
      </patternFill>
    </fill>
    <fill>
      <patternFill patternType="solid">
        <fgColor rgb="FF1A3A6B"/>
        <bgColor rgb="FF1F3864"/>
      </patternFill>
    </fill>
    <fill>
      <patternFill patternType="solid">
        <fgColor rgb="FFDCF5F5"/>
        <bgColor rgb="FFE0F5F5"/>
      </patternFill>
    </fill>
    <fill>
      <patternFill patternType="solid">
        <fgColor rgb="FF7D5A00"/>
        <bgColor rgb="FF996600"/>
      </patternFill>
    </fill>
    <fill>
      <patternFill patternType="solid">
        <fgColor rgb="FF085A5A"/>
        <bgColor rgb="FF0A6E6E"/>
      </patternFill>
    </fill>
    <fill>
      <patternFill patternType="solid">
        <fgColor rgb="FF5C4200"/>
        <bgColor rgb="FF7D5A00"/>
      </patternFill>
    </fill>
    <fill>
      <patternFill patternType="solid">
        <fgColor rgb="FF511170"/>
        <bgColor rgb="FF670505"/>
      </patternFill>
    </fill>
    <fill>
      <patternFill patternType="solid">
        <fgColor rgb="FF1F3864"/>
        <bgColor indexed="64"/>
      </patternFill>
    </fill>
    <fill>
      <patternFill patternType="solid">
        <fgColor rgb="FFFFFFFF"/>
        <bgColor indexed="64"/>
      </patternFill>
    </fill>
    <fill>
      <patternFill patternType="solid">
        <fgColor rgb="FF1F4E78"/>
        <bgColor indexed="64"/>
      </patternFill>
    </fill>
    <fill>
      <patternFill patternType="solid">
        <fgColor rgb="FF0D1F4E"/>
        <bgColor indexed="64"/>
      </patternFill>
    </fill>
    <fill>
      <patternFill patternType="solid">
        <fgColor rgb="FF1A3A6B"/>
        <bgColor indexed="64"/>
      </patternFill>
    </fill>
    <fill>
      <patternFill patternType="solid">
        <fgColor rgb="FFF5F6FA"/>
        <bgColor indexed="64"/>
      </patternFill>
    </fill>
    <fill>
      <patternFill patternType="solid">
        <fgColor rgb="FF8B1A1A"/>
        <bgColor indexed="64"/>
      </patternFill>
    </fill>
    <fill>
      <patternFill patternType="solid">
        <fgColor rgb="FFFDECEA"/>
        <bgColor indexed="64"/>
      </patternFill>
    </fill>
    <fill>
      <patternFill patternType="solid">
        <fgColor rgb="FFEAF1FB"/>
        <bgColor indexed="64"/>
      </patternFill>
    </fill>
    <fill>
      <patternFill patternType="solid">
        <fgColor rgb="FFD6E9FA"/>
        <bgColor indexed="64"/>
      </patternFill>
    </fill>
    <fill>
      <patternFill patternType="solid">
        <fgColor rgb="FFFFFF00"/>
        <bgColor indexed="64"/>
      </patternFill>
    </fill>
    <fill>
      <patternFill patternType="solid">
        <fgColor rgb="FF16213E"/>
        <bgColor rgb="FF1A1A2E"/>
      </patternFill>
    </fill>
    <fill>
      <patternFill patternType="solid">
        <fgColor rgb="FF0F3460"/>
        <bgColor rgb="FF16213E"/>
      </patternFill>
    </fill>
    <fill>
      <patternFill patternType="solid">
        <fgColor rgb="FF1A4B8C"/>
        <bgColor rgb="FF0F3460"/>
      </patternFill>
    </fill>
    <fill>
      <patternFill patternType="solid">
        <fgColor rgb="FFE8EDF3"/>
        <bgColor rgb="FFE3F0FF"/>
      </patternFill>
    </fill>
    <fill>
      <patternFill patternType="solid">
        <fgColor rgb="FFC8972A"/>
        <bgColor rgb="FF969696"/>
      </patternFill>
    </fill>
    <fill>
      <patternFill patternType="solid">
        <fgColor rgb="FFFFFFFF"/>
        <bgColor rgb="FFF4F6F9"/>
      </patternFill>
    </fill>
    <fill>
      <patternFill patternType="solid">
        <fgColor rgb="FFF4F6F9"/>
        <bgColor rgb="FFFFFFFF"/>
      </patternFill>
    </fill>
    <fill>
      <patternFill patternType="solid">
        <fgColor rgb="FF1A4B8C"/>
        <bgColor indexed="64"/>
      </patternFill>
    </fill>
    <fill>
      <patternFill patternType="solid">
        <fgColor rgb="FFF4F6F9"/>
        <bgColor indexed="64"/>
      </patternFill>
    </fill>
    <fill>
      <patternFill patternType="solid">
        <fgColor rgb="FF16213E"/>
        <bgColor indexed="64"/>
      </patternFill>
    </fill>
    <fill>
      <patternFill patternType="solid">
        <fgColor rgb="FFE3F0FF"/>
        <bgColor rgb="FFE8EDF3"/>
      </patternFill>
    </fill>
    <fill>
      <patternFill patternType="solid">
        <fgColor rgb="FF0F3460"/>
        <bgColor indexed="64"/>
      </patternFill>
    </fill>
    <fill>
      <patternFill patternType="solid">
        <fgColor rgb="FFD4EDDA"/>
        <bgColor rgb="FFC6EFCE"/>
      </patternFill>
    </fill>
    <fill>
      <patternFill patternType="solid">
        <fgColor rgb="FFD9E2F3"/>
        <bgColor indexed="64"/>
      </patternFill>
    </fill>
    <fill>
      <patternFill patternType="solid">
        <fgColor rgb="FFFFF2CC"/>
        <bgColor indexed="64"/>
      </patternFill>
    </fill>
    <fill>
      <patternFill patternType="solid">
        <fgColor rgb="FFDCE6F1"/>
        <bgColor indexed="64"/>
      </patternFill>
    </fill>
    <fill>
      <patternFill patternType="solid">
        <fgColor rgb="FFFFF3CD"/>
        <bgColor indexed="64"/>
      </patternFill>
    </fill>
    <fill>
      <patternFill patternType="solid">
        <fgColor rgb="FFE3F0FF"/>
        <bgColor indexed="64"/>
      </patternFill>
    </fill>
    <fill>
      <patternFill patternType="solid">
        <fgColor rgb="FFC8972A"/>
        <bgColor indexed="64"/>
      </patternFill>
    </fill>
    <fill>
      <patternFill patternType="solid">
        <fgColor rgb="FFEDF1F7"/>
        <bgColor indexed="64"/>
      </patternFill>
    </fill>
    <fill>
      <patternFill patternType="solid">
        <fgColor rgb="FFF0F2F5"/>
        <bgColor indexed="64"/>
      </patternFill>
    </fill>
    <fill>
      <patternFill patternType="solid">
        <fgColor rgb="FFEEF2F7"/>
        <bgColor indexed="64"/>
      </patternFill>
    </fill>
    <fill>
      <patternFill patternType="solid">
        <fgColor rgb="FF1F4E79"/>
        <bgColor rgb="FF1F4E79"/>
      </patternFill>
    </fill>
    <fill>
      <patternFill patternType="solid">
        <fgColor rgb="FF2E75B6"/>
        <bgColor rgb="FF2E75B6"/>
      </patternFill>
    </fill>
    <fill>
      <patternFill patternType="solid">
        <fgColor rgb="FFD6E4F7"/>
        <bgColor rgb="FFD6E4F7"/>
      </patternFill>
    </fill>
    <fill>
      <patternFill patternType="solid">
        <fgColor rgb="FFC00000"/>
        <bgColor rgb="FFC00000"/>
      </patternFill>
    </fill>
    <fill>
      <patternFill patternType="solid">
        <fgColor rgb="FFFFF8DC"/>
        <bgColor rgb="FFFFF8DC"/>
      </patternFill>
    </fill>
    <fill>
      <patternFill patternType="solid">
        <fgColor rgb="FFEBF3FB"/>
        <bgColor rgb="FFEBF3FB"/>
      </patternFill>
    </fill>
    <fill>
      <patternFill patternType="solid">
        <fgColor rgb="FFFFF5F5"/>
        <bgColor rgb="FFFFF5F5"/>
      </patternFill>
    </fill>
    <fill>
      <patternFill patternType="solid">
        <fgColor rgb="FF243F60"/>
        <bgColor rgb="FF243F60"/>
      </patternFill>
    </fill>
    <fill>
      <patternFill patternType="solid">
        <fgColor rgb="FFF4F9FF"/>
        <bgColor rgb="FFF4F9FF"/>
      </patternFill>
    </fill>
    <fill>
      <patternFill patternType="solid">
        <fgColor rgb="FF1E6B30"/>
        <bgColor rgb="FF1E6B30"/>
      </patternFill>
    </fill>
    <fill>
      <patternFill patternType="solid">
        <fgColor rgb="FFC0392B"/>
        <bgColor rgb="FFC0392B"/>
      </patternFill>
    </fill>
    <fill>
      <patternFill patternType="solid">
        <fgColor rgb="FFFFFFFF"/>
        <bgColor rgb="FFFFFFFF"/>
      </patternFill>
    </fill>
    <fill>
      <patternFill patternType="solid">
        <fgColor rgb="FFF4FBF5"/>
        <bgColor rgb="FFF4FBF5"/>
      </patternFill>
    </fill>
    <fill>
      <patternFill patternType="solid">
        <fgColor rgb="FF1F4E79"/>
        <bgColor indexed="64"/>
      </patternFill>
    </fill>
    <fill>
      <patternFill patternType="solid">
        <fgColor rgb="FF2E75B6"/>
        <bgColor indexed="64"/>
      </patternFill>
    </fill>
    <fill>
      <patternFill patternType="solid">
        <fgColor rgb="FFFFF8DC"/>
        <bgColor indexed="64"/>
      </patternFill>
    </fill>
    <fill>
      <patternFill patternType="solid">
        <fgColor rgb="FFF4F9FF"/>
        <bgColor indexed="64"/>
      </patternFill>
    </fill>
    <fill>
      <patternFill patternType="solid">
        <fgColor rgb="FFC0392B"/>
        <bgColor indexed="64"/>
      </patternFill>
    </fill>
    <fill>
      <patternFill patternType="solid">
        <fgColor rgb="FF922B21"/>
        <bgColor indexed="64"/>
      </patternFill>
    </fill>
  </fills>
  <borders count="108">
    <border>
      <left/>
      <right/>
      <top/>
      <bottom/>
      <diagonal/>
    </border>
    <border>
      <left style="thin">
        <color rgb="FFC0C5D0"/>
      </left>
      <right style="thin">
        <color rgb="FFC0C5D0"/>
      </right>
      <top style="thin">
        <color rgb="FFC0C5D0"/>
      </top>
      <bottom style="medium">
        <color rgb="FF2563A8"/>
      </bottom>
      <diagonal/>
    </border>
    <border>
      <left style="medium">
        <color rgb="FF2563A8"/>
      </left>
      <right style="medium">
        <color rgb="FF2563A8"/>
      </right>
      <top style="medium">
        <color rgb="FF2563A8"/>
      </top>
      <bottom style="medium">
        <color rgb="FF2563A8"/>
      </bottom>
      <diagonal/>
    </border>
    <border>
      <left style="thin">
        <color rgb="FFC0C5D0"/>
      </left>
      <right style="thin">
        <color rgb="FFC0C5D0"/>
      </right>
      <top style="thin">
        <color rgb="FFC0C5D0"/>
      </top>
      <bottom style="thin">
        <color rgb="FFC0C5D0"/>
      </bottom>
      <diagonal/>
    </border>
    <border>
      <left style="medium">
        <color rgb="FF1F4E78"/>
      </left>
      <right style="thin">
        <color rgb="FF8DAAD9"/>
      </right>
      <top style="thin">
        <color rgb="FF8DAAD9"/>
      </top>
      <bottom/>
      <diagonal/>
    </border>
    <border>
      <left style="medium">
        <color rgb="FF1F4E78"/>
      </left>
      <right style="thin">
        <color rgb="FF8DAAD9"/>
      </right>
      <top/>
      <bottom/>
      <diagonal/>
    </border>
    <border>
      <left style="medium">
        <color rgb="FF1F4E78"/>
      </left>
      <right style="thin">
        <color rgb="FF8DAAD9"/>
      </right>
      <top style="medium">
        <color rgb="FF1F4E78"/>
      </top>
      <bottom style="thin">
        <color rgb="FF8DAAD9"/>
      </bottom>
      <diagonal/>
    </border>
    <border>
      <left style="thin">
        <color rgb="FF8DAAD9"/>
      </left>
      <right style="thin">
        <color rgb="FF8DAAD9"/>
      </right>
      <top style="medium">
        <color rgb="FF1F4E78"/>
      </top>
      <bottom style="thin">
        <color rgb="FF8DAAD9"/>
      </bottom>
      <diagonal/>
    </border>
    <border>
      <left style="thin">
        <color rgb="FF8DAAD9"/>
      </left>
      <right style="medium">
        <color rgb="FF1F4E78"/>
      </right>
      <top style="medium">
        <color rgb="FF1F4E78"/>
      </top>
      <bottom style="thin">
        <color rgb="FF8DAAD9"/>
      </bottom>
      <diagonal/>
    </border>
    <border>
      <left style="thin">
        <color rgb="FF8DAAD9"/>
      </left>
      <right/>
      <top/>
      <bottom/>
      <diagonal/>
    </border>
    <border>
      <left style="medium">
        <color rgb="FF1F4E78"/>
      </left>
      <right style="medium">
        <color rgb="FF1F4E78"/>
      </right>
      <top style="thin">
        <color rgb="FF8DAAD9"/>
      </top>
      <bottom/>
      <diagonal/>
    </border>
    <border>
      <left style="thin">
        <color rgb="FF8DAAD9"/>
      </left>
      <right style="thin">
        <color rgb="FF8DAAD9"/>
      </right>
      <top style="thin">
        <color rgb="FF8DAAD9"/>
      </top>
      <bottom style="thin">
        <color rgb="FF8DAAD9"/>
      </bottom>
      <diagonal/>
    </border>
    <border>
      <left style="thin">
        <color rgb="FF8DAAD9"/>
      </left>
      <right style="medium">
        <color rgb="FF1F4E78"/>
      </right>
      <top style="thin">
        <color rgb="FF8DAAD9"/>
      </top>
      <bottom style="thin">
        <color rgb="FF8DAAD9"/>
      </bottom>
      <diagonal/>
    </border>
    <border>
      <left style="medium">
        <color rgb="FF1F4E78"/>
      </left>
      <right/>
      <top/>
      <bottom/>
      <diagonal/>
    </border>
    <border>
      <left style="thin">
        <color rgb="FF8DAAD9"/>
      </left>
      <right style="thin">
        <color rgb="FF8DAAD9"/>
      </right>
      <top style="thin">
        <color rgb="FF8DAAD9"/>
      </top>
      <bottom/>
      <diagonal/>
    </border>
    <border>
      <left style="thin">
        <color rgb="FF8DAAD9"/>
      </left>
      <right style="medium">
        <color rgb="FF1F4E78"/>
      </right>
      <top style="thin">
        <color rgb="FF8DAAD9"/>
      </top>
      <bottom/>
      <diagonal/>
    </border>
    <border>
      <left style="medium">
        <color rgb="FF1F4E78"/>
      </left>
      <right style="thin">
        <color rgb="FF8DAAD9"/>
      </right>
      <top style="medium">
        <color rgb="FF1F4E78"/>
      </top>
      <bottom/>
      <diagonal/>
    </border>
    <border>
      <left style="medium">
        <color rgb="FF1F4E78"/>
      </left>
      <right style="medium">
        <color rgb="FF1F4E78"/>
      </right>
      <top/>
      <bottom/>
      <diagonal/>
    </border>
    <border>
      <left style="thin">
        <color rgb="FF8DAAD9"/>
      </left>
      <right style="thin">
        <color rgb="FF8DAAD9"/>
      </right>
      <top/>
      <bottom style="thin">
        <color rgb="FF8DAAD9"/>
      </bottom>
      <diagonal/>
    </border>
    <border>
      <left style="thin">
        <color rgb="FF8DAAD9"/>
      </left>
      <right style="medium">
        <color rgb="FF1F4E78"/>
      </right>
      <top/>
      <bottom style="thin">
        <color rgb="FF8DAAD9"/>
      </bottom>
      <diagonal/>
    </border>
    <border>
      <left style="thin">
        <color rgb="FF8DAAD9"/>
      </left>
      <right style="thin">
        <color rgb="FF8DAAD9"/>
      </right>
      <top style="medium">
        <color rgb="FF1F4E78"/>
      </top>
      <bottom/>
      <diagonal/>
    </border>
    <border>
      <left style="thin">
        <color rgb="FF8DAAD9"/>
      </left>
      <right style="medium">
        <color rgb="FF1F4E78"/>
      </right>
      <top style="medium">
        <color rgb="FF1F4E78"/>
      </top>
      <bottom/>
      <diagonal/>
    </border>
    <border>
      <left style="medium">
        <color rgb="FF1F4E78"/>
      </left>
      <right/>
      <top style="double">
        <color rgb="FF1F4E78"/>
      </top>
      <bottom/>
      <diagonal/>
    </border>
    <border>
      <left style="medium">
        <color rgb="FF1F4E78"/>
      </left>
      <right style="thin">
        <color rgb="FF8DAAD9"/>
      </right>
      <top style="double">
        <color rgb="FF1F4E78"/>
      </top>
      <bottom/>
      <diagonal/>
    </border>
    <border>
      <left style="thin">
        <color rgb="FF8DAAD9"/>
      </left>
      <right style="thin">
        <color rgb="FF8DAAD9"/>
      </right>
      <top style="double">
        <color rgb="FF1F4E78"/>
      </top>
      <bottom style="thin">
        <color rgb="FF8DAAD9"/>
      </bottom>
      <diagonal/>
    </border>
    <border>
      <left style="thin">
        <color rgb="FF8DAAD9"/>
      </left>
      <right style="medium">
        <color rgb="FF1F4E78"/>
      </right>
      <top style="double">
        <color rgb="FF1F4E78"/>
      </top>
      <bottom style="thin">
        <color rgb="FF8DAAD9"/>
      </bottom>
      <diagonal/>
    </border>
    <border>
      <left style="medium">
        <color rgb="FF1F4E78"/>
      </left>
      <right style="thin">
        <color rgb="FF8DAAD9"/>
      </right>
      <top/>
      <bottom style="medium">
        <color rgb="FF1F4E78"/>
      </bottom>
      <diagonal/>
    </border>
    <border>
      <left style="thin">
        <color rgb="FF8DAAD9"/>
      </left>
      <right style="thin">
        <color rgb="FF8DAAD9"/>
      </right>
      <top style="thin">
        <color rgb="FF8DAAD9"/>
      </top>
      <bottom style="medium">
        <color rgb="FF1F4E78"/>
      </bottom>
      <diagonal/>
    </border>
    <border>
      <left style="thin">
        <color rgb="FF8DAAD9"/>
      </left>
      <right style="medium">
        <color rgb="FF1F4E78"/>
      </right>
      <top style="thin">
        <color rgb="FF8DAAD9"/>
      </top>
      <bottom style="medium">
        <color rgb="FF1F4E78"/>
      </bottom>
      <diagonal/>
    </border>
    <border>
      <left style="medium">
        <color rgb="FF1F4E78"/>
      </left>
      <right style="thin">
        <color rgb="FF8DAAD9"/>
      </right>
      <top/>
      <bottom style="thin">
        <color rgb="FF8DAAD9"/>
      </bottom>
      <diagonal/>
    </border>
    <border>
      <left style="medium">
        <color rgb="FF1F4E78"/>
      </left>
      <right style="thin">
        <color rgb="FF8DAAD9"/>
      </right>
      <top style="thin">
        <color rgb="FF8DAAD9"/>
      </top>
      <bottom style="medium">
        <color rgb="FF1F4E78"/>
      </bottom>
      <diagonal/>
    </border>
    <border>
      <left style="medium">
        <color rgb="FF1F4E78"/>
      </left>
      <right style="thin">
        <color rgb="FF8DAAD9"/>
      </right>
      <top style="thin">
        <color rgb="FF8DAAD9"/>
      </top>
      <bottom style="thin">
        <color rgb="FF8DAAD9"/>
      </bottom>
      <diagonal/>
    </border>
    <border>
      <left/>
      <right style="medium">
        <color rgb="FF2563A8"/>
      </right>
      <top/>
      <bottom/>
      <diagonal/>
    </border>
    <border>
      <left style="thin">
        <color rgb="FFC0C5D0"/>
      </left>
      <right style="thin">
        <color rgb="FFC0C5D0"/>
      </right>
      <top style="medium">
        <color rgb="FF2563A8"/>
      </top>
      <bottom style="medium">
        <color rgb="FF2563A8"/>
      </bottom>
      <diagonal/>
    </border>
    <border>
      <left/>
      <right/>
      <top style="medium">
        <color rgb="FF1F3864"/>
      </top>
      <bottom style="thick">
        <color rgb="FF0B1F3F"/>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style="medium">
        <color rgb="FF9CA3AF"/>
      </left>
      <right style="thin">
        <color rgb="FFE5E7EB"/>
      </right>
      <top style="thin">
        <color rgb="FFE5E7EB"/>
      </top>
      <bottom style="thin">
        <color rgb="FFE5E7EB"/>
      </bottom>
      <diagonal/>
    </border>
    <border>
      <left style="thin">
        <color rgb="FF9CA3AF"/>
      </left>
      <right style="thin">
        <color rgb="FFE5E7EB"/>
      </right>
      <top style="thin">
        <color rgb="FFE5E7EB"/>
      </top>
      <bottom style="thin">
        <color rgb="FFE5E7EB"/>
      </bottom>
      <diagonal/>
    </border>
    <border>
      <left style="thin">
        <color rgb="FF9CA3AF"/>
      </left>
      <right style="thin">
        <color rgb="FFE5E7EB"/>
      </right>
      <top style="thin">
        <color rgb="FFE5E7EB"/>
      </top>
      <bottom style="thin">
        <color rgb="FF9CA3AF"/>
      </bottom>
      <diagonal/>
    </border>
    <border>
      <left style="thin">
        <color rgb="FFE5E7EB"/>
      </left>
      <right style="thin">
        <color rgb="FFE5E7EB"/>
      </right>
      <top style="thin">
        <color rgb="FFE5E7EB"/>
      </top>
      <bottom style="thin">
        <color rgb="FF9CA3AF"/>
      </bottom>
      <diagonal/>
    </border>
    <border>
      <left style="thin">
        <color rgb="FFE5E7EB"/>
      </left>
      <right style="thin">
        <color rgb="FFE5E7EB"/>
      </right>
      <top/>
      <bottom style="thin">
        <color rgb="FFE5E7EB"/>
      </bottom>
      <diagonal/>
    </border>
    <border>
      <left style="thin">
        <color rgb="FF9CA3AF"/>
      </left>
      <right style="thin">
        <color rgb="FFE5E7EB"/>
      </right>
      <top style="medium">
        <color rgb="FF1F3864"/>
      </top>
      <bottom style="thick">
        <color rgb="FF0B1F3F"/>
      </bottom>
      <diagonal/>
    </border>
    <border>
      <left style="thin">
        <color rgb="FFE5E7EB"/>
      </left>
      <right style="thin">
        <color rgb="FFE5E7EB"/>
      </right>
      <top style="medium">
        <color rgb="FF1F3864"/>
      </top>
      <bottom style="thick">
        <color rgb="FF0B1F3F"/>
      </bottom>
      <diagonal/>
    </border>
    <border>
      <left style="thin">
        <color rgb="FFE5E7EB"/>
      </left>
      <right/>
      <top style="medium">
        <color rgb="FF1F3864"/>
      </top>
      <bottom style="thick">
        <color rgb="FF0B1F3F"/>
      </bottom>
      <diagonal/>
    </border>
    <border>
      <left style="thin">
        <color rgb="FFE5E7EB"/>
      </left>
      <right/>
      <top/>
      <bottom style="thin">
        <color rgb="FFE5E7EB"/>
      </bottom>
      <diagonal/>
    </border>
    <border>
      <left style="thin">
        <color rgb="FFE5E7EB"/>
      </left>
      <right/>
      <top style="thin">
        <color rgb="FFE5E7EB"/>
      </top>
      <bottom style="thin">
        <color rgb="FF9CA3AF"/>
      </bottom>
      <diagonal/>
    </border>
    <border>
      <left/>
      <right style="thin">
        <color rgb="FFE5E7EB"/>
      </right>
      <top style="medium">
        <color rgb="FF1F3864"/>
      </top>
      <bottom style="thick">
        <color rgb="FF0B1F3F"/>
      </bottom>
      <diagonal/>
    </border>
    <border>
      <left/>
      <right style="thin">
        <color rgb="FFE5E7EB"/>
      </right>
      <top/>
      <bottom style="thin">
        <color rgb="FFE5E7EB"/>
      </bottom>
      <diagonal/>
    </border>
    <border>
      <left style="medium">
        <color rgb="FF1F3864"/>
      </left>
      <right style="thin">
        <color rgb="FFE5E7EB"/>
      </right>
      <top style="medium">
        <color rgb="FF1F3864"/>
      </top>
      <bottom style="thick">
        <color rgb="FF0B1F3F"/>
      </bottom>
      <diagonal/>
    </border>
    <border>
      <left style="medium">
        <color rgb="FF1F3864"/>
      </left>
      <right style="thin">
        <color rgb="FFE5E7EB"/>
      </right>
      <top/>
      <bottom style="thin">
        <color rgb="FFE5E7EB"/>
      </bottom>
      <diagonal/>
    </border>
    <border>
      <left style="medium">
        <color rgb="FF1F3864"/>
      </left>
      <right style="thin">
        <color rgb="FFE5E7EB"/>
      </right>
      <top style="thin">
        <color rgb="FFE5E7EB"/>
      </top>
      <bottom style="thin">
        <color rgb="FFE5E7EB"/>
      </bottom>
      <diagonal/>
    </border>
    <border>
      <left style="medium">
        <color rgb="FF1F3864"/>
      </left>
      <right style="thin">
        <color rgb="FFE5E7EB"/>
      </right>
      <top style="thin">
        <color rgb="FFE5E7EB"/>
      </top>
      <bottom style="thin">
        <color rgb="FF9CA3AF"/>
      </bottom>
      <diagonal/>
    </border>
    <border>
      <left/>
      <right/>
      <top/>
      <bottom style="thin">
        <color rgb="FFE5E7EB"/>
      </bottom>
      <diagonal/>
    </border>
    <border>
      <left/>
      <right style="thin">
        <color rgb="FF9CA3AF"/>
      </right>
      <top style="medium">
        <color rgb="FF1F3864"/>
      </top>
      <bottom style="thick">
        <color rgb="FF0B1F3F"/>
      </bottom>
      <diagonal/>
    </border>
    <border>
      <left/>
      <right style="thin">
        <color rgb="FF9CA3AF"/>
      </right>
      <top style="thin">
        <color rgb="FFE5E7EB"/>
      </top>
      <bottom style="thin">
        <color rgb="FFE5E7EB"/>
      </bottom>
      <diagonal/>
    </border>
    <border>
      <left/>
      <right style="thin">
        <color rgb="FF9CA3AF"/>
      </right>
      <top style="thin">
        <color rgb="FFE5E7EB"/>
      </top>
      <bottom style="thin">
        <color rgb="FF9CA3AF"/>
      </bottom>
      <diagonal/>
    </border>
    <border>
      <left style="medium">
        <color rgb="FF9CA3AF"/>
      </left>
      <right style="thin">
        <color rgb="FFE5E7EB"/>
      </right>
      <top style="medium">
        <color rgb="FF1F3864"/>
      </top>
      <bottom style="thick">
        <color rgb="FF0B1F3F"/>
      </bottom>
      <diagonal/>
    </border>
    <border>
      <left style="medium">
        <color rgb="FF9CA3AF"/>
      </left>
      <right style="thin">
        <color rgb="FFE5E7EB"/>
      </right>
      <top style="thin">
        <color rgb="FFE5E7EB"/>
      </top>
      <bottom style="thin">
        <color rgb="FF9CA3AF"/>
      </bottom>
      <diagonal/>
    </border>
    <border>
      <left/>
      <right style="medium">
        <color rgb="FF2563A8"/>
      </right>
      <top style="medium">
        <color rgb="FF2563A8"/>
      </top>
      <bottom style="medium">
        <color rgb="FF2563A8"/>
      </bottom>
      <diagonal/>
    </border>
    <border>
      <left style="thin">
        <color rgb="FFC0C5D0"/>
      </left>
      <right/>
      <top style="thin">
        <color rgb="FFC0C5D0"/>
      </top>
      <bottom style="thin">
        <color rgb="FFC0C5D0"/>
      </bottom>
      <diagonal/>
    </border>
    <border>
      <left style="thin">
        <color rgb="FF2563A8"/>
      </left>
      <right style="thin">
        <color rgb="FFC0C5D0"/>
      </right>
      <top style="thin">
        <color rgb="FFC0C5D0"/>
      </top>
      <bottom style="thin">
        <color rgb="FFC0C5D0"/>
      </bottom>
      <diagonal/>
    </border>
    <border>
      <left style="thin">
        <color rgb="FFC0C5D0"/>
      </left>
      <right/>
      <top style="medium">
        <color rgb="FF2563A8"/>
      </top>
      <bottom style="medium">
        <color rgb="FF2563A8"/>
      </bottom>
      <diagonal/>
    </border>
    <border>
      <left style="thin">
        <color rgb="FFC0C5D0"/>
      </left>
      <right style="thin">
        <color rgb="FFC0C5D0"/>
      </right>
      <top/>
      <bottom/>
      <diagonal/>
    </border>
    <border>
      <left style="thin">
        <color rgb="FF0A1838"/>
      </left>
      <right/>
      <top style="thin">
        <color rgb="FF0A1838"/>
      </top>
      <bottom/>
      <diagonal/>
    </border>
    <border>
      <left style="thin">
        <color rgb="FF0A1838"/>
      </left>
      <right style="thin">
        <color rgb="FF0A1838"/>
      </right>
      <top style="thin">
        <color rgb="FF0A1838"/>
      </top>
      <bottom/>
      <diagonal/>
    </border>
    <border>
      <left style="thin">
        <color rgb="FFC8CDD8"/>
      </left>
      <right/>
      <top style="thin">
        <color rgb="FFC8CDD8"/>
      </top>
      <bottom style="thin">
        <color rgb="FFC8CDD8"/>
      </bottom>
      <diagonal/>
    </border>
    <border>
      <left style="thin">
        <color rgb="FFC8CDD8"/>
      </left>
      <right style="thin">
        <color rgb="FFC8CDD8"/>
      </right>
      <top style="thin">
        <color rgb="FFC8CDD8"/>
      </top>
      <bottom style="thin">
        <color rgb="FFC8CDD8"/>
      </bottom>
      <diagonal/>
    </border>
    <border>
      <left style="thin">
        <color rgb="FF143A5C"/>
      </left>
      <right/>
      <top style="thin">
        <color rgb="FF143A5C"/>
      </top>
      <bottom/>
      <diagonal/>
    </border>
    <border>
      <left/>
      <right style="thin">
        <color rgb="FF143A5C"/>
      </right>
      <top style="thin">
        <color rgb="FF143A5C"/>
      </top>
      <bottom/>
      <diagonal/>
    </border>
    <border>
      <left style="thin">
        <color rgb="FF143A5C"/>
      </left>
      <right style="thin">
        <color rgb="FF143A5C"/>
      </right>
      <top style="thin">
        <color rgb="FF143A5C"/>
      </top>
      <bottom/>
      <diagonal/>
    </border>
    <border>
      <left style="thin">
        <color rgb="FFC8CDD8"/>
      </left>
      <right style="thin">
        <color rgb="FFC8CDD8"/>
      </right>
      <top/>
      <bottom/>
      <diagonal/>
    </border>
    <border>
      <left style="thin">
        <color rgb="FFC5CDD6"/>
      </left>
      <right/>
      <top style="thin">
        <color rgb="FFC5CDD6"/>
      </top>
      <bottom style="thin">
        <color rgb="FFC5CDD6"/>
      </bottom>
      <diagonal/>
    </border>
    <border>
      <left style="thin">
        <color rgb="FFC5CDD6"/>
      </left>
      <right/>
      <top style="thin">
        <color rgb="FFC5CDD6"/>
      </top>
      <bottom/>
      <diagonal/>
    </border>
    <border>
      <left/>
      <right/>
      <top style="thin">
        <color rgb="FFC5CDD6"/>
      </top>
      <bottom/>
      <diagonal/>
    </border>
    <border>
      <left/>
      <right style="thin">
        <color rgb="FFC5CDD6"/>
      </right>
      <top style="thin">
        <color rgb="FFC5CDD6"/>
      </top>
      <bottom/>
      <diagonal/>
    </border>
    <border>
      <left/>
      <right/>
      <top style="thin">
        <color rgb="FFC5CDD6"/>
      </top>
      <bottom style="thin">
        <color rgb="FFC5CDD6"/>
      </bottom>
      <diagonal/>
    </border>
    <border>
      <left/>
      <right style="thin">
        <color rgb="FFC5CDD6"/>
      </right>
      <top style="thin">
        <color rgb="FFC5CDD6"/>
      </top>
      <bottom style="thin">
        <color rgb="FFC5CDD6"/>
      </bottom>
      <diagonal/>
    </border>
    <border>
      <left style="thin">
        <color rgb="FFC5CDD6"/>
      </left>
      <right style="thin">
        <color rgb="FFC5CDD6"/>
      </right>
      <top style="thin">
        <color rgb="FFC5CDD6"/>
      </top>
      <bottom style="thin">
        <color rgb="FFC5CDD6"/>
      </bottom>
      <diagonal/>
    </border>
    <border>
      <left style="medium">
        <color rgb="FF1A4B8C"/>
      </left>
      <right/>
      <top style="medium">
        <color rgb="FF1A4B8C"/>
      </top>
      <bottom/>
      <diagonal/>
    </border>
    <border>
      <left style="thin">
        <color auto="1"/>
      </left>
      <right style="thin">
        <color auto="1"/>
      </right>
      <top style="thin">
        <color auto="1"/>
      </top>
      <bottom style="thin">
        <color auto="1"/>
      </bottom>
      <diagonal/>
    </border>
    <border>
      <left/>
      <right/>
      <top/>
      <bottom style="thin">
        <color rgb="FFC5CDD6"/>
      </bottom>
      <diagonal/>
    </border>
    <border>
      <left style="thin">
        <color rgb="FFC5CDD6"/>
      </left>
      <right style="thin">
        <color rgb="FFC5CDD6"/>
      </right>
      <top style="thin">
        <color rgb="FFC5CDD6"/>
      </top>
      <bottom/>
      <diagonal/>
    </border>
    <border>
      <left/>
      <right/>
      <top/>
      <bottom style="medium">
        <color rgb="FF16213E"/>
      </bottom>
      <diagonal/>
    </border>
    <border>
      <left/>
      <right/>
      <top style="medium">
        <color rgb="FF16213E"/>
      </top>
      <bottom/>
      <diagonal/>
    </border>
    <border>
      <left style="medium">
        <color rgb="FF16213E"/>
      </left>
      <right/>
      <top/>
      <bottom style="medium">
        <color rgb="FF16213E"/>
      </bottom>
      <diagonal/>
    </border>
    <border>
      <left/>
      <right style="medium">
        <color rgb="FF16213E"/>
      </right>
      <top style="medium">
        <color rgb="FF16213E"/>
      </top>
      <bottom/>
      <diagonal/>
    </border>
    <border>
      <left/>
      <right style="medium">
        <color rgb="FF16213E"/>
      </right>
      <top/>
      <bottom style="medium">
        <color rgb="FF16213E"/>
      </bottom>
      <diagonal/>
    </border>
    <border>
      <left style="thin">
        <color rgb="FFC5CDD6"/>
      </left>
      <right style="thin">
        <color rgb="FFC5CDD6"/>
      </right>
      <top/>
      <bottom/>
      <diagonal/>
    </border>
    <border>
      <left style="thin">
        <color rgb="FFC5CDD6"/>
      </left>
      <right style="thin">
        <color rgb="FFC5CDD6"/>
      </right>
      <top/>
      <bottom style="thin">
        <color rgb="FFC5CDD6"/>
      </bottom>
      <diagonal/>
    </border>
    <border>
      <left/>
      <right/>
      <top style="medium">
        <color rgb="FF1A4B8C"/>
      </top>
      <bottom/>
      <diagonal/>
    </border>
    <border>
      <left style="medium">
        <color rgb="FF1A4B8C"/>
      </left>
      <right/>
      <top/>
      <bottom/>
      <diagonal/>
    </border>
    <border>
      <left style="medium">
        <color rgb="FF16213E"/>
      </left>
      <right style="medium">
        <color rgb="FF16213E"/>
      </right>
      <top style="medium">
        <color rgb="FF16213E"/>
      </top>
      <bottom style="medium">
        <color rgb="FF16213E"/>
      </bottom>
      <diagonal/>
    </border>
    <border>
      <left/>
      <right style="thin">
        <color rgb="FFC5CDD6"/>
      </right>
      <top/>
      <bottom/>
      <diagonal/>
    </border>
    <border>
      <left/>
      <right style="thin">
        <color rgb="FFC5CDD6"/>
      </right>
      <top/>
      <bottom style="thin">
        <color rgb="FFC5CDD6"/>
      </bottom>
      <diagonal/>
    </border>
    <border>
      <left/>
      <right/>
      <top style="medium">
        <color rgb="FF2563A8"/>
      </top>
      <bottom style="medium">
        <color rgb="FF2563A8"/>
      </bottom>
      <diagonal/>
    </border>
    <border>
      <left/>
      <right/>
      <top style="thin">
        <color rgb="FFC0C5D0"/>
      </top>
      <bottom style="thin">
        <color rgb="FFC0C5D0"/>
      </bottom>
      <diagonal/>
    </border>
    <border>
      <left/>
      <right style="thin">
        <color rgb="FFC0C5D0"/>
      </right>
      <top style="thin">
        <color rgb="FFC0C5D0"/>
      </top>
      <bottom style="thin">
        <color rgb="FFC0C5D0"/>
      </bottom>
      <diagonal/>
    </border>
    <border>
      <left/>
      <right/>
      <top style="medium">
        <color rgb="FF1F4E78"/>
      </top>
      <bottom style="thin">
        <color rgb="FF8DAAD9"/>
      </bottom>
      <diagonal/>
    </border>
    <border>
      <left/>
      <right style="thin">
        <color rgb="FF8DAAD9"/>
      </right>
      <top style="medium">
        <color rgb="FF1F4E78"/>
      </top>
      <bottom style="thin">
        <color rgb="FF8DAAD9"/>
      </bottom>
      <diagonal/>
    </border>
    <border>
      <left/>
      <right/>
      <top style="thin">
        <color rgb="FFC0C5D0"/>
      </top>
      <bottom style="medium">
        <color rgb="FF2563A8"/>
      </bottom>
      <diagonal/>
    </border>
    <border>
      <left/>
      <right style="thin">
        <color rgb="FFC0C5D0"/>
      </right>
      <top style="thin">
        <color rgb="FFC0C5D0"/>
      </top>
      <bottom style="medium">
        <color rgb="FF2563A8"/>
      </bottom>
      <diagonal/>
    </border>
    <border>
      <left style="thin">
        <color rgb="FFBFBFBF"/>
      </left>
      <right style="thin">
        <color rgb="FFBFBFBF"/>
      </right>
      <top style="thin">
        <color rgb="FFBFBFBF"/>
      </top>
      <bottom style="thin">
        <color rgb="FFBFBFBF"/>
      </bottom>
      <diagonal/>
    </border>
    <border>
      <left style="medium">
        <color rgb="FF1F4E79"/>
      </left>
      <right style="medium">
        <color rgb="FF1F4E79"/>
      </right>
      <top style="medium">
        <color rgb="FF1F4E79"/>
      </top>
      <bottom style="medium">
        <color rgb="FF1F4E79"/>
      </bottom>
      <diagonal/>
    </border>
    <border>
      <left style="thin">
        <color rgb="FFBFBFBF"/>
      </left>
      <right style="medium">
        <color rgb="FF1E6B30"/>
      </right>
      <top style="thin">
        <color rgb="FFBFBFBF"/>
      </top>
      <bottom style="thin">
        <color rgb="FFBFBFBF"/>
      </bottom>
      <diagonal/>
    </border>
    <border>
      <left style="thin">
        <color rgb="FFC9D3E0"/>
      </left>
      <right style="thin">
        <color rgb="FFC9D3E0"/>
      </right>
      <top style="thin">
        <color rgb="FFC9D3E0"/>
      </top>
      <bottom style="thin">
        <color rgb="FFC9D3E0"/>
      </bottom>
      <diagonal/>
    </border>
    <border>
      <left style="thin">
        <color rgb="FFC9D3E0"/>
      </left>
      <right style="thin">
        <color rgb="FFC9D3E0"/>
      </right>
      <top style="thin">
        <color rgb="FFC9D3E0"/>
      </top>
      <bottom/>
      <diagonal/>
    </border>
    <border>
      <left style="thin">
        <color rgb="FFC9D3E0"/>
      </left>
      <right style="thin">
        <color rgb="FFC9D3E0"/>
      </right>
      <top/>
      <bottom style="thin">
        <color rgb="FFC9D3E0"/>
      </bottom>
      <diagonal/>
    </border>
  </borders>
  <cellStyleXfs count="3">
    <xf numFmtId="0" fontId="0" fillId="0" borderId="0"/>
    <xf numFmtId="0" fontId="68" fillId="0" borderId="0"/>
    <xf numFmtId="0" fontId="1" fillId="0" borderId="0"/>
  </cellStyleXfs>
  <cellXfs count="557">
    <xf numFmtId="0" fontId="0" fillId="0" borderId="0" xfId="0"/>
    <xf numFmtId="0" fontId="0" fillId="0" borderId="0" xfId="0" applyAlignment="1">
      <alignment horizontal="center"/>
    </xf>
    <xf numFmtId="0" fontId="10" fillId="0" borderId="0" xfId="0" applyFont="1" applyAlignment="1">
      <alignment horizontal="center"/>
    </xf>
    <xf numFmtId="9" fontId="0" fillId="0" borderId="0" xfId="0" applyNumberFormat="1" applyAlignment="1">
      <alignment horizontal="center"/>
    </xf>
    <xf numFmtId="0" fontId="11" fillId="2" borderId="6" xfId="0" applyFont="1" applyFill="1" applyBorder="1" applyAlignment="1">
      <alignment horizontal="center" vertical="center"/>
    </xf>
    <xf numFmtId="0" fontId="12" fillId="2" borderId="6" xfId="0" applyFont="1" applyFill="1" applyBorder="1" applyAlignment="1">
      <alignment horizontal="center" vertical="center"/>
    </xf>
    <xf numFmtId="0" fontId="11" fillId="2" borderId="7" xfId="0" applyFont="1" applyFill="1" applyBorder="1" applyAlignment="1">
      <alignment horizontal="center" vertical="center"/>
    </xf>
    <xf numFmtId="49" fontId="11" fillId="2" borderId="7" xfId="0" applyNumberFormat="1" applyFont="1" applyFill="1" applyBorder="1" applyAlignment="1">
      <alignment horizontal="center" vertical="center"/>
    </xf>
    <xf numFmtId="49" fontId="11" fillId="2" borderId="8" xfId="0" applyNumberFormat="1" applyFont="1" applyFill="1" applyBorder="1" applyAlignment="1">
      <alignment horizontal="center" vertical="center"/>
    </xf>
    <xf numFmtId="49" fontId="13" fillId="2" borderId="9" xfId="0" applyNumberFormat="1" applyFont="1" applyFill="1" applyBorder="1" applyAlignment="1">
      <alignment horizontal="center" vertical="center"/>
    </xf>
    <xf numFmtId="49" fontId="11" fillId="2" borderId="9" xfId="0" applyNumberFormat="1" applyFont="1" applyFill="1" applyBorder="1" applyAlignment="1">
      <alignment horizontal="center" vertical="center"/>
    </xf>
    <xf numFmtId="9" fontId="11" fillId="2" borderId="6" xfId="0" applyNumberFormat="1" applyFont="1" applyFill="1" applyBorder="1" applyAlignment="1">
      <alignment horizontal="center" vertical="center"/>
    </xf>
    <xf numFmtId="0" fontId="15" fillId="11" borderId="4" xfId="0" applyFont="1" applyFill="1" applyBorder="1" applyAlignment="1">
      <alignment horizontal="center"/>
    </xf>
    <xf numFmtId="0" fontId="16" fillId="10" borderId="11" xfId="0" applyFont="1" applyFill="1" applyBorder="1" applyAlignment="1">
      <alignment horizontal="right" vertical="center"/>
    </xf>
    <xf numFmtId="9" fontId="19" fillId="11" borderId="4" xfId="0" applyNumberFormat="1" applyFont="1" applyFill="1" applyBorder="1" applyAlignment="1">
      <alignment horizontal="center"/>
    </xf>
    <xf numFmtId="0" fontId="16" fillId="10" borderId="14" xfId="0" applyFont="1" applyFill="1" applyBorder="1" applyAlignment="1">
      <alignment horizontal="right" vertical="center"/>
    </xf>
    <xf numFmtId="0" fontId="16" fillId="10" borderId="7" xfId="0" applyFont="1" applyFill="1" applyBorder="1" applyAlignment="1">
      <alignment horizontal="right" vertical="center"/>
    </xf>
    <xf numFmtId="0" fontId="16" fillId="10" borderId="18" xfId="0" applyFont="1" applyFill="1" applyBorder="1" applyAlignment="1">
      <alignment horizontal="right" vertical="center"/>
    </xf>
    <xf numFmtId="0" fontId="15" fillId="11" borderId="5" xfId="0" applyFont="1" applyFill="1" applyBorder="1" applyAlignment="1">
      <alignment horizontal="center" vertical="center"/>
    </xf>
    <xf numFmtId="9" fontId="19" fillId="11" borderId="5" xfId="0" applyNumberFormat="1" applyFont="1" applyFill="1" applyBorder="1" applyAlignment="1">
      <alignment horizontal="center" vertical="center"/>
    </xf>
    <xf numFmtId="0" fontId="15" fillId="11" borderId="16" xfId="0" applyFont="1" applyFill="1" applyBorder="1" applyAlignment="1">
      <alignment horizontal="center" vertical="center"/>
    </xf>
    <xf numFmtId="0" fontId="16" fillId="10" borderId="20" xfId="0" applyFont="1" applyFill="1" applyBorder="1" applyAlignment="1">
      <alignment horizontal="right" vertical="center"/>
    </xf>
    <xf numFmtId="9" fontId="19" fillId="11" borderId="16" xfId="0" applyNumberFormat="1" applyFont="1" applyFill="1" applyBorder="1" applyAlignment="1">
      <alignment horizontal="center" vertical="center"/>
    </xf>
    <xf numFmtId="0" fontId="14" fillId="2" borderId="17" xfId="0" applyFont="1" applyFill="1" applyBorder="1" applyAlignment="1">
      <alignment horizontal="center" vertical="center"/>
    </xf>
    <xf numFmtId="0" fontId="16" fillId="10" borderId="24" xfId="0" applyFont="1" applyFill="1" applyBorder="1" applyAlignment="1">
      <alignment horizontal="right" vertical="center"/>
    </xf>
    <xf numFmtId="0" fontId="14" fillId="14" borderId="13" xfId="0" applyFont="1" applyFill="1" applyBorder="1" applyAlignment="1">
      <alignment horizontal="center" vertical="center"/>
    </xf>
    <xf numFmtId="0" fontId="16" fillId="10" borderId="27" xfId="0" applyFont="1" applyFill="1" applyBorder="1" applyAlignment="1">
      <alignment horizontal="right" vertical="center"/>
    </xf>
    <xf numFmtId="0" fontId="13" fillId="2" borderId="29" xfId="0" applyFont="1" applyFill="1" applyBorder="1" applyAlignment="1">
      <alignment horizontal="center" vertical="center"/>
    </xf>
    <xf numFmtId="0" fontId="12" fillId="2" borderId="29" xfId="0" applyFont="1" applyFill="1" applyBorder="1" applyAlignment="1">
      <alignment horizontal="center" vertical="center"/>
    </xf>
    <xf numFmtId="0" fontId="13" fillId="2" borderId="18" xfId="0" applyFont="1" applyFill="1" applyBorder="1" applyAlignment="1">
      <alignment horizontal="center" vertical="center"/>
    </xf>
    <xf numFmtId="9" fontId="13" fillId="2" borderId="29" xfId="0" applyNumberFormat="1" applyFont="1" applyFill="1" applyBorder="1" applyAlignment="1">
      <alignment horizontal="center" vertical="center"/>
    </xf>
    <xf numFmtId="0" fontId="20" fillId="15" borderId="30" xfId="0" applyFont="1" applyFill="1" applyBorder="1" applyAlignment="1">
      <alignment horizontal="center" vertical="center"/>
    </xf>
    <xf numFmtId="0" fontId="21" fillId="15" borderId="30" xfId="0" applyFont="1" applyFill="1" applyBorder="1" applyAlignment="1">
      <alignment horizontal="center" vertical="center"/>
    </xf>
    <xf numFmtId="0" fontId="20" fillId="15" borderId="27" xfId="0" applyFont="1" applyFill="1" applyBorder="1" applyAlignment="1">
      <alignment horizontal="center" vertical="center"/>
    </xf>
    <xf numFmtId="9" fontId="20" fillId="15" borderId="30" xfId="0" applyNumberFormat="1" applyFont="1" applyFill="1" applyBorder="1" applyAlignment="1">
      <alignment horizontal="center" vertical="center"/>
    </xf>
    <xf numFmtId="0" fontId="11" fillId="2" borderId="31" xfId="0" applyFont="1" applyFill="1" applyBorder="1" applyAlignment="1">
      <alignment horizontal="center" vertical="center"/>
    </xf>
    <xf numFmtId="0" fontId="11" fillId="2" borderId="11" xfId="0" applyFont="1" applyFill="1" applyBorder="1" applyAlignment="1">
      <alignment horizontal="center" vertical="center"/>
    </xf>
    <xf numFmtId="0" fontId="11" fillId="2" borderId="12" xfId="0" applyFont="1" applyFill="1" applyBorder="1" applyAlignment="1">
      <alignment horizontal="center" vertical="center"/>
    </xf>
    <xf numFmtId="0" fontId="14" fillId="14" borderId="31" xfId="0" applyFont="1" applyFill="1" applyBorder="1" applyAlignment="1">
      <alignment horizontal="center" vertical="center"/>
    </xf>
    <xf numFmtId="0" fontId="11" fillId="2" borderId="4" xfId="0" applyFont="1" applyFill="1" applyBorder="1" applyAlignment="1">
      <alignment horizontal="center" vertical="center"/>
    </xf>
    <xf numFmtId="0" fontId="8" fillId="10" borderId="0" xfId="0" applyFont="1" applyFill="1" applyAlignment="1">
      <alignment horizontal="center" vertical="center"/>
    </xf>
    <xf numFmtId="0" fontId="14" fillId="17" borderId="31" xfId="0" applyFont="1" applyFill="1" applyBorder="1" applyAlignment="1">
      <alignment horizontal="center" vertical="center"/>
    </xf>
    <xf numFmtId="0" fontId="0" fillId="3" borderId="0" xfId="0" applyFill="1"/>
    <xf numFmtId="0" fontId="26" fillId="19" borderId="2" xfId="0" applyFont="1" applyFill="1" applyBorder="1" applyAlignment="1">
      <alignment horizontal="center" vertical="center" readingOrder="2"/>
    </xf>
    <xf numFmtId="0" fontId="0" fillId="4" borderId="0" xfId="0" applyFill="1"/>
    <xf numFmtId="0" fontId="2" fillId="21" borderId="2" xfId="0" applyFont="1" applyFill="1" applyBorder="1" applyAlignment="1">
      <alignment horizontal="center" vertical="center" readingOrder="2"/>
    </xf>
    <xf numFmtId="0" fontId="2" fillId="22" borderId="2" xfId="0" applyFont="1" applyFill="1" applyBorder="1" applyAlignment="1">
      <alignment horizontal="center" vertical="center" readingOrder="2"/>
    </xf>
    <xf numFmtId="0" fontId="2" fillId="23" borderId="2" xfId="0" applyFont="1" applyFill="1" applyBorder="1" applyAlignment="1">
      <alignment horizontal="center" vertical="center" readingOrder="2"/>
    </xf>
    <xf numFmtId="1" fontId="34" fillId="6" borderId="2" xfId="0" applyNumberFormat="1" applyFont="1" applyFill="1" applyBorder="1" applyAlignment="1">
      <alignment horizontal="center" vertical="center" readingOrder="2"/>
    </xf>
    <xf numFmtId="1" fontId="35" fillId="25" borderId="2" xfId="0" applyNumberFormat="1" applyFont="1" applyFill="1" applyBorder="1" applyAlignment="1">
      <alignment horizontal="center" vertical="center" readingOrder="2"/>
    </xf>
    <xf numFmtId="1" fontId="36" fillId="26" borderId="2" xfId="0" applyNumberFormat="1" applyFont="1" applyFill="1" applyBorder="1" applyAlignment="1">
      <alignment horizontal="center" vertical="center" readingOrder="2"/>
    </xf>
    <xf numFmtId="1" fontId="37" fillId="7" borderId="2" xfId="0" applyNumberFormat="1" applyFont="1" applyFill="1" applyBorder="1" applyAlignment="1">
      <alignment horizontal="center" vertical="center" readingOrder="2"/>
    </xf>
    <xf numFmtId="0" fontId="2" fillId="24" borderId="33" xfId="0" applyFont="1" applyFill="1" applyBorder="1" applyAlignment="1">
      <alignment horizontal="center" vertical="center" readingOrder="2"/>
    </xf>
    <xf numFmtId="0" fontId="46" fillId="28" borderId="2" xfId="0" applyFont="1" applyFill="1" applyBorder="1" applyAlignment="1">
      <alignment horizontal="center" vertical="center" readingOrder="2"/>
    </xf>
    <xf numFmtId="0" fontId="31" fillId="22" borderId="2" xfId="0" applyFont="1" applyFill="1" applyBorder="1" applyAlignment="1">
      <alignment horizontal="center" vertical="center" readingOrder="2"/>
    </xf>
    <xf numFmtId="0" fontId="47" fillId="28" borderId="2" xfId="0" applyFont="1" applyFill="1" applyBorder="1" applyAlignment="1">
      <alignment horizontal="center" vertical="center" readingOrder="2"/>
    </xf>
    <xf numFmtId="0" fontId="48" fillId="9" borderId="2" xfId="0" applyFont="1" applyFill="1" applyBorder="1" applyAlignment="1">
      <alignment horizontal="center" vertical="center" readingOrder="2"/>
    </xf>
    <xf numFmtId="0" fontId="31" fillId="29" borderId="2" xfId="0" applyFont="1" applyFill="1" applyBorder="1" applyAlignment="1">
      <alignment horizontal="center" vertical="center" readingOrder="2"/>
    </xf>
    <xf numFmtId="0" fontId="49" fillId="9" borderId="2" xfId="0" applyFont="1" applyFill="1" applyBorder="1" applyAlignment="1">
      <alignment horizontal="center" vertical="center" readingOrder="2"/>
    </xf>
    <xf numFmtId="0" fontId="31" fillId="18" borderId="2" xfId="0" applyFont="1" applyFill="1" applyBorder="1" applyAlignment="1">
      <alignment horizontal="center" vertical="center" readingOrder="2"/>
    </xf>
    <xf numFmtId="0" fontId="51" fillId="5" borderId="2" xfId="0" applyFont="1" applyFill="1" applyBorder="1" applyAlignment="1">
      <alignment horizontal="center" vertical="center" readingOrder="2"/>
    </xf>
    <xf numFmtId="0" fontId="53" fillId="4" borderId="2" xfId="0" applyFont="1" applyFill="1" applyBorder="1" applyAlignment="1">
      <alignment horizontal="center" vertical="center" readingOrder="2"/>
    </xf>
    <xf numFmtId="0" fontId="54" fillId="18" borderId="2" xfId="0" applyFont="1" applyFill="1" applyBorder="1" applyAlignment="1">
      <alignment horizontal="center" vertical="center" readingOrder="2"/>
    </xf>
    <xf numFmtId="1" fontId="35" fillId="28" borderId="2" xfId="0" applyNumberFormat="1" applyFont="1" applyFill="1" applyBorder="1" applyAlignment="1">
      <alignment horizontal="center" vertical="center" readingOrder="2"/>
    </xf>
    <xf numFmtId="0" fontId="60" fillId="28" borderId="3" xfId="0" applyFont="1" applyFill="1" applyBorder="1" applyAlignment="1">
      <alignment horizontal="center" vertical="center" readingOrder="2"/>
    </xf>
    <xf numFmtId="0" fontId="44" fillId="28" borderId="3" xfId="0" applyFont="1" applyFill="1" applyBorder="1" applyAlignment="1">
      <alignment horizontal="center" vertical="center" readingOrder="2"/>
    </xf>
    <xf numFmtId="0" fontId="43" fillId="28" borderId="3" xfId="0" applyFont="1" applyFill="1" applyBorder="1" applyAlignment="1">
      <alignment horizontal="center" vertical="center" readingOrder="2"/>
    </xf>
    <xf numFmtId="9" fontId="61" fillId="28" borderId="3" xfId="0" applyNumberFormat="1" applyFont="1" applyFill="1" applyBorder="1" applyAlignment="1">
      <alignment horizontal="center" vertical="center" readingOrder="2"/>
    </xf>
    <xf numFmtId="0" fontId="53" fillId="28" borderId="3" xfId="0" applyFont="1" applyFill="1" applyBorder="1" applyAlignment="1">
      <alignment horizontal="center" vertical="center" readingOrder="2"/>
    </xf>
    <xf numFmtId="0" fontId="60" fillId="10" borderId="3" xfId="0" applyFont="1" applyFill="1" applyBorder="1" applyAlignment="1">
      <alignment horizontal="center" vertical="center" readingOrder="2"/>
    </xf>
    <xf numFmtId="0" fontId="44" fillId="10" borderId="3" xfId="0" applyFont="1" applyFill="1" applyBorder="1" applyAlignment="1">
      <alignment horizontal="center" vertical="center" readingOrder="2"/>
    </xf>
    <xf numFmtId="0" fontId="43" fillId="10" borderId="3" xfId="0" applyFont="1" applyFill="1" applyBorder="1" applyAlignment="1">
      <alignment horizontal="center" vertical="center" readingOrder="2"/>
    </xf>
    <xf numFmtId="9" fontId="61" fillId="10" borderId="3" xfId="0" applyNumberFormat="1" applyFont="1" applyFill="1" applyBorder="1" applyAlignment="1">
      <alignment horizontal="center" vertical="center" readingOrder="2"/>
    </xf>
    <xf numFmtId="0" fontId="53" fillId="10" borderId="3" xfId="0" applyFont="1" applyFill="1" applyBorder="1" applyAlignment="1">
      <alignment horizontal="center" vertical="center" readingOrder="2"/>
    </xf>
    <xf numFmtId="0" fontId="60" fillId="9" borderId="3" xfId="0" applyFont="1" applyFill="1" applyBorder="1" applyAlignment="1">
      <alignment horizontal="center" vertical="center" readingOrder="2"/>
    </xf>
    <xf numFmtId="0" fontId="44" fillId="9" borderId="3" xfId="0" applyFont="1" applyFill="1" applyBorder="1" applyAlignment="1">
      <alignment horizontal="center" vertical="center" readingOrder="2"/>
    </xf>
    <xf numFmtId="0" fontId="43" fillId="9" borderId="3" xfId="0" applyFont="1" applyFill="1" applyBorder="1" applyAlignment="1">
      <alignment horizontal="center" vertical="center" readingOrder="2"/>
    </xf>
    <xf numFmtId="9" fontId="61" fillId="9" borderId="3" xfId="0" applyNumberFormat="1" applyFont="1" applyFill="1" applyBorder="1" applyAlignment="1">
      <alignment horizontal="center" vertical="center" readingOrder="2"/>
    </xf>
    <xf numFmtId="0" fontId="53" fillId="9" borderId="3" xfId="0" applyFont="1" applyFill="1" applyBorder="1" applyAlignment="1">
      <alignment horizontal="center" vertical="center" readingOrder="2"/>
    </xf>
    <xf numFmtId="0" fontId="60" fillId="5" borderId="3" xfId="0" applyFont="1" applyFill="1" applyBorder="1" applyAlignment="1">
      <alignment horizontal="center" vertical="center" readingOrder="2"/>
    </xf>
    <xf numFmtId="0" fontId="44" fillId="5" borderId="3" xfId="0" applyFont="1" applyFill="1" applyBorder="1" applyAlignment="1">
      <alignment horizontal="center" vertical="center" readingOrder="2"/>
    </xf>
    <xf numFmtId="0" fontId="43" fillId="5" borderId="3" xfId="0" applyFont="1" applyFill="1" applyBorder="1" applyAlignment="1">
      <alignment horizontal="center" vertical="center" readingOrder="2"/>
    </xf>
    <xf numFmtId="9" fontId="61" fillId="5" borderId="3" xfId="0" applyNumberFormat="1" applyFont="1" applyFill="1" applyBorder="1" applyAlignment="1">
      <alignment horizontal="center" vertical="center" readingOrder="2"/>
    </xf>
    <xf numFmtId="0" fontId="53" fillId="5" borderId="3" xfId="0" applyFont="1" applyFill="1" applyBorder="1" applyAlignment="1">
      <alignment horizontal="center" vertical="center" readingOrder="2"/>
    </xf>
    <xf numFmtId="0" fontId="65" fillId="32" borderId="1" xfId="0" applyFont="1" applyFill="1" applyBorder="1" applyAlignment="1">
      <alignment horizontal="center" vertical="center" readingOrder="2"/>
    </xf>
    <xf numFmtId="0" fontId="65" fillId="32" borderId="1" xfId="0" applyFont="1" applyFill="1" applyBorder="1" applyAlignment="1">
      <alignment horizontal="center" vertical="center" wrapText="1" readingOrder="2"/>
    </xf>
    <xf numFmtId="0" fontId="66" fillId="8" borderId="3" xfId="0" applyFont="1" applyFill="1" applyBorder="1" applyAlignment="1">
      <alignment horizontal="right" vertical="center" readingOrder="2"/>
    </xf>
    <xf numFmtId="0" fontId="53" fillId="8" borderId="3" xfId="0" applyFont="1" applyFill="1" applyBorder="1" applyAlignment="1">
      <alignment horizontal="center" vertical="center" readingOrder="2"/>
    </xf>
    <xf numFmtId="0" fontId="66" fillId="10" borderId="3" xfId="0" applyFont="1" applyFill="1" applyBorder="1" applyAlignment="1">
      <alignment horizontal="right" vertical="center" readingOrder="2"/>
    </xf>
    <xf numFmtId="0" fontId="70" fillId="0" borderId="35" xfId="0" applyFont="1" applyBorder="1" applyAlignment="1" applyProtection="1">
      <alignment horizontal="right" vertical="center" wrapText="1" indent="1" readingOrder="2"/>
      <protection locked="0"/>
    </xf>
    <xf numFmtId="0" fontId="70" fillId="0" borderId="35" xfId="0" applyFont="1" applyBorder="1" applyAlignment="1" applyProtection="1">
      <alignment horizontal="center" vertical="center" wrapText="1" readingOrder="2"/>
      <protection locked="0"/>
    </xf>
    <xf numFmtId="0" fontId="70" fillId="0" borderId="45" xfId="0" applyFont="1" applyBorder="1" applyAlignment="1" applyProtection="1">
      <alignment horizontal="right" vertical="center" wrapText="1" indent="1" readingOrder="2"/>
      <protection locked="0"/>
    </xf>
    <xf numFmtId="0" fontId="70" fillId="0" borderId="36" xfId="0" applyFont="1" applyBorder="1" applyAlignment="1" applyProtection="1">
      <alignment horizontal="right" vertical="center" wrapText="1" indent="1" readingOrder="2"/>
      <protection locked="0"/>
    </xf>
    <xf numFmtId="0" fontId="73" fillId="0" borderId="35" xfId="0" applyFont="1" applyBorder="1" applyAlignment="1" applyProtection="1">
      <alignment horizontal="center" vertical="center" wrapText="1" readingOrder="2"/>
      <protection locked="0"/>
    </xf>
    <xf numFmtId="0" fontId="76" fillId="0" borderId="0" xfId="0" applyFont="1"/>
    <xf numFmtId="0" fontId="3" fillId="21" borderId="33" xfId="0" applyFont="1" applyFill="1" applyBorder="1" applyAlignment="1">
      <alignment horizontal="center" vertical="center" readingOrder="2"/>
    </xf>
    <xf numFmtId="0" fontId="81" fillId="6" borderId="3" xfId="0" applyFont="1" applyFill="1" applyBorder="1" applyAlignment="1">
      <alignment horizontal="center" vertical="center" readingOrder="2"/>
    </xf>
    <xf numFmtId="0" fontId="42" fillId="6" borderId="3" xfId="0" applyFont="1" applyFill="1" applyBorder="1" applyAlignment="1">
      <alignment horizontal="center" vertical="center" readingOrder="2"/>
    </xf>
    <xf numFmtId="0" fontId="81" fillId="10" borderId="3" xfId="0" applyFont="1" applyFill="1" applyBorder="1" applyAlignment="1">
      <alignment horizontal="center" vertical="center" readingOrder="2"/>
    </xf>
    <xf numFmtId="0" fontId="42" fillId="10" borderId="3" xfId="0" applyFont="1" applyFill="1" applyBorder="1" applyAlignment="1">
      <alignment horizontal="center" vertical="center" readingOrder="2"/>
    </xf>
    <xf numFmtId="0" fontId="83" fillId="0" borderId="35" xfId="0" applyFont="1" applyBorder="1" applyAlignment="1" applyProtection="1">
      <alignment horizontal="center" vertical="center" wrapText="1" readingOrder="2"/>
      <protection locked="0"/>
    </xf>
    <xf numFmtId="0" fontId="87" fillId="34" borderId="0" xfId="0" applyFont="1" applyFill="1" applyAlignment="1">
      <alignment horizontal="centerContinuous" vertical="center" wrapText="1" readingOrder="2"/>
    </xf>
    <xf numFmtId="0" fontId="81" fillId="0" borderId="0" xfId="0" applyFont="1" applyAlignment="1">
      <alignment horizontal="centerContinuous" vertical="center" wrapText="1" readingOrder="2"/>
    </xf>
    <xf numFmtId="0" fontId="89" fillId="27" borderId="62" xfId="0" applyFont="1" applyFill="1" applyBorder="1" applyAlignment="1">
      <alignment horizontal="center" vertical="center" readingOrder="2"/>
    </xf>
    <xf numFmtId="0" fontId="91" fillId="4" borderId="60" xfId="0" applyFont="1" applyFill="1" applyBorder="1" applyAlignment="1">
      <alignment horizontal="center" vertical="center" readingOrder="2"/>
    </xf>
    <xf numFmtId="1" fontId="91" fillId="38" borderId="3" xfId="0" applyNumberFormat="1" applyFont="1" applyFill="1" applyBorder="1" applyAlignment="1">
      <alignment horizontal="center" vertical="center" readingOrder="2"/>
    </xf>
    <xf numFmtId="0" fontId="92" fillId="0" borderId="0" xfId="0" applyFont="1"/>
    <xf numFmtId="0" fontId="89" fillId="37" borderId="60" xfId="0" applyFont="1" applyFill="1" applyBorder="1" applyAlignment="1">
      <alignment horizontal="center" vertical="center" readingOrder="2"/>
    </xf>
    <xf numFmtId="0" fontId="89" fillId="37" borderId="61" xfId="0" applyFont="1" applyFill="1" applyBorder="1" applyAlignment="1">
      <alignment horizontal="center" vertical="center" readingOrder="2"/>
    </xf>
    <xf numFmtId="9" fontId="90" fillId="38" borderId="61" xfId="0" applyNumberFormat="1" applyFont="1" applyFill="1" applyBorder="1" applyAlignment="1">
      <alignment horizontal="center" vertical="center" readingOrder="2"/>
    </xf>
    <xf numFmtId="0" fontId="94" fillId="7" borderId="3" xfId="0" applyFont="1" applyFill="1" applyBorder="1" applyAlignment="1">
      <alignment horizontal="center" vertical="center" readingOrder="2"/>
    </xf>
    <xf numFmtId="0" fontId="95" fillId="7" borderId="3" xfId="0" applyFont="1" applyFill="1" applyBorder="1" applyAlignment="1">
      <alignment horizontal="center" vertical="center" readingOrder="2"/>
    </xf>
    <xf numFmtId="0" fontId="94" fillId="10" borderId="3" xfId="0" applyFont="1" applyFill="1" applyBorder="1" applyAlignment="1">
      <alignment horizontal="center" vertical="center" readingOrder="2"/>
    </xf>
    <xf numFmtId="0" fontId="95" fillId="10" borderId="3" xfId="0" applyFont="1" applyFill="1" applyBorder="1" applyAlignment="1">
      <alignment horizontal="center" vertical="center" readingOrder="2"/>
    </xf>
    <xf numFmtId="0" fontId="90" fillId="38" borderId="3" xfId="0" applyFont="1" applyFill="1" applyBorder="1" applyAlignment="1">
      <alignment horizontal="center" vertical="center" readingOrder="2"/>
    </xf>
    <xf numFmtId="0" fontId="91" fillId="0" borderId="60" xfId="0" applyFont="1" applyBorder="1" applyAlignment="1">
      <alignment horizontal="center" vertical="center" readingOrder="2"/>
    </xf>
    <xf numFmtId="1" fontId="91" fillId="0" borderId="3" xfId="0" applyNumberFormat="1" applyFont="1" applyBorder="1" applyAlignment="1">
      <alignment horizontal="center" vertical="center" readingOrder="2"/>
    </xf>
    <xf numFmtId="9" fontId="90" fillId="0" borderId="61" xfId="0" applyNumberFormat="1" applyFont="1" applyBorder="1" applyAlignment="1">
      <alignment horizontal="center" vertical="center" readingOrder="2"/>
    </xf>
    <xf numFmtId="0" fontId="90" fillId="0" borderId="3" xfId="0" applyFont="1" applyBorder="1" applyAlignment="1">
      <alignment horizontal="center" vertical="center" readingOrder="2"/>
    </xf>
    <xf numFmtId="0" fontId="69" fillId="33" borderId="43" xfId="0" applyFont="1" applyFill="1" applyBorder="1" applyAlignment="1" applyProtection="1">
      <alignment horizontal="center" vertical="center" wrapText="1" readingOrder="2"/>
      <protection locked="0"/>
    </xf>
    <xf numFmtId="0" fontId="69" fillId="33" borderId="44" xfId="0" applyFont="1" applyFill="1" applyBorder="1" applyAlignment="1" applyProtection="1">
      <alignment horizontal="center" vertical="center" wrapText="1" readingOrder="2"/>
      <protection locked="0"/>
    </xf>
    <xf numFmtId="0" fontId="7" fillId="0" borderId="0" xfId="0" applyFont="1" applyProtection="1">
      <protection locked="0"/>
    </xf>
    <xf numFmtId="0" fontId="0" fillId="0" borderId="0" xfId="0" applyProtection="1">
      <protection locked="0"/>
    </xf>
    <xf numFmtId="0" fontId="70" fillId="0" borderId="35" xfId="0" applyFont="1" applyBorder="1" applyAlignment="1" applyProtection="1">
      <alignment horizontal="right" vertical="center" wrapText="1" indent="1"/>
      <protection locked="0"/>
    </xf>
    <xf numFmtId="0" fontId="73" fillId="0" borderId="35" xfId="0" applyFont="1" applyBorder="1" applyAlignment="1" applyProtection="1">
      <alignment horizontal="center" vertical="center" wrapText="1"/>
      <protection locked="0"/>
    </xf>
    <xf numFmtId="0" fontId="70" fillId="0" borderId="35" xfId="0" applyFont="1" applyBorder="1" applyAlignment="1" applyProtection="1">
      <alignment horizontal="center" vertical="center" wrapText="1"/>
      <protection locked="0"/>
    </xf>
    <xf numFmtId="0" fontId="70" fillId="0" borderId="36" xfId="0" applyFont="1" applyBorder="1" applyAlignment="1" applyProtection="1">
      <alignment horizontal="right" vertical="center" wrapText="1" indent="1"/>
      <protection locked="0"/>
    </xf>
    <xf numFmtId="0" fontId="73" fillId="0" borderId="40" xfId="0" applyFont="1" applyBorder="1" applyAlignment="1" applyProtection="1">
      <alignment horizontal="center" vertical="center" wrapText="1"/>
      <protection locked="0"/>
    </xf>
    <xf numFmtId="0" fontId="70" fillId="0" borderId="40" xfId="0" applyFont="1" applyBorder="1" applyAlignment="1" applyProtection="1">
      <alignment horizontal="center" vertical="center" wrapText="1"/>
      <protection locked="0"/>
    </xf>
    <xf numFmtId="0" fontId="70" fillId="0" borderId="40" xfId="0" applyFont="1" applyBorder="1" applyAlignment="1" applyProtection="1">
      <alignment horizontal="right" vertical="center" wrapText="1" indent="1"/>
      <protection locked="0"/>
    </xf>
    <xf numFmtId="0" fontId="70" fillId="0" borderId="46" xfId="0" applyFont="1" applyBorder="1" applyAlignment="1" applyProtection="1">
      <alignment horizontal="right" vertical="center" wrapText="1" indent="1"/>
      <protection locked="0"/>
    </xf>
    <xf numFmtId="0" fontId="6" fillId="0" borderId="0" xfId="0" applyFont="1" applyProtection="1">
      <protection locked="0"/>
    </xf>
    <xf numFmtId="0" fontId="0" fillId="0" borderId="0" xfId="0" applyAlignment="1" applyProtection="1">
      <alignment horizontal="center"/>
      <protection locked="0"/>
    </xf>
    <xf numFmtId="0" fontId="69" fillId="33" borderId="42" xfId="0" applyFont="1" applyFill="1" applyBorder="1" applyAlignment="1">
      <alignment horizontal="center" vertical="center" wrapText="1" readingOrder="2"/>
    </xf>
    <xf numFmtId="0" fontId="71" fillId="0" borderId="38" xfId="0" applyFont="1" applyBorder="1" applyAlignment="1">
      <alignment horizontal="center" vertical="center" wrapText="1" readingOrder="2"/>
    </xf>
    <xf numFmtId="0" fontId="71" fillId="0" borderId="38" xfId="0" applyFont="1" applyBorder="1" applyAlignment="1">
      <alignment horizontal="center" vertical="center" wrapText="1"/>
    </xf>
    <xf numFmtId="0" fontId="71" fillId="0" borderId="39" xfId="0" applyFont="1" applyBorder="1" applyAlignment="1">
      <alignment horizontal="center" vertical="center" wrapText="1"/>
    </xf>
    <xf numFmtId="0" fontId="69" fillId="33" borderId="43" xfId="0" applyFont="1" applyFill="1" applyBorder="1" applyAlignment="1">
      <alignment horizontal="center" vertical="center" wrapText="1" readingOrder="2"/>
    </xf>
    <xf numFmtId="0" fontId="72" fillId="0" borderId="35" xfId="0" applyFont="1" applyBorder="1" applyAlignment="1">
      <alignment horizontal="center" vertical="center" wrapText="1" readingOrder="2"/>
    </xf>
    <xf numFmtId="0" fontId="72" fillId="0" borderId="35" xfId="0" applyFont="1" applyBorder="1" applyAlignment="1">
      <alignment horizontal="center" vertical="center" wrapText="1"/>
    </xf>
    <xf numFmtId="0" fontId="72" fillId="0" borderId="40" xfId="0" applyFont="1" applyBorder="1" applyAlignment="1">
      <alignment horizontal="center" vertical="center" wrapText="1"/>
    </xf>
    <xf numFmtId="0" fontId="73" fillId="0" borderId="35" xfId="0" applyFont="1" applyBorder="1" applyAlignment="1">
      <alignment horizontal="center" vertical="center" wrapText="1" readingOrder="2"/>
    </xf>
    <xf numFmtId="0" fontId="70" fillId="0" borderId="35" xfId="0" applyFont="1" applyBorder="1" applyAlignment="1">
      <alignment horizontal="right" vertical="center" wrapText="1" indent="1" readingOrder="2"/>
    </xf>
    <xf numFmtId="0" fontId="70" fillId="0" borderId="35" xfId="0" applyFont="1" applyBorder="1" applyAlignment="1">
      <alignment horizontal="right" vertical="center" wrapText="1" indent="1"/>
    </xf>
    <xf numFmtId="0" fontId="70" fillId="0" borderId="40" xfId="0" applyFont="1" applyBorder="1" applyAlignment="1">
      <alignment horizontal="right" vertical="center" wrapText="1" indent="1"/>
    </xf>
    <xf numFmtId="0" fontId="70" fillId="0" borderId="35" xfId="0" applyFont="1" applyBorder="1" applyAlignment="1">
      <alignment horizontal="center" vertical="center" wrapText="1" readingOrder="2"/>
    </xf>
    <xf numFmtId="0" fontId="70" fillId="0" borderId="35" xfId="0" applyFont="1" applyBorder="1" applyAlignment="1">
      <alignment horizontal="center" vertical="center" wrapText="1"/>
    </xf>
    <xf numFmtId="0" fontId="70" fillId="0" borderId="40" xfId="0" applyFont="1" applyBorder="1" applyAlignment="1">
      <alignment horizontal="center" vertical="center" wrapText="1"/>
    </xf>
    <xf numFmtId="0" fontId="69" fillId="33" borderId="49" xfId="0" applyFont="1" applyFill="1" applyBorder="1" applyAlignment="1">
      <alignment horizontal="center" vertical="center" wrapText="1" readingOrder="2"/>
    </xf>
    <xf numFmtId="1" fontId="74" fillId="0" borderId="50" xfId="0" applyNumberFormat="1" applyFont="1" applyBorder="1" applyAlignment="1">
      <alignment horizontal="center" vertical="center" wrapText="1" readingOrder="2"/>
    </xf>
    <xf numFmtId="0" fontId="69" fillId="33" borderId="47" xfId="0" applyFont="1" applyFill="1" applyBorder="1" applyAlignment="1">
      <alignment horizontal="center" vertical="center" wrapText="1" readingOrder="2"/>
    </xf>
    <xf numFmtId="1" fontId="74" fillId="0" borderId="48" xfId="0" applyNumberFormat="1" applyFont="1" applyBorder="1" applyAlignment="1">
      <alignment horizontal="center" vertical="center" wrapText="1" readingOrder="2"/>
    </xf>
    <xf numFmtId="1" fontId="74" fillId="0" borderId="41" xfId="0" applyNumberFormat="1" applyFont="1" applyBorder="1" applyAlignment="1">
      <alignment horizontal="center" vertical="center" wrapText="1" readingOrder="2"/>
    </xf>
    <xf numFmtId="0" fontId="69" fillId="33" borderId="44" xfId="0" applyFont="1" applyFill="1" applyBorder="1" applyAlignment="1">
      <alignment horizontal="center" vertical="center" wrapText="1" readingOrder="2"/>
    </xf>
    <xf numFmtId="1" fontId="74" fillId="0" borderId="45" xfId="0" applyNumberFormat="1" applyFont="1" applyBorder="1" applyAlignment="1">
      <alignment horizontal="center" vertical="center" wrapText="1" readingOrder="2"/>
    </xf>
    <xf numFmtId="0" fontId="69" fillId="33" borderId="34" xfId="0" applyFont="1" applyFill="1" applyBorder="1" applyAlignment="1">
      <alignment horizontal="center" vertical="center" wrapText="1" readingOrder="2"/>
    </xf>
    <xf numFmtId="0" fontId="69" fillId="33" borderId="57" xfId="0" applyFont="1" applyFill="1" applyBorder="1" applyAlignment="1">
      <alignment horizontal="center" vertical="center" wrapText="1" readingOrder="2"/>
    </xf>
    <xf numFmtId="1" fontId="72" fillId="0" borderId="37" xfId="0" applyNumberFormat="1" applyFont="1" applyBorder="1" applyAlignment="1">
      <alignment horizontal="center" vertical="center" wrapText="1"/>
    </xf>
    <xf numFmtId="1" fontId="72" fillId="0" borderId="58" xfId="0" applyNumberFormat="1" applyFont="1" applyBorder="1" applyAlignment="1">
      <alignment horizontal="center" vertical="center" wrapText="1"/>
    </xf>
    <xf numFmtId="0" fontId="69" fillId="33" borderId="54" xfId="0" applyFont="1" applyFill="1" applyBorder="1" applyAlignment="1">
      <alignment horizontal="center" vertical="center" wrapText="1" readingOrder="2"/>
    </xf>
    <xf numFmtId="1" fontId="72" fillId="0" borderId="55" xfId="0" applyNumberFormat="1" applyFont="1" applyBorder="1" applyAlignment="1">
      <alignment horizontal="center" vertical="center" wrapText="1"/>
    </xf>
    <xf numFmtId="1" fontId="72" fillId="0" borderId="56" xfId="0" applyNumberFormat="1" applyFont="1" applyBorder="1" applyAlignment="1">
      <alignment horizontal="center" vertical="center" wrapText="1"/>
    </xf>
    <xf numFmtId="0" fontId="0" fillId="0" borderId="0" xfId="0" applyAlignment="1">
      <alignment horizontal="center" vertical="center"/>
    </xf>
    <xf numFmtId="0" fontId="100" fillId="36" borderId="65" xfId="0" applyFont="1" applyFill="1" applyBorder="1" applyAlignment="1" applyProtection="1">
      <alignment horizontal="center" vertical="center"/>
      <protection locked="0"/>
    </xf>
    <xf numFmtId="0" fontId="100" fillId="36" borderId="64" xfId="0" applyFont="1"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100" fillId="35" borderId="68" xfId="0" applyFont="1" applyFill="1" applyBorder="1" applyAlignment="1" applyProtection="1">
      <alignment horizontal="center" vertical="center"/>
      <protection locked="0"/>
    </xf>
    <xf numFmtId="0" fontId="100" fillId="35" borderId="69" xfId="0" applyFont="1" applyFill="1" applyBorder="1" applyAlignment="1" applyProtection="1">
      <alignment horizontal="center" vertical="center"/>
      <protection locked="0"/>
    </xf>
    <xf numFmtId="0" fontId="100" fillId="35" borderId="70" xfId="0" applyFont="1" applyFill="1" applyBorder="1" applyAlignment="1" applyProtection="1">
      <alignment horizontal="center" vertical="center"/>
      <protection locked="0"/>
    </xf>
    <xf numFmtId="0" fontId="99" fillId="0" borderId="67" xfId="0" applyFont="1" applyBorder="1" applyAlignment="1" applyProtection="1">
      <alignment horizontal="center" vertical="center"/>
      <protection locked="0"/>
    </xf>
    <xf numFmtId="0" fontId="99" fillId="0" borderId="66" xfId="0" applyFont="1" applyBorder="1" applyAlignment="1" applyProtection="1">
      <alignment horizontal="center" vertical="center"/>
      <protection locked="0"/>
    </xf>
    <xf numFmtId="0" fontId="99" fillId="0" borderId="66" xfId="0" applyFont="1" applyBorder="1" applyAlignment="1" applyProtection="1">
      <alignment horizontal="right" vertical="center"/>
      <protection locked="0"/>
    </xf>
    <xf numFmtId="0" fontId="99" fillId="0" borderId="67" xfId="0" applyFont="1" applyBorder="1" applyAlignment="1" applyProtection="1">
      <alignment horizontal="right" vertical="center"/>
      <protection locked="0"/>
    </xf>
    <xf numFmtId="0" fontId="99" fillId="41" borderId="66" xfId="0" applyFont="1" applyFill="1" applyBorder="1" applyAlignment="1" applyProtection="1">
      <alignment horizontal="right" vertical="center"/>
      <protection locked="0"/>
    </xf>
    <xf numFmtId="0" fontId="99" fillId="41" borderId="67" xfId="0" applyFont="1" applyFill="1" applyBorder="1" applyAlignment="1" applyProtection="1">
      <alignment horizontal="right" vertical="center"/>
      <protection locked="0"/>
    </xf>
    <xf numFmtId="0" fontId="99" fillId="38" borderId="66" xfId="0" applyFont="1" applyFill="1" applyBorder="1" applyAlignment="1" applyProtection="1">
      <alignment horizontal="right" vertical="center"/>
      <protection locked="0"/>
    </xf>
    <xf numFmtId="0" fontId="99" fillId="38" borderId="67" xfId="0" applyFont="1" applyFill="1" applyBorder="1" applyAlignment="1" applyProtection="1">
      <alignment horizontal="right" vertical="center"/>
      <protection locked="0"/>
    </xf>
    <xf numFmtId="0" fontId="100" fillId="36" borderId="65" xfId="0" applyFont="1" applyFill="1" applyBorder="1" applyAlignment="1">
      <alignment horizontal="center" vertical="center"/>
    </xf>
    <xf numFmtId="0" fontId="99" fillId="0" borderId="67" xfId="0" applyFont="1" applyBorder="1" applyAlignment="1">
      <alignment horizontal="center" vertical="center"/>
    </xf>
    <xf numFmtId="0" fontId="101" fillId="0" borderId="71" xfId="0" applyFont="1" applyBorder="1" applyAlignment="1" applyProtection="1">
      <alignment horizontal="right" vertical="center"/>
      <protection locked="0"/>
    </xf>
    <xf numFmtId="0" fontId="101" fillId="0" borderId="0" xfId="0" applyFont="1" applyAlignment="1" applyProtection="1">
      <alignment horizontal="right"/>
      <protection locked="0"/>
    </xf>
    <xf numFmtId="0" fontId="101" fillId="0" borderId="67" xfId="0" applyFont="1" applyBorder="1" applyAlignment="1" applyProtection="1">
      <alignment horizontal="right" vertical="center"/>
      <protection locked="0"/>
    </xf>
    <xf numFmtId="0" fontId="101" fillId="0" borderId="66" xfId="0" applyFont="1" applyBorder="1" applyAlignment="1" applyProtection="1">
      <alignment horizontal="center" vertical="center"/>
      <protection locked="0"/>
    </xf>
    <xf numFmtId="0" fontId="101" fillId="0" borderId="66" xfId="0" applyFont="1" applyBorder="1" applyAlignment="1" applyProtection="1">
      <alignment horizontal="right" vertical="center"/>
      <protection locked="0"/>
    </xf>
    <xf numFmtId="0" fontId="100" fillId="39" borderId="0" xfId="0" applyFont="1" applyFill="1" applyAlignment="1">
      <alignment horizontal="center"/>
    </xf>
    <xf numFmtId="0" fontId="103" fillId="0" borderId="0" xfId="0" applyFont="1"/>
    <xf numFmtId="0" fontId="102" fillId="37" borderId="0" xfId="0" applyFont="1" applyFill="1" applyAlignment="1">
      <alignment horizontal="right"/>
    </xf>
    <xf numFmtId="0" fontId="104" fillId="42" borderId="0" xfId="0" applyFont="1" applyFill="1" applyAlignment="1">
      <alignment horizontal="right"/>
    </xf>
    <xf numFmtId="0" fontId="105" fillId="43" borderId="0" xfId="0" applyFont="1" applyFill="1" applyAlignment="1">
      <alignment horizontal="center"/>
    </xf>
    <xf numFmtId="0" fontId="106" fillId="0" borderId="0" xfId="0" applyFont="1" applyAlignment="1" applyProtection="1">
      <alignment horizontal="center"/>
      <protection locked="0"/>
    </xf>
    <xf numFmtId="0" fontId="107" fillId="0" borderId="53" xfId="0" applyFont="1" applyBorder="1" applyAlignment="1">
      <alignment horizontal="center" vertical="center" wrapText="1" readingOrder="2"/>
    </xf>
    <xf numFmtId="0" fontId="0" fillId="49" borderId="0" xfId="0" applyFill="1" applyProtection="1">
      <protection locked="0"/>
    </xf>
    <xf numFmtId="0" fontId="111" fillId="46" borderId="78" xfId="0" applyFont="1" applyFill="1" applyBorder="1" applyAlignment="1" applyProtection="1">
      <alignment horizontal="center" vertical="center" wrapText="1"/>
      <protection locked="0"/>
    </xf>
    <xf numFmtId="0" fontId="111" fillId="55" borderId="78" xfId="0" applyFont="1" applyFill="1" applyBorder="1" applyAlignment="1" applyProtection="1">
      <alignment horizontal="center" vertical="center" wrapText="1"/>
      <protection locked="0"/>
    </xf>
    <xf numFmtId="0" fontId="117" fillId="49" borderId="78" xfId="0" applyFont="1" applyFill="1" applyBorder="1" applyAlignment="1" applyProtection="1">
      <alignment horizontal="center" vertical="center" wrapText="1"/>
      <protection locked="0"/>
    </xf>
    <xf numFmtId="0" fontId="0" fillId="47" borderId="78" xfId="0" applyFill="1" applyBorder="1" applyProtection="1">
      <protection locked="0"/>
    </xf>
    <xf numFmtId="3" fontId="0" fillId="0" borderId="0" xfId="0" applyNumberFormat="1"/>
    <xf numFmtId="9" fontId="0" fillId="0" borderId="0" xfId="0" applyNumberFormat="1"/>
    <xf numFmtId="0" fontId="121" fillId="33" borderId="43" xfId="0" applyFont="1" applyFill="1" applyBorder="1" applyAlignment="1" applyProtection="1">
      <alignment horizontal="center" vertical="center" wrapText="1" readingOrder="2"/>
      <protection locked="0"/>
    </xf>
    <xf numFmtId="0" fontId="122" fillId="33" borderId="43" xfId="0" applyFont="1" applyFill="1" applyBorder="1" applyAlignment="1" applyProtection="1">
      <alignment horizontal="center" vertical="center" wrapText="1" readingOrder="2"/>
      <protection locked="0"/>
    </xf>
    <xf numFmtId="0" fontId="123" fillId="0" borderId="0" xfId="0" applyFont="1"/>
    <xf numFmtId="3" fontId="123" fillId="0" borderId="0" xfId="0" applyNumberFormat="1" applyFont="1"/>
    <xf numFmtId="9" fontId="123" fillId="0" borderId="0" xfId="0" applyNumberFormat="1" applyFont="1"/>
    <xf numFmtId="49" fontId="123" fillId="0" borderId="0" xfId="0" applyNumberFormat="1" applyFont="1"/>
    <xf numFmtId="0" fontId="125" fillId="0" borderId="0" xfId="0" applyFont="1"/>
    <xf numFmtId="0" fontId="125" fillId="0" borderId="0" xfId="0" applyFont="1" applyAlignment="1">
      <alignment horizontal="right"/>
    </xf>
    <xf numFmtId="0" fontId="125" fillId="0" borderId="0" xfId="0" applyFont="1" applyAlignment="1">
      <alignment horizontal="center"/>
    </xf>
    <xf numFmtId="3" fontId="125" fillId="0" borderId="0" xfId="0" applyNumberFormat="1" applyFont="1" applyAlignment="1">
      <alignment horizontal="center"/>
    </xf>
    <xf numFmtId="0" fontId="122" fillId="33" borderId="0" xfId="0" applyFont="1" applyFill="1" applyAlignment="1">
      <alignment horizontal="center" vertical="center" wrapText="1" readingOrder="2"/>
    </xf>
    <xf numFmtId="0" fontId="123" fillId="0" borderId="0" xfId="0" applyFont="1" applyProtection="1">
      <protection locked="0"/>
    </xf>
    <xf numFmtId="49" fontId="123" fillId="0" borderId="0" xfId="0" applyNumberFormat="1" applyFont="1" applyProtection="1">
      <protection locked="0"/>
    </xf>
    <xf numFmtId="0" fontId="126" fillId="0" borderId="0" xfId="0" applyFont="1"/>
    <xf numFmtId="0" fontId="128" fillId="0" borderId="0" xfId="0" applyFont="1"/>
    <xf numFmtId="0" fontId="125" fillId="59" borderId="80" xfId="0" applyFont="1" applyFill="1" applyBorder="1" applyAlignment="1">
      <alignment horizontal="center"/>
    </xf>
    <xf numFmtId="0" fontId="0" fillId="0" borderId="80" xfId="0" applyBorder="1"/>
    <xf numFmtId="3" fontId="0" fillId="0" borderId="80" xfId="0" applyNumberFormat="1" applyBorder="1"/>
    <xf numFmtId="0" fontId="125" fillId="0" borderId="80" xfId="0" applyFont="1" applyBorder="1" applyAlignment="1">
      <alignment horizontal="right"/>
    </xf>
    <xf numFmtId="0" fontId="0" fillId="0" borderId="80" xfId="0" applyBorder="1" applyAlignment="1">
      <alignment horizontal="center"/>
    </xf>
    <xf numFmtId="0" fontId="0" fillId="0" borderId="0" xfId="0" applyAlignment="1">
      <alignment horizontal="left"/>
    </xf>
    <xf numFmtId="3" fontId="123" fillId="0" borderId="0" xfId="0" applyNumberFormat="1" applyFont="1" applyAlignment="1">
      <alignment horizontal="left"/>
    </xf>
    <xf numFmtId="9" fontId="132" fillId="51" borderId="78" xfId="0" applyNumberFormat="1" applyFont="1" applyFill="1" applyBorder="1" applyAlignment="1">
      <alignment horizontal="center" vertical="center"/>
    </xf>
    <xf numFmtId="0" fontId="132" fillId="51" borderId="78" xfId="0" applyFont="1" applyFill="1" applyBorder="1" applyAlignment="1" applyProtection="1">
      <alignment horizontal="center" vertical="center"/>
      <protection locked="0"/>
    </xf>
    <xf numFmtId="0" fontId="133" fillId="34" borderId="78" xfId="0" applyFont="1" applyFill="1" applyBorder="1" applyAlignment="1">
      <alignment horizontal="center" vertical="center"/>
    </xf>
    <xf numFmtId="0" fontId="129" fillId="49" borderId="78" xfId="0" applyFont="1" applyFill="1" applyBorder="1" applyAlignment="1" applyProtection="1">
      <alignment horizontal="center" vertical="center" wrapText="1"/>
      <protection locked="0"/>
    </xf>
    <xf numFmtId="0" fontId="0" fillId="49" borderId="78" xfId="0" applyFill="1" applyBorder="1" applyProtection="1">
      <protection locked="0"/>
    </xf>
    <xf numFmtId="0" fontId="100" fillId="53" borderId="78" xfId="0" applyFont="1" applyFill="1" applyBorder="1" applyAlignment="1">
      <alignment horizontal="center" vertical="center"/>
    </xf>
    <xf numFmtId="0" fontId="140" fillId="52" borderId="78" xfId="0" applyFont="1" applyFill="1" applyBorder="1" applyAlignment="1">
      <alignment horizontal="right" vertical="center" wrapText="1"/>
    </xf>
    <xf numFmtId="0" fontId="2" fillId="24" borderId="2" xfId="0" applyFont="1" applyFill="1" applyBorder="1" applyAlignment="1">
      <alignment horizontal="center" vertical="center" readingOrder="2"/>
    </xf>
    <xf numFmtId="0" fontId="89" fillId="37" borderId="3" xfId="0" applyFont="1" applyFill="1" applyBorder="1" applyAlignment="1">
      <alignment horizontal="center" vertical="center" readingOrder="2"/>
    </xf>
    <xf numFmtId="0" fontId="2" fillId="27" borderId="1" xfId="0" applyFont="1" applyFill="1" applyBorder="1" applyAlignment="1">
      <alignment horizontal="center" vertical="center" readingOrder="2"/>
    </xf>
    <xf numFmtId="0" fontId="2" fillId="31" borderId="1" xfId="0" applyFont="1" applyFill="1" applyBorder="1" applyAlignment="1">
      <alignment horizontal="center" vertical="center" readingOrder="2"/>
    </xf>
    <xf numFmtId="0" fontId="2" fillId="30" borderId="1" xfId="0" applyFont="1" applyFill="1" applyBorder="1" applyAlignment="1">
      <alignment horizontal="center" vertical="center" readingOrder="2"/>
    </xf>
    <xf numFmtId="0" fontId="50" fillId="5" borderId="2" xfId="0" applyFont="1" applyFill="1" applyBorder="1" applyAlignment="1">
      <alignment horizontal="center" vertical="center" readingOrder="2"/>
    </xf>
    <xf numFmtId="171" fontId="0" fillId="0" borderId="0" xfId="0" applyNumberFormat="1" applyProtection="1">
      <protection locked="0"/>
    </xf>
    <xf numFmtId="171" fontId="69" fillId="33" borderId="43" xfId="0" applyNumberFormat="1" applyFont="1" applyFill="1" applyBorder="1" applyAlignment="1" applyProtection="1">
      <alignment horizontal="center" vertical="center" wrapText="1" readingOrder="2"/>
      <protection locked="0"/>
    </xf>
    <xf numFmtId="171" fontId="70" fillId="0" borderId="35" xfId="0" applyNumberFormat="1" applyFont="1" applyBorder="1" applyAlignment="1" applyProtection="1">
      <alignment horizontal="center" vertical="center" wrapText="1" readingOrder="2"/>
      <protection locked="0"/>
    </xf>
    <xf numFmtId="170" fontId="70" fillId="0" borderId="35" xfId="0" applyNumberFormat="1" applyFont="1" applyBorder="1" applyAlignment="1" applyProtection="1">
      <alignment horizontal="center" vertical="center" wrapText="1" readingOrder="2"/>
      <protection locked="0"/>
    </xf>
    <xf numFmtId="172" fontId="123" fillId="0" borderId="0" xfId="0" applyNumberFormat="1" applyFont="1"/>
    <xf numFmtId="164" fontId="75" fillId="0" borderId="51" xfId="0" applyNumberFormat="1" applyFont="1" applyBorder="1" applyAlignment="1">
      <alignment horizontal="center" vertical="center" wrapText="1" readingOrder="2"/>
    </xf>
    <xf numFmtId="170" fontId="70" fillId="0" borderId="35" xfId="0" applyNumberFormat="1" applyFont="1" applyBorder="1" applyAlignment="1" applyProtection="1">
      <alignment horizontal="right" vertical="center" wrapText="1" indent="1" readingOrder="2"/>
      <protection locked="0"/>
    </xf>
    <xf numFmtId="171" fontId="70" fillId="0" borderId="35" xfId="0" applyNumberFormat="1" applyFont="1" applyBorder="1" applyAlignment="1" applyProtection="1">
      <alignment horizontal="center" vertical="center" wrapText="1"/>
      <protection locked="0"/>
    </xf>
    <xf numFmtId="170" fontId="70" fillId="0" borderId="35" xfId="0" applyNumberFormat="1" applyFont="1" applyBorder="1" applyAlignment="1" applyProtection="1">
      <alignment horizontal="center" vertical="center" wrapText="1"/>
      <protection locked="0"/>
    </xf>
    <xf numFmtId="164" fontId="75" fillId="0" borderId="51" xfId="0" applyNumberFormat="1" applyFont="1" applyBorder="1" applyAlignment="1">
      <alignment horizontal="center" vertical="center" wrapText="1"/>
    </xf>
    <xf numFmtId="171" fontId="70" fillId="0" borderId="40" xfId="0" applyNumberFormat="1" applyFont="1" applyBorder="1" applyAlignment="1" applyProtection="1">
      <alignment horizontal="center" vertical="center" wrapText="1"/>
      <protection locked="0"/>
    </xf>
    <xf numFmtId="170" fontId="70" fillId="0" borderId="40" xfId="0" applyNumberFormat="1" applyFont="1" applyBorder="1" applyAlignment="1" applyProtection="1">
      <alignment horizontal="center" vertical="center" wrapText="1"/>
      <protection locked="0"/>
    </xf>
    <xf numFmtId="164" fontId="75" fillId="0" borderId="52" xfId="0" applyNumberFormat="1" applyFont="1" applyBorder="1" applyAlignment="1">
      <alignment horizontal="center" vertical="center" wrapText="1"/>
    </xf>
    <xf numFmtId="172" fontId="0" fillId="0" borderId="0" xfId="0" applyNumberFormat="1"/>
    <xf numFmtId="0" fontId="146" fillId="67" borderId="102" xfId="0" applyFont="1" applyFill="1" applyBorder="1" applyAlignment="1">
      <alignment horizontal="right" vertical="center" wrapText="1" readingOrder="2"/>
    </xf>
    <xf numFmtId="0" fontId="146" fillId="66" borderId="102" xfId="0" applyFont="1" applyFill="1" applyBorder="1" applyAlignment="1">
      <alignment horizontal="right" vertical="center" wrapText="1" readingOrder="2"/>
    </xf>
    <xf numFmtId="0" fontId="146" fillId="67" borderId="102" xfId="0" applyFont="1" applyFill="1" applyBorder="1" applyAlignment="1">
      <alignment horizontal="center" vertical="center" wrapText="1" readingOrder="2"/>
    </xf>
    <xf numFmtId="0" fontId="148" fillId="71" borderId="102" xfId="0" applyFont="1" applyFill="1" applyBorder="1" applyAlignment="1">
      <alignment horizontal="center" vertical="center" wrapText="1" readingOrder="2"/>
    </xf>
    <xf numFmtId="0" fontId="150" fillId="72" borderId="102" xfId="0" applyFont="1" applyFill="1" applyBorder="1" applyAlignment="1">
      <alignment horizontal="right" vertical="center" wrapText="1" readingOrder="2"/>
    </xf>
    <xf numFmtId="0" fontId="146" fillId="73" borderId="102" xfId="0" applyFont="1" applyFill="1" applyBorder="1" applyAlignment="1">
      <alignment horizontal="right" vertical="center" wrapText="1" readingOrder="2"/>
    </xf>
    <xf numFmtId="169" fontId="27" fillId="10" borderId="2" xfId="0" applyNumberFormat="1" applyFont="1" applyFill="1" applyBorder="1" applyAlignment="1">
      <alignment horizontal="center" vertical="center" readingOrder="2"/>
    </xf>
    <xf numFmtId="169" fontId="28" fillId="10" borderId="2" xfId="0" applyNumberFormat="1" applyFont="1" applyFill="1" applyBorder="1" applyAlignment="1">
      <alignment horizontal="center" vertical="center" readingOrder="2"/>
    </xf>
    <xf numFmtId="164" fontId="91" fillId="38" borderId="60" xfId="0" applyNumberFormat="1" applyFont="1" applyFill="1" applyBorder="1" applyAlignment="1">
      <alignment horizontal="center" vertical="center" readingOrder="2"/>
    </xf>
    <xf numFmtId="164" fontId="91" fillId="0" borderId="60" xfId="0" applyNumberFormat="1" applyFont="1" applyBorder="1" applyAlignment="1">
      <alignment horizontal="center" vertical="center" readingOrder="2"/>
    </xf>
    <xf numFmtId="168" fontId="88" fillId="0" borderId="0" xfId="0" applyNumberFormat="1" applyFont="1" applyAlignment="1">
      <alignment horizontal="center" vertical="center" wrapText="1" readingOrder="2"/>
    </xf>
    <xf numFmtId="168" fontId="86" fillId="38" borderId="63" xfId="0" applyNumberFormat="1" applyFont="1" applyFill="1" applyBorder="1" applyAlignment="1">
      <alignment horizontal="center" vertical="center" readingOrder="2"/>
    </xf>
    <xf numFmtId="169" fontId="94" fillId="7" borderId="3" xfId="0" applyNumberFormat="1" applyFont="1" applyFill="1" applyBorder="1" applyAlignment="1">
      <alignment horizontal="center" vertical="center" readingOrder="2"/>
    </xf>
    <xf numFmtId="164" fontId="95" fillId="7" borderId="3" xfId="0" applyNumberFormat="1" applyFont="1" applyFill="1" applyBorder="1" applyAlignment="1">
      <alignment horizontal="center" vertical="center" readingOrder="2"/>
    </xf>
    <xf numFmtId="169" fontId="94" fillId="10" borderId="3" xfId="0" applyNumberFormat="1" applyFont="1" applyFill="1" applyBorder="1" applyAlignment="1">
      <alignment horizontal="center" vertical="center" readingOrder="2"/>
    </xf>
    <xf numFmtId="164" fontId="95" fillId="10" borderId="3" xfId="0" applyNumberFormat="1" applyFont="1" applyFill="1" applyBorder="1" applyAlignment="1">
      <alignment horizontal="center" vertical="center" readingOrder="2"/>
    </xf>
    <xf numFmtId="168" fontId="23" fillId="0" borderId="0" xfId="0" applyNumberFormat="1" applyFont="1" applyAlignment="1">
      <alignment horizontal="center"/>
    </xf>
    <xf numFmtId="169" fontId="81" fillId="6" borderId="3" xfId="0" applyNumberFormat="1" applyFont="1" applyFill="1" applyBorder="1" applyAlignment="1">
      <alignment horizontal="center" vertical="center" readingOrder="2"/>
    </xf>
    <xf numFmtId="164" fontId="42" fillId="6" borderId="3" xfId="0" applyNumberFormat="1" applyFont="1" applyFill="1" applyBorder="1" applyAlignment="1">
      <alignment horizontal="center" vertical="center" readingOrder="2"/>
    </xf>
    <xf numFmtId="169" fontId="81" fillId="10" borderId="3" xfId="0" applyNumberFormat="1" applyFont="1" applyFill="1" applyBorder="1" applyAlignment="1">
      <alignment horizontal="center" vertical="center" readingOrder="2"/>
    </xf>
    <xf numFmtId="164" fontId="42" fillId="10" borderId="3" xfId="0" applyNumberFormat="1" applyFont="1" applyFill="1" applyBorder="1" applyAlignment="1">
      <alignment horizontal="center" vertical="center" readingOrder="2"/>
    </xf>
    <xf numFmtId="165" fontId="14" fillId="2" borderId="10" xfId="0" applyNumberFormat="1" applyFont="1" applyFill="1" applyBorder="1" applyAlignment="1">
      <alignment horizontal="center" vertical="center"/>
    </xf>
    <xf numFmtId="166" fontId="17" fillId="12" borderId="11" xfId="0" applyNumberFormat="1" applyFont="1" applyFill="1" applyBorder="1" applyAlignment="1">
      <alignment horizontal="center" vertical="center"/>
    </xf>
    <xf numFmtId="166" fontId="18" fillId="13" borderId="12" xfId="0" applyNumberFormat="1" applyFont="1" applyFill="1" applyBorder="1" applyAlignment="1">
      <alignment horizontal="center" vertical="center"/>
    </xf>
    <xf numFmtId="166" fontId="18" fillId="13" borderId="0" xfId="0" applyNumberFormat="1" applyFont="1" applyFill="1" applyAlignment="1">
      <alignment horizontal="center" vertical="center"/>
    </xf>
    <xf numFmtId="167" fontId="0" fillId="0" borderId="0" xfId="0" applyNumberFormat="1" applyAlignment="1">
      <alignment horizontal="center"/>
    </xf>
    <xf numFmtId="165" fontId="14" fillId="2" borderId="13" xfId="0" applyNumberFormat="1" applyFont="1" applyFill="1" applyBorder="1" applyAlignment="1">
      <alignment horizontal="center" vertical="center"/>
    </xf>
    <xf numFmtId="165" fontId="15" fillId="11" borderId="5" xfId="0" applyNumberFormat="1" applyFont="1" applyFill="1" applyBorder="1" applyAlignment="1">
      <alignment horizontal="center" vertical="center"/>
    </xf>
    <xf numFmtId="166" fontId="17" fillId="10" borderId="14" xfId="0" applyNumberFormat="1" applyFont="1" applyFill="1" applyBorder="1" applyAlignment="1">
      <alignment horizontal="center" vertical="center"/>
    </xf>
    <xf numFmtId="166" fontId="18" fillId="13" borderId="15" xfId="0" applyNumberFormat="1" applyFont="1" applyFill="1" applyBorder="1" applyAlignment="1">
      <alignment horizontal="center" vertical="center"/>
    </xf>
    <xf numFmtId="165" fontId="19" fillId="11" borderId="5" xfId="0" applyNumberFormat="1" applyFont="1" applyFill="1" applyBorder="1" applyAlignment="1">
      <alignment horizontal="center" vertical="center"/>
    </xf>
    <xf numFmtId="165" fontId="15" fillId="11" borderId="16" xfId="0" applyNumberFormat="1" applyFont="1" applyFill="1" applyBorder="1" applyAlignment="1">
      <alignment horizontal="center" vertical="center"/>
    </xf>
    <xf numFmtId="166" fontId="17" fillId="12" borderId="7" xfId="0" applyNumberFormat="1" applyFont="1" applyFill="1" applyBorder="1" applyAlignment="1">
      <alignment horizontal="center" vertical="center"/>
    </xf>
    <xf numFmtId="166" fontId="18" fillId="13" borderId="8" xfId="0" applyNumberFormat="1" applyFont="1" applyFill="1" applyBorder="1" applyAlignment="1">
      <alignment horizontal="center" vertical="center"/>
    </xf>
    <xf numFmtId="165" fontId="19" fillId="11" borderId="16" xfId="0" applyNumberFormat="1" applyFont="1" applyFill="1" applyBorder="1" applyAlignment="1">
      <alignment horizontal="center" vertical="center"/>
    </xf>
    <xf numFmtId="165" fontId="14" fillId="2" borderId="17" xfId="0" applyNumberFormat="1" applyFont="1" applyFill="1" applyBorder="1" applyAlignment="1">
      <alignment horizontal="center" vertical="center"/>
    </xf>
    <xf numFmtId="166" fontId="17" fillId="10" borderId="18" xfId="0" applyNumberFormat="1" applyFont="1" applyFill="1" applyBorder="1" applyAlignment="1">
      <alignment horizontal="center" vertical="center"/>
    </xf>
    <xf numFmtId="166" fontId="18" fillId="13" borderId="19" xfId="0" applyNumberFormat="1" applyFont="1" applyFill="1" applyBorder="1" applyAlignment="1">
      <alignment horizontal="center" vertical="center"/>
    </xf>
    <xf numFmtId="166" fontId="17" fillId="12" borderId="14" xfId="0" applyNumberFormat="1" applyFont="1" applyFill="1" applyBorder="1" applyAlignment="1">
      <alignment horizontal="center" vertical="center"/>
    </xf>
    <xf numFmtId="166" fontId="17" fillId="10" borderId="20" xfId="0" applyNumberFormat="1" applyFont="1" applyFill="1" applyBorder="1" applyAlignment="1">
      <alignment horizontal="center" vertical="center"/>
    </xf>
    <xf numFmtId="166" fontId="18" fillId="13" borderId="21" xfId="0" applyNumberFormat="1" applyFont="1" applyFill="1" applyBorder="1" applyAlignment="1">
      <alignment horizontal="center" vertical="center"/>
    </xf>
    <xf numFmtId="166" fontId="17" fillId="10" borderId="11" xfId="0" applyNumberFormat="1" applyFont="1" applyFill="1" applyBorder="1" applyAlignment="1">
      <alignment horizontal="center" vertical="center"/>
    </xf>
    <xf numFmtId="165" fontId="14" fillId="14" borderId="22" xfId="0" applyNumberFormat="1" applyFont="1" applyFill="1" applyBorder="1" applyAlignment="1">
      <alignment horizontal="center" vertical="center"/>
    </xf>
    <xf numFmtId="165" fontId="15" fillId="11" borderId="23" xfId="0" applyNumberFormat="1" applyFont="1" applyFill="1" applyBorder="1" applyAlignment="1">
      <alignment horizontal="center" vertical="center"/>
    </xf>
    <xf numFmtId="166" fontId="17" fillId="10" borderId="24" xfId="0" applyNumberFormat="1" applyFont="1" applyFill="1" applyBorder="1" applyAlignment="1">
      <alignment horizontal="center" vertical="center"/>
    </xf>
    <xf numFmtId="166" fontId="18" fillId="13" borderId="25" xfId="0" applyNumberFormat="1" applyFont="1" applyFill="1" applyBorder="1" applyAlignment="1">
      <alignment horizontal="center" vertical="center"/>
    </xf>
    <xf numFmtId="165" fontId="19" fillId="11" borderId="23" xfId="0" applyNumberFormat="1" applyFont="1" applyFill="1" applyBorder="1" applyAlignment="1">
      <alignment horizontal="center" vertical="center"/>
    </xf>
    <xf numFmtId="165" fontId="14" fillId="14" borderId="17" xfId="0" applyNumberFormat="1" applyFont="1" applyFill="1" applyBorder="1" applyAlignment="1">
      <alignment horizontal="center" vertical="center"/>
    </xf>
    <xf numFmtId="166" fontId="17" fillId="12" borderId="18" xfId="0" applyNumberFormat="1" applyFont="1" applyFill="1" applyBorder="1" applyAlignment="1">
      <alignment horizontal="center" vertical="center"/>
    </xf>
    <xf numFmtId="165" fontId="14" fillId="14" borderId="13" xfId="0" applyNumberFormat="1" applyFont="1" applyFill="1" applyBorder="1" applyAlignment="1">
      <alignment horizontal="center" vertical="center"/>
    </xf>
    <xf numFmtId="166" fontId="17" fillId="10" borderId="7" xfId="0" applyNumberFormat="1" applyFont="1" applyFill="1" applyBorder="1" applyAlignment="1">
      <alignment horizontal="center" vertical="center"/>
    </xf>
    <xf numFmtId="165" fontId="15" fillId="11" borderId="26" xfId="0" applyNumberFormat="1" applyFont="1" applyFill="1" applyBorder="1" applyAlignment="1">
      <alignment horizontal="center" vertical="center"/>
    </xf>
    <xf numFmtId="166" fontId="17" fillId="12" borderId="27" xfId="0" applyNumberFormat="1" applyFont="1" applyFill="1" applyBorder="1" applyAlignment="1">
      <alignment horizontal="center" vertical="center"/>
    </xf>
    <xf numFmtId="166" fontId="18" fillId="13" borderId="28" xfId="0" applyNumberFormat="1" applyFont="1" applyFill="1" applyBorder="1" applyAlignment="1">
      <alignment horizontal="center" vertical="center"/>
    </xf>
    <xf numFmtId="165" fontId="19" fillId="11" borderId="26" xfId="0" applyNumberFormat="1" applyFont="1" applyFill="1" applyBorder="1" applyAlignment="1">
      <alignment horizontal="center" vertical="center"/>
    </xf>
    <xf numFmtId="166" fontId="13" fillId="2" borderId="18" xfId="0" applyNumberFormat="1" applyFont="1" applyFill="1" applyBorder="1" applyAlignment="1">
      <alignment horizontal="center" vertical="center"/>
    </xf>
    <xf numFmtId="166" fontId="13" fillId="2" borderId="19" xfId="0" applyNumberFormat="1" applyFont="1" applyFill="1" applyBorder="1" applyAlignment="1">
      <alignment horizontal="center" vertical="center"/>
    </xf>
    <xf numFmtId="166" fontId="13" fillId="2" borderId="0" xfId="0" applyNumberFormat="1" applyFont="1" applyFill="1" applyAlignment="1">
      <alignment horizontal="center" vertical="center"/>
    </xf>
    <xf numFmtId="166" fontId="20" fillId="15" borderId="27" xfId="0" applyNumberFormat="1" applyFont="1" applyFill="1" applyBorder="1" applyAlignment="1">
      <alignment horizontal="center" vertical="center"/>
    </xf>
    <xf numFmtId="166" fontId="20" fillId="15" borderId="28" xfId="0" applyNumberFormat="1" applyFont="1" applyFill="1" applyBorder="1" applyAlignment="1">
      <alignment horizontal="center" vertical="center"/>
    </xf>
    <xf numFmtId="166" fontId="20" fillId="15" borderId="0" xfId="0" applyNumberFormat="1" applyFont="1" applyFill="1" applyAlignment="1">
      <alignment horizontal="center" vertical="center"/>
    </xf>
    <xf numFmtId="166" fontId="0" fillId="0" borderId="11" xfId="0" applyNumberFormat="1" applyBorder="1" applyAlignment="1">
      <alignment horizontal="center" vertical="center"/>
    </xf>
    <xf numFmtId="166" fontId="18" fillId="13" borderId="12" xfId="0" applyNumberFormat="1" applyFont="1" applyFill="1" applyBorder="1" applyAlignment="1">
      <alignment horizontal="center"/>
    </xf>
    <xf numFmtId="166" fontId="13" fillId="2" borderId="14" xfId="0" applyNumberFormat="1" applyFont="1" applyFill="1" applyBorder="1" applyAlignment="1">
      <alignment horizontal="center" vertical="center"/>
    </xf>
    <xf numFmtId="166" fontId="13" fillId="2" borderId="15" xfId="0" applyNumberFormat="1" applyFont="1" applyFill="1" applyBorder="1" applyAlignment="1">
      <alignment horizontal="center" vertical="center"/>
    </xf>
    <xf numFmtId="168" fontId="23" fillId="10" borderId="0" xfId="0" applyNumberFormat="1" applyFont="1" applyFill="1" applyAlignment="1">
      <alignment horizontal="center" vertical="center"/>
    </xf>
    <xf numFmtId="174" fontId="127" fillId="58" borderId="0" xfId="0" applyNumberFormat="1" applyFont="1" applyFill="1"/>
    <xf numFmtId="164" fontId="0" fillId="0" borderId="80" xfId="0" applyNumberFormat="1" applyBorder="1"/>
    <xf numFmtId="173" fontId="125" fillId="0" borderId="0" xfId="0" applyNumberFormat="1" applyFont="1" applyAlignment="1">
      <alignment horizontal="center"/>
    </xf>
    <xf numFmtId="164" fontId="34" fillId="6" borderId="2" xfId="0" applyNumberFormat="1" applyFont="1" applyFill="1" applyBorder="1" applyAlignment="1">
      <alignment horizontal="center" vertical="center" readingOrder="2"/>
    </xf>
    <xf numFmtId="164" fontId="37" fillId="7" borderId="2" xfId="0" applyNumberFormat="1" applyFont="1" applyFill="1" applyBorder="1" applyAlignment="1">
      <alignment horizontal="center" vertical="center" readingOrder="2"/>
    </xf>
    <xf numFmtId="164" fontId="9" fillId="28" borderId="3" xfId="0" applyNumberFormat="1" applyFont="1" applyFill="1" applyBorder="1" applyAlignment="1">
      <alignment horizontal="center" vertical="center" readingOrder="2"/>
    </xf>
    <xf numFmtId="164" fontId="44" fillId="28" borderId="3" xfId="0" applyNumberFormat="1" applyFont="1" applyFill="1" applyBorder="1" applyAlignment="1">
      <alignment horizontal="center" vertical="center" readingOrder="2"/>
    </xf>
    <xf numFmtId="164" fontId="43" fillId="28" borderId="3" xfId="0" applyNumberFormat="1" applyFont="1" applyFill="1" applyBorder="1" applyAlignment="1">
      <alignment horizontal="center" vertical="center" readingOrder="2"/>
    </xf>
    <xf numFmtId="164" fontId="9" fillId="10" borderId="3" xfId="0" applyNumberFormat="1" applyFont="1" applyFill="1" applyBorder="1" applyAlignment="1">
      <alignment horizontal="center" vertical="center" readingOrder="2"/>
    </xf>
    <xf numFmtId="164" fontId="44" fillId="10" borderId="3" xfId="0" applyNumberFormat="1" applyFont="1" applyFill="1" applyBorder="1" applyAlignment="1">
      <alignment horizontal="center" vertical="center" readingOrder="2"/>
    </xf>
    <xf numFmtId="164" fontId="43" fillId="10" borderId="3" xfId="0" applyNumberFormat="1" applyFont="1" applyFill="1" applyBorder="1" applyAlignment="1">
      <alignment horizontal="center" vertical="center" readingOrder="2"/>
    </xf>
    <xf numFmtId="164" fontId="9" fillId="9" borderId="3" xfId="0" applyNumberFormat="1" applyFont="1" applyFill="1" applyBorder="1" applyAlignment="1">
      <alignment horizontal="center" vertical="center" readingOrder="2"/>
    </xf>
    <xf numFmtId="164" fontId="44" fillId="9" borderId="3" xfId="0" applyNumberFormat="1" applyFont="1" applyFill="1" applyBorder="1" applyAlignment="1">
      <alignment horizontal="center" vertical="center" readingOrder="2"/>
    </xf>
    <xf numFmtId="164" fontId="43" fillId="9" borderId="3" xfId="0" applyNumberFormat="1" applyFont="1" applyFill="1" applyBorder="1" applyAlignment="1">
      <alignment horizontal="center" vertical="center" readingOrder="2"/>
    </xf>
    <xf numFmtId="164" fontId="9" fillId="5" borderId="3" xfId="0" applyNumberFormat="1" applyFont="1" applyFill="1" applyBorder="1" applyAlignment="1">
      <alignment horizontal="center" vertical="center" readingOrder="2"/>
    </xf>
    <xf numFmtId="164" fontId="44" fillId="5" borderId="3" xfId="0" applyNumberFormat="1" applyFont="1" applyFill="1" applyBorder="1" applyAlignment="1">
      <alignment horizontal="center" vertical="center" readingOrder="2"/>
    </xf>
    <xf numFmtId="164" fontId="43" fillId="5" borderId="3" xfId="0" applyNumberFormat="1" applyFont="1" applyFill="1" applyBorder="1" applyAlignment="1">
      <alignment horizontal="center" vertical="center" readingOrder="2"/>
    </xf>
    <xf numFmtId="164" fontId="67" fillId="8" borderId="3" xfId="0" applyNumberFormat="1" applyFont="1" applyFill="1" applyBorder="1" applyAlignment="1">
      <alignment horizontal="center" vertical="center" readingOrder="2"/>
    </xf>
    <xf numFmtId="164" fontId="66" fillId="8" borderId="3" xfId="0" applyNumberFormat="1" applyFont="1" applyFill="1" applyBorder="1" applyAlignment="1">
      <alignment horizontal="center" vertical="center" readingOrder="2"/>
    </xf>
    <xf numFmtId="164" fontId="67" fillId="10" borderId="3" xfId="0" applyNumberFormat="1" applyFont="1" applyFill="1" applyBorder="1" applyAlignment="1">
      <alignment horizontal="center" vertical="center" readingOrder="2"/>
    </xf>
    <xf numFmtId="164" fontId="66" fillId="10" borderId="3" xfId="0" applyNumberFormat="1" applyFont="1" applyFill="1" applyBorder="1" applyAlignment="1">
      <alignment horizontal="center" vertical="center" readingOrder="2"/>
    </xf>
    <xf numFmtId="0" fontId="149" fillId="76" borderId="102" xfId="0" applyFont="1" applyFill="1" applyBorder="1" applyAlignment="1">
      <alignment horizontal="center" vertical="center" wrapText="1" readingOrder="2"/>
    </xf>
    <xf numFmtId="0" fontId="149" fillId="75" borderId="102" xfId="0" applyFont="1" applyFill="1" applyBorder="1" applyAlignment="1">
      <alignment horizontal="center" vertical="center" wrapText="1" readingOrder="2"/>
    </xf>
    <xf numFmtId="0" fontId="151" fillId="71" borderId="102" xfId="0" applyFont="1" applyFill="1" applyBorder="1" applyAlignment="1">
      <alignment horizontal="center" vertical="center" wrapText="1" readingOrder="2"/>
    </xf>
    <xf numFmtId="0" fontId="155" fillId="74" borderId="102" xfId="0" applyFont="1" applyFill="1" applyBorder="1" applyAlignment="1">
      <alignment horizontal="right" vertical="center" wrapText="1" readingOrder="2"/>
    </xf>
    <xf numFmtId="0" fontId="146" fillId="73" borderId="102" xfId="0" applyFont="1" applyFill="1" applyBorder="1" applyAlignment="1">
      <alignment horizontal="center" vertical="center" wrapText="1" readingOrder="2"/>
    </xf>
    <xf numFmtId="0" fontId="155" fillId="73" borderId="102" xfId="0" applyFont="1" applyFill="1" applyBorder="1" applyAlignment="1">
      <alignment horizontal="right" vertical="center" wrapText="1" readingOrder="2"/>
    </xf>
    <xf numFmtId="0" fontId="149" fillId="75" borderId="104" xfId="0" applyFont="1" applyFill="1" applyBorder="1" applyAlignment="1">
      <alignment horizontal="center" vertical="center" wrapText="1" readingOrder="2"/>
    </xf>
    <xf numFmtId="0" fontId="150" fillId="78" borderId="104" xfId="0" applyFont="1" applyFill="1" applyBorder="1" applyAlignment="1">
      <alignment horizontal="right" vertical="center" wrapText="1" readingOrder="2"/>
    </xf>
    <xf numFmtId="0" fontId="150" fillId="78" borderId="102" xfId="0" applyFont="1" applyFill="1" applyBorder="1" applyAlignment="1">
      <alignment horizontal="right" vertical="center" wrapText="1" readingOrder="2"/>
    </xf>
    <xf numFmtId="0" fontId="160" fillId="80" borderId="105" xfId="0" applyFont="1" applyFill="1" applyBorder="1" applyAlignment="1">
      <alignment horizontal="right" vertical="center" wrapText="1"/>
    </xf>
    <xf numFmtId="0" fontId="161" fillId="0" borderId="105" xfId="0" applyFont="1" applyBorder="1" applyAlignment="1">
      <alignment horizontal="center" vertical="center" wrapText="1"/>
    </xf>
    <xf numFmtId="0" fontId="160" fillId="79" borderId="105" xfId="0" applyFont="1" applyFill="1" applyBorder="1" applyAlignment="1">
      <alignment horizontal="center" vertical="center" wrapText="1"/>
    </xf>
    <xf numFmtId="0" fontId="162" fillId="0" borderId="105" xfId="0" applyFont="1" applyBorder="1" applyAlignment="1">
      <alignment horizontal="center" vertical="center" wrapText="1"/>
    </xf>
    <xf numFmtId="0" fontId="162" fillId="82" borderId="105" xfId="0" applyFont="1" applyFill="1" applyBorder="1" applyAlignment="1">
      <alignment horizontal="center" vertical="center" wrapText="1"/>
    </xf>
    <xf numFmtId="0" fontId="163" fillId="0" borderId="105" xfId="0" applyFont="1" applyBorder="1" applyAlignment="1">
      <alignment horizontal="center" vertical="center" wrapText="1"/>
    </xf>
    <xf numFmtId="0" fontId="163" fillId="82" borderId="105" xfId="0" applyFont="1" applyFill="1" applyBorder="1" applyAlignment="1">
      <alignment horizontal="center" vertical="center" wrapText="1"/>
    </xf>
    <xf numFmtId="0" fontId="162" fillId="82" borderId="106" xfId="0" applyFont="1" applyFill="1" applyBorder="1" applyAlignment="1">
      <alignment horizontal="center" vertical="center" wrapText="1"/>
    </xf>
    <xf numFmtId="0" fontId="146" fillId="84" borderId="105" xfId="0" applyFont="1" applyFill="1" applyBorder="1" applyAlignment="1">
      <alignment horizontal="center" vertical="center" wrapText="1"/>
    </xf>
    <xf numFmtId="0" fontId="150" fillId="34" borderId="105" xfId="0" applyFont="1" applyFill="1" applyBorder="1" applyAlignment="1">
      <alignment horizontal="center" vertical="center" wrapText="1"/>
    </xf>
    <xf numFmtId="0" fontId="113" fillId="44" borderId="72" xfId="0" applyFont="1" applyFill="1" applyBorder="1" applyAlignment="1" applyProtection="1">
      <alignment horizontal="right" vertical="center" wrapText="1"/>
      <protection locked="0"/>
    </xf>
    <xf numFmtId="0" fontId="0" fillId="0" borderId="76" xfId="0" applyBorder="1" applyProtection="1">
      <protection locked="0"/>
    </xf>
    <xf numFmtId="0" fontId="112" fillId="49" borderId="72" xfId="0" applyFont="1" applyFill="1" applyBorder="1" applyAlignment="1" applyProtection="1">
      <alignment horizontal="right" vertical="center" wrapText="1"/>
      <protection locked="0"/>
    </xf>
    <xf numFmtId="0" fontId="134" fillId="52" borderId="78" xfId="0" applyFont="1" applyFill="1" applyBorder="1" applyAlignment="1">
      <alignment horizontal="right" vertical="center" wrapText="1"/>
    </xf>
    <xf numFmtId="0" fontId="0" fillId="0" borderId="76" xfId="0" applyBorder="1"/>
    <xf numFmtId="0" fontId="0" fillId="0" borderId="77" xfId="0" applyBorder="1"/>
    <xf numFmtId="0" fontId="84" fillId="51" borderId="74" xfId="0" applyFont="1" applyFill="1" applyBorder="1" applyAlignment="1" applyProtection="1">
      <alignment horizontal="right" vertical="center" wrapText="1"/>
      <protection locked="0"/>
    </xf>
    <xf numFmtId="0" fontId="0" fillId="0" borderId="74" xfId="0" applyBorder="1" applyProtection="1">
      <protection locked="0"/>
    </xf>
    <xf numFmtId="0" fontId="0" fillId="44" borderId="0" xfId="0" applyFill="1" applyProtection="1">
      <protection locked="0"/>
    </xf>
    <xf numFmtId="0" fontId="0" fillId="0" borderId="0" xfId="0" applyProtection="1">
      <protection locked="0"/>
    </xf>
    <xf numFmtId="0" fontId="115" fillId="50" borderId="72" xfId="0" applyFont="1" applyFill="1" applyBorder="1" applyAlignment="1" applyProtection="1">
      <alignment horizontal="center" vertical="center" wrapText="1"/>
      <protection locked="0"/>
    </xf>
    <xf numFmtId="0" fontId="116" fillId="52" borderId="82" xfId="0" applyFont="1" applyFill="1" applyBorder="1" applyAlignment="1" applyProtection="1">
      <alignment horizontal="right" vertical="center" wrapText="1"/>
      <protection locked="0"/>
    </xf>
    <xf numFmtId="0" fontId="0" fillId="0" borderId="75" xfId="0" applyBorder="1" applyProtection="1">
      <protection locked="0"/>
    </xf>
    <xf numFmtId="0" fontId="114" fillId="46" borderId="72" xfId="0" applyFont="1" applyFill="1" applyBorder="1" applyAlignment="1" applyProtection="1">
      <alignment horizontal="center" vertical="center" wrapText="1"/>
      <protection locked="0"/>
    </xf>
    <xf numFmtId="0" fontId="114" fillId="46" borderId="72" xfId="0" applyFont="1" applyFill="1" applyBorder="1" applyAlignment="1" applyProtection="1">
      <alignment horizontal="right" vertical="center" wrapText="1"/>
      <protection locked="0"/>
    </xf>
    <xf numFmtId="0" fontId="119" fillId="49" borderId="0" xfId="0" applyFont="1" applyFill="1" applyAlignment="1" applyProtection="1">
      <alignment horizontal="right" vertical="top"/>
      <protection locked="0"/>
    </xf>
    <xf numFmtId="0" fontId="115" fillId="50" borderId="82" xfId="0" applyFont="1" applyFill="1" applyBorder="1" applyAlignment="1" applyProtection="1">
      <alignment horizontal="right" vertical="center" wrapText="1"/>
      <protection locked="0"/>
    </xf>
    <xf numFmtId="0" fontId="118" fillId="56" borderId="79" xfId="0" applyFont="1" applyFill="1" applyBorder="1" applyAlignment="1">
      <alignment horizontal="center" vertical="center" wrapText="1"/>
    </xf>
    <xf numFmtId="0" fontId="0" fillId="0" borderId="90" xfId="0" applyBorder="1"/>
    <xf numFmtId="0" fontId="0" fillId="0" borderId="91" xfId="0" applyBorder="1"/>
    <xf numFmtId="0" fontId="0" fillId="0" borderId="0" xfId="0"/>
    <xf numFmtId="0" fontId="111" fillId="53" borderId="78" xfId="0" applyFont="1" applyFill="1" applyBorder="1" applyAlignment="1" applyProtection="1">
      <alignment horizontal="right" vertical="center" wrapText="1"/>
      <protection locked="0"/>
    </xf>
    <xf numFmtId="0" fontId="0" fillId="0" borderId="77" xfId="0" applyBorder="1" applyProtection="1">
      <protection locked="0"/>
    </xf>
    <xf numFmtId="0" fontId="111" fillId="46" borderId="72" xfId="0" applyFont="1" applyFill="1" applyBorder="1" applyAlignment="1" applyProtection="1">
      <alignment horizontal="center" vertical="center" wrapText="1"/>
      <protection locked="0"/>
    </xf>
    <xf numFmtId="0" fontId="112" fillId="47" borderId="72" xfId="0" applyFont="1" applyFill="1" applyBorder="1" applyAlignment="1" applyProtection="1">
      <alignment horizontal="right" vertical="center" wrapText="1"/>
      <protection locked="0"/>
    </xf>
    <xf numFmtId="0" fontId="115" fillId="54" borderId="82" xfId="0" applyFont="1" applyFill="1" applyBorder="1" applyAlignment="1" applyProtection="1">
      <alignment horizontal="right" vertical="center" wrapText="1"/>
      <protection locked="0"/>
    </xf>
    <xf numFmtId="0" fontId="116" fillId="52" borderId="78" xfId="0" applyFont="1" applyFill="1" applyBorder="1" applyAlignment="1" applyProtection="1">
      <alignment horizontal="right" vertical="center" wrapText="1"/>
      <protection locked="0"/>
    </xf>
    <xf numFmtId="0" fontId="112" fillId="47" borderId="72" xfId="0" applyFont="1" applyFill="1" applyBorder="1" applyAlignment="1" applyProtection="1">
      <alignment horizontal="center" vertical="center" wrapText="1"/>
      <protection locked="0"/>
    </xf>
    <xf numFmtId="0" fontId="114" fillId="45" borderId="72" xfId="0" applyFont="1" applyFill="1" applyBorder="1" applyAlignment="1" applyProtection="1">
      <alignment horizontal="center" vertical="center" wrapText="1"/>
      <protection locked="0"/>
    </xf>
    <xf numFmtId="0" fontId="115" fillId="54" borderId="78" xfId="0" applyFont="1" applyFill="1" applyBorder="1" applyAlignment="1" applyProtection="1">
      <alignment horizontal="right" vertical="center" wrapText="1"/>
      <protection locked="0"/>
    </xf>
    <xf numFmtId="0" fontId="0" fillId="48" borderId="0" xfId="0" applyFill="1" applyProtection="1">
      <protection locked="0"/>
    </xf>
    <xf numFmtId="0" fontId="100" fillId="51" borderId="74" xfId="0" applyFont="1" applyFill="1" applyBorder="1" applyAlignment="1">
      <alignment horizontal="right" vertical="center"/>
    </xf>
    <xf numFmtId="0" fontId="0" fillId="0" borderId="74" xfId="0" applyBorder="1"/>
    <xf numFmtId="0" fontId="111" fillId="46" borderId="73" xfId="0" applyFont="1" applyFill="1" applyBorder="1" applyAlignment="1" applyProtection="1">
      <alignment horizontal="center" vertical="center" wrapText="1"/>
      <protection locked="0"/>
    </xf>
    <xf numFmtId="9" fontId="131" fillId="61" borderId="78" xfId="0" applyNumberFormat="1" applyFont="1" applyFill="1" applyBorder="1" applyAlignment="1" applyProtection="1">
      <alignment horizontal="center" vertical="center"/>
      <protection locked="0"/>
    </xf>
    <xf numFmtId="0" fontId="115" fillId="50" borderId="78" xfId="0" applyFont="1" applyFill="1" applyBorder="1" applyAlignment="1" applyProtection="1">
      <alignment horizontal="right" vertical="center" wrapText="1"/>
      <protection locked="0"/>
    </xf>
    <xf numFmtId="0" fontId="84" fillId="46" borderId="72" xfId="0" applyFont="1" applyFill="1" applyBorder="1" applyAlignment="1" applyProtection="1">
      <alignment horizontal="right" vertical="center" wrapText="1"/>
      <protection locked="0"/>
    </xf>
    <xf numFmtId="0" fontId="109" fillId="45" borderId="0" xfId="0" applyFont="1" applyFill="1" applyAlignment="1" applyProtection="1">
      <alignment horizontal="center" vertical="center"/>
      <protection locked="0"/>
    </xf>
    <xf numFmtId="9" fontId="130" fillId="61" borderId="78" xfId="0" applyNumberFormat="1" applyFont="1" applyFill="1" applyBorder="1" applyAlignment="1">
      <alignment horizontal="center" vertical="center"/>
    </xf>
    <xf numFmtId="9" fontId="131" fillId="61" borderId="78" xfId="0" applyNumberFormat="1" applyFont="1" applyFill="1" applyBorder="1" applyAlignment="1">
      <alignment horizontal="center" vertical="center"/>
    </xf>
    <xf numFmtId="0" fontId="120" fillId="45" borderId="0" xfId="0" applyFont="1" applyFill="1" applyAlignment="1" applyProtection="1">
      <alignment horizontal="center" vertical="center"/>
      <protection locked="0"/>
    </xf>
    <xf numFmtId="0" fontId="111" fillId="53" borderId="73" xfId="0" applyFont="1" applyFill="1" applyBorder="1" applyAlignment="1" applyProtection="1">
      <alignment horizontal="right" vertical="center" wrapText="1"/>
      <protection locked="0"/>
    </xf>
    <xf numFmtId="0" fontId="110" fillId="45" borderId="0" xfId="0" applyFont="1" applyFill="1" applyAlignment="1" applyProtection="1">
      <alignment horizontal="center" vertical="center" wrapText="1"/>
      <protection locked="0"/>
    </xf>
    <xf numFmtId="0" fontId="100" fillId="51" borderId="0" xfId="0" applyFont="1" applyFill="1" applyAlignment="1">
      <alignment horizontal="right" vertical="center"/>
    </xf>
    <xf numFmtId="0" fontId="84" fillId="51" borderId="76" xfId="0" applyFont="1" applyFill="1" applyBorder="1" applyAlignment="1" applyProtection="1">
      <alignment horizontal="right" vertical="center" wrapText="1"/>
      <protection locked="0"/>
    </xf>
    <xf numFmtId="0" fontId="155" fillId="77" borderId="102" xfId="0" applyFont="1" applyFill="1" applyBorder="1" applyAlignment="1">
      <alignment horizontal="right" vertical="center" wrapText="1" readingOrder="2"/>
    </xf>
    <xf numFmtId="0" fontId="146" fillId="76" borderId="102" xfId="0" applyFont="1" applyFill="1" applyBorder="1" applyAlignment="1">
      <alignment horizontal="center" vertical="center" wrapText="1" readingOrder="2"/>
    </xf>
    <xf numFmtId="0" fontId="155" fillId="70" borderId="102" xfId="0" applyFont="1" applyFill="1" applyBorder="1" applyAlignment="1">
      <alignment horizontal="right" vertical="center" wrapText="1" readingOrder="2"/>
    </xf>
    <xf numFmtId="0" fontId="146" fillId="67" borderId="102" xfId="0" applyFont="1" applyFill="1" applyBorder="1" applyAlignment="1">
      <alignment horizontal="center" vertical="center" wrapText="1" readingOrder="2"/>
    </xf>
    <xf numFmtId="0" fontId="146" fillId="75" borderId="104" xfId="0" applyFont="1" applyFill="1" applyBorder="1" applyAlignment="1">
      <alignment horizontal="center" vertical="center" wrapText="1" readingOrder="2"/>
    </xf>
    <xf numFmtId="0" fontId="147" fillId="73" borderId="103" xfId="0" applyFont="1" applyFill="1" applyBorder="1" applyAlignment="1">
      <alignment horizontal="right" vertical="center" wrapText="1" readingOrder="2"/>
    </xf>
    <xf numFmtId="0" fontId="155" fillId="74" borderId="102" xfId="0" applyFont="1" applyFill="1" applyBorder="1" applyAlignment="1">
      <alignment horizontal="right" vertical="center" wrapText="1" readingOrder="2"/>
    </xf>
    <xf numFmtId="0" fontId="153" fillId="66" borderId="103" xfId="0" applyFont="1" applyFill="1" applyBorder="1" applyAlignment="1">
      <alignment horizontal="center" vertical="center" wrapText="1" readingOrder="2"/>
    </xf>
    <xf numFmtId="0" fontId="154" fillId="68" borderId="102" xfId="0" applyFont="1" applyFill="1" applyBorder="1" applyAlignment="1">
      <alignment horizontal="right" vertical="center" wrapText="1" readingOrder="2"/>
    </xf>
    <xf numFmtId="0" fontId="147" fillId="66" borderId="103" xfId="0" applyFont="1" applyFill="1" applyBorder="1" applyAlignment="1">
      <alignment horizontal="right" vertical="center" wrapText="1" readingOrder="2"/>
    </xf>
    <xf numFmtId="0" fontId="152" fillId="66" borderId="102" xfId="0" applyFont="1" applyFill="1" applyBorder="1" applyAlignment="1">
      <alignment horizontal="center" vertical="center" wrapText="1" readingOrder="2"/>
    </xf>
    <xf numFmtId="0" fontId="156" fillId="74" borderId="102" xfId="0" applyFont="1" applyFill="1" applyBorder="1" applyAlignment="1">
      <alignment horizontal="right" vertical="center" wrapText="1" readingOrder="2"/>
    </xf>
    <xf numFmtId="0" fontId="146" fillId="69" borderId="102" xfId="0" applyFont="1" applyFill="1" applyBorder="1" applyAlignment="1">
      <alignment horizontal="center" vertical="center" wrapText="1" readingOrder="2"/>
    </xf>
    <xf numFmtId="0" fontId="154" fillId="70" borderId="102" xfId="0" applyFont="1" applyFill="1" applyBorder="1" applyAlignment="1">
      <alignment horizontal="right" vertical="center" wrapText="1" readingOrder="2"/>
    </xf>
    <xf numFmtId="0" fontId="164" fillId="0" borderId="105" xfId="0" applyFont="1" applyBorder="1" applyAlignment="1">
      <alignment horizontal="center" vertical="center" wrapText="1"/>
    </xf>
    <xf numFmtId="0" fontId="162" fillId="82" borderId="105" xfId="0" applyFont="1" applyFill="1" applyBorder="1" applyAlignment="1">
      <alignment horizontal="right" vertical="center" wrapText="1"/>
    </xf>
    <xf numFmtId="0" fontId="162" fillId="0" borderId="105" xfId="0" applyFont="1" applyBorder="1" applyAlignment="1">
      <alignment horizontal="right" vertical="center" wrapText="1"/>
    </xf>
    <xf numFmtId="0" fontId="159" fillId="79" borderId="105" xfId="0" applyFont="1" applyFill="1" applyBorder="1" applyAlignment="1">
      <alignment horizontal="right" vertical="center" wrapText="1"/>
    </xf>
    <xf numFmtId="0" fontId="160" fillId="80" borderId="105" xfId="0" applyFont="1" applyFill="1" applyBorder="1" applyAlignment="1">
      <alignment horizontal="center" vertical="center" wrapText="1"/>
    </xf>
    <xf numFmtId="0" fontId="162" fillId="0" borderId="105" xfId="0" applyFont="1" applyBorder="1" applyAlignment="1">
      <alignment horizontal="center" vertical="center" wrapText="1"/>
    </xf>
    <xf numFmtId="0" fontId="159" fillId="79" borderId="107" xfId="0" applyFont="1" applyFill="1" applyBorder="1" applyAlignment="1">
      <alignment horizontal="right" vertical="center" wrapText="1"/>
    </xf>
    <xf numFmtId="0" fontId="161" fillId="82" borderId="105" xfId="0" applyFont="1" applyFill="1" applyBorder="1" applyAlignment="1">
      <alignment horizontal="right" vertical="center" wrapText="1"/>
    </xf>
    <xf numFmtId="0" fontId="160" fillId="79" borderId="105" xfId="0" applyFont="1" applyFill="1" applyBorder="1" applyAlignment="1">
      <alignment horizontal="center" vertical="center" wrapText="1"/>
    </xf>
    <xf numFmtId="0" fontId="150" fillId="34" borderId="105" xfId="0" applyFont="1" applyFill="1" applyBorder="1" applyAlignment="1">
      <alignment horizontal="right" vertical="center" wrapText="1"/>
    </xf>
    <xf numFmtId="0" fontId="150" fillId="34" borderId="105" xfId="0" applyFont="1" applyFill="1" applyBorder="1" applyAlignment="1">
      <alignment horizontal="center" vertical="center" wrapText="1"/>
    </xf>
    <xf numFmtId="0" fontId="150" fillId="34" borderId="105" xfId="0" applyFont="1" applyFill="1" applyBorder="1" applyAlignment="1">
      <alignment vertical="center" wrapText="1"/>
    </xf>
    <xf numFmtId="0" fontId="137" fillId="83" borderId="105" xfId="0" applyFont="1" applyFill="1" applyBorder="1" applyAlignment="1">
      <alignment horizontal="right" vertical="center"/>
    </xf>
    <xf numFmtId="0" fontId="146" fillId="84" borderId="105" xfId="0" applyFont="1" applyFill="1" applyBorder="1" applyAlignment="1">
      <alignment horizontal="center" vertical="center" wrapText="1"/>
    </xf>
    <xf numFmtId="0" fontId="162" fillId="82" borderId="106" xfId="0" applyFont="1" applyFill="1" applyBorder="1" applyAlignment="1">
      <alignment horizontal="right" vertical="center" wrapText="1"/>
    </xf>
    <xf numFmtId="0" fontId="161" fillId="0" borderId="105" xfId="0" applyFont="1" applyBorder="1" applyAlignment="1">
      <alignment horizontal="right" vertical="center" wrapText="1"/>
    </xf>
    <xf numFmtId="0" fontId="157" fillId="79" borderId="0" xfId="0" applyFont="1" applyFill="1" applyAlignment="1">
      <alignment horizontal="center" vertical="center" wrapText="1"/>
    </xf>
    <xf numFmtId="0" fontId="158" fillId="80" borderId="0" xfId="0" applyFont="1" applyFill="1" applyAlignment="1">
      <alignment horizontal="center" vertical="center" wrapText="1"/>
    </xf>
    <xf numFmtId="0" fontId="154" fillId="81" borderId="105" xfId="0" applyFont="1" applyFill="1" applyBorder="1" applyAlignment="1">
      <alignment horizontal="right" vertical="center" wrapText="1"/>
    </xf>
    <xf numFmtId="175" fontId="161" fillId="0" borderId="105" xfId="0" applyNumberFormat="1" applyFont="1" applyBorder="1" applyAlignment="1">
      <alignment horizontal="center" vertical="center" wrapText="1"/>
    </xf>
    <xf numFmtId="0" fontId="161" fillId="0" borderId="105" xfId="0" applyFont="1" applyBorder="1" applyAlignment="1">
      <alignment horizontal="center" vertical="center" wrapText="1"/>
    </xf>
    <xf numFmtId="0" fontId="100" fillId="51" borderId="78" xfId="0" applyFont="1" applyFill="1" applyBorder="1" applyAlignment="1">
      <alignment horizontal="right" vertical="center"/>
    </xf>
    <xf numFmtId="9" fontId="139" fillId="64" borderId="78" xfId="0" applyNumberFormat="1" applyFont="1" applyFill="1" applyBorder="1" applyAlignment="1">
      <alignment horizontal="center" vertical="center"/>
    </xf>
    <xf numFmtId="175" fontId="138" fillId="63" borderId="78" xfId="0" applyNumberFormat="1" applyFont="1" applyFill="1" applyBorder="1" applyAlignment="1">
      <alignment horizontal="right" vertical="center"/>
    </xf>
    <xf numFmtId="0" fontId="137" fillId="53" borderId="0" xfId="0" applyFont="1" applyFill="1" applyAlignment="1">
      <alignment horizontal="right" vertical="center"/>
    </xf>
    <xf numFmtId="0" fontId="142" fillId="34" borderId="89" xfId="0" applyFont="1" applyFill="1" applyBorder="1" applyAlignment="1">
      <alignment horizontal="right" vertical="center"/>
    </xf>
    <xf numFmtId="0" fontId="0" fillId="0" borderId="81" xfId="0" applyBorder="1"/>
    <xf numFmtId="0" fontId="0" fillId="0" borderId="94" xfId="0" applyBorder="1"/>
    <xf numFmtId="0" fontId="138" fillId="63" borderId="78" xfId="0" applyFont="1" applyFill="1" applyBorder="1" applyAlignment="1">
      <alignment horizontal="right" vertical="center"/>
    </xf>
    <xf numFmtId="9" fontId="143" fillId="64" borderId="78" xfId="0" applyNumberFormat="1" applyFont="1" applyFill="1" applyBorder="1" applyAlignment="1">
      <alignment horizontal="right" vertical="center" wrapText="1"/>
    </xf>
    <xf numFmtId="0" fontId="137" fillId="53" borderId="81" xfId="0" applyFont="1" applyFill="1" applyBorder="1" applyAlignment="1">
      <alignment horizontal="right" vertical="center"/>
    </xf>
    <xf numFmtId="0" fontId="100" fillId="51" borderId="78" xfId="0" applyFont="1" applyFill="1" applyBorder="1" applyAlignment="1">
      <alignment horizontal="center" vertical="center"/>
    </xf>
    <xf numFmtId="0" fontId="100" fillId="51" borderId="82" xfId="0" applyFont="1" applyFill="1" applyBorder="1" applyAlignment="1">
      <alignment horizontal="center" vertical="center"/>
    </xf>
    <xf numFmtId="0" fontId="0" fillId="0" borderId="75" xfId="0" applyBorder="1"/>
    <xf numFmtId="175" fontId="143" fillId="64" borderId="78" xfId="0" applyNumberFormat="1" applyFont="1" applyFill="1" applyBorder="1" applyAlignment="1">
      <alignment horizontal="right" vertical="center" wrapText="1"/>
    </xf>
    <xf numFmtId="1" fontId="138" fillId="63" borderId="78" xfId="0" applyNumberFormat="1" applyFont="1" applyFill="1" applyBorder="1" applyAlignment="1">
      <alignment horizontal="right" vertical="center"/>
    </xf>
    <xf numFmtId="0" fontId="143" fillId="64" borderId="78" xfId="0" applyFont="1" applyFill="1" applyBorder="1" applyAlignment="1">
      <alignment horizontal="right" vertical="center" wrapText="1"/>
    </xf>
    <xf numFmtId="0" fontId="0" fillId="62" borderId="0" xfId="0" applyFill="1"/>
    <xf numFmtId="0" fontId="138" fillId="52" borderId="88" xfId="0" applyFont="1" applyFill="1" applyBorder="1" applyAlignment="1">
      <alignment horizontal="center" vertical="center"/>
    </xf>
    <xf numFmtId="0" fontId="0" fillId="0" borderId="93" xfId="0" applyBorder="1"/>
    <xf numFmtId="0" fontId="141" fillId="65" borderId="92" xfId="0" applyFont="1" applyFill="1" applyBorder="1" applyAlignment="1">
      <alignment horizontal="center" vertical="center"/>
    </xf>
    <xf numFmtId="0" fontId="0" fillId="0" borderId="84" xfId="0" applyBorder="1"/>
    <xf numFmtId="0" fontId="0" fillId="0" borderId="86" xfId="0" applyBorder="1"/>
    <xf numFmtId="0" fontId="0" fillId="0" borderId="85" xfId="0" applyBorder="1"/>
    <xf numFmtId="0" fontId="0" fillId="0" borderId="83" xfId="0" applyBorder="1"/>
    <xf numFmtId="0" fontId="0" fillId="0" borderId="87" xfId="0" applyBorder="1"/>
    <xf numFmtId="0" fontId="144" fillId="60" borderId="0" xfId="0" applyFont="1" applyFill="1" applyAlignment="1">
      <alignment horizontal="right" vertical="center"/>
    </xf>
    <xf numFmtId="0" fontId="135" fillId="53" borderId="0" xfId="0" applyFont="1" applyFill="1" applyAlignment="1">
      <alignment horizontal="center" vertical="center"/>
    </xf>
    <xf numFmtId="0" fontId="139" fillId="64" borderId="78" xfId="0" applyFont="1" applyFill="1" applyBorder="1" applyAlignment="1">
      <alignment horizontal="center" vertical="center"/>
    </xf>
    <xf numFmtId="0" fontId="136" fillId="51" borderId="0" xfId="0" applyFont="1" applyFill="1" applyAlignment="1">
      <alignment horizontal="center" vertical="center"/>
    </xf>
    <xf numFmtId="0" fontId="145" fillId="60" borderId="81" xfId="0" applyFont="1" applyFill="1" applyBorder="1" applyAlignment="1">
      <alignment horizontal="center" vertical="center"/>
    </xf>
    <xf numFmtId="0" fontId="81" fillId="6" borderId="3" xfId="0" applyFont="1" applyFill="1" applyBorder="1" applyAlignment="1">
      <alignment horizontal="right" vertical="center" wrapText="1" readingOrder="2"/>
    </xf>
    <xf numFmtId="0" fontId="0" fillId="0" borderId="96" xfId="0" applyBorder="1"/>
    <xf numFmtId="0" fontId="0" fillId="0" borderId="97" xfId="0" applyBorder="1"/>
    <xf numFmtId="176" fontId="9" fillId="5" borderId="2" xfId="0" applyNumberFormat="1" applyFont="1" applyFill="1" applyBorder="1" applyAlignment="1">
      <alignment horizontal="center" vertical="center" readingOrder="2"/>
    </xf>
    <xf numFmtId="0" fontId="0" fillId="0" borderId="59" xfId="0" applyBorder="1"/>
    <xf numFmtId="0" fontId="90" fillId="10" borderId="3" xfId="0" applyFont="1" applyFill="1" applyBorder="1" applyAlignment="1">
      <alignment horizontal="right" vertical="center" readingOrder="2"/>
    </xf>
    <xf numFmtId="0" fontId="94" fillId="7" borderId="3" xfId="0" applyFont="1" applyFill="1" applyBorder="1" applyAlignment="1">
      <alignment horizontal="right" vertical="center" wrapText="1" readingOrder="2"/>
    </xf>
    <xf numFmtId="0" fontId="84" fillId="39" borderId="2" xfId="0" applyFont="1" applyFill="1" applyBorder="1" applyAlignment="1">
      <alignment horizontal="center"/>
    </xf>
    <xf numFmtId="0" fontId="3" fillId="21" borderId="2" xfId="0" applyFont="1" applyFill="1" applyBorder="1" applyAlignment="1">
      <alignment horizontal="center" vertical="center" readingOrder="2"/>
    </xf>
    <xf numFmtId="0" fontId="0" fillId="0" borderId="95" xfId="0" applyBorder="1"/>
    <xf numFmtId="9" fontId="93" fillId="38" borderId="3" xfId="0" applyNumberFormat="1" applyFont="1" applyFill="1" applyBorder="1" applyAlignment="1">
      <alignment horizontal="center" vertical="center" readingOrder="2"/>
    </xf>
    <xf numFmtId="0" fontId="89" fillId="37" borderId="3" xfId="0" applyFont="1" applyFill="1" applyBorder="1" applyAlignment="1">
      <alignment horizontal="center" vertical="center" readingOrder="2"/>
    </xf>
    <xf numFmtId="0" fontId="5" fillId="4" borderId="2" xfId="0" applyFont="1" applyFill="1" applyBorder="1" applyAlignment="1">
      <alignment horizontal="right" vertical="center" readingOrder="2"/>
    </xf>
    <xf numFmtId="0" fontId="90" fillId="4" borderId="3" xfId="0" applyFont="1" applyFill="1" applyBorder="1" applyAlignment="1">
      <alignment horizontal="right" vertical="center" readingOrder="2"/>
    </xf>
    <xf numFmtId="0" fontId="85" fillId="24" borderId="0" xfId="0" applyFont="1" applyFill="1" applyAlignment="1">
      <alignment horizontal="right" vertical="center" readingOrder="2"/>
    </xf>
    <xf numFmtId="0" fontId="81" fillId="10" borderId="3" xfId="0" applyFont="1" applyFill="1" applyBorder="1" applyAlignment="1">
      <alignment horizontal="right" vertical="center" wrapText="1" readingOrder="2"/>
    </xf>
    <xf numFmtId="0" fontId="78" fillId="5" borderId="2" xfId="0" applyFont="1" applyFill="1" applyBorder="1" applyAlignment="1">
      <alignment horizontal="right" vertical="center" wrapText="1" readingOrder="2"/>
    </xf>
    <xf numFmtId="0" fontId="2" fillId="24" borderId="2" xfId="0" applyFont="1" applyFill="1" applyBorder="1" applyAlignment="1">
      <alignment horizontal="center" vertical="center" readingOrder="2"/>
    </xf>
    <xf numFmtId="0" fontId="94" fillId="10" borderId="3" xfId="0" applyFont="1" applyFill="1" applyBorder="1" applyAlignment="1">
      <alignment horizontal="right" vertical="center" wrapText="1" readingOrder="2"/>
    </xf>
    <xf numFmtId="0" fontId="96" fillId="10" borderId="3" xfId="0" applyFont="1" applyFill="1" applyBorder="1" applyAlignment="1">
      <alignment horizontal="right" vertical="center" wrapText="1" readingOrder="2"/>
    </xf>
    <xf numFmtId="0" fontId="82" fillId="10" borderId="3" xfId="0" applyFont="1" applyFill="1" applyBorder="1" applyAlignment="1">
      <alignment horizontal="right" vertical="center" wrapText="1" readingOrder="2"/>
    </xf>
    <xf numFmtId="0" fontId="82" fillId="6" borderId="3" xfId="0" applyFont="1" applyFill="1" applyBorder="1" applyAlignment="1">
      <alignment horizontal="right" vertical="center" wrapText="1" readingOrder="2"/>
    </xf>
    <xf numFmtId="0" fontId="96" fillId="7" borderId="3" xfId="0" applyFont="1" applyFill="1" applyBorder="1" applyAlignment="1">
      <alignment horizontal="right" vertical="center" wrapText="1" readingOrder="2"/>
    </xf>
    <xf numFmtId="9" fontId="93" fillId="0" borderId="3" xfId="0" applyNumberFormat="1" applyFont="1" applyBorder="1" applyAlignment="1">
      <alignment horizontal="center" vertical="center" readingOrder="2"/>
    </xf>
    <xf numFmtId="0" fontId="77" fillId="4" borderId="2" xfId="0" applyFont="1" applyFill="1" applyBorder="1" applyAlignment="1">
      <alignment horizontal="right" vertical="center" wrapText="1" readingOrder="2"/>
    </xf>
    <xf numFmtId="0" fontId="98" fillId="3" borderId="0" xfId="0" applyFont="1" applyFill="1" applyAlignment="1">
      <alignment horizontal="center" vertical="center" readingOrder="2"/>
    </xf>
    <xf numFmtId="0" fontId="2" fillId="18" borderId="32" xfId="0" applyFont="1" applyFill="1" applyBorder="1" applyAlignment="1">
      <alignment horizontal="center" vertical="center" readingOrder="2"/>
    </xf>
    <xf numFmtId="0" fontId="0" fillId="0" borderId="32" xfId="0" applyBorder="1"/>
    <xf numFmtId="0" fontId="5" fillId="5" borderId="2" xfId="0" applyFont="1" applyFill="1" applyBorder="1" applyAlignment="1">
      <alignment horizontal="right" vertical="center" readingOrder="2"/>
    </xf>
    <xf numFmtId="0" fontId="40" fillId="20" borderId="2" xfId="0" applyFont="1" applyFill="1" applyBorder="1" applyAlignment="1">
      <alignment horizontal="center" vertical="center" readingOrder="2"/>
    </xf>
    <xf numFmtId="0" fontId="80" fillId="7" borderId="2" xfId="0" applyFont="1" applyFill="1" applyBorder="1" applyAlignment="1">
      <alignment horizontal="right" vertical="center" wrapText="1" readingOrder="2"/>
    </xf>
    <xf numFmtId="0" fontId="2" fillId="19" borderId="2" xfId="0" applyFont="1" applyFill="1" applyBorder="1" applyAlignment="1">
      <alignment horizontal="center" vertical="center" readingOrder="2"/>
    </xf>
    <xf numFmtId="0" fontId="5" fillId="5" borderId="2" xfId="0" applyFont="1" applyFill="1" applyBorder="1" applyAlignment="1">
      <alignment horizontal="center" vertical="center" readingOrder="2"/>
    </xf>
    <xf numFmtId="0" fontId="3" fillId="27" borderId="0" xfId="0" applyFont="1" applyFill="1" applyAlignment="1">
      <alignment horizontal="right" vertical="center" readingOrder="2"/>
    </xf>
    <xf numFmtId="0" fontId="2" fillId="3" borderId="2" xfId="0" applyFont="1" applyFill="1" applyBorder="1" applyAlignment="1">
      <alignment horizontal="center" vertical="center" readingOrder="2"/>
    </xf>
    <xf numFmtId="9" fontId="38" fillId="20" borderId="2" xfId="0" applyNumberFormat="1" applyFont="1" applyFill="1" applyBorder="1" applyAlignment="1">
      <alignment horizontal="center" vertical="center" readingOrder="2"/>
    </xf>
    <xf numFmtId="164" fontId="97" fillId="40" borderId="2" xfId="0" applyNumberFormat="1" applyFont="1" applyFill="1" applyBorder="1" applyAlignment="1">
      <alignment horizontal="center"/>
    </xf>
    <xf numFmtId="164" fontId="32" fillId="5" borderId="32" xfId="0" applyNumberFormat="1" applyFont="1" applyFill="1" applyBorder="1" applyAlignment="1">
      <alignment horizontal="center" vertical="center" readingOrder="2"/>
    </xf>
    <xf numFmtId="0" fontId="44" fillId="6" borderId="2" xfId="0" applyFont="1" applyFill="1" applyBorder="1" applyAlignment="1">
      <alignment horizontal="right" vertical="center" wrapText="1" readingOrder="2"/>
    </xf>
    <xf numFmtId="0" fontId="30" fillId="4" borderId="0" xfId="0" applyFont="1" applyFill="1" applyAlignment="1">
      <alignment horizontal="center" vertical="center" readingOrder="2"/>
    </xf>
    <xf numFmtId="1" fontId="33" fillId="4" borderId="2" xfId="0" applyNumberFormat="1" applyFont="1" applyFill="1" applyBorder="1" applyAlignment="1">
      <alignment horizontal="center" vertical="center" readingOrder="2"/>
    </xf>
    <xf numFmtId="0" fontId="31" fillId="3" borderId="0" xfId="0" applyFont="1" applyFill="1" applyAlignment="1">
      <alignment horizontal="right" vertical="center" readingOrder="2"/>
    </xf>
    <xf numFmtId="0" fontId="29" fillId="20" borderId="2" xfId="0" applyFont="1" applyFill="1" applyBorder="1" applyAlignment="1">
      <alignment horizontal="center" vertical="center" readingOrder="2"/>
    </xf>
    <xf numFmtId="0" fontId="3" fillId="21" borderId="0" xfId="0" applyFont="1" applyFill="1" applyAlignment="1">
      <alignment horizontal="right" vertical="center" readingOrder="2"/>
    </xf>
    <xf numFmtId="0" fontId="79" fillId="20" borderId="2" xfId="0" applyFont="1" applyFill="1" applyBorder="1" applyAlignment="1">
      <alignment horizontal="right" vertical="center" wrapText="1" readingOrder="2"/>
    </xf>
    <xf numFmtId="0" fontId="89" fillId="27" borderId="2" xfId="0" applyFont="1" applyFill="1" applyBorder="1" applyAlignment="1">
      <alignment horizontal="center" vertical="center" readingOrder="2"/>
    </xf>
    <xf numFmtId="0" fontId="24" fillId="3" borderId="0" xfId="0" applyFont="1" applyFill="1" applyAlignment="1">
      <alignment horizontal="center" vertical="center" readingOrder="2"/>
    </xf>
    <xf numFmtId="0" fontId="27" fillId="5" borderId="2" xfId="0" applyFont="1" applyFill="1" applyBorder="1" applyAlignment="1">
      <alignment horizontal="center" vertical="center" readingOrder="2"/>
    </xf>
    <xf numFmtId="0" fontId="39" fillId="5" borderId="2" xfId="0" applyFont="1" applyFill="1" applyBorder="1" applyAlignment="1">
      <alignment horizontal="center" vertical="center" readingOrder="2"/>
    </xf>
    <xf numFmtId="0" fontId="25" fillId="18" borderId="0" xfId="0" applyFont="1" applyFill="1" applyAlignment="1">
      <alignment horizontal="center" vertical="center" readingOrder="2"/>
    </xf>
    <xf numFmtId="0" fontId="22" fillId="16" borderId="6" xfId="0" applyFont="1" applyFill="1" applyBorder="1" applyAlignment="1">
      <alignment horizontal="center" vertical="center"/>
    </xf>
    <xf numFmtId="0" fontId="0" fillId="0" borderId="98" xfId="0" applyBorder="1"/>
    <xf numFmtId="0" fontId="0" fillId="0" borderId="99" xfId="0" applyBorder="1"/>
    <xf numFmtId="0" fontId="108" fillId="33" borderId="0" xfId="0" applyFont="1" applyFill="1" applyAlignment="1">
      <alignment horizontal="center"/>
    </xf>
    <xf numFmtId="0" fontId="124" fillId="33" borderId="0" xfId="0" applyFont="1" applyFill="1" applyAlignment="1">
      <alignment horizontal="center" vertical="center"/>
    </xf>
    <xf numFmtId="0" fontId="124" fillId="33" borderId="0" xfId="0" applyFont="1" applyFill="1" applyAlignment="1">
      <alignment horizontal="center"/>
    </xf>
    <xf numFmtId="0" fontId="126" fillId="57" borderId="0" xfId="0" applyFont="1" applyFill="1" applyAlignment="1">
      <alignment horizontal="right"/>
    </xf>
    <xf numFmtId="0" fontId="64" fillId="5" borderId="3" xfId="0" applyFont="1" applyFill="1" applyBorder="1" applyAlignment="1">
      <alignment horizontal="right" vertical="center" readingOrder="2"/>
    </xf>
    <xf numFmtId="0" fontId="64" fillId="10" borderId="3" xfId="0" applyFont="1" applyFill="1" applyBorder="1" applyAlignment="1">
      <alignment horizontal="right" vertical="center" readingOrder="2"/>
    </xf>
    <xf numFmtId="0" fontId="31" fillId="32" borderId="0" xfId="0" applyFont="1" applyFill="1" applyAlignment="1">
      <alignment horizontal="right" vertical="center" readingOrder="2"/>
    </xf>
    <xf numFmtId="0" fontId="63" fillId="9" borderId="3" xfId="0" applyFont="1" applyFill="1" applyBorder="1" applyAlignment="1">
      <alignment horizontal="right" vertical="center" readingOrder="2"/>
    </xf>
    <xf numFmtId="0" fontId="2" fillId="27" borderId="1" xfId="0" applyFont="1" applyFill="1" applyBorder="1" applyAlignment="1">
      <alignment horizontal="center" vertical="center" readingOrder="2"/>
    </xf>
    <xf numFmtId="0" fontId="0" fillId="0" borderId="100" xfId="0" applyBorder="1"/>
    <xf numFmtId="0" fontId="0" fillId="0" borderId="101" xfId="0" applyBorder="1"/>
    <xf numFmtId="0" fontId="41" fillId="5" borderId="3" xfId="0" applyFont="1" applyFill="1" applyBorder="1" applyAlignment="1">
      <alignment horizontal="center" vertical="center" readingOrder="2"/>
    </xf>
    <xf numFmtId="0" fontId="45" fillId="3" borderId="0" xfId="0" applyFont="1" applyFill="1" applyAlignment="1">
      <alignment horizontal="center" vertical="center" readingOrder="2"/>
    </xf>
    <xf numFmtId="0" fontId="58" fillId="7" borderId="2" xfId="0" applyFont="1" applyFill="1" applyBorder="1" applyAlignment="1">
      <alignment horizontal="center" vertical="center" readingOrder="2"/>
    </xf>
    <xf numFmtId="0" fontId="61" fillId="9" borderId="3" xfId="0" applyFont="1" applyFill="1" applyBorder="1" applyAlignment="1">
      <alignment horizontal="center" vertical="center" readingOrder="2"/>
    </xf>
    <xf numFmtId="0" fontId="56" fillId="4" borderId="0" xfId="0" applyFont="1" applyFill="1" applyAlignment="1">
      <alignment horizontal="right" vertical="center" readingOrder="2"/>
    </xf>
    <xf numFmtId="0" fontId="63" fillId="10" borderId="3" xfId="0" applyFont="1" applyFill="1" applyBorder="1" applyAlignment="1">
      <alignment horizontal="right" vertical="center" readingOrder="2"/>
    </xf>
    <xf numFmtId="0" fontId="41" fillId="10" borderId="3" xfId="0" applyFont="1" applyFill="1" applyBorder="1" applyAlignment="1">
      <alignment horizontal="center" vertical="center" readingOrder="2"/>
    </xf>
    <xf numFmtId="0" fontId="59" fillId="28" borderId="3" xfId="0" applyFont="1" applyFill="1" applyBorder="1" applyAlignment="1">
      <alignment horizontal="right" vertical="center" readingOrder="2"/>
    </xf>
    <xf numFmtId="0" fontId="2" fillId="29" borderId="2" xfId="0" applyFont="1" applyFill="1" applyBorder="1" applyAlignment="1">
      <alignment horizontal="center" vertical="center" readingOrder="2"/>
    </xf>
    <xf numFmtId="0" fontId="2" fillId="30" borderId="1" xfId="0" applyFont="1" applyFill="1" applyBorder="1" applyAlignment="1">
      <alignment horizontal="center" vertical="center" readingOrder="2"/>
    </xf>
    <xf numFmtId="0" fontId="43" fillId="7" borderId="2" xfId="0" applyFont="1" applyFill="1" applyBorder="1" applyAlignment="1">
      <alignment horizontal="right" vertical="center" wrapText="1" readingOrder="2"/>
    </xf>
    <xf numFmtId="0" fontId="4" fillId="4" borderId="2" xfId="0" applyFont="1" applyFill="1" applyBorder="1" applyAlignment="1">
      <alignment horizontal="right" vertical="center" wrapText="1" readingOrder="2"/>
    </xf>
    <xf numFmtId="9" fontId="57" fillId="9" borderId="2" xfId="0" applyNumberFormat="1" applyFont="1" applyFill="1" applyBorder="1" applyAlignment="1">
      <alignment horizontal="center" vertical="center" readingOrder="2"/>
    </xf>
    <xf numFmtId="0" fontId="61" fillId="10" borderId="3" xfId="0" applyFont="1" applyFill="1" applyBorder="1" applyAlignment="1">
      <alignment horizontal="center" vertical="center" readingOrder="2"/>
    </xf>
    <xf numFmtId="0" fontId="62" fillId="10" borderId="3" xfId="0" applyFont="1" applyFill="1" applyBorder="1" applyAlignment="1">
      <alignment horizontal="center" vertical="center" readingOrder="2"/>
    </xf>
    <xf numFmtId="0" fontId="62" fillId="28" borderId="3" xfId="0" applyFont="1" applyFill="1" applyBorder="1" applyAlignment="1">
      <alignment horizontal="center" vertical="center" readingOrder="2"/>
    </xf>
    <xf numFmtId="0" fontId="31" fillId="22" borderId="0" xfId="0" applyFont="1" applyFill="1" applyAlignment="1">
      <alignment horizontal="right" vertical="center" readingOrder="2"/>
    </xf>
    <xf numFmtId="0" fontId="2" fillId="31" borderId="1" xfId="0" applyFont="1" applyFill="1" applyBorder="1" applyAlignment="1">
      <alignment horizontal="center" vertical="center" readingOrder="2"/>
    </xf>
    <xf numFmtId="0" fontId="61" fillId="9" borderId="2" xfId="0" applyFont="1" applyFill="1" applyBorder="1" applyAlignment="1">
      <alignment horizontal="right" vertical="center" wrapText="1" readingOrder="2"/>
    </xf>
    <xf numFmtId="0" fontId="2" fillId="18" borderId="2" xfId="0" applyFont="1" applyFill="1" applyBorder="1" applyAlignment="1">
      <alignment horizontal="center" vertical="center" readingOrder="2"/>
    </xf>
    <xf numFmtId="0" fontId="62" fillId="28" borderId="2" xfId="0" applyFont="1" applyFill="1" applyBorder="1" applyAlignment="1">
      <alignment horizontal="right" vertical="center" wrapText="1" readingOrder="2"/>
    </xf>
    <xf numFmtId="0" fontId="41" fillId="5" borderId="2" xfId="0" applyFont="1" applyFill="1" applyBorder="1" applyAlignment="1">
      <alignment horizontal="right" vertical="center" wrapText="1" readingOrder="2"/>
    </xf>
    <xf numFmtId="0" fontId="31" fillId="18" borderId="0" xfId="0" applyFont="1" applyFill="1" applyAlignment="1">
      <alignment horizontal="right" vertical="center" readingOrder="2"/>
    </xf>
    <xf numFmtId="0" fontId="31" fillId="29" borderId="0" xfId="0" applyFont="1" applyFill="1" applyAlignment="1">
      <alignment horizontal="right" vertical="center" readingOrder="2"/>
    </xf>
    <xf numFmtId="0" fontId="55" fillId="28" borderId="2" xfId="0" applyFont="1" applyFill="1" applyBorder="1" applyAlignment="1">
      <alignment horizontal="center" vertical="center" readingOrder="2"/>
    </xf>
    <xf numFmtId="0" fontId="59" fillId="10" borderId="3" xfId="0" applyFont="1" applyFill="1" applyBorder="1" applyAlignment="1">
      <alignment horizontal="right" vertical="center" readingOrder="2"/>
    </xf>
    <xf numFmtId="164" fontId="32" fillId="5" borderId="2" xfId="0" applyNumberFormat="1" applyFont="1" applyFill="1" applyBorder="1" applyAlignment="1">
      <alignment horizontal="center" vertical="center" readingOrder="2"/>
    </xf>
    <xf numFmtId="0" fontId="50" fillId="5" borderId="2" xfId="0" applyFont="1" applyFill="1" applyBorder="1" applyAlignment="1">
      <alignment horizontal="center" vertical="center" readingOrder="2"/>
    </xf>
    <xf numFmtId="0" fontId="25" fillId="22" borderId="0" xfId="0" applyFont="1" applyFill="1" applyAlignment="1">
      <alignment horizontal="center" vertical="center" readingOrder="2"/>
    </xf>
    <xf numFmtId="0" fontId="52" fillId="4" borderId="0" xfId="0" applyFont="1" applyFill="1" applyAlignment="1">
      <alignment horizontal="center" vertical="center" readingOrder="2"/>
    </xf>
  </cellXfs>
  <cellStyles count="3">
    <cellStyle name="عادي" xfId="0" builtinId="0"/>
    <cellStyle name="عادي 2" xfId="1" xr:uid="{00000000-0005-0000-0000-000001000000}"/>
    <cellStyle name="عادي 3" xfId="2" xr:uid="{00000000-0005-0000-0000-000002000000}"/>
  </cellStyles>
  <dxfs count="67">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b/>
        <color rgb="FFFFFFFF"/>
      </font>
      <fill>
        <patternFill>
          <bgColor rgb="FFFF0000"/>
        </patternFill>
      </fill>
    </dxf>
    <dxf>
      <font>
        <b/>
        <color rgb="FF1A5C2A"/>
      </font>
      <fill>
        <patternFill patternType="solid">
          <fgColor indexed="64"/>
          <bgColor rgb="FFE6F4EA"/>
        </patternFill>
      </fill>
    </dxf>
    <dxf>
      <font>
        <b/>
        <color rgb="FF0A6E6E"/>
      </font>
      <fill>
        <patternFill patternType="solid">
          <fgColor indexed="64"/>
          <bgColor rgb="FFE0F5F5"/>
        </patternFill>
      </fill>
    </dxf>
    <dxf>
      <font>
        <b/>
        <color rgb="FF9C4000"/>
      </font>
      <fill>
        <patternFill patternType="solid">
          <fgColor indexed="64"/>
          <bgColor rgb="FFFEF0E6"/>
        </patternFill>
      </fill>
    </dxf>
    <dxf>
      <font>
        <b/>
        <color rgb="FF8B1A1A"/>
      </font>
      <fill>
        <patternFill patternType="solid">
          <fgColor indexed="64"/>
          <bgColor rgb="FFFDECEA"/>
        </patternFill>
      </fill>
    </dxf>
    <dxf>
      <font>
        <b/>
        <color rgb="FFFFFFFF"/>
      </font>
      <fill>
        <patternFill patternType="solid">
          <fgColor indexed="64"/>
          <bgColor rgb="FF8B0000"/>
        </patternFill>
      </fill>
    </dxf>
    <dxf>
      <font>
        <b/>
        <color rgb="FF1A5C2A"/>
      </font>
      <fill>
        <patternFill patternType="solid">
          <fgColor indexed="64"/>
          <bgColor rgb="FFE6F4EA"/>
        </patternFill>
      </fill>
    </dxf>
    <dxf>
      <font>
        <b/>
        <color rgb="FF0A6E6E"/>
      </font>
      <fill>
        <patternFill patternType="solid">
          <fgColor indexed="64"/>
          <bgColor rgb="FFE0F5F5"/>
        </patternFill>
      </fill>
    </dxf>
    <dxf>
      <font>
        <b/>
        <color rgb="FF9C4000"/>
      </font>
      <fill>
        <patternFill patternType="solid">
          <fgColor indexed="64"/>
          <bgColor rgb="FFFEF0E6"/>
        </patternFill>
      </fill>
    </dxf>
    <dxf>
      <font>
        <b/>
        <color rgb="FF8B1A1A"/>
      </font>
      <fill>
        <patternFill patternType="solid">
          <fgColor indexed="64"/>
          <bgColor rgb="FFFDECEA"/>
        </patternFill>
      </fill>
    </dxf>
    <dxf>
      <font>
        <b/>
        <color rgb="FFFFFFFF"/>
      </font>
      <fill>
        <patternFill patternType="solid">
          <fgColor indexed="64"/>
          <bgColor rgb="FF8B0000"/>
        </patternFill>
      </fill>
    </dxf>
    <dxf>
      <font>
        <b/>
        <color rgb="FF1A5C2A"/>
      </font>
      <fill>
        <patternFill patternType="solid">
          <fgColor indexed="64"/>
          <bgColor rgb="FFE6F4EA"/>
        </patternFill>
      </fill>
    </dxf>
    <dxf>
      <font>
        <b/>
        <color rgb="FF0A6E6E"/>
      </font>
      <fill>
        <patternFill patternType="solid">
          <fgColor indexed="64"/>
          <bgColor rgb="FFE0F5F5"/>
        </patternFill>
      </fill>
    </dxf>
    <dxf>
      <font>
        <b/>
        <color rgb="FF9C4000"/>
      </font>
      <fill>
        <patternFill patternType="solid">
          <fgColor indexed="64"/>
          <bgColor rgb="FFFEF0E6"/>
        </patternFill>
      </fill>
    </dxf>
    <dxf>
      <font>
        <b/>
        <color rgb="FF8B1A1A"/>
      </font>
      <fill>
        <patternFill patternType="solid">
          <fgColor indexed="64"/>
          <bgColor rgb="FFFDECEA"/>
        </patternFill>
      </fill>
    </dxf>
    <dxf>
      <font>
        <b/>
        <color rgb="FFFFFFFF"/>
      </font>
      <fill>
        <patternFill patternType="solid">
          <fgColor indexed="64"/>
          <bgColor rgb="FF8B0000"/>
        </patternFill>
      </fill>
    </dxf>
    <dxf>
      <font>
        <color rgb="FFAEB4BD"/>
      </font>
      <fill>
        <patternFill patternType="solid">
          <fgColor indexed="64"/>
          <bgColor rgb="FFECEEF1"/>
        </patternFill>
      </fill>
    </dxf>
    <dxf>
      <font>
        <color rgb="FF1E6B3C"/>
      </font>
      <fill>
        <patternFill patternType="solid">
          <fgColor indexed="64"/>
          <bgColor rgb="FFD4EDDA"/>
        </patternFill>
      </fill>
    </dxf>
    <dxf>
      <font>
        <color rgb="FF7A5B00"/>
      </font>
      <fill>
        <patternFill patternType="solid">
          <fgColor indexed="64"/>
          <bgColor rgb="FFFFF3CD"/>
        </patternFill>
      </fill>
    </dxf>
    <dxf>
      <font>
        <color rgb="FF9C1C28"/>
      </font>
      <fill>
        <patternFill patternType="solid">
          <fgColor indexed="64"/>
          <bgColor rgb="FFF8D7DA"/>
        </patternFill>
      </fill>
    </dxf>
    <dxf>
      <font>
        <b/>
        <color rgb="FF856404"/>
        <name val="Arial"/>
        <charset val="1"/>
      </font>
      <fill>
        <patternFill>
          <bgColor rgb="FFFFF3CD"/>
        </patternFill>
      </fill>
    </dxf>
    <dxf>
      <font>
        <b/>
        <color rgb="FF8B1A1A"/>
        <name val="Arial"/>
        <charset val="1"/>
      </font>
      <fill>
        <patternFill>
          <bgColor rgb="FFFADEDC"/>
        </patternFill>
      </fill>
    </dxf>
    <dxf>
      <font>
        <b/>
        <color rgb="FF1E6B3C"/>
        <name val="Arial"/>
        <charset val="1"/>
      </font>
      <fill>
        <patternFill>
          <bgColor rgb="FFD4EDDA"/>
        </patternFill>
      </fill>
    </dxf>
    <dxf>
      <font>
        <b/>
        <color rgb="FF856404"/>
        <name val="Arial"/>
        <charset val="1"/>
      </font>
      <fill>
        <patternFill>
          <bgColor rgb="FFFFF3CD"/>
        </patternFill>
      </fill>
    </dxf>
    <dxf>
      <font>
        <b/>
        <color rgb="FF8B1A1A"/>
        <name val="Arial"/>
        <charset val="1"/>
      </font>
      <fill>
        <patternFill>
          <bgColor rgb="FFFADEDC"/>
        </patternFill>
      </fill>
    </dxf>
    <dxf>
      <font>
        <b/>
        <color rgb="FF1E6B3C"/>
        <name val="Arial"/>
        <charset val="1"/>
      </font>
      <fill>
        <patternFill>
          <bgColor rgb="FFD4EDDA"/>
        </patternFill>
      </fill>
    </dxf>
    <dxf>
      <font>
        <b/>
        <color rgb="FF856404"/>
        <name val="Arial"/>
        <charset val="1"/>
      </font>
      <fill>
        <patternFill>
          <bgColor rgb="FFFFF3CD"/>
        </patternFill>
      </fill>
    </dxf>
    <dxf>
      <font>
        <b/>
        <color rgb="FF8B1A1A"/>
        <name val="Arial"/>
        <charset val="1"/>
      </font>
      <fill>
        <patternFill>
          <bgColor rgb="FFFADEDC"/>
        </patternFill>
      </fill>
    </dxf>
    <dxf>
      <font>
        <b/>
        <color rgb="FF1E6B3C"/>
        <name val="Arial"/>
        <charset val="1"/>
      </font>
      <fill>
        <patternFill>
          <bgColor rgb="FFD4EDDA"/>
        </patternFill>
      </fill>
    </dxf>
    <dxf>
      <font>
        <b/>
        <color rgb="FF856404"/>
        <name val="Arial"/>
        <charset val="1"/>
      </font>
      <fill>
        <patternFill>
          <bgColor rgb="FFFFF3CD"/>
        </patternFill>
      </fill>
    </dxf>
    <dxf>
      <font>
        <b/>
        <color rgb="FF8B1A1A"/>
        <name val="Arial"/>
        <charset val="1"/>
      </font>
      <fill>
        <patternFill>
          <bgColor rgb="FFFADEDC"/>
        </patternFill>
      </fill>
    </dxf>
    <dxf>
      <font>
        <b/>
        <color rgb="FF1E6B3C"/>
        <name val="Arial"/>
        <charset val="1"/>
      </font>
      <fill>
        <patternFill>
          <bgColor rgb="FFC6EFCE"/>
        </patternFill>
      </fill>
    </dxf>
    <dxf>
      <font>
        <b/>
        <color rgb="FFC00000"/>
      </font>
    </dxf>
    <dxf>
      <font>
        <b/>
        <color rgb="FF7A0000"/>
      </font>
    </dxf>
    <dxf>
      <font>
        <b/>
        <color rgb="FF9C6500"/>
      </font>
    </dxf>
    <dxf>
      <font>
        <b/>
        <color rgb="FF2563A8"/>
      </font>
    </dxf>
    <dxf>
      <font>
        <b/>
        <color rgb="FF1A7A1A"/>
      </font>
    </dxf>
    <dxf>
      <font>
        <b/>
        <color rgb="FF1A5C2A"/>
      </font>
    </dxf>
    <dxf>
      <fill>
        <patternFill patternType="solid">
          <fgColor indexed="64"/>
          <bgColor rgb="FFFFFFFF"/>
        </patternFill>
      </fill>
    </dxf>
    <dxf>
      <fill>
        <patternFill patternType="solid">
          <fgColor indexed="64"/>
          <bgColor rgb="FFF4F7FB"/>
        </patternFill>
      </fill>
    </dxf>
    <dxf>
      <fill>
        <patternFill patternType="solid">
          <fgColor indexed="64"/>
          <bgColor rgb="FFFFFFFF"/>
        </patternFill>
      </fill>
    </dxf>
    <dxf>
      <fill>
        <patternFill patternType="solid">
          <fgColor indexed="64"/>
          <bgColor rgb="FFF4F7FB"/>
        </patternFill>
      </fill>
    </dxf>
    <dxf>
      <fill>
        <patternFill patternType="solid">
          <fgColor indexed="64"/>
          <bgColor rgb="FFFFFFFF"/>
        </patternFill>
      </fill>
    </dxf>
    <dxf>
      <fill>
        <patternFill patternType="solid">
          <fgColor indexed="64"/>
          <bgColor rgb="FFF4F7FB"/>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b/>
        <color rgb="FF065F46"/>
      </font>
      <fill>
        <patternFill patternType="solid">
          <fgColor indexed="64"/>
          <bgColor rgb="FFD1FAE5"/>
        </patternFill>
      </fill>
    </dxf>
    <dxf>
      <font>
        <b/>
        <color rgb="FF9B1C1C"/>
      </font>
      <fill>
        <patternFill patternType="solid">
          <fgColor indexed="64"/>
          <bgColor rgb="FFFDE2E4"/>
        </patternFill>
      </fill>
    </dxf>
    <dxf>
      <fill>
        <patternFill patternType="solid">
          <fgColor indexed="64"/>
          <bgColor rgb="FFFFFFFF"/>
        </patternFill>
      </fill>
    </dxf>
    <dxf>
      <fill>
        <patternFill patternType="solid">
          <fgColor indexed="64"/>
          <bgColor rgb="FFF4F7FB"/>
        </patternFill>
      </fill>
    </dxf>
    <dxf>
      <fill>
        <patternFill patternType="solid">
          <fgColor indexed="64"/>
          <bgColor rgb="FFFDECEA"/>
        </patternFill>
      </fill>
    </dxf>
    <dxf>
      <fill>
        <patternFill patternType="solid">
          <fgColor indexed="64"/>
          <bgColor rgb="FFE6F4EA"/>
        </patternFill>
      </fill>
    </dxf>
    <dxf>
      <fill>
        <patternFill patternType="solid">
          <fgColor indexed="64"/>
          <bgColor rgb="FFE0F5F5"/>
        </patternFill>
      </fill>
    </dxf>
    <dxf>
      <fill>
        <patternFill patternType="solid">
          <fgColor indexed="64"/>
          <bgColor rgb="FFD6E9FA"/>
        </patternFill>
      </fill>
    </dxf>
    <dxf>
      <fill>
        <patternFill patternType="solid">
          <fgColor indexed="64"/>
          <bgColor rgb="FFF6E6F6"/>
        </patternFill>
      </fill>
    </dxf>
    <dxf>
      <fill>
        <patternFill patternType="solid">
          <fgColor indexed="64"/>
          <bgColor rgb="FFEAF1FB"/>
        </patternFill>
      </fill>
    </dxf>
    <dxf>
      <fill>
        <patternFill patternType="solid">
          <fgColor indexed="64"/>
          <bgColor rgb="FFF3E8FF"/>
        </patternFill>
      </fill>
    </dxf>
    <dxf>
      <fill>
        <patternFill patternType="solid">
          <fgColor indexed="64"/>
          <bgColor rgb="FFFFF7D6"/>
        </patternFill>
      </fill>
    </dxf>
    <dxf>
      <fill>
        <patternFill patternType="solid">
          <fgColor indexed="64"/>
          <bgColor rgb="FFFFF7D6"/>
        </patternFill>
      </fill>
    </dxf>
    <dxf>
      <fill>
        <patternFill patternType="solid">
          <fgColor indexed="64"/>
          <bgColor rgb="FFF3E8FF"/>
        </patternFill>
      </fill>
    </dxf>
    <dxf>
      <fill>
        <patternFill patternType="solid">
          <fgColor indexed="64"/>
          <bgColor rgb="FFEAF1FB"/>
        </patternFill>
      </fill>
    </dxf>
  </dxfs>
  <tableStyles count="0" defaultTableStyle="TableStyleMedium2" defaultPivotStyle="PivotStyleLight16"/>
  <colors>
    <indexedColors>
      <rgbColor rgb="FF000000"/>
      <rgbColor rgb="FFFFFFFF"/>
      <rgbColor rgb="FFFF0000"/>
      <rgbColor rgb="FFFEF3E2"/>
      <rgbColor rgb="FF0000FF"/>
      <rgbColor rgb="FFFFF4D6"/>
      <rgbColor rgb="FFFFF0E6"/>
      <rgbColor rgb="FFF2F7FC"/>
      <rgbColor rgb="FF670505"/>
      <rgbColor rgb="FF135C1E"/>
      <rgbColor rgb="FF0D1F4E"/>
      <rgbColor rgb="FF996600"/>
      <rgbColor rgb="FFB70000"/>
      <rgbColor rgb="FF0A6E6E"/>
      <rgbColor rgb="FFC0C5D0"/>
      <rgbColor rgb="FF315122"/>
      <rgbColor rgb="FF8DAAD9"/>
      <rgbColor rgb="FF994101"/>
      <rgbColor rgb="FFFFFACD"/>
      <rgbColor rgb="FFDCF5F5"/>
      <rgbColor rgb="FF511170"/>
      <rgbColor rgb="FFFFB347"/>
      <rgbColor rgb="FF2563A8"/>
      <rgbColor rgb="FFD0D5E0"/>
      <rgbColor rgb="FFFFFDE7"/>
      <rgbColor rgb="FFFEF0E6"/>
      <rgbColor rgb="FFFFF8DC"/>
      <rgbColor rgb="FFF3E8FF"/>
      <rgbColor rgb="FFFFF8E1"/>
      <rgbColor rgb="FF8B1A1A"/>
      <rgbColor rgb="FF085A5A"/>
      <rgbColor rgb="FFF7F8FA"/>
      <rgbColor rgb="FFF5F6FA"/>
      <rgbColor rgb="FFE0F5F5"/>
      <rgbColor rgb="FFE6F4EA"/>
      <rgbColor rgb="FFFFF2CC"/>
      <rgbColor rgb="FFD9E2F3"/>
      <rgbColor rgb="FFF3E5F5"/>
      <rgbColor rgb="FFD6E9FA"/>
      <rgbColor rgb="FFFFC7CE"/>
      <rgbColor rgb="FF327AAE"/>
      <rgbColor rgb="FFF0F0F8"/>
      <rgbColor rgb="FFE8F5E9"/>
      <rgbColor rgb="FFFFD700"/>
      <rgbColor rgb="FFFFC000"/>
      <rgbColor rgb="FFFDECEA"/>
      <rgbColor rgb="FF434A50"/>
      <rgbColor rgb="FFE8ECF5"/>
      <rgbColor rgb="FF1A3A6B"/>
      <rgbColor rgb="FF277E34"/>
      <rgbColor rgb="FF1A5C27"/>
      <rgbColor rgb="FF5C4200"/>
      <rgbColor rgb="FF9C4000"/>
      <rgbColor rgb="FF7D5A00"/>
      <rgbColor rgb="FF1F4E78"/>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 dockstate="right" visibility="0" width="350"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1A1780E-B96E-4181-8C09-8EE3E8B2B72A}">
  <we:reference id="wa200010725" version="1.0.0.1" store="ar-SA" storeType="OMEX"/>
  <we:alternateReferences>
    <we:reference id="wa200010725" version="1.0.0.1" store="ar-SA" storeType="OMEX"/>
  </we:alternateReferences>
  <we:properties>
    <we:property name="claude.fileId" value="&quot;6ba6bdcb-2169-4298-9b7b-f95f37d7b0d2&quot;"/>
  </we:properties>
  <we:bindings/>
  <we:snapshot xmlns:r="http://schemas.openxmlformats.org/officeDocument/2006/relationships"/>
</we:webextension>
</file>

<file path=xl/webextensions/webextension2.xml><?xml version="1.0" encoding="utf-8"?>
<we:webextension xmlns:we="http://schemas.microsoft.com/office/webextensions/webextension/2010/11" id="{FBC4A63E-E70F-4A8F-99DB-86560D3E696D}">
  <we:reference id="wa200009404" version="1.0.0.8" store="ar-SA" storeType="OMEX"/>
  <we:alternateReferences>
    <we:reference id="wa200009404" version="1.0.0.8" store="ar-SA" storeType="OMEX"/>
  </we:alternateReferences>
  <we:properties>
    <we:property name="claude.fileId" value="&quot;0edc2b6d-9e75-4389-9583-ff4a9173a28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255"/>
  <sheetViews>
    <sheetView rightToLeft="1" topLeftCell="Q1" zoomScaleNormal="100" workbookViewId="0">
      <pane ySplit="1" topLeftCell="A4" activePane="bottomLeft" state="frozen"/>
      <selection activeCell="J1988" sqref="J1988"/>
      <selection pane="bottomLeft" activeCell="J1988" sqref="J1988"/>
    </sheetView>
  </sheetViews>
  <sheetFormatPr defaultColWidth="8.7109375" defaultRowHeight="15" outlineLevelCol="1"/>
  <cols>
    <col min="1" max="1" width="28.5703125" hidden="1" customWidth="1" outlineLevel="1"/>
    <col min="2" max="2" width="36.140625" hidden="1" customWidth="1" outlineLevel="1"/>
    <col min="3" max="3" width="30.42578125" hidden="1" customWidth="1" outlineLevel="1"/>
    <col min="4" max="4" width="2.7109375" customWidth="1" collapsed="1"/>
    <col min="5" max="16" width="2.7109375" hidden="1" customWidth="1" outlineLevel="1"/>
    <col min="17" max="17" width="21" customWidth="1" collapsed="1"/>
    <col min="18" max="18" width="2.7109375" customWidth="1"/>
    <col min="19" max="19" width="22.85546875" customWidth="1"/>
    <col min="20" max="20" width="43.85546875" customWidth="1"/>
    <col min="21" max="21" width="18.5703125" customWidth="1"/>
    <col min="22" max="22" width="28.5703125" customWidth="1"/>
    <col min="23" max="23" width="55.140625" customWidth="1"/>
    <col min="24" max="24" width="2.7109375" customWidth="1"/>
    <col min="25" max="25" width="18.85546875" bestFit="1" customWidth="1"/>
    <col min="26" max="26" width="10.5703125" bestFit="1" customWidth="1"/>
    <col min="27" max="27" width="2.28515625" customWidth="1"/>
    <col min="28" max="28" width="9.42578125" bestFit="1" customWidth="1"/>
    <col min="29" max="29" width="14.5703125" bestFit="1" customWidth="1"/>
    <col min="30" max="30" width="28.5703125" customWidth="1"/>
    <col min="31" max="31" width="22.42578125" bestFit="1" customWidth="1"/>
    <col min="32" max="32" width="13.7109375" bestFit="1" customWidth="1"/>
    <col min="33" max="33" width="15.28515625" bestFit="1" customWidth="1"/>
    <col min="34" max="34" width="13.28515625" bestFit="1" customWidth="1"/>
    <col min="35" max="35" width="14.7109375" bestFit="1" customWidth="1"/>
    <col min="36" max="36" width="13.28515625" bestFit="1" customWidth="1"/>
    <col min="37" max="37" width="2.7109375" customWidth="1"/>
    <col min="38" max="38" width="18.140625" hidden="1" customWidth="1" outlineLevel="1"/>
    <col min="39" max="39" width="14.28515625" hidden="1" customWidth="1" outlineLevel="1"/>
    <col min="40" max="40" width="2.7109375" hidden="1" customWidth="1" outlineLevel="1"/>
    <col min="41" max="41" width="18.140625" hidden="1" customWidth="1" outlineLevel="1"/>
    <col min="42" max="42" width="14.28515625" hidden="1" customWidth="1" outlineLevel="1"/>
    <col min="43" max="43" width="2.7109375" hidden="1" customWidth="1" outlineLevel="1"/>
    <col min="44" max="44" width="18.140625" hidden="1" customWidth="1" outlineLevel="1"/>
    <col min="45" max="45" width="14.28515625" hidden="1" customWidth="1" outlineLevel="1"/>
    <col min="46" max="46" width="2.7109375" hidden="1" customWidth="1" outlineLevel="1"/>
    <col min="47" max="47" width="16.140625" hidden="1" customWidth="1" outlineLevel="1"/>
    <col min="48" max="48" width="14.28515625" hidden="1" customWidth="1" outlineLevel="1"/>
    <col min="49" max="49" width="8.7109375" customWidth="1" collapsed="1"/>
  </cols>
  <sheetData>
    <row r="1" spans="1:48" s="162" customFormat="1" ht="21.95" customHeight="1">
      <c r="A1" s="177" t="s">
        <v>90</v>
      </c>
      <c r="B1" s="177" t="s">
        <v>91</v>
      </c>
      <c r="C1" s="177" t="s">
        <v>92</v>
      </c>
      <c r="D1" s="122"/>
      <c r="E1" s="122"/>
      <c r="F1" s="122"/>
      <c r="G1" s="122"/>
      <c r="H1" s="122"/>
      <c r="I1" s="122"/>
      <c r="J1" s="122"/>
      <c r="K1" s="122"/>
      <c r="L1" s="122"/>
      <c r="M1" s="122"/>
      <c r="N1" s="122"/>
      <c r="O1" s="122"/>
      <c r="P1" s="122"/>
      <c r="Q1" s="163" t="s">
        <v>93</v>
      </c>
      <c r="R1" s="122"/>
      <c r="S1" s="164" t="s">
        <v>46</v>
      </c>
      <c r="T1" s="164" t="s">
        <v>94</v>
      </c>
      <c r="U1" s="164" t="s">
        <v>7</v>
      </c>
      <c r="V1" s="164" t="s">
        <v>95</v>
      </c>
      <c r="W1" s="163" t="s">
        <v>96</v>
      </c>
      <c r="X1" s="165"/>
      <c r="Y1" s="166" t="s">
        <v>97</v>
      </c>
      <c r="Z1" s="167" t="s">
        <v>98</v>
      </c>
      <c r="AA1" s="122"/>
      <c r="AB1" s="166" t="s">
        <v>99</v>
      </c>
      <c r="AC1" s="166" t="s">
        <v>100</v>
      </c>
      <c r="AD1" s="166" t="s">
        <v>101</v>
      </c>
      <c r="AE1" s="166" t="s">
        <v>102</v>
      </c>
      <c r="AF1" s="166" t="s">
        <v>103</v>
      </c>
      <c r="AG1" s="166" t="s">
        <v>104</v>
      </c>
      <c r="AH1" s="166" t="s">
        <v>105</v>
      </c>
      <c r="AI1" s="166" t="s">
        <v>106</v>
      </c>
      <c r="AJ1" s="168" t="s">
        <v>107</v>
      </c>
      <c r="AK1" s="165"/>
      <c r="AL1" s="163" t="s">
        <v>108</v>
      </c>
      <c r="AM1" s="163" t="s">
        <v>109</v>
      </c>
      <c r="AN1" s="165"/>
      <c r="AO1" s="163" t="s">
        <v>110</v>
      </c>
      <c r="AP1" s="163" t="s">
        <v>111</v>
      </c>
      <c r="AQ1" s="165"/>
      <c r="AR1" s="163" t="s">
        <v>112</v>
      </c>
      <c r="AS1" s="163" t="s">
        <v>113</v>
      </c>
      <c r="AT1" s="165"/>
      <c r="AU1" s="163" t="s">
        <v>114</v>
      </c>
      <c r="AV1" s="163" t="s">
        <v>115</v>
      </c>
    </row>
    <row r="2" spans="1:48" ht="15.95" customHeight="1">
      <c r="A2" s="178" t="str">
        <f t="array" ref="A2:C69">_xlfn.LET(
_xlpm.hdr, AB1:AJ1,
_xlpm.body, AB2:AJ30,
_xlpm.res, _xlfn.DROP(_xlfn.REDUCE("",_xlfn.SEQUENCE(COLUMNS(_xlpm.hdr)), _xlfn.LAMBDA(_xlpm.acc,_xlpm.i,
  _xlfn.LET(
    _xlpm.d, INDEX(_xlpm.hdr,1,_xlpm.i),
    _xlpm.units, _xlfn._xlws.FILTER(INDEX(_xlpm.body,0,_xlpm.i), INDEX(_xlpm.body,0,_xlpm.i)&lt;&gt;""," "),
    _xlpm.ctr, IF(ISNUMBER(MATCH(_xlpm.d,$Y$2:$Y$8,0)), $Y$1, $Z$1),
    IF(_xlpm.d="", _xlpm.acc,
      _xlfn.VSTACK(_xlpm.acc, _xlfn.HSTACK(IF(_xlpm.units="",_xlpm.ctr,_xlpm.ctr), IF(_xlpm.units="",_xlpm.d,_xlpm.d), _xlpm.units)))
  )
)),1),
_xlpm.res
)</f>
        <v>الجمعية</v>
      </c>
      <c r="B2" s="178" t="str">
        <v>سكرتاريا</v>
      </c>
      <c r="C2" s="178" t="str">
        <v>سكرتير المجلس</v>
      </c>
      <c r="D2" s="122"/>
      <c r="E2" s="122"/>
      <c r="F2" s="122"/>
      <c r="G2" s="122"/>
      <c r="H2" s="122"/>
      <c r="I2" s="122"/>
      <c r="J2" s="122"/>
      <c r="K2" s="122"/>
      <c r="L2" s="122"/>
      <c r="M2" s="122"/>
      <c r="N2" s="122"/>
      <c r="O2" s="122"/>
      <c r="P2" s="122"/>
      <c r="Q2" s="169" t="s">
        <v>116</v>
      </c>
      <c r="R2" s="122"/>
      <c r="S2" s="182" t="s">
        <v>26</v>
      </c>
      <c r="T2" s="171" t="s">
        <v>117</v>
      </c>
      <c r="U2" s="171" t="s">
        <v>118</v>
      </c>
      <c r="V2" s="170" t="s">
        <v>119</v>
      </c>
      <c r="W2" s="172" t="s">
        <v>120</v>
      </c>
      <c r="X2" s="122"/>
      <c r="Y2" s="173" t="s">
        <v>99</v>
      </c>
      <c r="Z2" s="174" t="s">
        <v>105</v>
      </c>
      <c r="AA2" s="122"/>
      <c r="AB2" s="175" t="s">
        <v>121</v>
      </c>
      <c r="AC2" s="175" t="s">
        <v>122</v>
      </c>
      <c r="AD2" s="175" t="s">
        <v>123</v>
      </c>
      <c r="AE2" s="175" t="s">
        <v>124</v>
      </c>
      <c r="AF2" s="175" t="s">
        <v>125</v>
      </c>
      <c r="AG2" s="175" t="s">
        <v>126</v>
      </c>
      <c r="AH2" s="175" t="s">
        <v>127</v>
      </c>
      <c r="AI2" s="175" t="s">
        <v>128</v>
      </c>
      <c r="AJ2" s="176" t="s">
        <v>129</v>
      </c>
      <c r="AK2" s="122"/>
      <c r="AL2" s="169" t="s">
        <v>130</v>
      </c>
      <c r="AM2" s="169">
        <v>100</v>
      </c>
      <c r="AN2" s="122"/>
      <c r="AO2" s="169" t="s">
        <v>130</v>
      </c>
      <c r="AP2" s="169">
        <v>100</v>
      </c>
      <c r="AQ2" s="122"/>
      <c r="AR2" s="169" t="s">
        <v>131</v>
      </c>
      <c r="AS2" s="169">
        <v>100</v>
      </c>
      <c r="AT2" s="122"/>
      <c r="AU2" s="169" t="s">
        <v>132</v>
      </c>
      <c r="AV2" s="169">
        <v>0</v>
      </c>
    </row>
    <row r="3" spans="1:48" ht="15.95" customHeight="1">
      <c r="A3" s="178" t="str">
        <v>الجمعية</v>
      </c>
      <c r="B3" s="178" t="str">
        <v>سكرتاريا</v>
      </c>
      <c r="C3" s="178" t="str">
        <v>سكرتير</v>
      </c>
      <c r="D3" s="122"/>
      <c r="E3" s="122"/>
      <c r="F3" s="122"/>
      <c r="G3" s="122"/>
      <c r="H3" s="122"/>
      <c r="I3" s="122"/>
      <c r="J3" s="122"/>
      <c r="K3" s="122"/>
      <c r="L3" s="122"/>
      <c r="M3" s="122"/>
      <c r="N3" s="122"/>
      <c r="O3" s="122"/>
      <c r="P3" s="122"/>
      <c r="Q3" s="169" t="s">
        <v>133</v>
      </c>
      <c r="R3" s="122"/>
      <c r="S3" s="182" t="s">
        <v>134</v>
      </c>
      <c r="T3" s="171" t="s">
        <v>135</v>
      </c>
      <c r="U3" s="171" t="s">
        <v>136</v>
      </c>
      <c r="V3" s="170" t="s">
        <v>137</v>
      </c>
      <c r="W3" s="172" t="s">
        <v>138</v>
      </c>
      <c r="X3" s="122"/>
      <c r="Y3" s="173" t="s">
        <v>100</v>
      </c>
      <c r="Z3" s="174" t="s">
        <v>106</v>
      </c>
      <c r="AA3" s="122"/>
      <c r="AB3" s="175" t="s">
        <v>139</v>
      </c>
      <c r="AC3" s="175" t="s">
        <v>140</v>
      </c>
      <c r="AD3" s="175" t="s">
        <v>141</v>
      </c>
      <c r="AE3" s="175" t="s">
        <v>142</v>
      </c>
      <c r="AF3" s="175" t="s">
        <v>143</v>
      </c>
      <c r="AG3" s="175" t="s">
        <v>144</v>
      </c>
      <c r="AH3" s="175" t="s">
        <v>145</v>
      </c>
      <c r="AI3" s="175" t="s">
        <v>146</v>
      </c>
      <c r="AJ3" s="176" t="s">
        <v>147</v>
      </c>
      <c r="AK3" s="122"/>
      <c r="AL3" s="169" t="s">
        <v>148</v>
      </c>
      <c r="AM3" s="169">
        <v>60</v>
      </c>
      <c r="AN3" s="122"/>
      <c r="AO3" s="169" t="s">
        <v>149</v>
      </c>
      <c r="AP3" s="169">
        <v>85</v>
      </c>
      <c r="AQ3" s="122"/>
      <c r="AR3" s="169" t="s">
        <v>150</v>
      </c>
      <c r="AS3" s="169">
        <v>30</v>
      </c>
      <c r="AT3" s="122"/>
      <c r="AU3" s="169" t="s">
        <v>151</v>
      </c>
      <c r="AV3" s="169">
        <v>25</v>
      </c>
    </row>
    <row r="4" spans="1:48" ht="15.95" customHeight="1">
      <c r="A4" s="178" t="str">
        <v>الجمعية</v>
      </c>
      <c r="B4" s="178" t="str">
        <v>دائرة الشؤون الإدارية</v>
      </c>
      <c r="C4" s="178" t="str">
        <v>قسم شؤون الموظفين</v>
      </c>
      <c r="D4" s="122"/>
      <c r="E4" s="122"/>
      <c r="F4" s="122"/>
      <c r="G4" s="122"/>
      <c r="H4" s="122"/>
      <c r="I4" s="122"/>
      <c r="J4" s="122"/>
      <c r="K4" s="122"/>
      <c r="L4" s="122"/>
      <c r="M4" s="122"/>
      <c r="N4" s="122"/>
      <c r="O4" s="122"/>
      <c r="P4" s="122"/>
      <c r="Q4" s="169" t="s">
        <v>152</v>
      </c>
      <c r="R4" s="122"/>
      <c r="S4" s="170" t="s">
        <v>153</v>
      </c>
      <c r="T4" s="171" t="s">
        <v>154</v>
      </c>
      <c r="U4" s="171" t="s">
        <v>155</v>
      </c>
      <c r="V4" s="170" t="s">
        <v>156</v>
      </c>
      <c r="W4" s="172" t="s">
        <v>157</v>
      </c>
      <c r="X4" s="122"/>
      <c r="Y4" s="173" t="s">
        <v>101</v>
      </c>
      <c r="Z4" s="174" t="s">
        <v>107</v>
      </c>
      <c r="AA4" s="122"/>
      <c r="AB4" s="122"/>
      <c r="AC4" s="176" t="s">
        <v>158</v>
      </c>
      <c r="AD4" s="122"/>
      <c r="AE4" s="175" t="s">
        <v>159</v>
      </c>
      <c r="AF4" s="175" t="s">
        <v>160</v>
      </c>
      <c r="AG4" s="175" t="s">
        <v>161</v>
      </c>
      <c r="AH4" s="175" t="s">
        <v>162</v>
      </c>
      <c r="AI4" s="175" t="s">
        <v>163</v>
      </c>
      <c r="AJ4" s="176" t="s">
        <v>164</v>
      </c>
      <c r="AK4" s="122"/>
      <c r="AL4" s="169" t="s">
        <v>165</v>
      </c>
      <c r="AM4" s="169">
        <v>80</v>
      </c>
      <c r="AN4" s="122"/>
      <c r="AO4" s="169" t="s">
        <v>166</v>
      </c>
      <c r="AP4" s="169">
        <v>70</v>
      </c>
      <c r="AQ4" s="122"/>
      <c r="AR4" s="169" t="s">
        <v>167</v>
      </c>
      <c r="AS4" s="169">
        <v>60</v>
      </c>
      <c r="AT4" s="122"/>
      <c r="AU4" s="169" t="s">
        <v>168</v>
      </c>
      <c r="AV4" s="169">
        <v>20</v>
      </c>
    </row>
    <row r="5" spans="1:48" ht="15.95" customHeight="1">
      <c r="A5" s="178" t="str">
        <v>الجمعية</v>
      </c>
      <c r="B5" s="178" t="str">
        <v>دائرة الشؤون الإدارية</v>
      </c>
      <c r="C5" s="178" t="str">
        <v>قسم تنمية الموارد البشرية</v>
      </c>
      <c r="D5" s="122"/>
      <c r="E5" s="122"/>
      <c r="F5" s="122"/>
      <c r="G5" s="122"/>
      <c r="H5" s="122"/>
      <c r="I5" s="122"/>
      <c r="J5" s="122"/>
      <c r="K5" s="122"/>
      <c r="L5" s="122"/>
      <c r="M5" s="122"/>
      <c r="N5" s="122"/>
      <c r="O5" s="122"/>
      <c r="P5" s="122"/>
      <c r="Q5" s="169" t="s">
        <v>169</v>
      </c>
      <c r="R5" s="122"/>
      <c r="S5" s="122"/>
      <c r="T5" s="171" t="s">
        <v>170</v>
      </c>
      <c r="U5" s="171" t="s">
        <v>171</v>
      </c>
      <c r="V5" s="170" t="s">
        <v>172</v>
      </c>
      <c r="W5" s="172" t="s">
        <v>173</v>
      </c>
      <c r="X5" s="122"/>
      <c r="Y5" s="174" t="s">
        <v>102</v>
      </c>
      <c r="Z5" s="122"/>
      <c r="AA5" s="122"/>
      <c r="AB5" s="122"/>
      <c r="AC5" s="176" t="s">
        <v>174</v>
      </c>
      <c r="AD5" s="122"/>
      <c r="AE5" s="175" t="s">
        <v>175</v>
      </c>
      <c r="AF5" s="175" t="s">
        <v>176</v>
      </c>
      <c r="AG5" s="175" t="s">
        <v>177</v>
      </c>
      <c r="AH5" s="175" t="s">
        <v>178</v>
      </c>
      <c r="AI5" s="175" t="s">
        <v>179</v>
      </c>
      <c r="AJ5" s="176" t="s">
        <v>180</v>
      </c>
      <c r="AK5" s="122"/>
      <c r="AL5" s="169" t="s">
        <v>181</v>
      </c>
      <c r="AM5" s="169">
        <v>40</v>
      </c>
      <c r="AN5" s="122"/>
      <c r="AO5" s="169" t="s">
        <v>182</v>
      </c>
      <c r="AP5" s="169">
        <v>50</v>
      </c>
      <c r="AQ5" s="122"/>
      <c r="AR5" s="169" t="s">
        <v>183</v>
      </c>
      <c r="AS5" s="169">
        <v>0</v>
      </c>
      <c r="AT5" s="122"/>
      <c r="AU5" s="169" t="s">
        <v>184</v>
      </c>
      <c r="AV5" s="169">
        <v>10</v>
      </c>
    </row>
    <row r="6" spans="1:48" ht="15.95" customHeight="1">
      <c r="A6" s="178" t="str">
        <v>الجمعية</v>
      </c>
      <c r="B6" s="178" t="str">
        <v>دائرة الشؤون الإدارية</v>
      </c>
      <c r="C6" s="178" t="str">
        <v>قسم الحاسوب والشبكات</v>
      </c>
      <c r="D6" s="122"/>
      <c r="E6" s="122"/>
      <c r="F6" s="122"/>
      <c r="G6" s="122"/>
      <c r="H6" s="122"/>
      <c r="I6" s="122"/>
      <c r="J6" s="122"/>
      <c r="K6" s="122"/>
      <c r="L6" s="122"/>
      <c r="M6" s="122"/>
      <c r="N6" s="122"/>
      <c r="O6" s="122"/>
      <c r="P6" s="122"/>
      <c r="Q6" s="169" t="s">
        <v>185</v>
      </c>
      <c r="R6" s="122"/>
      <c r="S6" s="122"/>
      <c r="T6" s="171" t="s">
        <v>186</v>
      </c>
      <c r="U6" s="171" t="s">
        <v>187</v>
      </c>
      <c r="V6" s="170" t="s">
        <v>188</v>
      </c>
      <c r="W6" s="172" t="s">
        <v>189</v>
      </c>
      <c r="X6" s="122"/>
      <c r="Y6" s="174" t="s">
        <v>103</v>
      </c>
      <c r="Z6" s="122"/>
      <c r="AA6" s="122"/>
      <c r="AB6" s="122"/>
      <c r="AC6" s="176" t="s">
        <v>190</v>
      </c>
      <c r="AD6" s="122"/>
      <c r="AE6" s="176" t="s">
        <v>191</v>
      </c>
      <c r="AF6" s="122"/>
      <c r="AG6" s="175" t="s">
        <v>192</v>
      </c>
      <c r="AH6" s="175" t="s">
        <v>193</v>
      </c>
      <c r="AI6" s="175" t="s">
        <v>194</v>
      </c>
      <c r="AJ6" s="176" t="s">
        <v>195</v>
      </c>
      <c r="AK6" s="122"/>
      <c r="AL6" s="122"/>
      <c r="AM6" s="122"/>
      <c r="AN6" s="122"/>
      <c r="AO6" s="122"/>
      <c r="AP6" s="122"/>
      <c r="AQ6" s="122"/>
      <c r="AR6" s="122"/>
      <c r="AS6" s="122"/>
      <c r="AT6" s="122"/>
      <c r="AU6" s="169" t="s">
        <v>196</v>
      </c>
      <c r="AV6" s="169">
        <v>5</v>
      </c>
    </row>
    <row r="7" spans="1:48" ht="15.95" customHeight="1">
      <c r="A7" s="178" t="str">
        <v>الجمعية</v>
      </c>
      <c r="B7" s="178" t="str">
        <v>دائرة الشؤون الإدارية</v>
      </c>
      <c r="C7" s="178" t="str">
        <v>قسم الصيانة العامة</v>
      </c>
      <c r="D7" s="122"/>
      <c r="E7" s="122"/>
      <c r="F7" s="122"/>
      <c r="G7" s="122"/>
      <c r="H7" s="122"/>
      <c r="I7" s="122"/>
      <c r="J7" s="122"/>
      <c r="K7" s="122"/>
      <c r="L7" s="122"/>
      <c r="M7" s="122"/>
      <c r="N7" s="122"/>
      <c r="O7" s="122"/>
      <c r="P7" s="122"/>
      <c r="Q7" s="169" t="s">
        <v>197</v>
      </c>
      <c r="R7" s="122"/>
      <c r="S7" s="122"/>
      <c r="T7" s="171" t="s">
        <v>198</v>
      </c>
      <c r="U7" s="171" t="s">
        <v>199</v>
      </c>
      <c r="V7" s="170" t="s">
        <v>200</v>
      </c>
      <c r="W7" s="172" t="s">
        <v>201</v>
      </c>
      <c r="X7" s="122"/>
      <c r="Y7" s="174" t="s">
        <v>104</v>
      </c>
      <c r="Z7" s="122"/>
      <c r="AA7" s="122"/>
      <c r="AB7" s="122"/>
      <c r="AC7" s="122"/>
      <c r="AD7" s="122"/>
      <c r="AE7" s="176" t="s">
        <v>202</v>
      </c>
      <c r="AF7" s="122"/>
      <c r="AG7" s="122" t="s">
        <v>203</v>
      </c>
      <c r="AH7" s="175" t="s">
        <v>129</v>
      </c>
      <c r="AI7" s="175" t="s">
        <v>204</v>
      </c>
      <c r="AJ7" s="176" t="s">
        <v>205</v>
      </c>
      <c r="AK7" s="122"/>
      <c r="AL7" s="122"/>
      <c r="AM7" s="122"/>
      <c r="AN7" s="122"/>
      <c r="AO7" s="122"/>
      <c r="AP7" s="122"/>
      <c r="AQ7" s="122"/>
      <c r="AR7" s="122"/>
      <c r="AS7" s="122"/>
      <c r="AT7" s="122"/>
      <c r="AU7" s="169" t="s">
        <v>206</v>
      </c>
      <c r="AV7" s="169">
        <v>15</v>
      </c>
    </row>
    <row r="8" spans="1:48" ht="15.95" customHeight="1">
      <c r="A8" s="178" t="str">
        <v>الجمعية</v>
      </c>
      <c r="B8" s="178" t="str">
        <v>دائرة الشؤون الإدارية</v>
      </c>
      <c r="C8" s="178" t="str">
        <v>قسم الخدمات</v>
      </c>
      <c r="D8" s="122"/>
      <c r="E8" s="122"/>
      <c r="F8" s="122"/>
      <c r="G8" s="122"/>
      <c r="H8" s="122"/>
      <c r="I8" s="122"/>
      <c r="J8" s="122"/>
      <c r="K8" s="122"/>
      <c r="L8" s="122"/>
      <c r="M8" s="122"/>
      <c r="N8" s="122"/>
      <c r="O8" s="122"/>
      <c r="P8" s="122"/>
      <c r="Q8" s="169" t="s">
        <v>207</v>
      </c>
      <c r="R8" s="122"/>
      <c r="S8" s="122"/>
      <c r="T8" s="171" t="s">
        <v>208</v>
      </c>
      <c r="U8" s="172" t="s">
        <v>209</v>
      </c>
      <c r="V8" s="170" t="s">
        <v>203</v>
      </c>
      <c r="W8" s="172" t="s">
        <v>210</v>
      </c>
      <c r="X8" s="122"/>
      <c r="Y8" s="122"/>
      <c r="Z8" s="122"/>
      <c r="AA8" s="122"/>
      <c r="AB8" s="122"/>
      <c r="AC8" s="122"/>
      <c r="AD8" s="122"/>
      <c r="AE8" s="176" t="s">
        <v>211</v>
      </c>
      <c r="AF8" s="122"/>
      <c r="AG8" s="122" t="s">
        <v>212</v>
      </c>
      <c r="AH8" s="176" t="s">
        <v>213</v>
      </c>
      <c r="AI8" s="122"/>
      <c r="AJ8" s="176" t="s">
        <v>214</v>
      </c>
      <c r="AK8" s="122"/>
      <c r="AL8" s="122"/>
      <c r="AM8" s="122"/>
      <c r="AN8" s="122"/>
      <c r="AO8" s="122"/>
      <c r="AP8" s="122"/>
      <c r="AQ8" s="122"/>
      <c r="AR8" s="122"/>
      <c r="AS8" s="122"/>
      <c r="AT8" s="122"/>
      <c r="AU8" s="122"/>
      <c r="AV8" s="122"/>
    </row>
    <row r="9" spans="1:48" ht="15.95" customHeight="1">
      <c r="A9" s="178" t="str">
        <v>الجمعية</v>
      </c>
      <c r="B9" s="178" t="str">
        <v>دائرة التنمية الاجتماعية</v>
      </c>
      <c r="C9" s="178" t="str">
        <v>قسم الأيتام والأسر</v>
      </c>
      <c r="D9" s="122"/>
      <c r="E9" s="122"/>
      <c r="F9" s="122"/>
      <c r="G9" s="122"/>
      <c r="H9" s="122"/>
      <c r="I9" s="122"/>
      <c r="J9" s="122"/>
      <c r="K9" s="122"/>
      <c r="L9" s="122"/>
      <c r="M9" s="122"/>
      <c r="N9" s="122"/>
      <c r="O9" s="122"/>
      <c r="P9" s="122"/>
      <c r="Q9" s="169" t="s">
        <v>215</v>
      </c>
      <c r="R9" s="122"/>
      <c r="S9" s="122"/>
      <c r="T9" s="171" t="s">
        <v>216</v>
      </c>
      <c r="U9" s="172" t="s">
        <v>217</v>
      </c>
      <c r="V9" s="122" t="s">
        <v>218</v>
      </c>
      <c r="W9" s="172" t="s">
        <v>219</v>
      </c>
      <c r="X9" s="122"/>
      <c r="Y9" s="122"/>
      <c r="Z9" s="122"/>
      <c r="AA9" s="122"/>
      <c r="AB9" s="122"/>
      <c r="AC9" s="122"/>
      <c r="AD9" s="122"/>
      <c r="AE9" s="176" t="s">
        <v>220</v>
      </c>
      <c r="AF9" s="122"/>
      <c r="AG9" s="122"/>
      <c r="AH9" s="176" t="s">
        <v>147</v>
      </c>
      <c r="AI9" s="122"/>
      <c r="AJ9" s="176" t="s">
        <v>221</v>
      </c>
      <c r="AK9" s="122"/>
      <c r="AL9" s="122"/>
      <c r="AM9" s="122"/>
      <c r="AN9" s="122"/>
      <c r="AO9" s="122"/>
      <c r="AP9" s="122"/>
      <c r="AQ9" s="122"/>
      <c r="AR9" s="122"/>
      <c r="AS9" s="122"/>
      <c r="AT9" s="122"/>
      <c r="AU9" s="122"/>
      <c r="AV9" s="122"/>
    </row>
    <row r="10" spans="1:48" ht="15.95" customHeight="1">
      <c r="A10" s="178" t="str">
        <v>الجمعية</v>
      </c>
      <c r="B10" s="178" t="str">
        <v>دائرة التنمية الاجتماعية</v>
      </c>
      <c r="C10" s="178" t="str">
        <v>المدارس</v>
      </c>
      <c r="D10" s="122"/>
      <c r="E10" s="122"/>
      <c r="F10" s="122"/>
      <c r="G10" s="122"/>
      <c r="H10" s="122"/>
      <c r="I10" s="122"/>
      <c r="J10" s="122"/>
      <c r="K10" s="122"/>
      <c r="L10" s="122"/>
      <c r="M10" s="122"/>
      <c r="N10" s="122"/>
      <c r="O10" s="122"/>
      <c r="P10" s="122"/>
      <c r="Q10" s="169" t="s">
        <v>222</v>
      </c>
      <c r="R10" s="122"/>
      <c r="S10" s="122"/>
      <c r="T10" s="171" t="s">
        <v>223</v>
      </c>
      <c r="U10" s="172" t="s">
        <v>224</v>
      </c>
      <c r="V10" s="122" t="s">
        <v>225</v>
      </c>
      <c r="W10" s="172" t="s">
        <v>226</v>
      </c>
      <c r="X10" s="122"/>
      <c r="Y10" s="122"/>
      <c r="Z10" s="122"/>
      <c r="AA10" s="122"/>
      <c r="AB10" s="122"/>
      <c r="AC10" s="122"/>
      <c r="AD10" s="122"/>
      <c r="AE10" s="176" t="s">
        <v>227</v>
      </c>
      <c r="AF10" s="122"/>
      <c r="AG10" s="122"/>
      <c r="AH10" s="176" t="s">
        <v>164</v>
      </c>
      <c r="AI10" s="122"/>
      <c r="AJ10" s="176" t="s">
        <v>228</v>
      </c>
      <c r="AK10" s="122"/>
      <c r="AL10" s="122"/>
      <c r="AM10" s="122"/>
      <c r="AN10" s="122"/>
      <c r="AO10" s="122"/>
      <c r="AP10" s="122"/>
      <c r="AQ10" s="122"/>
      <c r="AR10" s="122"/>
      <c r="AS10" s="122"/>
      <c r="AT10" s="122"/>
      <c r="AU10" s="122"/>
      <c r="AV10" s="122"/>
    </row>
    <row r="11" spans="1:48" ht="15.95" customHeight="1">
      <c r="A11" s="178" t="str">
        <v>الجمعية</v>
      </c>
      <c r="B11" s="178" t="str">
        <v>دائرة المشاريع والتسويق والإعلام</v>
      </c>
      <c r="C11" s="178" t="str">
        <v>مكتب خانيونس</v>
      </c>
      <c r="D11" s="122"/>
      <c r="E11" s="122"/>
      <c r="F11" s="122"/>
      <c r="G11" s="122"/>
      <c r="H11" s="122"/>
      <c r="I11" s="122"/>
      <c r="J11" s="122"/>
      <c r="K11" s="122"/>
      <c r="L11" s="122"/>
      <c r="M11" s="122"/>
      <c r="N11" s="122"/>
      <c r="O11" s="122"/>
      <c r="P11" s="122"/>
      <c r="Q11" s="169" t="s">
        <v>229</v>
      </c>
      <c r="R11" s="122"/>
      <c r="S11" s="122"/>
      <c r="T11" s="171" t="s">
        <v>230</v>
      </c>
      <c r="U11" s="172" t="s">
        <v>231</v>
      </c>
      <c r="V11" s="122"/>
      <c r="W11" s="172" t="s">
        <v>232</v>
      </c>
      <c r="X11" s="122"/>
      <c r="Y11" s="122"/>
      <c r="Z11" s="122"/>
      <c r="AA11" s="122"/>
      <c r="AB11" s="122"/>
      <c r="AC11" s="122"/>
      <c r="AD11" s="122"/>
      <c r="AE11" s="176" t="s">
        <v>233</v>
      </c>
      <c r="AF11" s="122"/>
      <c r="AG11" s="122"/>
      <c r="AH11" s="176" t="s">
        <v>195</v>
      </c>
      <c r="AI11" s="122"/>
      <c r="AJ11" s="176" t="s">
        <v>234</v>
      </c>
      <c r="AK11" s="122"/>
      <c r="AL11" s="122"/>
      <c r="AM11" s="122"/>
      <c r="AN11" s="122"/>
      <c r="AO11" s="122"/>
      <c r="AP11" s="122"/>
      <c r="AQ11" s="122"/>
      <c r="AR11" s="122"/>
      <c r="AS11" s="122"/>
      <c r="AT11" s="122"/>
      <c r="AU11" s="122"/>
      <c r="AV11" s="122"/>
    </row>
    <row r="12" spans="1:48" ht="15.95" customHeight="1">
      <c r="A12" s="178" t="str">
        <v>الجمعية</v>
      </c>
      <c r="B12" s="178" t="str">
        <v>دائرة المشاريع والتسويق والإعلام</v>
      </c>
      <c r="C12" s="178" t="str">
        <v>مكتب رفح</v>
      </c>
      <c r="D12" s="122"/>
      <c r="E12" s="122"/>
      <c r="F12" s="122"/>
      <c r="G12" s="122"/>
      <c r="H12" s="122"/>
      <c r="I12" s="122"/>
      <c r="J12" s="122"/>
      <c r="K12" s="122"/>
      <c r="L12" s="122"/>
      <c r="M12" s="122"/>
      <c r="N12" s="122"/>
      <c r="O12" s="122"/>
      <c r="P12" s="122"/>
      <c r="Q12" s="122"/>
      <c r="R12" s="122"/>
      <c r="S12" s="122"/>
      <c r="T12" s="171" t="s">
        <v>235</v>
      </c>
      <c r="U12" s="172" t="s">
        <v>236</v>
      </c>
      <c r="V12" s="122"/>
      <c r="W12" s="172" t="s">
        <v>237</v>
      </c>
      <c r="X12" s="122"/>
      <c r="Y12" s="122"/>
      <c r="Z12" s="122"/>
      <c r="AA12" s="122"/>
      <c r="AB12" s="122"/>
      <c r="AC12" s="122"/>
      <c r="AD12" s="122"/>
      <c r="AE12" s="176" t="s">
        <v>238</v>
      </c>
      <c r="AF12" s="122"/>
      <c r="AG12" s="122"/>
      <c r="AH12" s="176" t="s">
        <v>205</v>
      </c>
      <c r="AI12" s="122"/>
      <c r="AJ12" s="176" t="s">
        <v>239</v>
      </c>
      <c r="AK12" s="122"/>
      <c r="AL12" s="122"/>
      <c r="AM12" s="122"/>
      <c r="AN12" s="122"/>
      <c r="AO12" s="122"/>
      <c r="AP12" s="122"/>
      <c r="AQ12" s="122"/>
      <c r="AR12" s="122"/>
      <c r="AS12" s="122"/>
      <c r="AT12" s="122"/>
      <c r="AU12" s="122"/>
      <c r="AV12" s="122"/>
    </row>
    <row r="13" spans="1:48" ht="15.95" customHeight="1">
      <c r="A13" s="178" t="str">
        <v>الجمعية</v>
      </c>
      <c r="B13" s="178" t="str">
        <v>دائرة المشاريع والتسويق والإعلام</v>
      </c>
      <c r="C13" s="178" t="str">
        <v>مكتب دير البلح</v>
      </c>
      <c r="D13" s="122"/>
      <c r="E13" s="122"/>
      <c r="F13" s="122"/>
      <c r="G13" s="122"/>
      <c r="H13" s="122"/>
      <c r="I13" s="122"/>
      <c r="J13" s="122"/>
      <c r="K13" s="122"/>
      <c r="L13" s="122"/>
      <c r="M13" s="122"/>
      <c r="N13" s="122"/>
      <c r="O13" s="122"/>
      <c r="P13" s="122"/>
      <c r="Q13" s="122"/>
      <c r="R13" s="122"/>
      <c r="S13" s="122"/>
      <c r="T13" s="171" t="s">
        <v>240</v>
      </c>
      <c r="U13" s="172" t="s">
        <v>241</v>
      </c>
      <c r="V13" s="122"/>
      <c r="W13" s="172" t="s">
        <v>242</v>
      </c>
      <c r="X13" s="122"/>
      <c r="Y13" s="122"/>
      <c r="Z13" s="122"/>
      <c r="AA13" s="122"/>
      <c r="AB13" s="122"/>
      <c r="AC13" s="122"/>
      <c r="AD13" s="122"/>
      <c r="AE13" s="176" t="s">
        <v>136</v>
      </c>
      <c r="AF13" s="122"/>
      <c r="AG13" s="122"/>
      <c r="AH13" s="176" t="s">
        <v>243</v>
      </c>
      <c r="AI13" s="122"/>
      <c r="AJ13" s="176" t="s">
        <v>244</v>
      </c>
      <c r="AK13" s="122"/>
      <c r="AL13" s="122"/>
      <c r="AM13" s="122"/>
      <c r="AN13" s="122"/>
      <c r="AO13" s="122"/>
      <c r="AP13" s="122"/>
      <c r="AQ13" s="122"/>
      <c r="AR13" s="122"/>
      <c r="AS13" s="122"/>
      <c r="AT13" s="122"/>
      <c r="AU13" s="122"/>
      <c r="AV13" s="122"/>
    </row>
    <row r="14" spans="1:48" ht="15.95" customHeight="1">
      <c r="A14" s="178" t="str">
        <v>الجمعية</v>
      </c>
      <c r="B14" s="178" t="str">
        <v>دائرة المشاريع والتسويق والإعلام</v>
      </c>
      <c r="C14" s="178" t="str">
        <v>مكتب المغازي</v>
      </c>
      <c r="D14" s="122"/>
      <c r="E14" s="122"/>
      <c r="F14" s="122"/>
      <c r="G14" s="122"/>
      <c r="H14" s="122"/>
      <c r="I14" s="122"/>
      <c r="J14" s="122"/>
      <c r="K14" s="122"/>
      <c r="L14" s="122"/>
      <c r="M14" s="122"/>
      <c r="N14" s="122"/>
      <c r="O14" s="122"/>
      <c r="P14" s="122"/>
      <c r="Q14" s="122"/>
      <c r="R14" s="122"/>
      <c r="S14" s="122"/>
      <c r="T14" s="171" t="s">
        <v>245</v>
      </c>
      <c r="U14" s="172" t="s">
        <v>246</v>
      </c>
      <c r="V14" s="122"/>
      <c r="W14" s="172" t="s">
        <v>247</v>
      </c>
      <c r="X14" s="122"/>
      <c r="Y14" s="122"/>
      <c r="Z14" s="122"/>
      <c r="AA14" s="122"/>
      <c r="AB14" s="122"/>
      <c r="AC14" s="122"/>
      <c r="AD14" s="122"/>
      <c r="AE14" s="122"/>
      <c r="AF14" s="122"/>
      <c r="AG14" s="122"/>
      <c r="AH14" s="176" t="s">
        <v>248</v>
      </c>
      <c r="AI14" s="122"/>
      <c r="AJ14" s="122"/>
      <c r="AK14" s="122"/>
      <c r="AL14" s="122"/>
      <c r="AM14" s="122"/>
      <c r="AN14" s="122"/>
      <c r="AO14" s="122"/>
      <c r="AP14" s="122"/>
      <c r="AQ14" s="122"/>
      <c r="AR14" s="122"/>
      <c r="AS14" s="122"/>
      <c r="AT14" s="122"/>
      <c r="AU14" s="122"/>
      <c r="AV14" s="122"/>
    </row>
    <row r="15" spans="1:48" ht="15.95" customHeight="1">
      <c r="A15" s="178" t="str">
        <v>الجمعية</v>
      </c>
      <c r="B15" s="178" t="str">
        <v>دائرة المشاريع والتسويق والإعلام</v>
      </c>
      <c r="C15" s="178" t="str">
        <v>مكتب الزوايدة</v>
      </c>
      <c r="D15" s="122"/>
      <c r="E15" s="122"/>
      <c r="F15" s="122"/>
      <c r="G15" s="122"/>
      <c r="H15" s="122"/>
      <c r="I15" s="122"/>
      <c r="J15" s="122"/>
      <c r="K15" s="122"/>
      <c r="L15" s="122"/>
      <c r="M15" s="122"/>
      <c r="N15" s="122"/>
      <c r="O15" s="122"/>
      <c r="P15" s="122"/>
      <c r="Q15" s="122"/>
      <c r="R15" s="122"/>
      <c r="S15" s="122"/>
      <c r="T15" s="183" t="s">
        <v>26</v>
      </c>
      <c r="U15" s="172" t="s">
        <v>249</v>
      </c>
      <c r="V15" s="122"/>
      <c r="W15" s="172" t="s">
        <v>250</v>
      </c>
      <c r="X15" s="122"/>
      <c r="Y15" s="122"/>
      <c r="Z15" s="122"/>
      <c r="AA15" s="122"/>
      <c r="AB15" s="122"/>
      <c r="AC15" s="122"/>
      <c r="AD15" s="122"/>
      <c r="AE15" s="122"/>
      <c r="AF15" s="122"/>
      <c r="AG15" s="122"/>
      <c r="AH15" s="176"/>
      <c r="AI15" s="122"/>
      <c r="AJ15" s="122"/>
      <c r="AK15" s="122"/>
      <c r="AL15" s="122"/>
      <c r="AM15" s="122"/>
      <c r="AN15" s="122"/>
      <c r="AO15" s="122"/>
      <c r="AP15" s="122"/>
      <c r="AQ15" s="122"/>
      <c r="AR15" s="122"/>
      <c r="AS15" s="122"/>
      <c r="AT15" s="122"/>
      <c r="AU15" s="122"/>
      <c r="AV15" s="122"/>
    </row>
    <row r="16" spans="1:48" ht="15.95" customHeight="1">
      <c r="A16" s="178" t="str">
        <v>الجمعية</v>
      </c>
      <c r="B16" s="178" t="str">
        <v>دائرة المشاريع والتسويق والإعلام</v>
      </c>
      <c r="C16" s="178" t="str">
        <v>مكتب البريج</v>
      </c>
      <c r="D16" s="122"/>
      <c r="E16" s="122"/>
      <c r="F16" s="122"/>
      <c r="G16" s="122"/>
      <c r="H16" s="122"/>
      <c r="I16" s="122"/>
      <c r="J16" s="122"/>
      <c r="K16" s="122"/>
      <c r="L16" s="122"/>
      <c r="M16" s="122"/>
      <c r="N16" s="122"/>
      <c r="O16" s="122"/>
      <c r="P16" s="122"/>
      <c r="Q16" s="122"/>
      <c r="R16" s="122"/>
      <c r="S16" s="122"/>
      <c r="T16" s="171" t="s">
        <v>251</v>
      </c>
      <c r="U16" s="172" t="s">
        <v>252</v>
      </c>
      <c r="V16" s="122"/>
      <c r="W16" s="172" t="s">
        <v>253</v>
      </c>
      <c r="X16" s="122"/>
      <c r="Y16" s="122"/>
      <c r="Z16" s="122"/>
      <c r="AA16" s="122"/>
      <c r="AB16" s="122"/>
      <c r="AC16" s="122"/>
      <c r="AD16" s="122"/>
      <c r="AE16" s="122"/>
      <c r="AF16" s="122"/>
      <c r="AG16" s="122"/>
      <c r="AH16" s="176" t="s">
        <v>228</v>
      </c>
      <c r="AI16" s="122"/>
      <c r="AJ16" s="122"/>
      <c r="AK16" s="122"/>
      <c r="AL16" s="122"/>
      <c r="AM16" s="122"/>
      <c r="AN16" s="122"/>
      <c r="AO16" s="122"/>
      <c r="AP16" s="122"/>
      <c r="AQ16" s="122"/>
      <c r="AR16" s="122"/>
      <c r="AS16" s="122"/>
      <c r="AT16" s="122"/>
      <c r="AU16" s="122"/>
      <c r="AV16" s="122"/>
    </row>
    <row r="17" spans="1:48" ht="15.95" customHeight="1">
      <c r="A17" s="178" t="str">
        <v>الجمعية</v>
      </c>
      <c r="B17" s="178" t="str">
        <v>دائرة المشاريع والتسويق والإعلام</v>
      </c>
      <c r="C17" s="178" t="str">
        <v>مكتب غزة</v>
      </c>
      <c r="D17" s="122"/>
      <c r="E17" s="122"/>
      <c r="F17" s="122"/>
      <c r="G17" s="122"/>
      <c r="H17" s="122"/>
      <c r="I17" s="122"/>
      <c r="J17" s="122"/>
      <c r="K17" s="122"/>
      <c r="L17" s="122"/>
      <c r="M17" s="122"/>
      <c r="N17" s="122"/>
      <c r="O17" s="122"/>
      <c r="P17" s="122"/>
      <c r="Q17" s="122"/>
      <c r="R17" s="122"/>
      <c r="S17" s="122"/>
      <c r="T17" s="171" t="s">
        <v>254</v>
      </c>
      <c r="U17" s="172" t="s">
        <v>255</v>
      </c>
      <c r="V17" s="122"/>
      <c r="W17" s="172" t="s">
        <v>256</v>
      </c>
      <c r="X17" s="122"/>
      <c r="Y17" s="122"/>
      <c r="Z17" s="122"/>
      <c r="AA17" s="122"/>
      <c r="AB17" s="122"/>
      <c r="AC17" s="122"/>
      <c r="AD17" s="122"/>
      <c r="AE17" s="122"/>
      <c r="AF17" s="122"/>
      <c r="AG17" s="122"/>
      <c r="AH17" s="176" t="s">
        <v>257</v>
      </c>
      <c r="AI17" s="122"/>
      <c r="AJ17" s="122"/>
      <c r="AK17" s="122"/>
      <c r="AL17" s="122"/>
      <c r="AM17" s="122"/>
      <c r="AN17" s="122"/>
      <c r="AO17" s="122"/>
      <c r="AP17" s="122"/>
      <c r="AQ17" s="122"/>
      <c r="AR17" s="122"/>
      <c r="AS17" s="122"/>
      <c r="AT17" s="122"/>
      <c r="AU17" s="122"/>
      <c r="AV17" s="122"/>
    </row>
    <row r="18" spans="1:48" ht="15.95" customHeight="1">
      <c r="A18" s="178" t="str">
        <v>الجمعية</v>
      </c>
      <c r="B18" s="178" t="str">
        <v>دائرة المشاريع والتسويق والإعلام</v>
      </c>
      <c r="C18" s="178" t="str">
        <v>مكتب جباليا</v>
      </c>
      <c r="D18" s="122"/>
      <c r="E18" s="122"/>
      <c r="F18" s="122"/>
      <c r="G18" s="122"/>
      <c r="H18" s="122"/>
      <c r="I18" s="122"/>
      <c r="J18" s="122"/>
      <c r="K18" s="122"/>
      <c r="L18" s="122"/>
      <c r="M18" s="122"/>
      <c r="N18" s="122"/>
      <c r="O18" s="122"/>
      <c r="P18" s="122"/>
      <c r="Q18" s="122"/>
      <c r="R18" s="122"/>
      <c r="S18" s="122"/>
      <c r="T18" s="171" t="s">
        <v>258</v>
      </c>
      <c r="U18" s="172" t="s">
        <v>259</v>
      </c>
      <c r="V18" s="122"/>
      <c r="W18" s="172" t="s">
        <v>260</v>
      </c>
      <c r="X18" s="122"/>
      <c r="Y18" s="122"/>
      <c r="Z18" s="122"/>
      <c r="AA18" s="122"/>
      <c r="AB18" s="122"/>
      <c r="AC18" s="122"/>
      <c r="AD18" s="122"/>
      <c r="AE18" s="122"/>
      <c r="AF18" s="122"/>
      <c r="AG18" s="122"/>
      <c r="AH18" s="176" t="s">
        <v>234</v>
      </c>
      <c r="AI18" s="122"/>
      <c r="AJ18" s="122"/>
      <c r="AK18" s="122"/>
      <c r="AL18" s="122"/>
      <c r="AM18" s="122"/>
      <c r="AN18" s="122"/>
      <c r="AO18" s="122"/>
      <c r="AP18" s="122"/>
      <c r="AQ18" s="122"/>
      <c r="AR18" s="122"/>
      <c r="AS18" s="122"/>
      <c r="AT18" s="122"/>
      <c r="AU18" s="122"/>
      <c r="AV18" s="122"/>
    </row>
    <row r="19" spans="1:48" ht="15.95" customHeight="1">
      <c r="A19" s="178" t="str">
        <v>الجمعية</v>
      </c>
      <c r="B19" s="178" t="str">
        <v>دائرة المشاريع والتسويق والإعلام</v>
      </c>
      <c r="C19" s="178" t="str">
        <v>قسم المشاريع</v>
      </c>
      <c r="D19" s="122"/>
      <c r="E19" s="122"/>
      <c r="F19" s="122"/>
      <c r="G19" s="122"/>
      <c r="H19" s="122"/>
      <c r="I19" s="122"/>
      <c r="J19" s="122"/>
      <c r="K19" s="122"/>
      <c r="L19" s="122"/>
      <c r="M19" s="122"/>
      <c r="N19" s="122"/>
      <c r="O19" s="122"/>
      <c r="P19" s="122"/>
      <c r="Q19" s="122"/>
      <c r="R19" s="122"/>
      <c r="S19" s="122"/>
      <c r="T19" s="171" t="s">
        <v>261</v>
      </c>
      <c r="U19" s="172" t="s">
        <v>262</v>
      </c>
      <c r="V19" s="122"/>
      <c r="W19" s="172" t="s">
        <v>263</v>
      </c>
      <c r="X19" s="122"/>
      <c r="Y19" s="122"/>
      <c r="Z19" s="122"/>
      <c r="AA19" s="122"/>
      <c r="AB19" s="122"/>
      <c r="AC19" s="122"/>
      <c r="AD19" s="122"/>
      <c r="AE19" s="122"/>
      <c r="AF19" s="122"/>
      <c r="AG19" s="122"/>
      <c r="AH19" s="176" t="s">
        <v>239</v>
      </c>
      <c r="AI19" s="122"/>
      <c r="AJ19" s="122"/>
      <c r="AK19" s="122"/>
      <c r="AL19" s="122"/>
      <c r="AM19" s="122"/>
      <c r="AN19" s="122"/>
      <c r="AO19" s="122"/>
      <c r="AP19" s="122"/>
      <c r="AQ19" s="122"/>
      <c r="AR19" s="122"/>
      <c r="AS19" s="122"/>
      <c r="AT19" s="122"/>
      <c r="AU19" s="122"/>
      <c r="AV19" s="122"/>
    </row>
    <row r="20" spans="1:48" ht="15.95" customHeight="1">
      <c r="A20" s="178" t="str">
        <v>الجمعية</v>
      </c>
      <c r="B20" s="178" t="str">
        <v>دائرة المشاريع والتسويق والإعلام</v>
      </c>
      <c r="C20" s="178" t="str">
        <v>قسم التسويق</v>
      </c>
      <c r="D20" s="122"/>
      <c r="E20" s="122"/>
      <c r="F20" s="122"/>
      <c r="G20" s="122"/>
      <c r="H20" s="122"/>
      <c r="I20" s="122"/>
      <c r="J20" s="122"/>
      <c r="K20" s="122"/>
      <c r="L20" s="122"/>
      <c r="M20" s="122"/>
      <c r="N20" s="122"/>
      <c r="O20" s="122"/>
      <c r="P20" s="122"/>
      <c r="Q20" s="122"/>
      <c r="R20" s="122"/>
      <c r="S20" s="122"/>
      <c r="T20" s="171" t="s">
        <v>264</v>
      </c>
      <c r="U20" s="172" t="s">
        <v>265</v>
      </c>
      <c r="V20" s="122"/>
      <c r="W20" s="172" t="s">
        <v>266</v>
      </c>
      <c r="X20" s="122"/>
      <c r="Y20" s="122"/>
      <c r="Z20" s="122"/>
      <c r="AA20" s="122"/>
      <c r="AB20" s="122"/>
      <c r="AC20" s="122"/>
      <c r="AD20" s="122"/>
      <c r="AE20" s="122"/>
      <c r="AF20" s="122"/>
      <c r="AG20" s="122"/>
      <c r="AH20" s="176" t="s">
        <v>244</v>
      </c>
      <c r="AI20" s="122"/>
      <c r="AJ20" s="122"/>
      <c r="AK20" s="122"/>
      <c r="AL20" s="122"/>
      <c r="AM20" s="122"/>
      <c r="AN20" s="122"/>
      <c r="AO20" s="122"/>
      <c r="AP20" s="122"/>
      <c r="AQ20" s="122"/>
      <c r="AR20" s="122"/>
      <c r="AS20" s="122"/>
      <c r="AT20" s="122"/>
      <c r="AU20" s="122"/>
      <c r="AV20" s="122"/>
    </row>
    <row r="21" spans="1:48" ht="15.95" customHeight="1">
      <c r="A21" s="178" t="str">
        <v>الجمعية</v>
      </c>
      <c r="B21" s="178" t="str">
        <v>دائرة المشاريع والتسويق والإعلام</v>
      </c>
      <c r="C21" s="178" t="str">
        <v>قسم الإعلام</v>
      </c>
      <c r="D21" s="122"/>
      <c r="E21" s="122"/>
      <c r="F21" s="122"/>
      <c r="G21" s="122"/>
      <c r="H21" s="122"/>
      <c r="I21" s="122"/>
      <c r="J21" s="122"/>
      <c r="K21" s="122"/>
      <c r="L21" s="122"/>
      <c r="M21" s="122"/>
      <c r="N21" s="122"/>
      <c r="O21" s="122"/>
      <c r="P21" s="122"/>
      <c r="Q21" s="122"/>
      <c r="R21" s="122"/>
      <c r="S21" s="122"/>
      <c r="T21" s="171" t="s">
        <v>267</v>
      </c>
      <c r="U21" s="172" t="s">
        <v>268</v>
      </c>
      <c r="V21" s="122"/>
      <c r="W21" s="172" t="s">
        <v>269</v>
      </c>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row>
    <row r="22" spans="1:48" ht="15.95" customHeight="1">
      <c r="A22" s="178" t="str">
        <v>الجمعية</v>
      </c>
      <c r="B22" s="178" t="str">
        <v>دائرة المشاريع والتسويق والإعلام</v>
      </c>
      <c r="C22" s="178" t="str">
        <v>متابعة السيارات</v>
      </c>
      <c r="D22" s="122"/>
      <c r="E22" s="122"/>
      <c r="F22" s="122"/>
      <c r="G22" s="122"/>
      <c r="H22" s="122"/>
      <c r="I22" s="122"/>
      <c r="J22" s="122"/>
      <c r="K22" s="122"/>
      <c r="L22" s="122"/>
      <c r="M22" s="122"/>
      <c r="N22" s="122"/>
      <c r="O22" s="122"/>
      <c r="P22" s="122"/>
      <c r="Q22" s="122"/>
      <c r="R22" s="122"/>
      <c r="S22" s="122"/>
      <c r="T22" s="171" t="s">
        <v>270</v>
      </c>
      <c r="U22" s="172" t="s">
        <v>271</v>
      </c>
      <c r="V22" s="122"/>
      <c r="W22" s="172" t="s">
        <v>272</v>
      </c>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row>
    <row r="23" spans="1:48" ht="15.95" customHeight="1">
      <c r="A23" s="178" t="str">
        <v>الجمعية</v>
      </c>
      <c r="B23" s="178" t="str">
        <v>دائرة الشؤون المالية</v>
      </c>
      <c r="C23" s="178" t="str">
        <v>قسم الحسابات</v>
      </c>
      <c r="D23" s="122"/>
      <c r="E23" s="122"/>
      <c r="F23" s="122"/>
      <c r="G23" s="122"/>
      <c r="H23" s="122"/>
      <c r="I23" s="122"/>
      <c r="J23" s="122"/>
      <c r="K23" s="122"/>
      <c r="L23" s="122"/>
      <c r="M23" s="122"/>
      <c r="N23" s="122"/>
      <c r="O23" s="122"/>
      <c r="P23" s="122"/>
      <c r="Q23" s="122"/>
      <c r="R23" s="122"/>
      <c r="S23" s="122"/>
      <c r="T23" s="171" t="s">
        <v>273</v>
      </c>
      <c r="U23" s="172" t="s">
        <v>274</v>
      </c>
      <c r="V23" s="122"/>
      <c r="W23" s="172" t="s">
        <v>275</v>
      </c>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row>
    <row r="24" spans="1:48" ht="15.95" customHeight="1">
      <c r="A24" s="178" t="str">
        <v>الجمعية</v>
      </c>
      <c r="B24" s="178" t="str">
        <v>دائرة الشؤون المالية</v>
      </c>
      <c r="C24" s="178" t="str">
        <v>قسم المشتريات</v>
      </c>
      <c r="D24" s="122"/>
      <c r="E24" s="122"/>
      <c r="F24" s="122"/>
      <c r="G24" s="122"/>
      <c r="H24" s="122"/>
      <c r="I24" s="122"/>
      <c r="J24" s="122"/>
      <c r="K24" s="122"/>
      <c r="L24" s="122"/>
      <c r="M24" s="122"/>
      <c r="N24" s="122"/>
      <c r="O24" s="122"/>
      <c r="P24" s="122"/>
      <c r="Q24" s="122"/>
      <c r="R24" s="122"/>
      <c r="S24" s="122"/>
      <c r="T24" s="171" t="s">
        <v>276</v>
      </c>
      <c r="U24" s="172" t="s">
        <v>277</v>
      </c>
      <c r="V24" s="122"/>
      <c r="W24" s="172" t="s">
        <v>278</v>
      </c>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row>
    <row r="25" spans="1:48" ht="15.95" customHeight="1">
      <c r="A25" s="178" t="str">
        <v>الجمعية</v>
      </c>
      <c r="B25" s="178" t="str">
        <v>دائرة الشؤون المالية</v>
      </c>
      <c r="C25" s="178" t="str">
        <v>قسم المخازن</v>
      </c>
      <c r="D25" s="122"/>
      <c r="E25" s="122"/>
      <c r="F25" s="122"/>
      <c r="G25" s="122"/>
      <c r="H25" s="122"/>
      <c r="I25" s="122"/>
      <c r="J25" s="122"/>
      <c r="K25" s="122"/>
      <c r="L25" s="122"/>
      <c r="M25" s="122"/>
      <c r="N25" s="122"/>
      <c r="O25" s="122"/>
      <c r="P25" s="122"/>
      <c r="Q25" s="122"/>
      <c r="R25" s="122"/>
      <c r="S25" s="122"/>
      <c r="T25" s="171" t="s">
        <v>279</v>
      </c>
      <c r="U25" s="172" t="s">
        <v>280</v>
      </c>
      <c r="V25" s="122"/>
      <c r="W25" s="172" t="s">
        <v>281</v>
      </c>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row>
    <row r="26" spans="1:48" ht="15.95" customHeight="1">
      <c r="A26" s="178" t="str">
        <v>الجمعية</v>
      </c>
      <c r="B26" s="178" t="str">
        <v>دائرة الشؤون المالية</v>
      </c>
      <c r="C26" s="178" t="str">
        <v>قسم الموازنة والتدقيق</v>
      </c>
      <c r="D26" s="122"/>
      <c r="E26" s="122"/>
      <c r="F26" s="122"/>
      <c r="G26" s="122"/>
      <c r="H26" s="122"/>
      <c r="I26" s="122"/>
      <c r="J26" s="122"/>
      <c r="K26" s="122"/>
      <c r="L26" s="122"/>
      <c r="M26" s="122"/>
      <c r="N26" s="122"/>
      <c r="O26" s="122"/>
      <c r="P26" s="122"/>
      <c r="Q26" s="122"/>
      <c r="R26" s="122"/>
      <c r="S26" s="122"/>
      <c r="T26" s="171" t="s">
        <v>282</v>
      </c>
      <c r="U26" s="172" t="s">
        <v>283</v>
      </c>
      <c r="V26" s="122"/>
      <c r="W26" s="172" t="s">
        <v>284</v>
      </c>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row>
    <row r="27" spans="1:48" ht="15.95" customHeight="1">
      <c r="A27" s="178" t="str">
        <v>الجمعية</v>
      </c>
      <c r="B27" s="178" t="str">
        <v>دائرة الاستثمار الخيري</v>
      </c>
      <c r="C27" s="178" t="str">
        <v>قسم التعليم</v>
      </c>
      <c r="D27" s="122"/>
      <c r="E27" s="122"/>
      <c r="F27" s="122"/>
      <c r="G27" s="122"/>
      <c r="H27" s="122"/>
      <c r="I27" s="122"/>
      <c r="J27" s="122"/>
      <c r="K27" s="122"/>
      <c r="L27" s="122"/>
      <c r="M27" s="122"/>
      <c r="N27" s="122"/>
      <c r="O27" s="122"/>
      <c r="P27" s="122"/>
      <c r="Q27" s="122"/>
      <c r="R27" s="122"/>
      <c r="S27" s="122"/>
      <c r="T27" s="171" t="s">
        <v>285</v>
      </c>
      <c r="U27" s="172" t="s">
        <v>286</v>
      </c>
      <c r="V27" s="122"/>
      <c r="W27" s="172" t="s">
        <v>287</v>
      </c>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row>
    <row r="28" spans="1:48" ht="15.95" customHeight="1">
      <c r="A28" s="178" t="str">
        <v>الجمعية</v>
      </c>
      <c r="B28" s="178" t="str">
        <v>دائرة الاستثمار الخيري</v>
      </c>
      <c r="C28" s="178" t="str">
        <v>قسم الزراعة</v>
      </c>
      <c r="D28" s="122"/>
      <c r="E28" s="122"/>
      <c r="F28" s="122"/>
      <c r="G28" s="122"/>
      <c r="H28" s="122"/>
      <c r="I28" s="122"/>
      <c r="J28" s="122"/>
      <c r="K28" s="122"/>
      <c r="L28" s="122"/>
      <c r="M28" s="122"/>
      <c r="N28" s="122"/>
      <c r="O28" s="122"/>
      <c r="P28" s="122"/>
      <c r="Q28" s="122"/>
      <c r="R28" s="122"/>
      <c r="S28" s="122"/>
      <c r="T28" s="171" t="s">
        <v>288</v>
      </c>
      <c r="U28" s="172" t="s">
        <v>289</v>
      </c>
      <c r="V28" s="122"/>
      <c r="W28" s="172" t="s">
        <v>290</v>
      </c>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row>
    <row r="29" spans="1:48" ht="15.95" customHeight="1">
      <c r="A29" s="178" t="str">
        <v>الجمعية</v>
      </c>
      <c r="B29" s="178" t="str">
        <v>دائرة الاستثمار الخيري</v>
      </c>
      <c r="C29" s="178" t="str">
        <v>قسم المشاريع التنموية</v>
      </c>
      <c r="D29" s="122"/>
      <c r="E29" s="122"/>
      <c r="F29" s="122"/>
      <c r="G29" s="122"/>
      <c r="H29" s="122"/>
      <c r="I29" s="122"/>
      <c r="J29" s="122"/>
      <c r="K29" s="122"/>
      <c r="L29" s="122"/>
      <c r="M29" s="122"/>
      <c r="N29" s="122"/>
      <c r="O29" s="122"/>
      <c r="P29" s="122"/>
      <c r="Q29" s="122"/>
      <c r="R29" s="122"/>
      <c r="S29" s="122"/>
      <c r="T29" s="171" t="s">
        <v>291</v>
      </c>
      <c r="U29" s="172" t="s">
        <v>292</v>
      </c>
      <c r="V29" s="122"/>
      <c r="W29" s="172" t="s">
        <v>293</v>
      </c>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row>
    <row r="30" spans="1:48" ht="15.95" customHeight="1">
      <c r="A30" s="178" t="str">
        <v>الجمعية</v>
      </c>
      <c r="B30" s="178" t="str">
        <v>دائرة الاستثمار الخيري</v>
      </c>
      <c r="C30" s="178" t="str">
        <v>مطبخ البركة</v>
      </c>
      <c r="D30" s="122"/>
      <c r="E30" s="122"/>
      <c r="F30" s="122"/>
      <c r="G30" s="122"/>
      <c r="H30" s="122"/>
      <c r="I30" s="122"/>
      <c r="J30" s="122"/>
      <c r="K30" s="122"/>
      <c r="L30" s="122"/>
      <c r="M30" s="122"/>
      <c r="N30" s="122"/>
      <c r="O30" s="122"/>
      <c r="P30" s="122"/>
      <c r="Q30" s="122"/>
      <c r="R30" s="122"/>
      <c r="S30" s="122"/>
      <c r="T30" s="171" t="s">
        <v>294</v>
      </c>
      <c r="U30" s="172" t="s">
        <v>295</v>
      </c>
      <c r="V30" s="122"/>
      <c r="W30" s="172" t="s">
        <v>296</v>
      </c>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row>
    <row r="31" spans="1:48" ht="15.95" customHeight="1">
      <c r="A31" s="178" t="str">
        <v>الجمعية</v>
      </c>
      <c r="B31" s="178" t="str">
        <v>دائرة الاستثمار الخيري</v>
      </c>
      <c r="C31" s="178" t="str">
        <v>مطبخ الزيناتي / خارجي</v>
      </c>
      <c r="D31" s="122"/>
      <c r="E31" s="122"/>
      <c r="F31" s="122"/>
      <c r="G31" s="122"/>
      <c r="H31" s="122"/>
      <c r="I31" s="122"/>
      <c r="J31" s="122"/>
      <c r="K31" s="122"/>
      <c r="L31" s="122"/>
      <c r="M31" s="122"/>
      <c r="N31" s="122"/>
      <c r="O31" s="122"/>
      <c r="P31" s="122"/>
      <c r="Q31" s="122"/>
      <c r="R31" s="122"/>
      <c r="S31" s="122"/>
      <c r="T31" s="171" t="s">
        <v>297</v>
      </c>
      <c r="U31" s="172" t="s">
        <v>298</v>
      </c>
      <c r="V31" s="122"/>
      <c r="W31" s="172" t="s">
        <v>299</v>
      </c>
      <c r="X31" s="122"/>
      <c r="Y31" s="122"/>
      <c r="Z31" s="122"/>
      <c r="AA31" s="122"/>
      <c r="AB31" s="122"/>
      <c r="AC31" s="122"/>
      <c r="AD31" s="122"/>
      <c r="AE31" s="122"/>
      <c r="AF31" s="122"/>
      <c r="AG31" s="122"/>
      <c r="AH31" s="122"/>
      <c r="AI31" s="122"/>
      <c r="AJ31" s="122"/>
      <c r="AK31" s="122"/>
      <c r="AL31" s="122"/>
      <c r="AM31" s="122"/>
      <c r="AN31" s="122"/>
      <c r="AO31" s="122"/>
      <c r="AP31" s="122"/>
      <c r="AQ31" s="122"/>
      <c r="AR31" s="122"/>
      <c r="AS31" s="122"/>
      <c r="AT31" s="122"/>
      <c r="AU31" s="122"/>
      <c r="AV31" s="122"/>
    </row>
    <row r="32" spans="1:48" ht="15.95" customHeight="1">
      <c r="A32" s="178" t="str">
        <v>الجمعية</v>
      </c>
      <c r="B32" s="178" t="str">
        <v>دائرة الاستثمار الخيري</v>
      </c>
      <c r="C32" s="178" t="str">
        <v>عمارة سعد</v>
      </c>
      <c r="D32" s="122"/>
      <c r="E32" s="122"/>
      <c r="F32" s="122"/>
      <c r="G32" s="122"/>
      <c r="H32" s="122"/>
      <c r="I32" s="122"/>
      <c r="J32" s="122"/>
      <c r="K32" s="122"/>
      <c r="L32" s="122"/>
      <c r="M32" s="122"/>
      <c r="N32" s="122"/>
      <c r="O32" s="122"/>
      <c r="P32" s="122"/>
      <c r="Q32" s="122"/>
      <c r="R32" s="122"/>
      <c r="S32" s="122"/>
      <c r="T32" s="171" t="s">
        <v>300</v>
      </c>
      <c r="U32" s="172" t="s">
        <v>301</v>
      </c>
      <c r="V32" s="122"/>
      <c r="W32" s="172" t="s">
        <v>302</v>
      </c>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row>
    <row r="33" spans="1:48" ht="15.95" customHeight="1">
      <c r="A33" s="178" t="str">
        <v>الجمعية</v>
      </c>
      <c r="B33" s="178" t="str">
        <v>دائرة الاستثمار الخيري</v>
      </c>
      <c r="C33" s="178" t="str">
        <v>عمارة المدينة</v>
      </c>
      <c r="D33" s="122"/>
      <c r="E33" s="122"/>
      <c r="F33" s="122"/>
      <c r="G33" s="122"/>
      <c r="H33" s="122"/>
      <c r="I33" s="122"/>
      <c r="J33" s="122"/>
      <c r="K33" s="122"/>
      <c r="L33" s="122"/>
      <c r="M33" s="122"/>
      <c r="N33" s="122"/>
      <c r="O33" s="122"/>
      <c r="P33" s="122"/>
      <c r="Q33" s="122"/>
      <c r="R33" s="122"/>
      <c r="S33" s="122"/>
      <c r="T33" s="183" t="s">
        <v>134</v>
      </c>
      <c r="U33" s="172" t="s">
        <v>303</v>
      </c>
      <c r="V33" s="122"/>
      <c r="W33" s="172" t="s">
        <v>304</v>
      </c>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row>
    <row r="34" spans="1:48" ht="15.95" customHeight="1">
      <c r="A34" s="178" t="str">
        <v>المراكز الصحية</v>
      </c>
      <c r="B34" s="178" t="str">
        <v>يافا</v>
      </c>
      <c r="C34" s="178" t="str">
        <v>عيادة مسالك بولية</v>
      </c>
      <c r="D34" s="122"/>
      <c r="E34" s="122"/>
      <c r="F34" s="122"/>
      <c r="G34" s="122"/>
      <c r="H34" s="122"/>
      <c r="I34" s="122"/>
      <c r="J34" s="122"/>
      <c r="K34" s="122"/>
      <c r="L34" s="122"/>
      <c r="M34" s="122"/>
      <c r="N34" s="122"/>
      <c r="O34" s="122"/>
      <c r="P34" s="122"/>
      <c r="Q34" s="122"/>
      <c r="R34" s="122"/>
      <c r="S34" s="122"/>
      <c r="T34" s="171" t="s">
        <v>305</v>
      </c>
      <c r="U34" s="172" t="s">
        <v>306</v>
      </c>
      <c r="V34" s="122"/>
      <c r="W34" s="172" t="s">
        <v>307</v>
      </c>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row>
    <row r="35" spans="1:48" ht="15.95" customHeight="1">
      <c r="A35" s="178" t="str">
        <v>المراكز الصحية</v>
      </c>
      <c r="B35" s="178" t="str">
        <v>يافا</v>
      </c>
      <c r="C35" s="178" t="str">
        <v>عيادة فحص السمع</v>
      </c>
      <c r="D35" s="122"/>
      <c r="E35" s="122"/>
      <c r="F35" s="122"/>
      <c r="G35" s="122"/>
      <c r="H35" s="122"/>
      <c r="I35" s="122"/>
      <c r="J35" s="122"/>
      <c r="K35" s="122"/>
      <c r="L35" s="122"/>
      <c r="M35" s="122"/>
      <c r="N35" s="122"/>
      <c r="O35" s="122"/>
      <c r="P35" s="122"/>
      <c r="Q35" s="122"/>
      <c r="R35" s="122"/>
      <c r="S35" s="122"/>
      <c r="T35" s="171" t="s">
        <v>308</v>
      </c>
      <c r="U35" s="172" t="s">
        <v>309</v>
      </c>
      <c r="V35" s="122"/>
      <c r="W35" s="172" t="s">
        <v>310</v>
      </c>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row>
    <row r="36" spans="1:48" ht="15.95" customHeight="1">
      <c r="A36" s="178" t="str">
        <v>المراكز الصحية</v>
      </c>
      <c r="B36" s="178" t="str">
        <v>يافا</v>
      </c>
      <c r="C36" s="178" t="str">
        <v>عيادة النطق</v>
      </c>
      <c r="D36" s="122"/>
      <c r="E36" s="122"/>
      <c r="F36" s="122"/>
      <c r="G36" s="122"/>
      <c r="H36" s="122"/>
      <c r="I36" s="122"/>
      <c r="J36" s="122"/>
      <c r="K36" s="122"/>
      <c r="L36" s="122"/>
      <c r="M36" s="122"/>
      <c r="N36" s="122"/>
      <c r="O36" s="122"/>
      <c r="P36" s="122"/>
      <c r="Q36" s="122"/>
      <c r="R36" s="122"/>
      <c r="S36" s="122"/>
      <c r="T36" s="171" t="s">
        <v>311</v>
      </c>
      <c r="U36" s="172" t="s">
        <v>312</v>
      </c>
      <c r="V36" s="122"/>
      <c r="W36" s="172" t="s">
        <v>313</v>
      </c>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row>
    <row r="37" spans="1:48" ht="15.95" customHeight="1">
      <c r="A37" s="178" t="str">
        <v>المراكز الصحية</v>
      </c>
      <c r="B37" s="178" t="str">
        <v>يافا</v>
      </c>
      <c r="C37" s="178" t="str">
        <v>عيادة النساء</v>
      </c>
      <c r="D37" s="122"/>
      <c r="E37" s="122"/>
      <c r="F37" s="122"/>
      <c r="G37" s="122"/>
      <c r="H37" s="122"/>
      <c r="I37" s="122"/>
      <c r="J37" s="122"/>
      <c r="K37" s="122"/>
      <c r="L37" s="122"/>
      <c r="M37" s="122"/>
      <c r="N37" s="122"/>
      <c r="O37" s="122"/>
      <c r="P37" s="122"/>
      <c r="Q37" s="122"/>
      <c r="R37" s="122"/>
      <c r="S37" s="122"/>
      <c r="T37" s="171" t="s">
        <v>314</v>
      </c>
      <c r="U37" s="172" t="s">
        <v>315</v>
      </c>
      <c r="V37" s="122"/>
      <c r="W37" s="172" t="s">
        <v>316</v>
      </c>
      <c r="X37" s="122"/>
      <c r="Y37" s="122"/>
      <c r="Z37" s="122"/>
      <c r="AA37" s="122"/>
      <c r="AB37" s="122"/>
      <c r="AC37" s="122"/>
      <c r="AD37" s="122"/>
      <c r="AE37" s="122"/>
      <c r="AF37" s="122"/>
      <c r="AG37" s="122"/>
      <c r="AH37" s="122"/>
      <c r="AI37" s="122"/>
      <c r="AJ37" s="122"/>
      <c r="AK37" s="122"/>
      <c r="AL37" s="122"/>
      <c r="AM37" s="122"/>
      <c r="AN37" s="122"/>
      <c r="AO37" s="122"/>
      <c r="AP37" s="122"/>
      <c r="AQ37" s="122"/>
      <c r="AR37" s="122"/>
      <c r="AS37" s="122"/>
      <c r="AT37" s="122"/>
      <c r="AU37" s="122"/>
      <c r="AV37" s="122"/>
    </row>
    <row r="38" spans="1:48" ht="15.95" customHeight="1">
      <c r="A38" s="178" t="str">
        <v>المراكز الصحية</v>
      </c>
      <c r="B38" s="178" t="str">
        <v>يافا</v>
      </c>
      <c r="C38" s="178" t="str">
        <v>عيادة الاوعية الدموية</v>
      </c>
      <c r="D38" s="122"/>
      <c r="E38" s="122"/>
      <c r="F38" s="122"/>
      <c r="G38" s="122"/>
      <c r="H38" s="122"/>
      <c r="I38" s="122"/>
      <c r="J38" s="122"/>
      <c r="K38" s="122"/>
      <c r="L38" s="122"/>
      <c r="M38" s="122"/>
      <c r="N38" s="122"/>
      <c r="O38" s="122"/>
      <c r="P38" s="122"/>
      <c r="Q38" s="122"/>
      <c r="R38" s="122"/>
      <c r="S38" s="122"/>
      <c r="T38" s="171" t="s">
        <v>317</v>
      </c>
      <c r="U38" s="172" t="s">
        <v>318</v>
      </c>
      <c r="V38" s="122"/>
      <c r="W38" s="172" t="s">
        <v>319</v>
      </c>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row>
    <row r="39" spans="1:48" ht="15.95" customHeight="1">
      <c r="A39" s="178" t="str">
        <v>المراكز الصحية</v>
      </c>
      <c r="B39" s="178" t="str">
        <v>يافا</v>
      </c>
      <c r="C39" s="178" t="str">
        <v>عيادة الاسنان- رجال</v>
      </c>
      <c r="D39" s="122"/>
      <c r="E39" s="122"/>
      <c r="F39" s="122"/>
      <c r="G39" s="122"/>
      <c r="H39" s="122"/>
      <c r="I39" s="122"/>
      <c r="J39" s="122"/>
      <c r="K39" s="122"/>
      <c r="L39" s="122"/>
      <c r="M39" s="122"/>
      <c r="N39" s="122"/>
      <c r="O39" s="122"/>
      <c r="P39" s="122"/>
      <c r="Q39" s="122"/>
      <c r="R39" s="122"/>
      <c r="S39" s="122"/>
      <c r="T39" s="171" t="s">
        <v>320</v>
      </c>
      <c r="U39" s="172" t="s">
        <v>321</v>
      </c>
      <c r="V39" s="122"/>
      <c r="W39" s="172" t="s">
        <v>322</v>
      </c>
      <c r="X39" s="122"/>
      <c r="Y39" s="122"/>
      <c r="Z39" s="122"/>
      <c r="AA39" s="122"/>
      <c r="AB39" s="122"/>
      <c r="AC39" s="122"/>
      <c r="AD39" s="122"/>
      <c r="AE39" s="122"/>
      <c r="AF39" s="122"/>
      <c r="AG39" s="122"/>
      <c r="AH39" s="122"/>
      <c r="AI39" s="122"/>
      <c r="AJ39" s="122"/>
      <c r="AK39" s="122"/>
      <c r="AL39" s="122"/>
      <c r="AM39" s="122"/>
      <c r="AN39" s="122"/>
      <c r="AO39" s="122"/>
      <c r="AP39" s="122"/>
      <c r="AQ39" s="122"/>
      <c r="AR39" s="122"/>
      <c r="AS39" s="122"/>
      <c r="AT39" s="122"/>
      <c r="AU39" s="122"/>
      <c r="AV39" s="122"/>
    </row>
    <row r="40" spans="1:48" ht="15.95" customHeight="1">
      <c r="A40" s="178" t="str">
        <v>المراكز الصحية</v>
      </c>
      <c r="B40" s="178" t="str">
        <v>يافا</v>
      </c>
      <c r="C40" s="178" t="str">
        <v>عيادة اسنان -نساء</v>
      </c>
      <c r="D40" s="122"/>
      <c r="E40" s="122"/>
      <c r="F40" s="122"/>
      <c r="G40" s="122"/>
      <c r="H40" s="122"/>
      <c r="I40" s="122"/>
      <c r="J40" s="122"/>
      <c r="K40" s="122"/>
      <c r="L40" s="122"/>
      <c r="M40" s="122"/>
      <c r="N40" s="122"/>
      <c r="O40" s="122"/>
      <c r="P40" s="122"/>
      <c r="Q40" s="122"/>
      <c r="R40" s="122"/>
      <c r="S40" s="122"/>
      <c r="T40" s="171" t="s">
        <v>323</v>
      </c>
      <c r="U40" s="172" t="s">
        <v>324</v>
      </c>
      <c r="V40" s="122"/>
      <c r="W40" s="172" t="s">
        <v>325</v>
      </c>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row>
    <row r="41" spans="1:48" ht="15.95" customHeight="1">
      <c r="A41" s="178" t="str">
        <v>المراكز الصحية</v>
      </c>
      <c r="B41" s="178" t="str">
        <v>يافا</v>
      </c>
      <c r="C41" s="178" t="str">
        <v>عيادة عظام</v>
      </c>
      <c r="D41" s="122"/>
      <c r="E41" s="122"/>
      <c r="F41" s="122"/>
      <c r="G41" s="122"/>
      <c r="H41" s="122"/>
      <c r="I41" s="122"/>
      <c r="J41" s="122"/>
      <c r="K41" s="122"/>
      <c r="L41" s="122"/>
      <c r="M41" s="122"/>
      <c r="N41" s="122"/>
      <c r="O41" s="122"/>
      <c r="P41" s="122"/>
      <c r="Q41" s="122"/>
      <c r="R41" s="122"/>
      <c r="S41" s="122"/>
      <c r="T41" s="171" t="s">
        <v>326</v>
      </c>
      <c r="U41" s="172" t="s">
        <v>327</v>
      </c>
      <c r="V41" s="122"/>
      <c r="W41" s="172" t="s">
        <v>328</v>
      </c>
      <c r="X41" s="122"/>
      <c r="Y41" s="122"/>
      <c r="Z41" s="122"/>
      <c r="AA41" s="122"/>
      <c r="AB41" s="122"/>
      <c r="AC41" s="122"/>
      <c r="AD41" s="122"/>
      <c r="AE41" s="122"/>
      <c r="AF41" s="122"/>
      <c r="AG41" s="122"/>
      <c r="AH41" s="122"/>
      <c r="AI41" s="122"/>
      <c r="AJ41" s="122"/>
      <c r="AK41" s="122"/>
      <c r="AL41" s="122"/>
      <c r="AM41" s="122"/>
      <c r="AN41" s="122"/>
      <c r="AO41" s="122"/>
      <c r="AP41" s="122"/>
      <c r="AQ41" s="122"/>
      <c r="AR41" s="122"/>
      <c r="AS41" s="122"/>
      <c r="AT41" s="122"/>
      <c r="AU41" s="122"/>
      <c r="AV41" s="122"/>
    </row>
    <row r="42" spans="1:48" ht="15.95" customHeight="1">
      <c r="A42" s="178" t="str">
        <v>المراكز الصحية</v>
      </c>
      <c r="B42" s="178" t="str">
        <v>يافا</v>
      </c>
      <c r="C42" s="178" t="str">
        <v>عيادة طب العيون</v>
      </c>
      <c r="D42" s="122"/>
      <c r="E42" s="122"/>
      <c r="F42" s="122"/>
      <c r="G42" s="122"/>
      <c r="H42" s="122"/>
      <c r="I42" s="122"/>
      <c r="J42" s="122"/>
      <c r="K42" s="122"/>
      <c r="L42" s="122"/>
      <c r="M42" s="122"/>
      <c r="N42" s="122"/>
      <c r="O42" s="122"/>
      <c r="P42" s="122"/>
      <c r="Q42" s="122"/>
      <c r="R42" s="122"/>
      <c r="S42" s="122"/>
      <c r="T42" s="171" t="s">
        <v>329</v>
      </c>
      <c r="U42" s="172" t="s">
        <v>330</v>
      </c>
      <c r="V42" s="122"/>
      <c r="W42" s="172" t="s">
        <v>331</v>
      </c>
      <c r="X42" s="122"/>
      <c r="Y42" s="122"/>
      <c r="Z42" s="122"/>
      <c r="AA42" s="122"/>
      <c r="AB42" s="122"/>
      <c r="AC42" s="122"/>
      <c r="AD42" s="122"/>
      <c r="AE42" s="122"/>
      <c r="AF42" s="122"/>
      <c r="AG42" s="122"/>
      <c r="AH42" s="122"/>
      <c r="AI42" s="122"/>
      <c r="AJ42" s="122"/>
      <c r="AK42" s="122"/>
      <c r="AL42" s="122"/>
      <c r="AM42" s="122"/>
      <c r="AN42" s="122"/>
      <c r="AO42" s="122"/>
      <c r="AP42" s="122"/>
      <c r="AQ42" s="122"/>
      <c r="AR42" s="122"/>
      <c r="AS42" s="122"/>
      <c r="AT42" s="122"/>
      <c r="AU42" s="122"/>
      <c r="AV42" s="122"/>
    </row>
    <row r="43" spans="1:48" ht="15.95" customHeight="1">
      <c r="A43" s="178" t="str">
        <v>المراكز الصحية</v>
      </c>
      <c r="B43" s="178" t="str">
        <v>يافا</v>
      </c>
      <c r="C43" s="178" t="str">
        <v>عيادة جلدية</v>
      </c>
      <c r="D43" s="122"/>
      <c r="E43" s="122"/>
      <c r="F43" s="122"/>
      <c r="G43" s="122"/>
      <c r="H43" s="122"/>
      <c r="I43" s="122"/>
      <c r="J43" s="122"/>
      <c r="K43" s="122"/>
      <c r="L43" s="122"/>
      <c r="M43" s="122"/>
      <c r="N43" s="122"/>
      <c r="O43" s="122"/>
      <c r="P43" s="122"/>
      <c r="Q43" s="122"/>
      <c r="R43" s="122"/>
      <c r="S43" s="122"/>
      <c r="T43" s="171" t="s">
        <v>332</v>
      </c>
      <c r="U43" s="172" t="s">
        <v>333</v>
      </c>
      <c r="V43" s="122"/>
      <c r="W43" s="172" t="s">
        <v>334</v>
      </c>
      <c r="X43" s="122"/>
      <c r="Y43" s="122"/>
      <c r="Z43" s="122"/>
      <c r="AA43" s="122"/>
      <c r="AB43" s="122"/>
      <c r="AC43" s="122"/>
      <c r="AD43" s="122"/>
      <c r="AE43" s="122"/>
      <c r="AF43" s="122"/>
      <c r="AG43" s="122"/>
      <c r="AH43" s="122"/>
      <c r="AI43" s="122"/>
      <c r="AJ43" s="122"/>
      <c r="AK43" s="122"/>
      <c r="AL43" s="122"/>
      <c r="AM43" s="122"/>
      <c r="AN43" s="122"/>
      <c r="AO43" s="122"/>
      <c r="AP43" s="122"/>
      <c r="AQ43" s="122"/>
      <c r="AR43" s="122"/>
      <c r="AS43" s="122"/>
      <c r="AT43" s="122"/>
      <c r="AU43" s="122"/>
      <c r="AV43" s="122"/>
    </row>
    <row r="44" spans="1:48" ht="15.95" customHeight="1">
      <c r="A44" s="178" t="str">
        <v>المراكز الصحية</v>
      </c>
      <c r="B44" s="178" t="str">
        <v>يافا</v>
      </c>
      <c r="C44" s="178" t="str">
        <v>عيادة جراحة واعصاب</v>
      </c>
      <c r="D44" s="122"/>
      <c r="E44" s="122"/>
      <c r="F44" s="122"/>
      <c r="G44" s="122"/>
      <c r="H44" s="122"/>
      <c r="I44" s="122"/>
      <c r="J44" s="122"/>
      <c r="K44" s="122"/>
      <c r="L44" s="122"/>
      <c r="M44" s="122"/>
      <c r="N44" s="122"/>
      <c r="O44" s="122"/>
      <c r="P44" s="122"/>
      <c r="Q44" s="122"/>
      <c r="R44" s="122"/>
      <c r="S44" s="122"/>
      <c r="T44" s="171" t="s">
        <v>335</v>
      </c>
      <c r="U44" s="172" t="s">
        <v>336</v>
      </c>
      <c r="V44" s="122"/>
      <c r="W44" s="172" t="s">
        <v>337</v>
      </c>
      <c r="X44" s="122"/>
      <c r="Y44" s="122"/>
      <c r="Z44" s="122"/>
      <c r="AA44" s="122"/>
      <c r="AB44" s="122"/>
      <c r="AC44" s="122"/>
      <c r="AD44" s="122"/>
      <c r="AE44" s="122"/>
      <c r="AF44" s="122"/>
      <c r="AG44" s="122"/>
      <c r="AH44" s="122"/>
      <c r="AI44" s="122"/>
      <c r="AJ44" s="122"/>
      <c r="AK44" s="122"/>
      <c r="AL44" s="122"/>
      <c r="AM44" s="122"/>
      <c r="AN44" s="122"/>
      <c r="AO44" s="122"/>
      <c r="AP44" s="122"/>
      <c r="AQ44" s="122"/>
      <c r="AR44" s="122"/>
      <c r="AS44" s="122"/>
      <c r="AT44" s="122"/>
      <c r="AU44" s="122"/>
      <c r="AV44" s="122"/>
    </row>
    <row r="45" spans="1:48" ht="15.95" customHeight="1">
      <c r="A45" s="178" t="str">
        <v>المراكز الصحية</v>
      </c>
      <c r="B45" s="178" t="str">
        <v>يافا</v>
      </c>
      <c r="C45" s="178" t="str">
        <v>عيادة جراحة عامة</v>
      </c>
      <c r="D45" s="122"/>
      <c r="E45" s="122"/>
      <c r="F45" s="122"/>
      <c r="G45" s="122"/>
      <c r="H45" s="122"/>
      <c r="I45" s="122"/>
      <c r="J45" s="122"/>
      <c r="K45" s="122"/>
      <c r="L45" s="122"/>
      <c r="M45" s="122"/>
      <c r="N45" s="122"/>
      <c r="O45" s="122"/>
      <c r="P45" s="122"/>
      <c r="Q45" s="122"/>
      <c r="R45" s="122"/>
      <c r="S45" s="122"/>
      <c r="T45" s="171" t="s">
        <v>338</v>
      </c>
      <c r="U45" s="172" t="s">
        <v>339</v>
      </c>
      <c r="V45" s="122"/>
      <c r="W45" s="172" t="s">
        <v>340</v>
      </c>
      <c r="X45" s="122"/>
      <c r="Y45" s="122"/>
      <c r="Z45" s="122"/>
      <c r="AA45" s="122"/>
      <c r="AB45" s="122"/>
      <c r="AC45" s="122"/>
      <c r="AD45" s="122"/>
      <c r="AE45" s="122"/>
      <c r="AF45" s="122"/>
      <c r="AG45" s="122"/>
      <c r="AH45" s="122"/>
      <c r="AI45" s="122"/>
      <c r="AJ45" s="122"/>
      <c r="AK45" s="122"/>
      <c r="AL45" s="122"/>
      <c r="AM45" s="122"/>
      <c r="AN45" s="122"/>
      <c r="AO45" s="122"/>
      <c r="AP45" s="122"/>
      <c r="AQ45" s="122"/>
      <c r="AR45" s="122"/>
      <c r="AS45" s="122"/>
      <c r="AT45" s="122"/>
      <c r="AU45" s="122"/>
      <c r="AV45" s="122"/>
    </row>
    <row r="46" spans="1:48" ht="15.95" customHeight="1">
      <c r="A46" s="178" t="str">
        <v>المراكز الصحية</v>
      </c>
      <c r="B46" s="178" t="str">
        <v>يافا</v>
      </c>
      <c r="C46" s="178" t="str">
        <v>عيادة بصريات</v>
      </c>
      <c r="D46" s="122"/>
      <c r="E46" s="122"/>
      <c r="F46" s="122"/>
      <c r="G46" s="122"/>
      <c r="H46" s="122"/>
      <c r="I46" s="122"/>
      <c r="J46" s="122"/>
      <c r="K46" s="122"/>
      <c r="L46" s="122"/>
      <c r="M46" s="122"/>
      <c r="N46" s="122"/>
      <c r="O46" s="122"/>
      <c r="P46" s="122"/>
      <c r="Q46" s="122"/>
      <c r="R46" s="122"/>
      <c r="S46" s="122"/>
      <c r="T46" s="171" t="s">
        <v>341</v>
      </c>
      <c r="U46" s="172" t="s">
        <v>342</v>
      </c>
      <c r="V46" s="122"/>
      <c r="W46" s="172" t="s">
        <v>343</v>
      </c>
      <c r="X46" s="122"/>
      <c r="Y46" s="122"/>
      <c r="Z46" s="122"/>
      <c r="AA46" s="122"/>
      <c r="AB46" s="122"/>
      <c r="AC46" s="122"/>
      <c r="AD46" s="122"/>
      <c r="AE46" s="122"/>
      <c r="AF46" s="122"/>
      <c r="AG46" s="122"/>
      <c r="AH46" s="122"/>
      <c r="AI46" s="122"/>
      <c r="AJ46" s="122"/>
      <c r="AK46" s="122"/>
      <c r="AL46" s="122"/>
      <c r="AM46" s="122"/>
      <c r="AN46" s="122"/>
      <c r="AO46" s="122"/>
      <c r="AP46" s="122"/>
      <c r="AQ46" s="122"/>
      <c r="AR46" s="122"/>
      <c r="AS46" s="122"/>
      <c r="AT46" s="122"/>
      <c r="AU46" s="122"/>
      <c r="AV46" s="122"/>
    </row>
    <row r="47" spans="1:48" ht="15.95" customHeight="1">
      <c r="A47" s="178" t="str">
        <v>المراكز الصحية</v>
      </c>
      <c r="B47" s="178" t="str">
        <v>يافا</v>
      </c>
      <c r="C47" s="178" t="str">
        <v>المختبر</v>
      </c>
      <c r="D47" s="122"/>
      <c r="E47" s="122"/>
      <c r="F47" s="122"/>
      <c r="G47" s="122"/>
      <c r="H47" s="122"/>
      <c r="I47" s="122"/>
      <c r="J47" s="122"/>
      <c r="K47" s="122"/>
      <c r="L47" s="122"/>
      <c r="M47" s="122"/>
      <c r="N47" s="122"/>
      <c r="O47" s="122"/>
      <c r="P47" s="122"/>
      <c r="Q47" s="122"/>
      <c r="R47" s="122"/>
      <c r="S47" s="122"/>
      <c r="T47" s="171" t="s">
        <v>344</v>
      </c>
      <c r="U47" s="172" t="s">
        <v>345</v>
      </c>
      <c r="V47" s="122"/>
      <c r="W47" s="172" t="s">
        <v>346</v>
      </c>
      <c r="X47" s="122"/>
      <c r="Y47" s="122"/>
      <c r="Z47" s="122"/>
      <c r="AA47" s="122"/>
      <c r="AB47" s="122"/>
      <c r="AC47" s="122"/>
      <c r="AD47" s="122"/>
      <c r="AE47" s="122"/>
      <c r="AF47" s="122"/>
      <c r="AG47" s="122"/>
      <c r="AH47" s="122"/>
      <c r="AI47" s="122"/>
      <c r="AJ47" s="122"/>
      <c r="AK47" s="122"/>
      <c r="AL47" s="122"/>
      <c r="AM47" s="122"/>
      <c r="AN47" s="122"/>
      <c r="AO47" s="122"/>
      <c r="AP47" s="122"/>
      <c r="AQ47" s="122"/>
      <c r="AR47" s="122"/>
      <c r="AS47" s="122"/>
      <c r="AT47" s="122"/>
      <c r="AU47" s="122"/>
      <c r="AV47" s="122"/>
    </row>
    <row r="48" spans="1:48" ht="15.95" customHeight="1">
      <c r="A48" s="178" t="str">
        <v>المراكز الصحية</v>
      </c>
      <c r="B48" s="178" t="str">
        <v>يافا</v>
      </c>
      <c r="C48" s="178" t="str">
        <v>عيادة العمليات</v>
      </c>
      <c r="D48" s="122"/>
      <c r="E48" s="122"/>
      <c r="F48" s="122"/>
      <c r="G48" s="122"/>
      <c r="H48" s="122"/>
      <c r="I48" s="122"/>
      <c r="J48" s="122"/>
      <c r="K48" s="122"/>
      <c r="L48" s="122"/>
      <c r="M48" s="122"/>
      <c r="N48" s="122"/>
      <c r="O48" s="122"/>
      <c r="P48" s="122"/>
      <c r="Q48" s="122"/>
      <c r="R48" s="122"/>
      <c r="S48" s="122"/>
      <c r="T48" s="171" t="s">
        <v>347</v>
      </c>
      <c r="U48" s="172" t="s">
        <v>348</v>
      </c>
      <c r="V48" s="122"/>
      <c r="W48" s="172" t="s">
        <v>349</v>
      </c>
      <c r="X48" s="122"/>
      <c r="Y48" s="122"/>
      <c r="Z48" s="122"/>
      <c r="AA48" s="122"/>
      <c r="AB48" s="122"/>
      <c r="AC48" s="122"/>
      <c r="AD48" s="122"/>
      <c r="AE48" s="122"/>
      <c r="AF48" s="122"/>
      <c r="AG48" s="122"/>
      <c r="AH48" s="122"/>
      <c r="AI48" s="122"/>
      <c r="AJ48" s="122"/>
      <c r="AK48" s="122"/>
      <c r="AL48" s="122"/>
      <c r="AM48" s="122"/>
      <c r="AN48" s="122"/>
      <c r="AO48" s="122"/>
      <c r="AP48" s="122"/>
      <c r="AQ48" s="122"/>
      <c r="AR48" s="122"/>
      <c r="AS48" s="122"/>
      <c r="AT48" s="122"/>
      <c r="AU48" s="122"/>
      <c r="AV48" s="122"/>
    </row>
    <row r="49" spans="1:48" ht="15.95" customHeight="1">
      <c r="A49" s="178" t="str">
        <v>المراكز الصحية</v>
      </c>
      <c r="B49" s="178" t="str">
        <v>يافا</v>
      </c>
      <c r="C49" s="178" t="str">
        <v>عيادة العلاج الطبيعي</v>
      </c>
      <c r="D49" s="122"/>
      <c r="E49" s="122"/>
      <c r="F49" s="122"/>
      <c r="G49" s="122"/>
      <c r="H49" s="122"/>
      <c r="I49" s="122"/>
      <c r="J49" s="122"/>
      <c r="K49" s="122"/>
      <c r="L49" s="122"/>
      <c r="M49" s="122"/>
      <c r="N49" s="122"/>
      <c r="O49" s="122"/>
      <c r="P49" s="122"/>
      <c r="Q49" s="122"/>
      <c r="R49" s="122"/>
      <c r="S49" s="122"/>
      <c r="T49" s="171" t="s">
        <v>350</v>
      </c>
      <c r="U49" s="172" t="s">
        <v>351</v>
      </c>
      <c r="V49" s="122"/>
      <c r="W49" s="172" t="s">
        <v>352</v>
      </c>
      <c r="X49" s="122"/>
      <c r="Y49" s="122"/>
      <c r="Z49" s="122"/>
      <c r="AA49" s="122"/>
      <c r="AB49" s="122"/>
      <c r="AC49" s="122"/>
      <c r="AD49" s="122"/>
      <c r="AE49" s="122"/>
      <c r="AF49" s="122"/>
      <c r="AG49" s="122"/>
      <c r="AH49" s="122"/>
      <c r="AI49" s="122"/>
      <c r="AJ49" s="122"/>
      <c r="AK49" s="122"/>
      <c r="AL49" s="122"/>
      <c r="AM49" s="122"/>
      <c r="AN49" s="122"/>
      <c r="AO49" s="122"/>
      <c r="AP49" s="122"/>
      <c r="AQ49" s="122"/>
      <c r="AR49" s="122"/>
      <c r="AS49" s="122"/>
      <c r="AT49" s="122"/>
      <c r="AU49" s="122"/>
      <c r="AV49" s="122"/>
    </row>
    <row r="50" spans="1:48" ht="15.95" customHeight="1">
      <c r="A50" s="178" t="str">
        <v>المراكز الصحية</v>
      </c>
      <c r="B50" s="178" t="str">
        <v>يافا</v>
      </c>
      <c r="C50" s="178" t="str">
        <v>الصيدلية</v>
      </c>
      <c r="D50" s="122"/>
      <c r="E50" s="122"/>
      <c r="F50" s="122"/>
      <c r="G50" s="122"/>
      <c r="H50" s="122"/>
      <c r="I50" s="122"/>
      <c r="J50" s="122"/>
      <c r="K50" s="122"/>
      <c r="L50" s="122"/>
      <c r="M50" s="122"/>
      <c r="N50" s="122"/>
      <c r="O50" s="122"/>
      <c r="P50" s="122"/>
      <c r="Q50" s="122"/>
      <c r="R50" s="122"/>
      <c r="S50" s="122"/>
      <c r="T50" s="171" t="s">
        <v>353</v>
      </c>
      <c r="U50" s="172" t="s">
        <v>354</v>
      </c>
      <c r="V50" s="122"/>
      <c r="W50" s="172" t="s">
        <v>355</v>
      </c>
      <c r="X50" s="122"/>
      <c r="Y50" s="122"/>
      <c r="Z50" s="122"/>
      <c r="AA50" s="122"/>
      <c r="AB50" s="122"/>
      <c r="AC50" s="122"/>
      <c r="AD50" s="122"/>
      <c r="AE50" s="122"/>
      <c r="AF50" s="122"/>
      <c r="AG50" s="122"/>
      <c r="AH50" s="122"/>
      <c r="AI50" s="122"/>
      <c r="AJ50" s="122"/>
      <c r="AK50" s="122"/>
      <c r="AL50" s="122"/>
      <c r="AM50" s="122"/>
      <c r="AN50" s="122"/>
      <c r="AO50" s="122"/>
      <c r="AP50" s="122"/>
      <c r="AQ50" s="122"/>
      <c r="AR50" s="122"/>
      <c r="AS50" s="122"/>
      <c r="AT50" s="122"/>
      <c r="AU50" s="122"/>
      <c r="AV50" s="122"/>
    </row>
    <row r="51" spans="1:48" ht="15.95" customHeight="1">
      <c r="A51" s="178" t="str">
        <v>المراكز الصحية</v>
      </c>
      <c r="B51" s="178" t="str">
        <v>يافا</v>
      </c>
      <c r="C51" s="178" t="str">
        <v>عيادة اذن وانف حنجرة</v>
      </c>
      <c r="D51" s="122"/>
      <c r="E51" s="122"/>
      <c r="F51" s="122"/>
      <c r="G51" s="122"/>
      <c r="H51" s="122"/>
      <c r="I51" s="122"/>
      <c r="J51" s="122"/>
      <c r="K51" s="122"/>
      <c r="L51" s="122"/>
      <c r="M51" s="122"/>
      <c r="N51" s="122"/>
      <c r="O51" s="122"/>
      <c r="P51" s="122"/>
      <c r="Q51" s="122"/>
      <c r="R51" s="122"/>
      <c r="S51" s="122"/>
      <c r="T51" s="171" t="s">
        <v>356</v>
      </c>
      <c r="U51" s="172" t="s">
        <v>357</v>
      </c>
      <c r="V51" s="122"/>
      <c r="W51" s="172" t="s">
        <v>358</v>
      </c>
      <c r="X51" s="122"/>
      <c r="Y51" s="122"/>
      <c r="Z51" s="122"/>
      <c r="AA51" s="122"/>
      <c r="AB51" s="122"/>
      <c r="AC51" s="122"/>
      <c r="AD51" s="122"/>
      <c r="AE51" s="122"/>
      <c r="AF51" s="122"/>
      <c r="AG51" s="122"/>
      <c r="AH51" s="122"/>
      <c r="AI51" s="122"/>
      <c r="AJ51" s="122"/>
      <c r="AK51" s="122"/>
      <c r="AL51" s="122"/>
      <c r="AM51" s="122"/>
      <c r="AN51" s="122"/>
      <c r="AO51" s="122"/>
      <c r="AP51" s="122"/>
      <c r="AQ51" s="122"/>
      <c r="AR51" s="122"/>
      <c r="AS51" s="122"/>
      <c r="AT51" s="122"/>
      <c r="AU51" s="122"/>
      <c r="AV51" s="122"/>
    </row>
    <row r="52" spans="1:48" ht="15.95" customHeight="1">
      <c r="A52" s="178" t="str">
        <v>المراكز الصحية</v>
      </c>
      <c r="B52" s="178" t="str">
        <v>الكويتي</v>
      </c>
      <c r="C52" s="178" t="str">
        <v>قسم البانوراما</v>
      </c>
      <c r="D52" s="122"/>
      <c r="E52" s="122"/>
      <c r="F52" s="122"/>
      <c r="G52" s="122"/>
      <c r="H52" s="122"/>
      <c r="I52" s="122"/>
      <c r="J52" s="122"/>
      <c r="K52" s="122"/>
      <c r="L52" s="122"/>
      <c r="M52" s="122"/>
      <c r="N52" s="122"/>
      <c r="O52" s="122"/>
      <c r="P52" s="122"/>
      <c r="Q52" s="122"/>
      <c r="R52" s="122"/>
      <c r="S52" s="122"/>
      <c r="T52" s="171" t="s">
        <v>359</v>
      </c>
      <c r="U52" s="172" t="s">
        <v>360</v>
      </c>
      <c r="V52" s="122"/>
      <c r="W52" s="172" t="s">
        <v>361</v>
      </c>
      <c r="X52" s="122"/>
      <c r="Y52" s="122"/>
      <c r="Z52" s="122"/>
      <c r="AA52" s="122"/>
      <c r="AB52" s="122"/>
      <c r="AC52" s="122"/>
      <c r="AD52" s="122"/>
      <c r="AE52" s="122"/>
      <c r="AF52" s="122"/>
      <c r="AG52" s="122"/>
      <c r="AH52" s="122"/>
      <c r="AI52" s="122"/>
      <c r="AJ52" s="122"/>
      <c r="AK52" s="122"/>
      <c r="AL52" s="122"/>
      <c r="AM52" s="122"/>
      <c r="AN52" s="122"/>
      <c r="AO52" s="122"/>
      <c r="AP52" s="122"/>
      <c r="AQ52" s="122"/>
      <c r="AR52" s="122"/>
      <c r="AS52" s="122"/>
      <c r="AT52" s="122"/>
      <c r="AU52" s="122"/>
      <c r="AV52" s="122"/>
    </row>
    <row r="53" spans="1:48" ht="15.95" customHeight="1">
      <c r="A53" s="178" t="str">
        <v>المراكز الصحية</v>
      </c>
      <c r="B53" s="178" t="str">
        <v>الكويتي</v>
      </c>
      <c r="C53" s="178" t="str">
        <v>قسم الايكو اطفال</v>
      </c>
      <c r="D53" s="122"/>
      <c r="E53" s="122"/>
      <c r="F53" s="122"/>
      <c r="G53" s="122"/>
      <c r="H53" s="122"/>
      <c r="I53" s="122"/>
      <c r="J53" s="122"/>
      <c r="K53" s="122"/>
      <c r="L53" s="122"/>
      <c r="M53" s="122"/>
      <c r="N53" s="122"/>
      <c r="O53" s="122"/>
      <c r="P53" s="122"/>
      <c r="Q53" s="122"/>
      <c r="R53" s="122"/>
      <c r="S53" s="122"/>
      <c r="T53" s="171" t="s">
        <v>362</v>
      </c>
      <c r="U53" s="172" t="s">
        <v>363</v>
      </c>
      <c r="V53" s="122"/>
      <c r="W53" s="172" t="s">
        <v>364</v>
      </c>
      <c r="X53" s="122"/>
      <c r="Y53" s="122"/>
      <c r="Z53" s="122"/>
      <c r="AA53" s="122"/>
      <c r="AB53" s="122"/>
      <c r="AC53" s="122"/>
      <c r="AD53" s="122"/>
      <c r="AE53" s="122"/>
      <c r="AF53" s="122"/>
      <c r="AG53" s="122"/>
      <c r="AH53" s="122"/>
      <c r="AI53" s="122"/>
      <c r="AJ53" s="122"/>
      <c r="AK53" s="122"/>
      <c r="AL53" s="122"/>
      <c r="AM53" s="122"/>
      <c r="AN53" s="122"/>
      <c r="AO53" s="122"/>
      <c r="AP53" s="122"/>
      <c r="AQ53" s="122"/>
      <c r="AR53" s="122"/>
      <c r="AS53" s="122"/>
      <c r="AT53" s="122"/>
      <c r="AU53" s="122"/>
      <c r="AV53" s="122"/>
    </row>
    <row r="54" spans="1:48" ht="15.95" customHeight="1">
      <c r="A54" s="178" t="str">
        <v>المراكز الصحية</v>
      </c>
      <c r="B54" s="178" t="str">
        <v>الكويتي</v>
      </c>
      <c r="C54" s="178" t="str">
        <v>قسم الايكو Echo</v>
      </c>
      <c r="D54" s="122"/>
      <c r="E54" s="122"/>
      <c r="F54" s="122"/>
      <c r="G54" s="122"/>
      <c r="H54" s="122"/>
      <c r="I54" s="122"/>
      <c r="J54" s="122"/>
      <c r="K54" s="122"/>
      <c r="L54" s="122"/>
      <c r="M54" s="122"/>
      <c r="N54" s="122"/>
      <c r="O54" s="122"/>
      <c r="P54" s="122"/>
      <c r="Q54" s="122"/>
      <c r="R54" s="122"/>
      <c r="S54" s="122"/>
      <c r="T54" s="171" t="s">
        <v>365</v>
      </c>
      <c r="U54" s="172" t="s">
        <v>366</v>
      </c>
      <c r="V54" s="122"/>
      <c r="W54" s="172" t="s">
        <v>367</v>
      </c>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row>
    <row r="55" spans="1:48" ht="15.95" customHeight="1">
      <c r="A55" s="178" t="str">
        <v>المراكز الصحية</v>
      </c>
      <c r="B55" s="178" t="str">
        <v>الكويتي</v>
      </c>
      <c r="C55" s="178" t="str">
        <v>قسم الألتراساوند US</v>
      </c>
      <c r="D55" s="122"/>
      <c r="E55" s="122"/>
      <c r="F55" s="122"/>
      <c r="G55" s="122"/>
      <c r="H55" s="122"/>
      <c r="I55" s="122"/>
      <c r="J55" s="122"/>
      <c r="K55" s="122"/>
      <c r="L55" s="122"/>
      <c r="M55" s="122"/>
      <c r="N55" s="122"/>
      <c r="O55" s="122"/>
      <c r="P55" s="122"/>
      <c r="Q55" s="122"/>
      <c r="R55" s="122"/>
      <c r="S55" s="122"/>
      <c r="T55" s="172" t="s">
        <v>368</v>
      </c>
      <c r="U55" s="180" t="s">
        <v>369</v>
      </c>
      <c r="V55" s="122"/>
      <c r="W55" s="172" t="s">
        <v>370</v>
      </c>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row>
    <row r="56" spans="1:48" ht="15.95" customHeight="1">
      <c r="A56" s="178" t="str">
        <v>المراكز الصحية</v>
      </c>
      <c r="B56" s="178" t="str">
        <v>الكويتي</v>
      </c>
      <c r="C56" s="178" t="str">
        <v>قسم الأشعة المقطعية CT</v>
      </c>
      <c r="D56" s="122"/>
      <c r="E56" s="122"/>
      <c r="F56" s="122"/>
      <c r="G56" s="122"/>
      <c r="H56" s="122"/>
      <c r="I56" s="122"/>
      <c r="J56" s="122"/>
      <c r="K56" s="122"/>
      <c r="L56" s="122"/>
      <c r="M56" s="122"/>
      <c r="N56" s="122"/>
      <c r="O56" s="122"/>
      <c r="P56" s="122"/>
      <c r="Q56" s="122"/>
      <c r="R56" s="122"/>
      <c r="S56" s="122"/>
      <c r="T56" s="172" t="s">
        <v>371</v>
      </c>
      <c r="U56" s="180" t="s">
        <v>372</v>
      </c>
      <c r="V56" s="122"/>
      <c r="W56" s="172" t="s">
        <v>373</v>
      </c>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row>
    <row r="57" spans="1:48" ht="15.95" customHeight="1">
      <c r="A57" s="178" t="str">
        <v>المراكز الصحية</v>
      </c>
      <c r="B57" s="178" t="str">
        <v>الكويتي</v>
      </c>
      <c r="C57" s="178" t="str">
        <v>قسم اشعة</v>
      </c>
      <c r="D57" s="122"/>
      <c r="E57" s="122"/>
      <c r="F57" s="122"/>
      <c r="G57" s="122"/>
      <c r="H57" s="122"/>
      <c r="I57" s="122"/>
      <c r="J57" s="122"/>
      <c r="K57" s="122"/>
      <c r="L57" s="122"/>
      <c r="M57" s="122"/>
      <c r="N57" s="122"/>
      <c r="O57" s="122"/>
      <c r="P57" s="122"/>
      <c r="Q57" s="122"/>
      <c r="R57" s="122"/>
      <c r="S57" s="122"/>
      <c r="T57" s="172" t="s">
        <v>374</v>
      </c>
      <c r="U57" s="180" t="s">
        <v>375</v>
      </c>
      <c r="V57" s="122"/>
      <c r="W57" s="172" t="s">
        <v>376</v>
      </c>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row>
    <row r="58" spans="1:48" ht="15.95" customHeight="1">
      <c r="A58" s="178" t="str">
        <v>المراكز الصحية</v>
      </c>
      <c r="B58" s="178" t="str">
        <v>الوسطى</v>
      </c>
      <c r="C58" s="178" t="str">
        <v>عيادة الاسنان- رجال</v>
      </c>
      <c r="D58" s="122"/>
      <c r="E58" s="122"/>
      <c r="F58" s="122"/>
      <c r="G58" s="122"/>
      <c r="H58" s="122"/>
      <c r="I58" s="122"/>
      <c r="J58" s="122"/>
      <c r="K58" s="122"/>
      <c r="L58" s="122"/>
      <c r="M58" s="122"/>
      <c r="N58" s="122"/>
      <c r="O58" s="122"/>
      <c r="P58" s="122"/>
      <c r="Q58" s="122"/>
      <c r="R58" s="122"/>
      <c r="S58" s="122"/>
      <c r="T58" s="172" t="s">
        <v>377</v>
      </c>
      <c r="U58" s="122" t="s">
        <v>378</v>
      </c>
      <c r="V58" s="122"/>
      <c r="W58" s="172" t="s">
        <v>379</v>
      </c>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row>
    <row r="59" spans="1:48" ht="15.95" customHeight="1">
      <c r="A59" s="178" t="str">
        <v>المراكز الصحية</v>
      </c>
      <c r="B59" s="178" t="str">
        <v>الوسطى</v>
      </c>
      <c r="C59" s="178" t="str">
        <v>عيادة عظام</v>
      </c>
      <c r="D59" s="122"/>
      <c r="E59" s="122"/>
      <c r="F59" s="122"/>
      <c r="G59" s="122"/>
      <c r="H59" s="122"/>
      <c r="I59" s="122"/>
      <c r="J59" s="122"/>
      <c r="K59" s="122"/>
      <c r="L59" s="122"/>
      <c r="M59" s="122"/>
      <c r="N59" s="122"/>
      <c r="O59" s="122"/>
      <c r="P59" s="122"/>
      <c r="Q59" s="122"/>
      <c r="R59" s="122"/>
      <c r="S59" s="122"/>
      <c r="T59" s="172" t="s">
        <v>380</v>
      </c>
      <c r="U59" s="122" t="s">
        <v>381</v>
      </c>
      <c r="V59" s="122"/>
      <c r="W59" s="172" t="s">
        <v>382</v>
      </c>
      <c r="X59" s="122"/>
      <c r="Y59" s="122"/>
      <c r="Z59" s="122"/>
      <c r="AA59" s="122"/>
      <c r="AB59" s="122"/>
      <c r="AC59" s="122"/>
      <c r="AD59" s="122"/>
      <c r="AE59" s="122"/>
      <c r="AF59" s="122"/>
      <c r="AG59" s="122"/>
      <c r="AH59" s="122"/>
      <c r="AI59" s="122"/>
      <c r="AJ59" s="122"/>
      <c r="AK59" s="122"/>
      <c r="AL59" s="122"/>
      <c r="AM59" s="122"/>
      <c r="AN59" s="122"/>
      <c r="AO59" s="122"/>
      <c r="AP59" s="122"/>
      <c r="AQ59" s="122"/>
      <c r="AR59" s="122"/>
      <c r="AS59" s="122"/>
      <c r="AT59" s="122"/>
      <c r="AU59" s="122"/>
      <c r="AV59" s="122"/>
    </row>
    <row r="60" spans="1:48" ht="15.95" customHeight="1">
      <c r="A60" s="178" t="str">
        <v>المراكز الصحية</v>
      </c>
      <c r="B60" s="178" t="str">
        <v>الوسطى</v>
      </c>
      <c r="C60" s="178" t="str">
        <v>عيادة طب العيون</v>
      </c>
      <c r="D60" s="122"/>
      <c r="E60" s="122"/>
      <c r="F60" s="122"/>
      <c r="G60" s="122"/>
      <c r="H60" s="122"/>
      <c r="I60" s="122"/>
      <c r="J60" s="122"/>
      <c r="K60" s="122"/>
      <c r="L60" s="122"/>
      <c r="M60" s="122"/>
      <c r="N60" s="122"/>
      <c r="O60" s="122"/>
      <c r="P60" s="122"/>
      <c r="Q60" s="122"/>
      <c r="R60" s="122"/>
      <c r="S60" s="122"/>
      <c r="T60" s="172" t="s">
        <v>383</v>
      </c>
      <c r="U60" s="122"/>
      <c r="V60" s="122"/>
      <c r="W60" s="172" t="s">
        <v>384</v>
      </c>
      <c r="X60" s="122"/>
      <c r="Y60" s="122"/>
      <c r="Z60" s="122"/>
      <c r="AA60" s="122"/>
      <c r="AB60" s="122"/>
      <c r="AC60" s="122"/>
      <c r="AD60" s="122"/>
      <c r="AE60" s="122"/>
      <c r="AF60" s="122"/>
      <c r="AG60" s="122"/>
      <c r="AH60" s="122"/>
      <c r="AI60" s="122"/>
      <c r="AJ60" s="122"/>
      <c r="AK60" s="122"/>
      <c r="AL60" s="122"/>
      <c r="AM60" s="122"/>
      <c r="AN60" s="122"/>
      <c r="AO60" s="122"/>
      <c r="AP60" s="122"/>
      <c r="AQ60" s="122"/>
      <c r="AR60" s="122"/>
      <c r="AS60" s="122"/>
      <c r="AT60" s="122"/>
      <c r="AU60" s="122"/>
      <c r="AV60" s="122"/>
    </row>
    <row r="61" spans="1:48" ht="15.95" customHeight="1">
      <c r="A61" s="178" t="str">
        <v>المراكز الصحية</v>
      </c>
      <c r="B61" s="178" t="str">
        <v>الوسطى</v>
      </c>
      <c r="C61" s="178" t="str">
        <v>عيادة طب اسرة</v>
      </c>
      <c r="D61" s="122"/>
      <c r="E61" s="122"/>
      <c r="F61" s="122"/>
      <c r="G61" s="122"/>
      <c r="H61" s="122"/>
      <c r="I61" s="122"/>
      <c r="J61" s="122"/>
      <c r="K61" s="122"/>
      <c r="L61" s="122"/>
      <c r="M61" s="122"/>
      <c r="N61" s="122"/>
      <c r="O61" s="122"/>
      <c r="P61" s="122"/>
      <c r="Q61" s="122"/>
      <c r="R61" s="122"/>
      <c r="S61" s="122"/>
      <c r="T61" s="172" t="s">
        <v>385</v>
      </c>
      <c r="U61" s="122"/>
      <c r="V61" s="122"/>
      <c r="W61" s="172" t="s">
        <v>386</v>
      </c>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row>
    <row r="62" spans="1:48" ht="15.95" customHeight="1">
      <c r="A62" s="178" t="str">
        <v>المراكز الصحية</v>
      </c>
      <c r="B62" s="178" t="str">
        <v>الوسطى</v>
      </c>
      <c r="C62" s="178" t="str">
        <v>عيادة جلدية</v>
      </c>
      <c r="D62" s="122"/>
      <c r="E62" s="122"/>
      <c r="F62" s="122"/>
      <c r="G62" s="122"/>
      <c r="H62" s="122"/>
      <c r="I62" s="122"/>
      <c r="J62" s="122"/>
      <c r="K62" s="122"/>
      <c r="L62" s="122"/>
      <c r="M62" s="122"/>
      <c r="N62" s="122"/>
      <c r="O62" s="122"/>
      <c r="P62" s="122"/>
      <c r="Q62" s="122"/>
      <c r="R62" s="122"/>
      <c r="S62" s="122"/>
      <c r="T62" s="172" t="s">
        <v>387</v>
      </c>
      <c r="U62" s="122"/>
      <c r="V62" s="122"/>
      <c r="W62" s="172" t="s">
        <v>388</v>
      </c>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row>
    <row r="63" spans="1:48" ht="15.95" customHeight="1">
      <c r="A63" s="178" t="str">
        <v>المراكز الصحية</v>
      </c>
      <c r="B63" s="178" t="str">
        <v>الوسطى</v>
      </c>
      <c r="C63" s="178" t="str">
        <v>عيادة جراحة واعصاب</v>
      </c>
      <c r="D63" s="122"/>
      <c r="E63" s="122"/>
      <c r="F63" s="122"/>
      <c r="G63" s="122"/>
      <c r="H63" s="122"/>
      <c r="I63" s="122"/>
      <c r="J63" s="122"/>
      <c r="K63" s="122"/>
      <c r="L63" s="122"/>
      <c r="M63" s="122"/>
      <c r="N63" s="122"/>
      <c r="O63" s="122"/>
      <c r="P63" s="122"/>
      <c r="Q63" s="122"/>
      <c r="R63" s="122"/>
      <c r="S63" s="122"/>
      <c r="T63" s="172" t="s">
        <v>389</v>
      </c>
      <c r="U63" s="122"/>
      <c r="V63" s="122"/>
      <c r="W63" s="172" t="s">
        <v>390</v>
      </c>
      <c r="X63" s="122"/>
      <c r="Y63" s="122"/>
      <c r="Z63" s="122"/>
      <c r="AA63" s="122"/>
      <c r="AB63" s="122"/>
      <c r="AC63" s="122"/>
      <c r="AD63" s="122"/>
      <c r="AE63" s="122"/>
      <c r="AF63" s="122"/>
      <c r="AG63" s="122"/>
      <c r="AH63" s="122"/>
      <c r="AI63" s="122"/>
      <c r="AJ63" s="122"/>
      <c r="AK63" s="122"/>
      <c r="AL63" s="122"/>
      <c r="AM63" s="122"/>
      <c r="AN63" s="122"/>
      <c r="AO63" s="122"/>
      <c r="AP63" s="122"/>
      <c r="AQ63" s="122"/>
      <c r="AR63" s="122"/>
      <c r="AS63" s="122"/>
      <c r="AT63" s="122"/>
      <c r="AU63" s="122"/>
      <c r="AV63" s="122"/>
    </row>
    <row r="64" spans="1:48" ht="15.95" customHeight="1">
      <c r="A64" s="178" t="str">
        <v>المراكز الصحية</v>
      </c>
      <c r="B64" s="178" t="str">
        <v>الوسطى</v>
      </c>
      <c r="C64" s="178" t="str">
        <v>بانوراما اشعة</v>
      </c>
      <c r="D64" s="122"/>
      <c r="E64" s="122"/>
      <c r="F64" s="122"/>
      <c r="G64" s="122"/>
      <c r="H64" s="122"/>
      <c r="I64" s="122"/>
      <c r="J64" s="122"/>
      <c r="K64" s="122"/>
      <c r="L64" s="122"/>
      <c r="M64" s="122"/>
      <c r="N64" s="122"/>
      <c r="O64" s="122"/>
      <c r="P64" s="122"/>
      <c r="Q64" s="122"/>
      <c r="R64" s="122"/>
      <c r="S64" s="122"/>
      <c r="T64" s="172" t="s">
        <v>391</v>
      </c>
      <c r="U64" s="122"/>
      <c r="V64" s="122"/>
      <c r="W64" s="172" t="s">
        <v>392</v>
      </c>
      <c r="X64" s="122"/>
      <c r="Y64" s="122"/>
      <c r="Z64" s="122"/>
      <c r="AA64" s="122"/>
      <c r="AB64" s="122"/>
      <c r="AC64" s="122"/>
      <c r="AD64" s="122"/>
      <c r="AE64" s="122"/>
      <c r="AF64" s="122"/>
      <c r="AG64" s="122"/>
      <c r="AH64" s="122"/>
      <c r="AI64" s="122"/>
      <c r="AJ64" s="122"/>
      <c r="AK64" s="122"/>
      <c r="AL64" s="122"/>
      <c r="AM64" s="122"/>
      <c r="AN64" s="122"/>
      <c r="AO64" s="122"/>
      <c r="AP64" s="122"/>
      <c r="AQ64" s="122"/>
      <c r="AR64" s="122"/>
      <c r="AS64" s="122"/>
      <c r="AT64" s="122"/>
      <c r="AU64" s="122"/>
      <c r="AV64" s="122"/>
    </row>
    <row r="65" spans="1:48" ht="15.95" customHeight="1">
      <c r="A65" s="178" t="str">
        <v>المراكز الصحية</v>
      </c>
      <c r="B65" s="178" t="str">
        <v>الوسطى</v>
      </c>
      <c r="C65" s="178" t="str">
        <v>عيادة باطنة</v>
      </c>
      <c r="D65" s="122"/>
      <c r="E65" s="122"/>
      <c r="F65" s="122"/>
      <c r="G65" s="122"/>
      <c r="H65" s="122"/>
      <c r="I65" s="122"/>
      <c r="J65" s="122"/>
      <c r="K65" s="122"/>
      <c r="L65" s="122"/>
      <c r="M65" s="122"/>
      <c r="N65" s="122"/>
      <c r="O65" s="122"/>
      <c r="P65" s="122"/>
      <c r="Q65" s="122"/>
      <c r="R65" s="122"/>
      <c r="S65" s="122"/>
      <c r="T65" s="172" t="s">
        <v>393</v>
      </c>
      <c r="U65" s="122"/>
      <c r="V65" s="122"/>
      <c r="W65" s="172" t="s">
        <v>394</v>
      </c>
      <c r="X65" s="122"/>
      <c r="Y65" s="122"/>
      <c r="Z65" s="122"/>
      <c r="AA65" s="122"/>
      <c r="AB65" s="122"/>
      <c r="AC65" s="122"/>
      <c r="AD65" s="122"/>
      <c r="AE65" s="122"/>
      <c r="AF65" s="122"/>
      <c r="AG65" s="122"/>
      <c r="AH65" s="122"/>
      <c r="AI65" s="122"/>
      <c r="AJ65" s="122"/>
      <c r="AK65" s="122"/>
      <c r="AL65" s="122"/>
      <c r="AM65" s="122"/>
      <c r="AN65" s="122"/>
      <c r="AO65" s="122"/>
      <c r="AP65" s="122"/>
      <c r="AQ65" s="122"/>
      <c r="AR65" s="122"/>
      <c r="AS65" s="122"/>
      <c r="AT65" s="122"/>
      <c r="AU65" s="122"/>
      <c r="AV65" s="122"/>
    </row>
    <row r="66" spans="1:48" ht="15.95" customHeight="1">
      <c r="A66" s="178" t="str">
        <v>المراكز الصحية</v>
      </c>
      <c r="B66" s="178" t="str">
        <v>الوسطى</v>
      </c>
      <c r="C66" s="178" t="str">
        <v>المختبر</v>
      </c>
      <c r="D66" s="122"/>
      <c r="E66" s="122"/>
      <c r="F66" s="122"/>
      <c r="G66" s="122"/>
      <c r="H66" s="122"/>
      <c r="I66" s="122"/>
      <c r="J66" s="122"/>
      <c r="K66" s="122"/>
      <c r="L66" s="122"/>
      <c r="M66" s="122"/>
      <c r="N66" s="122"/>
      <c r="O66" s="122"/>
      <c r="P66" s="122"/>
      <c r="Q66" s="122"/>
      <c r="R66" s="122"/>
      <c r="S66" s="122"/>
      <c r="T66" s="172" t="s">
        <v>395</v>
      </c>
      <c r="U66" s="122"/>
      <c r="V66" s="122"/>
      <c r="W66" s="172" t="s">
        <v>396</v>
      </c>
      <c r="X66" s="122"/>
      <c r="Y66" s="122"/>
      <c r="Z66" s="122"/>
      <c r="AA66" s="122"/>
      <c r="AB66" s="122"/>
      <c r="AC66" s="122"/>
      <c r="AD66" s="122"/>
      <c r="AE66" s="122"/>
      <c r="AF66" s="122"/>
      <c r="AG66" s="122"/>
      <c r="AH66" s="122"/>
      <c r="AI66" s="122"/>
      <c r="AJ66" s="122"/>
      <c r="AK66" s="122"/>
      <c r="AL66" s="122"/>
      <c r="AM66" s="122"/>
      <c r="AN66" s="122"/>
      <c r="AO66" s="122"/>
      <c r="AP66" s="122"/>
      <c r="AQ66" s="122"/>
      <c r="AR66" s="122"/>
      <c r="AS66" s="122"/>
      <c r="AT66" s="122"/>
      <c r="AU66" s="122"/>
      <c r="AV66" s="122"/>
    </row>
    <row r="67" spans="1:48" ht="15.95" customHeight="1">
      <c r="A67" s="178" t="str">
        <v>المراكز الصحية</v>
      </c>
      <c r="B67" s="178" t="str">
        <v>الوسطى</v>
      </c>
      <c r="C67" s="178" t="str">
        <v>عيادة العلاج الطبيعي</v>
      </c>
      <c r="D67" s="122"/>
      <c r="E67" s="122"/>
      <c r="F67" s="122"/>
      <c r="G67" s="122"/>
      <c r="H67" s="122"/>
      <c r="I67" s="122"/>
      <c r="J67" s="122"/>
      <c r="K67" s="122"/>
      <c r="L67" s="122"/>
      <c r="M67" s="122"/>
      <c r="N67" s="122"/>
      <c r="O67" s="122"/>
      <c r="P67" s="122"/>
      <c r="Q67" s="122"/>
      <c r="R67" s="122"/>
      <c r="S67" s="122"/>
      <c r="T67" s="172" t="s">
        <v>397</v>
      </c>
      <c r="U67" s="122"/>
      <c r="V67" s="122"/>
      <c r="W67" s="172" t="s">
        <v>398</v>
      </c>
      <c r="X67" s="122"/>
      <c r="Y67" s="122"/>
      <c r="Z67" s="122"/>
      <c r="AA67" s="122"/>
      <c r="AB67" s="122"/>
      <c r="AC67" s="122"/>
      <c r="AD67" s="122"/>
      <c r="AE67" s="122"/>
      <c r="AF67" s="122"/>
      <c r="AG67" s="122"/>
      <c r="AH67" s="122"/>
      <c r="AI67" s="122"/>
      <c r="AJ67" s="122"/>
      <c r="AK67" s="122"/>
      <c r="AL67" s="122"/>
      <c r="AM67" s="122"/>
      <c r="AN67" s="122"/>
      <c r="AO67" s="122"/>
      <c r="AP67" s="122"/>
      <c r="AQ67" s="122"/>
      <c r="AR67" s="122"/>
      <c r="AS67" s="122"/>
      <c r="AT67" s="122"/>
      <c r="AU67" s="122"/>
      <c r="AV67" s="122"/>
    </row>
    <row r="68" spans="1:48" ht="15.95" customHeight="1">
      <c r="A68" t="str">
        <v>المراكز الصحية</v>
      </c>
      <c r="B68" t="str">
        <v>الوسطى</v>
      </c>
      <c r="C68" t="str">
        <v>الصيدلية</v>
      </c>
      <c r="D68" s="122"/>
      <c r="E68" s="122"/>
      <c r="F68" s="122"/>
      <c r="G68" s="122"/>
      <c r="H68" s="122"/>
      <c r="I68" s="122"/>
      <c r="J68" s="122"/>
      <c r="K68" s="122"/>
      <c r="L68" s="122"/>
      <c r="M68" s="122"/>
      <c r="N68" s="122"/>
      <c r="O68" s="122"/>
      <c r="P68" s="122"/>
      <c r="Q68" s="122"/>
      <c r="R68" s="122"/>
      <c r="S68" s="122"/>
      <c r="T68" s="172" t="s">
        <v>399</v>
      </c>
      <c r="U68" s="122"/>
      <c r="V68" s="122"/>
      <c r="W68" s="172" t="s">
        <v>400</v>
      </c>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row>
    <row r="69" spans="1:48" ht="15.95" customHeight="1">
      <c r="A69" t="str">
        <v>المراكز الصحية</v>
      </c>
      <c r="B69" t="str">
        <v>الوسطى</v>
      </c>
      <c r="C69" t="str">
        <v>عيادة اذن وانف حنجرة</v>
      </c>
      <c r="D69" s="122"/>
      <c r="E69" s="122"/>
      <c r="F69" s="122"/>
      <c r="G69" s="122"/>
      <c r="H69" s="122"/>
      <c r="I69" s="122"/>
      <c r="J69" s="122"/>
      <c r="K69" s="122"/>
      <c r="L69" s="122"/>
      <c r="M69" s="122"/>
      <c r="N69" s="122"/>
      <c r="O69" s="122"/>
      <c r="P69" s="122"/>
      <c r="Q69" s="122"/>
      <c r="R69" s="122"/>
      <c r="S69" s="122"/>
      <c r="T69" s="172" t="s">
        <v>401</v>
      </c>
      <c r="U69" s="122"/>
      <c r="V69" s="122"/>
      <c r="W69" s="172" t="s">
        <v>402</v>
      </c>
      <c r="X69" s="122"/>
      <c r="Y69" s="122"/>
      <c r="Z69" s="122"/>
      <c r="AA69" s="122"/>
      <c r="AB69" s="122"/>
      <c r="AC69" s="122"/>
      <c r="AD69" s="122"/>
      <c r="AE69" s="122"/>
      <c r="AF69" s="122"/>
      <c r="AG69" s="122"/>
      <c r="AH69" s="122"/>
      <c r="AI69" s="122"/>
      <c r="AJ69" s="122"/>
      <c r="AK69" s="122"/>
      <c r="AL69" s="122"/>
      <c r="AM69" s="122"/>
      <c r="AN69" s="122"/>
      <c r="AO69" s="122"/>
      <c r="AP69" s="122"/>
      <c r="AQ69" s="122"/>
      <c r="AR69" s="122"/>
      <c r="AS69" s="122"/>
      <c r="AT69" s="122"/>
      <c r="AU69" s="122"/>
      <c r="AV69" s="122"/>
    </row>
    <row r="70" spans="1:48" ht="15.95" customHeight="1">
      <c r="D70" s="122"/>
      <c r="E70" s="122"/>
      <c r="F70" s="122"/>
      <c r="G70" s="122"/>
      <c r="H70" s="122"/>
      <c r="I70" s="122"/>
      <c r="J70" s="122"/>
      <c r="K70" s="122"/>
      <c r="L70" s="122"/>
      <c r="M70" s="122"/>
      <c r="N70" s="122"/>
      <c r="O70" s="122"/>
      <c r="P70" s="122"/>
      <c r="Q70" s="122"/>
      <c r="R70" s="122"/>
      <c r="S70" s="122"/>
      <c r="T70" s="172" t="s">
        <v>403</v>
      </c>
      <c r="U70" s="122"/>
      <c r="V70" s="122"/>
      <c r="W70" s="172" t="s">
        <v>404</v>
      </c>
      <c r="X70" s="122"/>
      <c r="Y70" s="122"/>
      <c r="Z70" s="122"/>
      <c r="AA70" s="122"/>
      <c r="AB70" s="122"/>
      <c r="AC70" s="122"/>
      <c r="AD70" s="122"/>
      <c r="AE70" s="122"/>
      <c r="AF70" s="122"/>
      <c r="AG70" s="122"/>
      <c r="AH70" s="122"/>
      <c r="AI70" s="122"/>
      <c r="AJ70" s="122"/>
      <c r="AK70" s="122"/>
      <c r="AL70" s="122"/>
      <c r="AM70" s="122"/>
      <c r="AN70" s="122"/>
      <c r="AO70" s="122"/>
      <c r="AP70" s="122"/>
      <c r="AQ70" s="122"/>
      <c r="AR70" s="122"/>
      <c r="AS70" s="122"/>
      <c r="AT70" s="122"/>
      <c r="AU70" s="122"/>
      <c r="AV70" s="122"/>
    </row>
    <row r="71" spans="1:48" ht="15.95" customHeight="1">
      <c r="D71" s="122"/>
      <c r="E71" s="122"/>
      <c r="F71" s="122"/>
      <c r="G71" s="122"/>
      <c r="H71" s="122"/>
      <c r="I71" s="122"/>
      <c r="J71" s="122"/>
      <c r="K71" s="122"/>
      <c r="L71" s="122"/>
      <c r="M71" s="122"/>
      <c r="N71" s="122"/>
      <c r="O71" s="122"/>
      <c r="P71" s="122"/>
      <c r="Q71" s="122"/>
      <c r="R71" s="122"/>
      <c r="S71" s="122"/>
      <c r="T71" s="172" t="s">
        <v>405</v>
      </c>
      <c r="U71" s="122"/>
      <c r="V71" s="122"/>
      <c r="W71" s="172" t="s">
        <v>406</v>
      </c>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row>
    <row r="72" spans="1:48" ht="15.95" customHeight="1">
      <c r="D72" s="122"/>
      <c r="E72" s="122"/>
      <c r="F72" s="122"/>
      <c r="G72" s="122"/>
      <c r="H72" s="122"/>
      <c r="I72" s="122"/>
      <c r="J72" s="122"/>
      <c r="K72" s="122"/>
      <c r="L72" s="122"/>
      <c r="M72" s="122"/>
      <c r="N72" s="122"/>
      <c r="O72" s="122"/>
      <c r="P72" s="122"/>
      <c r="Q72" s="122"/>
      <c r="R72" s="122"/>
      <c r="S72" s="122"/>
      <c r="T72" s="172" t="s">
        <v>407</v>
      </c>
      <c r="U72" s="122"/>
      <c r="V72" s="122"/>
      <c r="W72" s="172" t="s">
        <v>408</v>
      </c>
      <c r="X72" s="122"/>
      <c r="Y72" s="122"/>
      <c r="Z72" s="122"/>
      <c r="AA72" s="122"/>
      <c r="AB72" s="122"/>
      <c r="AC72" s="122"/>
      <c r="AD72" s="122"/>
      <c r="AE72" s="122"/>
      <c r="AF72" s="122"/>
      <c r="AG72" s="122"/>
      <c r="AH72" s="122"/>
      <c r="AI72" s="122"/>
      <c r="AJ72" s="122"/>
      <c r="AK72" s="122"/>
      <c r="AL72" s="122"/>
      <c r="AM72" s="122"/>
      <c r="AN72" s="122"/>
      <c r="AO72" s="122"/>
      <c r="AP72" s="122"/>
      <c r="AQ72" s="122"/>
      <c r="AR72" s="122"/>
      <c r="AS72" s="122"/>
      <c r="AT72" s="122"/>
      <c r="AU72" s="122"/>
      <c r="AV72" s="122"/>
    </row>
    <row r="73" spans="1:48" ht="15.95" customHeight="1">
      <c r="D73" s="122"/>
      <c r="E73" s="122"/>
      <c r="F73" s="122"/>
      <c r="G73" s="122"/>
      <c r="H73" s="122"/>
      <c r="I73" s="122"/>
      <c r="J73" s="122"/>
      <c r="K73" s="122"/>
      <c r="L73" s="122"/>
      <c r="M73" s="122"/>
      <c r="N73" s="122"/>
      <c r="O73" s="122"/>
      <c r="P73" s="122"/>
      <c r="Q73" s="122"/>
      <c r="R73" s="122"/>
      <c r="S73" s="122"/>
      <c r="T73" s="172" t="s">
        <v>409</v>
      </c>
      <c r="U73" s="122"/>
      <c r="V73" s="122"/>
      <c r="W73" s="172" t="s">
        <v>410</v>
      </c>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row>
    <row r="74" spans="1:48" ht="15.95" customHeight="1">
      <c r="D74" s="122"/>
      <c r="E74" s="122"/>
      <c r="F74" s="122"/>
      <c r="G74" s="122"/>
      <c r="H74" s="122"/>
      <c r="I74" s="122"/>
      <c r="J74" s="122"/>
      <c r="K74" s="122"/>
      <c r="L74" s="122"/>
      <c r="M74" s="122"/>
      <c r="N74" s="122"/>
      <c r="O74" s="122"/>
      <c r="P74" s="122"/>
      <c r="Q74" s="122"/>
      <c r="R74" s="122"/>
      <c r="S74" s="122"/>
      <c r="T74" s="172" t="s">
        <v>411</v>
      </c>
      <c r="U74" s="122"/>
      <c r="V74" s="122"/>
      <c r="W74" s="172" t="s">
        <v>412</v>
      </c>
      <c r="X74" s="122"/>
      <c r="Y74" s="122"/>
      <c r="Z74" s="122"/>
      <c r="AA74" s="122"/>
      <c r="AB74" s="122"/>
      <c r="AC74" s="122"/>
      <c r="AD74" s="122"/>
      <c r="AE74" s="122"/>
      <c r="AF74" s="122"/>
      <c r="AG74" s="122"/>
      <c r="AH74" s="122"/>
      <c r="AI74" s="122"/>
      <c r="AJ74" s="122"/>
      <c r="AK74" s="122"/>
      <c r="AL74" s="122"/>
      <c r="AM74" s="122"/>
      <c r="AN74" s="122"/>
      <c r="AO74" s="122"/>
      <c r="AP74" s="122"/>
      <c r="AQ74" s="122"/>
      <c r="AR74" s="122"/>
      <c r="AS74" s="122"/>
      <c r="AT74" s="122"/>
      <c r="AU74" s="122"/>
      <c r="AV74" s="122"/>
    </row>
    <row r="75" spans="1:48" ht="15.95" customHeight="1">
      <c r="D75" s="122"/>
      <c r="E75" s="122"/>
      <c r="F75" s="122"/>
      <c r="G75" s="122"/>
      <c r="H75" s="122"/>
      <c r="I75" s="122"/>
      <c r="J75" s="122"/>
      <c r="K75" s="122"/>
      <c r="L75" s="122"/>
      <c r="M75" s="122"/>
      <c r="N75" s="122"/>
      <c r="O75" s="122"/>
      <c r="P75" s="122"/>
      <c r="Q75" s="122"/>
      <c r="R75" s="122"/>
      <c r="S75" s="122"/>
      <c r="T75" s="172" t="s">
        <v>413</v>
      </c>
      <c r="U75" s="122"/>
      <c r="V75" s="122"/>
      <c r="W75" s="172" t="s">
        <v>414</v>
      </c>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row>
    <row r="76" spans="1:48" ht="15.95" customHeight="1">
      <c r="D76" s="122"/>
      <c r="E76" s="122"/>
      <c r="F76" s="122"/>
      <c r="G76" s="122"/>
      <c r="H76" s="122"/>
      <c r="I76" s="122"/>
      <c r="J76" s="122"/>
      <c r="K76" s="122"/>
      <c r="L76" s="122"/>
      <c r="M76" s="122"/>
      <c r="N76" s="122"/>
      <c r="O76" s="122"/>
      <c r="P76" s="122"/>
      <c r="Q76" s="122"/>
      <c r="R76" s="122"/>
      <c r="S76" s="122"/>
      <c r="T76" s="172" t="s">
        <v>415</v>
      </c>
      <c r="U76" s="122"/>
      <c r="V76" s="122"/>
      <c r="W76" s="172" t="s">
        <v>416</v>
      </c>
      <c r="X76" s="122"/>
      <c r="Y76" s="122"/>
      <c r="Z76" s="122"/>
      <c r="AA76" s="122"/>
      <c r="AB76" s="122"/>
      <c r="AC76" s="122"/>
      <c r="AD76" s="122"/>
      <c r="AE76" s="122"/>
      <c r="AF76" s="122"/>
      <c r="AG76" s="122"/>
      <c r="AH76" s="122"/>
      <c r="AI76" s="122"/>
      <c r="AJ76" s="122"/>
      <c r="AK76" s="122"/>
      <c r="AL76" s="122"/>
      <c r="AM76" s="122"/>
      <c r="AN76" s="122"/>
      <c r="AO76" s="122"/>
      <c r="AP76" s="122"/>
      <c r="AQ76" s="122"/>
      <c r="AR76" s="122"/>
      <c r="AS76" s="122"/>
      <c r="AT76" s="122"/>
      <c r="AU76" s="122"/>
      <c r="AV76" s="122"/>
    </row>
    <row r="77" spans="1:48" ht="15.95" customHeight="1">
      <c r="D77" s="122"/>
      <c r="E77" s="122"/>
      <c r="F77" s="122"/>
      <c r="G77" s="122"/>
      <c r="H77" s="122"/>
      <c r="I77" s="122"/>
      <c r="J77" s="122"/>
      <c r="K77" s="122"/>
      <c r="L77" s="122"/>
      <c r="M77" s="122"/>
      <c r="N77" s="122"/>
      <c r="O77" s="122"/>
      <c r="P77" s="122"/>
      <c r="Q77" s="122"/>
      <c r="R77" s="122"/>
      <c r="S77" s="122"/>
      <c r="T77" s="172" t="s">
        <v>417</v>
      </c>
      <c r="U77" s="122"/>
      <c r="V77" s="122"/>
      <c r="W77" s="172" t="s">
        <v>418</v>
      </c>
      <c r="X77" s="122"/>
      <c r="Y77" s="122"/>
      <c r="Z77" s="122"/>
      <c r="AA77" s="122"/>
      <c r="AB77" s="122"/>
      <c r="AC77" s="122"/>
      <c r="AD77" s="122"/>
      <c r="AE77" s="122"/>
      <c r="AF77" s="122"/>
      <c r="AG77" s="122"/>
      <c r="AH77" s="122"/>
      <c r="AI77" s="122"/>
      <c r="AJ77" s="122"/>
      <c r="AK77" s="122"/>
      <c r="AL77" s="122"/>
      <c r="AM77" s="122"/>
      <c r="AN77" s="122"/>
      <c r="AO77" s="122"/>
      <c r="AP77" s="122"/>
      <c r="AQ77" s="122"/>
      <c r="AR77" s="122"/>
      <c r="AS77" s="122"/>
      <c r="AT77" s="122"/>
      <c r="AU77" s="122"/>
      <c r="AV77" s="122"/>
    </row>
    <row r="78" spans="1:48" ht="15.95" customHeight="1">
      <c r="D78" s="122"/>
      <c r="E78" s="122"/>
      <c r="F78" s="122"/>
      <c r="G78" s="122"/>
      <c r="H78" s="122"/>
      <c r="I78" s="122"/>
      <c r="J78" s="122"/>
      <c r="K78" s="122"/>
      <c r="L78" s="122"/>
      <c r="M78" s="122"/>
      <c r="N78" s="122"/>
      <c r="O78" s="122"/>
      <c r="P78" s="122"/>
      <c r="Q78" s="122"/>
      <c r="R78" s="122"/>
      <c r="S78" s="122"/>
      <c r="T78" s="172" t="s">
        <v>419</v>
      </c>
      <c r="U78" s="122"/>
      <c r="V78" s="122"/>
      <c r="W78" s="172" t="s">
        <v>420</v>
      </c>
      <c r="X78" s="122"/>
      <c r="Y78" s="122"/>
      <c r="Z78" s="122"/>
      <c r="AA78" s="122"/>
      <c r="AB78" s="122"/>
      <c r="AC78" s="122"/>
      <c r="AD78" s="122"/>
      <c r="AE78" s="122"/>
      <c r="AF78" s="122"/>
      <c r="AG78" s="122"/>
      <c r="AH78" s="122"/>
      <c r="AI78" s="122"/>
      <c r="AJ78" s="122"/>
      <c r="AK78" s="122"/>
      <c r="AL78" s="122"/>
      <c r="AM78" s="122"/>
      <c r="AN78" s="122"/>
      <c r="AO78" s="122"/>
      <c r="AP78" s="122"/>
      <c r="AQ78" s="122"/>
      <c r="AR78" s="122"/>
      <c r="AS78" s="122"/>
      <c r="AT78" s="122"/>
      <c r="AU78" s="122"/>
      <c r="AV78" s="122"/>
    </row>
    <row r="79" spans="1:48" ht="15.95" customHeight="1">
      <c r="D79" s="122"/>
      <c r="E79" s="122"/>
      <c r="F79" s="122"/>
      <c r="G79" s="122"/>
      <c r="H79" s="122"/>
      <c r="I79" s="122"/>
      <c r="J79" s="122"/>
      <c r="K79" s="122"/>
      <c r="L79" s="122"/>
      <c r="M79" s="122"/>
      <c r="N79" s="122"/>
      <c r="O79" s="122"/>
      <c r="P79" s="122"/>
      <c r="Q79" s="122"/>
      <c r="R79" s="122"/>
      <c r="S79" s="122"/>
      <c r="T79" s="172" t="s">
        <v>421</v>
      </c>
      <c r="U79" s="122"/>
      <c r="V79" s="122"/>
      <c r="W79" s="172" t="s">
        <v>422</v>
      </c>
      <c r="X79" s="122"/>
      <c r="Y79" s="122"/>
      <c r="Z79" s="122"/>
      <c r="AA79" s="122"/>
      <c r="AB79" s="122"/>
      <c r="AC79" s="122"/>
      <c r="AD79" s="122"/>
      <c r="AE79" s="122"/>
      <c r="AF79" s="122"/>
      <c r="AG79" s="122"/>
      <c r="AH79" s="122"/>
      <c r="AI79" s="122"/>
      <c r="AJ79" s="122"/>
      <c r="AK79" s="122"/>
      <c r="AL79" s="122"/>
      <c r="AM79" s="122"/>
      <c r="AN79" s="122"/>
      <c r="AO79" s="122"/>
      <c r="AP79" s="122"/>
      <c r="AQ79" s="122"/>
      <c r="AR79" s="122"/>
      <c r="AS79" s="122"/>
      <c r="AT79" s="122"/>
      <c r="AU79" s="122"/>
      <c r="AV79" s="122"/>
    </row>
    <row r="80" spans="1:48" ht="15.95" customHeight="1">
      <c r="D80" s="122"/>
      <c r="E80" s="122"/>
      <c r="F80" s="122"/>
      <c r="G80" s="122"/>
      <c r="H80" s="122"/>
      <c r="I80" s="122"/>
      <c r="J80" s="122"/>
      <c r="K80" s="122"/>
      <c r="L80" s="122"/>
      <c r="M80" s="122"/>
      <c r="N80" s="122"/>
      <c r="O80" s="122"/>
      <c r="P80" s="122"/>
      <c r="Q80" s="122"/>
      <c r="R80" s="122"/>
      <c r="S80" s="122"/>
      <c r="T80" s="172" t="s">
        <v>423</v>
      </c>
      <c r="U80" s="122"/>
      <c r="V80" s="122"/>
      <c r="W80" s="172" t="s">
        <v>424</v>
      </c>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row>
    <row r="81" spans="4:48" ht="15.95" customHeight="1">
      <c r="D81" s="122"/>
      <c r="E81" s="122"/>
      <c r="F81" s="122"/>
      <c r="G81" s="122"/>
      <c r="H81" s="122"/>
      <c r="I81" s="122"/>
      <c r="J81" s="122"/>
      <c r="K81" s="122"/>
      <c r="L81" s="122"/>
      <c r="M81" s="122"/>
      <c r="N81" s="122"/>
      <c r="O81" s="122"/>
      <c r="P81" s="122"/>
      <c r="Q81" s="122"/>
      <c r="R81" s="122"/>
      <c r="S81" s="122"/>
      <c r="T81" s="172" t="s">
        <v>425</v>
      </c>
      <c r="U81" s="122"/>
      <c r="V81" s="122"/>
      <c r="W81" s="172" t="s">
        <v>426</v>
      </c>
      <c r="X81" s="122"/>
      <c r="Y81" s="122"/>
      <c r="Z81" s="122"/>
      <c r="AA81" s="122"/>
      <c r="AB81" s="122"/>
      <c r="AC81" s="122"/>
      <c r="AD81" s="122"/>
      <c r="AE81" s="122"/>
      <c r="AF81" s="122"/>
      <c r="AG81" s="122"/>
      <c r="AH81" s="122"/>
      <c r="AI81" s="122"/>
      <c r="AJ81" s="122"/>
      <c r="AK81" s="122"/>
      <c r="AL81" s="122"/>
      <c r="AM81" s="122"/>
      <c r="AN81" s="122"/>
      <c r="AO81" s="122"/>
      <c r="AP81" s="122"/>
      <c r="AQ81" s="122"/>
      <c r="AR81" s="122"/>
      <c r="AS81" s="122"/>
      <c r="AT81" s="122"/>
      <c r="AU81" s="122"/>
      <c r="AV81" s="122"/>
    </row>
    <row r="82" spans="4:48" ht="15.95" customHeight="1">
      <c r="D82" s="122"/>
      <c r="E82" s="122"/>
      <c r="F82" s="122"/>
      <c r="G82" s="122"/>
      <c r="H82" s="122"/>
      <c r="I82" s="122"/>
      <c r="J82" s="122"/>
      <c r="K82" s="122"/>
      <c r="L82" s="122"/>
      <c r="M82" s="122"/>
      <c r="N82" s="122"/>
      <c r="O82" s="122"/>
      <c r="P82" s="122"/>
      <c r="Q82" s="122"/>
      <c r="R82" s="122"/>
      <c r="S82" s="122"/>
      <c r="T82" s="172" t="s">
        <v>427</v>
      </c>
      <c r="U82" s="122"/>
      <c r="V82" s="122"/>
      <c r="W82" s="172" t="s">
        <v>428</v>
      </c>
      <c r="X82" s="122"/>
      <c r="Y82" s="122"/>
      <c r="Z82" s="122"/>
      <c r="AA82" s="122"/>
      <c r="AB82" s="122"/>
      <c r="AC82" s="122"/>
      <c r="AD82" s="122"/>
      <c r="AE82" s="122"/>
      <c r="AF82" s="122"/>
      <c r="AG82" s="122"/>
      <c r="AH82" s="122"/>
      <c r="AI82" s="122"/>
      <c r="AJ82" s="122"/>
      <c r="AK82" s="122"/>
      <c r="AL82" s="122"/>
      <c r="AM82" s="122"/>
      <c r="AN82" s="122"/>
      <c r="AO82" s="122"/>
      <c r="AP82" s="122"/>
      <c r="AQ82" s="122"/>
      <c r="AR82" s="122"/>
      <c r="AS82" s="122"/>
      <c r="AT82" s="122"/>
      <c r="AU82" s="122"/>
      <c r="AV82" s="122"/>
    </row>
    <row r="83" spans="4:48" ht="15.95" customHeight="1">
      <c r="D83" s="122"/>
      <c r="E83" s="122"/>
      <c r="F83" s="122"/>
      <c r="G83" s="122"/>
      <c r="H83" s="122"/>
      <c r="I83" s="122"/>
      <c r="J83" s="122"/>
      <c r="K83" s="122"/>
      <c r="L83" s="122"/>
      <c r="M83" s="122"/>
      <c r="N83" s="122"/>
      <c r="O83" s="122"/>
      <c r="P83" s="122"/>
      <c r="Q83" s="122"/>
      <c r="R83" s="122"/>
      <c r="S83" s="122"/>
      <c r="T83" s="172" t="s">
        <v>429</v>
      </c>
      <c r="U83" s="122"/>
      <c r="V83" s="122"/>
      <c r="W83" s="172" t="s">
        <v>430</v>
      </c>
      <c r="X83" s="122"/>
      <c r="Y83" s="122"/>
      <c r="Z83" s="122"/>
      <c r="AA83" s="122"/>
      <c r="AB83" s="122"/>
      <c r="AC83" s="122"/>
      <c r="AD83" s="122"/>
      <c r="AE83" s="122"/>
      <c r="AF83" s="122"/>
      <c r="AG83" s="122"/>
      <c r="AH83" s="122"/>
      <c r="AI83" s="122"/>
      <c r="AJ83" s="122"/>
      <c r="AK83" s="122"/>
      <c r="AL83" s="122"/>
      <c r="AM83" s="122"/>
      <c r="AN83" s="122"/>
      <c r="AO83" s="122"/>
      <c r="AP83" s="122"/>
      <c r="AQ83" s="122"/>
      <c r="AR83" s="122"/>
      <c r="AS83" s="122"/>
      <c r="AT83" s="122"/>
      <c r="AU83" s="122"/>
      <c r="AV83" s="122"/>
    </row>
    <row r="84" spans="4:48" ht="15.95" customHeight="1">
      <c r="D84" s="122"/>
      <c r="E84" s="122"/>
      <c r="F84" s="122"/>
      <c r="G84" s="122"/>
      <c r="H84" s="122"/>
      <c r="I84" s="122"/>
      <c r="J84" s="122"/>
      <c r="K84" s="122"/>
      <c r="L84" s="122"/>
      <c r="M84" s="122"/>
      <c r="N84" s="122"/>
      <c r="O84" s="122"/>
      <c r="P84" s="122"/>
      <c r="Q84" s="122"/>
      <c r="R84" s="122"/>
      <c r="S84" s="122"/>
      <c r="T84" s="172" t="s">
        <v>431</v>
      </c>
      <c r="U84" s="122"/>
      <c r="V84" s="122"/>
      <c r="W84" s="172" t="s">
        <v>432</v>
      </c>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2"/>
      <c r="AT84" s="122"/>
      <c r="AU84" s="122"/>
      <c r="AV84" s="122"/>
    </row>
    <row r="85" spans="4:48" ht="15.95" customHeight="1">
      <c r="D85" s="122"/>
      <c r="E85" s="122"/>
      <c r="F85" s="122"/>
      <c r="G85" s="122"/>
      <c r="H85" s="122"/>
      <c r="I85" s="122"/>
      <c r="J85" s="122"/>
      <c r="K85" s="122"/>
      <c r="L85" s="122"/>
      <c r="M85" s="122"/>
      <c r="N85" s="122"/>
      <c r="O85" s="122"/>
      <c r="P85" s="122"/>
      <c r="Q85" s="122"/>
      <c r="R85" s="122"/>
      <c r="S85" s="122"/>
      <c r="T85" s="172" t="s">
        <v>433</v>
      </c>
      <c r="U85" s="122"/>
      <c r="V85" s="122"/>
      <c r="W85" s="172" t="s">
        <v>434</v>
      </c>
      <c r="X85" s="122"/>
      <c r="Y85" s="122"/>
      <c r="Z85" s="122"/>
      <c r="AA85" s="122"/>
      <c r="AB85" s="122"/>
      <c r="AC85" s="122"/>
      <c r="AD85" s="122"/>
      <c r="AE85" s="122"/>
      <c r="AF85" s="122"/>
      <c r="AG85" s="122"/>
      <c r="AH85" s="122"/>
      <c r="AI85" s="122"/>
      <c r="AJ85" s="122"/>
      <c r="AK85" s="122"/>
      <c r="AL85" s="122"/>
      <c r="AM85" s="122"/>
      <c r="AN85" s="122"/>
      <c r="AO85" s="122"/>
      <c r="AP85" s="122"/>
      <c r="AQ85" s="122"/>
      <c r="AR85" s="122"/>
      <c r="AS85" s="122"/>
      <c r="AT85" s="122"/>
      <c r="AU85" s="122"/>
      <c r="AV85" s="122"/>
    </row>
    <row r="86" spans="4:48" ht="15.95" customHeight="1">
      <c r="D86" s="122"/>
      <c r="E86" s="122"/>
      <c r="F86" s="122"/>
      <c r="G86" s="122"/>
      <c r="H86" s="122"/>
      <c r="I86" s="122"/>
      <c r="J86" s="122"/>
      <c r="K86" s="122"/>
      <c r="L86" s="122"/>
      <c r="M86" s="122"/>
      <c r="N86" s="122"/>
      <c r="O86" s="122"/>
      <c r="P86" s="122"/>
      <c r="Q86" s="122"/>
      <c r="R86" s="122"/>
      <c r="S86" s="122"/>
      <c r="T86" s="172" t="s">
        <v>435</v>
      </c>
      <c r="U86" s="122"/>
      <c r="V86" s="122"/>
      <c r="W86" s="172" t="s">
        <v>436</v>
      </c>
      <c r="X86" s="122"/>
      <c r="Y86" s="122"/>
      <c r="Z86" s="122"/>
      <c r="AA86" s="122"/>
      <c r="AB86" s="122"/>
      <c r="AC86" s="122"/>
      <c r="AD86" s="122"/>
      <c r="AE86" s="122"/>
      <c r="AF86" s="122"/>
      <c r="AG86" s="122"/>
      <c r="AH86" s="122"/>
      <c r="AI86" s="122"/>
      <c r="AJ86" s="122"/>
      <c r="AK86" s="122"/>
      <c r="AL86" s="122"/>
      <c r="AM86" s="122"/>
      <c r="AN86" s="122"/>
      <c r="AO86" s="122"/>
      <c r="AP86" s="122"/>
      <c r="AQ86" s="122"/>
      <c r="AR86" s="122"/>
      <c r="AS86" s="122"/>
      <c r="AT86" s="122"/>
      <c r="AU86" s="122"/>
      <c r="AV86" s="122"/>
    </row>
    <row r="87" spans="4:48" ht="15.95" customHeight="1">
      <c r="D87" s="122"/>
      <c r="E87" s="122"/>
      <c r="F87" s="122"/>
      <c r="G87" s="122"/>
      <c r="H87" s="122"/>
      <c r="I87" s="122"/>
      <c r="J87" s="122"/>
      <c r="K87" s="122"/>
      <c r="L87" s="122"/>
      <c r="M87" s="122"/>
      <c r="N87" s="122"/>
      <c r="O87" s="122"/>
      <c r="P87" s="122"/>
      <c r="Q87" s="122"/>
      <c r="R87" s="122"/>
      <c r="S87" s="122"/>
      <c r="T87" s="172" t="s">
        <v>437</v>
      </c>
      <c r="U87" s="122"/>
      <c r="V87" s="122"/>
      <c r="W87" s="172" t="s">
        <v>438</v>
      </c>
      <c r="X87" s="122"/>
      <c r="Y87" s="122"/>
      <c r="Z87" s="122"/>
      <c r="AA87" s="122"/>
      <c r="AB87" s="122"/>
      <c r="AC87" s="122"/>
      <c r="AD87" s="122"/>
      <c r="AE87" s="122"/>
      <c r="AF87" s="122"/>
      <c r="AG87" s="122"/>
      <c r="AH87" s="122"/>
      <c r="AI87" s="122"/>
      <c r="AJ87" s="122"/>
      <c r="AK87" s="122"/>
      <c r="AL87" s="122"/>
      <c r="AM87" s="122"/>
      <c r="AN87" s="122"/>
      <c r="AO87" s="122"/>
      <c r="AP87" s="122"/>
      <c r="AQ87" s="122"/>
      <c r="AR87" s="122"/>
      <c r="AS87" s="122"/>
      <c r="AT87" s="122"/>
      <c r="AU87" s="122"/>
      <c r="AV87" s="122"/>
    </row>
    <row r="88" spans="4:48" ht="15.95" customHeight="1">
      <c r="D88" s="122"/>
      <c r="E88" s="122"/>
      <c r="F88" s="122"/>
      <c r="G88" s="122"/>
      <c r="H88" s="122"/>
      <c r="I88" s="122"/>
      <c r="J88" s="122"/>
      <c r="K88" s="122"/>
      <c r="L88" s="122"/>
      <c r="M88" s="122"/>
      <c r="N88" s="122"/>
      <c r="O88" s="122"/>
      <c r="P88" s="122"/>
      <c r="Q88" s="122"/>
      <c r="R88" s="122"/>
      <c r="S88" s="122"/>
      <c r="T88" s="172" t="s">
        <v>439</v>
      </c>
      <c r="U88" s="122"/>
      <c r="V88" s="122"/>
      <c r="W88" s="172" t="s">
        <v>440</v>
      </c>
      <c r="X88" s="122"/>
      <c r="Y88" s="122"/>
      <c r="Z88" s="122"/>
      <c r="AA88" s="122"/>
      <c r="AB88" s="122"/>
      <c r="AC88" s="122"/>
      <c r="AD88" s="122"/>
      <c r="AE88" s="122"/>
      <c r="AF88" s="122"/>
      <c r="AG88" s="122"/>
      <c r="AH88" s="122"/>
      <c r="AI88" s="122"/>
      <c r="AJ88" s="122"/>
      <c r="AK88" s="122"/>
      <c r="AL88" s="122"/>
      <c r="AM88" s="122"/>
      <c r="AN88" s="122"/>
      <c r="AO88" s="122"/>
      <c r="AP88" s="122"/>
      <c r="AQ88" s="122"/>
      <c r="AR88" s="122"/>
      <c r="AS88" s="122"/>
      <c r="AT88" s="122"/>
      <c r="AU88" s="122"/>
      <c r="AV88" s="122"/>
    </row>
    <row r="89" spans="4:48" ht="15.95" customHeight="1">
      <c r="D89" s="122"/>
      <c r="E89" s="122"/>
      <c r="F89" s="122"/>
      <c r="G89" s="122"/>
      <c r="H89" s="122"/>
      <c r="I89" s="122"/>
      <c r="J89" s="122"/>
      <c r="K89" s="122"/>
      <c r="L89" s="122"/>
      <c r="M89" s="122"/>
      <c r="N89" s="122"/>
      <c r="O89" s="122"/>
      <c r="P89" s="122"/>
      <c r="Q89" s="122"/>
      <c r="R89" s="122"/>
      <c r="S89" s="122"/>
      <c r="T89" s="172" t="s">
        <v>441</v>
      </c>
      <c r="U89" s="122"/>
      <c r="V89" s="122"/>
      <c r="W89" s="172" t="s">
        <v>442</v>
      </c>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c r="AV89" s="122"/>
    </row>
    <row r="90" spans="4:48" ht="15.95" customHeight="1">
      <c r="D90" s="122"/>
      <c r="E90" s="122"/>
      <c r="F90" s="122"/>
      <c r="G90" s="122"/>
      <c r="H90" s="122"/>
      <c r="I90" s="122"/>
      <c r="J90" s="122"/>
      <c r="K90" s="122"/>
      <c r="L90" s="122"/>
      <c r="M90" s="122"/>
      <c r="N90" s="122"/>
      <c r="O90" s="122"/>
      <c r="P90" s="122"/>
      <c r="Q90" s="122"/>
      <c r="R90" s="122"/>
      <c r="S90" s="122"/>
      <c r="T90" s="172" t="s">
        <v>443</v>
      </c>
      <c r="U90" s="122"/>
      <c r="V90" s="122"/>
      <c r="W90" s="172" t="s">
        <v>444</v>
      </c>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row>
    <row r="91" spans="4:48" ht="15.95" customHeight="1">
      <c r="D91" s="122"/>
      <c r="E91" s="122"/>
      <c r="F91" s="122"/>
      <c r="G91" s="122"/>
      <c r="H91" s="122"/>
      <c r="I91" s="122"/>
      <c r="J91" s="122"/>
      <c r="K91" s="122"/>
      <c r="L91" s="122"/>
      <c r="M91" s="122"/>
      <c r="N91" s="122"/>
      <c r="O91" s="122"/>
      <c r="P91" s="122"/>
      <c r="Q91" s="122"/>
      <c r="R91" s="122"/>
      <c r="S91" s="122"/>
      <c r="T91" s="172" t="s">
        <v>445</v>
      </c>
      <c r="U91" s="122"/>
      <c r="V91" s="122"/>
      <c r="W91" s="172" t="s">
        <v>446</v>
      </c>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row>
    <row r="92" spans="4:48" ht="15.95" customHeight="1">
      <c r="D92" s="122"/>
      <c r="E92" s="122"/>
      <c r="F92" s="122"/>
      <c r="G92" s="122"/>
      <c r="H92" s="122"/>
      <c r="I92" s="122"/>
      <c r="J92" s="122"/>
      <c r="K92" s="122"/>
      <c r="L92" s="122"/>
      <c r="M92" s="122"/>
      <c r="N92" s="122"/>
      <c r="O92" s="122"/>
      <c r="P92" s="122"/>
      <c r="Q92" s="122"/>
      <c r="R92" s="122"/>
      <c r="S92" s="122"/>
      <c r="T92" s="172" t="s">
        <v>447</v>
      </c>
      <c r="U92" s="122"/>
      <c r="V92" s="122"/>
      <c r="W92" s="172" t="s">
        <v>448</v>
      </c>
      <c r="X92" s="122"/>
      <c r="Y92" s="122"/>
      <c r="Z92" s="122"/>
      <c r="AA92" s="122"/>
      <c r="AB92" s="122"/>
      <c r="AC92" s="122"/>
      <c r="AD92" s="122"/>
      <c r="AE92" s="122"/>
      <c r="AF92" s="122"/>
      <c r="AG92" s="122"/>
      <c r="AH92" s="122"/>
      <c r="AI92" s="122"/>
      <c r="AJ92" s="122"/>
      <c r="AK92" s="122"/>
      <c r="AL92" s="122"/>
      <c r="AM92" s="122"/>
      <c r="AN92" s="122"/>
      <c r="AO92" s="122"/>
      <c r="AP92" s="122"/>
      <c r="AQ92" s="122"/>
      <c r="AR92" s="122"/>
      <c r="AS92" s="122"/>
      <c r="AT92" s="122"/>
      <c r="AU92" s="122"/>
      <c r="AV92" s="122"/>
    </row>
    <row r="93" spans="4:48" ht="15.95" customHeight="1">
      <c r="D93" s="122"/>
      <c r="E93" s="122"/>
      <c r="F93" s="122"/>
      <c r="G93" s="122"/>
      <c r="H93" s="122"/>
      <c r="I93" s="122"/>
      <c r="J93" s="122"/>
      <c r="K93" s="122"/>
      <c r="L93" s="122"/>
      <c r="M93" s="122"/>
      <c r="N93" s="122"/>
      <c r="O93" s="122"/>
      <c r="P93" s="122"/>
      <c r="Q93" s="122"/>
      <c r="R93" s="122"/>
      <c r="S93" s="122"/>
      <c r="T93" s="172" t="s">
        <v>449</v>
      </c>
      <c r="U93" s="122"/>
      <c r="V93" s="122"/>
      <c r="W93" s="172" t="s">
        <v>450</v>
      </c>
      <c r="X93" s="122"/>
      <c r="Y93" s="122"/>
      <c r="Z93" s="122"/>
      <c r="AA93" s="122"/>
      <c r="AB93" s="122"/>
      <c r="AC93" s="122"/>
      <c r="AD93" s="122"/>
      <c r="AE93" s="122"/>
      <c r="AF93" s="122"/>
      <c r="AG93" s="122"/>
      <c r="AH93" s="122"/>
      <c r="AI93" s="122"/>
      <c r="AJ93" s="122"/>
      <c r="AK93" s="122"/>
      <c r="AL93" s="122"/>
      <c r="AM93" s="122"/>
      <c r="AN93" s="122"/>
      <c r="AO93" s="122"/>
      <c r="AP93" s="122"/>
      <c r="AQ93" s="122"/>
      <c r="AR93" s="122"/>
      <c r="AS93" s="122"/>
      <c r="AT93" s="122"/>
      <c r="AU93" s="122"/>
      <c r="AV93" s="122"/>
    </row>
    <row r="94" spans="4:48" ht="15.95" customHeight="1">
      <c r="D94" s="122"/>
      <c r="E94" s="122"/>
      <c r="F94" s="122"/>
      <c r="G94" s="122"/>
      <c r="H94" s="122"/>
      <c r="I94" s="122"/>
      <c r="J94" s="122"/>
      <c r="K94" s="122"/>
      <c r="L94" s="122"/>
      <c r="M94" s="122"/>
      <c r="N94" s="122"/>
      <c r="O94" s="122"/>
      <c r="P94" s="122"/>
      <c r="Q94" s="122"/>
      <c r="R94" s="122"/>
      <c r="S94" s="122"/>
      <c r="T94" s="172" t="s">
        <v>451</v>
      </c>
      <c r="U94" s="122"/>
      <c r="V94" s="122"/>
      <c r="W94" s="172" t="s">
        <v>452</v>
      </c>
      <c r="X94" s="122"/>
      <c r="Y94" s="122"/>
      <c r="Z94" s="122"/>
      <c r="AA94" s="122"/>
      <c r="AB94" s="122"/>
      <c r="AC94" s="122"/>
      <c r="AD94" s="122"/>
      <c r="AE94" s="122"/>
      <c r="AF94" s="122"/>
      <c r="AG94" s="122"/>
      <c r="AH94" s="122"/>
      <c r="AI94" s="122"/>
      <c r="AJ94" s="122"/>
      <c r="AK94" s="122"/>
      <c r="AL94" s="122"/>
      <c r="AM94" s="122"/>
      <c r="AN94" s="122"/>
      <c r="AO94" s="122"/>
      <c r="AP94" s="122"/>
      <c r="AQ94" s="122"/>
      <c r="AR94" s="122"/>
      <c r="AS94" s="122"/>
      <c r="AT94" s="122"/>
      <c r="AU94" s="122"/>
      <c r="AV94" s="122"/>
    </row>
    <row r="95" spans="4:48" ht="15.95" customHeight="1">
      <c r="D95" s="122"/>
      <c r="E95" s="122"/>
      <c r="F95" s="122"/>
      <c r="G95" s="122"/>
      <c r="H95" s="122"/>
      <c r="I95" s="122"/>
      <c r="J95" s="122"/>
      <c r="K95" s="122"/>
      <c r="L95" s="122"/>
      <c r="M95" s="122"/>
      <c r="N95" s="122"/>
      <c r="O95" s="122"/>
      <c r="P95" s="122"/>
      <c r="Q95" s="122"/>
      <c r="R95" s="122"/>
      <c r="S95" s="122"/>
      <c r="T95" s="172" t="s">
        <v>453</v>
      </c>
      <c r="U95" s="122"/>
      <c r="V95" s="122"/>
      <c r="W95" s="172" t="s">
        <v>454</v>
      </c>
      <c r="X95" s="122"/>
      <c r="Y95" s="122"/>
      <c r="Z95" s="122"/>
      <c r="AA95" s="122"/>
      <c r="AB95" s="122"/>
      <c r="AC95" s="122"/>
      <c r="AD95" s="122"/>
      <c r="AE95" s="122"/>
      <c r="AF95" s="122"/>
      <c r="AG95" s="122"/>
      <c r="AH95" s="122"/>
      <c r="AI95" s="122"/>
      <c r="AJ95" s="122"/>
      <c r="AK95" s="122"/>
      <c r="AL95" s="122"/>
      <c r="AM95" s="122"/>
      <c r="AN95" s="122"/>
      <c r="AO95" s="122"/>
      <c r="AP95" s="122"/>
      <c r="AQ95" s="122"/>
      <c r="AR95" s="122"/>
      <c r="AS95" s="122"/>
      <c r="AT95" s="122"/>
      <c r="AU95" s="122"/>
      <c r="AV95" s="122"/>
    </row>
    <row r="96" spans="4:48" ht="15.95" customHeight="1">
      <c r="D96" s="122"/>
      <c r="E96" s="122"/>
      <c r="F96" s="122"/>
      <c r="G96" s="122"/>
      <c r="H96" s="122"/>
      <c r="I96" s="122"/>
      <c r="J96" s="122"/>
      <c r="K96" s="122"/>
      <c r="L96" s="122"/>
      <c r="M96" s="122"/>
      <c r="N96" s="122"/>
      <c r="O96" s="122"/>
      <c r="P96" s="122"/>
      <c r="Q96" s="122"/>
      <c r="R96" s="122"/>
      <c r="S96" s="122"/>
      <c r="T96" s="172" t="s">
        <v>455</v>
      </c>
      <c r="U96" s="122"/>
      <c r="V96" s="122"/>
      <c r="W96" s="172" t="s">
        <v>456</v>
      </c>
      <c r="X96" s="122"/>
      <c r="Y96" s="122"/>
      <c r="Z96" s="122"/>
      <c r="AA96" s="122"/>
      <c r="AB96" s="122"/>
      <c r="AC96" s="122"/>
      <c r="AD96" s="122"/>
      <c r="AE96" s="122"/>
      <c r="AF96" s="122"/>
      <c r="AG96" s="122"/>
      <c r="AH96" s="122"/>
      <c r="AI96" s="122"/>
      <c r="AJ96" s="122"/>
      <c r="AK96" s="122"/>
      <c r="AL96" s="122"/>
      <c r="AM96" s="122"/>
      <c r="AN96" s="122"/>
      <c r="AO96" s="122"/>
      <c r="AP96" s="122"/>
      <c r="AQ96" s="122"/>
      <c r="AR96" s="122"/>
      <c r="AS96" s="122"/>
      <c r="AT96" s="122"/>
      <c r="AU96" s="122"/>
      <c r="AV96" s="122"/>
    </row>
    <row r="97" spans="4:48" ht="15.95" customHeight="1">
      <c r="D97" s="122"/>
      <c r="E97" s="122"/>
      <c r="F97" s="122"/>
      <c r="G97" s="122"/>
      <c r="H97" s="122"/>
      <c r="I97" s="122"/>
      <c r="J97" s="122"/>
      <c r="K97" s="122"/>
      <c r="L97" s="122"/>
      <c r="M97" s="122"/>
      <c r="N97" s="122"/>
      <c r="O97" s="122"/>
      <c r="P97" s="122"/>
      <c r="Q97" s="122"/>
      <c r="R97" s="122"/>
      <c r="S97" s="122"/>
      <c r="T97" s="172" t="s">
        <v>457</v>
      </c>
      <c r="U97" s="122"/>
      <c r="V97" s="122"/>
      <c r="W97" s="172" t="s">
        <v>458</v>
      </c>
      <c r="X97" s="122"/>
      <c r="Y97" s="122"/>
      <c r="Z97" s="122"/>
      <c r="AA97" s="122"/>
      <c r="AB97" s="122"/>
      <c r="AC97" s="122"/>
      <c r="AD97" s="122"/>
      <c r="AE97" s="122"/>
      <c r="AF97" s="122"/>
      <c r="AG97" s="122"/>
      <c r="AH97" s="122"/>
      <c r="AI97" s="122"/>
      <c r="AJ97" s="122"/>
      <c r="AK97" s="122"/>
      <c r="AL97" s="122"/>
      <c r="AM97" s="122"/>
      <c r="AN97" s="122"/>
      <c r="AO97" s="122"/>
      <c r="AP97" s="122"/>
      <c r="AQ97" s="122"/>
      <c r="AR97" s="122"/>
      <c r="AS97" s="122"/>
      <c r="AT97" s="122"/>
      <c r="AU97" s="122"/>
      <c r="AV97" s="122"/>
    </row>
    <row r="98" spans="4:48" ht="15.95" customHeight="1">
      <c r="D98" s="122"/>
      <c r="E98" s="122"/>
      <c r="F98" s="122"/>
      <c r="G98" s="122"/>
      <c r="H98" s="122"/>
      <c r="I98" s="122"/>
      <c r="J98" s="122"/>
      <c r="K98" s="122"/>
      <c r="L98" s="122"/>
      <c r="M98" s="122"/>
      <c r="N98" s="122"/>
      <c r="O98" s="122"/>
      <c r="P98" s="122"/>
      <c r="Q98" s="122"/>
      <c r="R98" s="122"/>
      <c r="S98" s="122"/>
      <c r="T98" s="172" t="s">
        <v>459</v>
      </c>
      <c r="U98" s="122"/>
      <c r="V98" s="122"/>
      <c r="W98" s="172" t="s">
        <v>460</v>
      </c>
      <c r="X98" s="122"/>
      <c r="Y98" s="122"/>
      <c r="Z98" s="122"/>
      <c r="AA98" s="122"/>
      <c r="AB98" s="122"/>
      <c r="AC98" s="122"/>
      <c r="AD98" s="122"/>
      <c r="AE98" s="122"/>
      <c r="AF98" s="122"/>
      <c r="AG98" s="122"/>
      <c r="AH98" s="122"/>
      <c r="AI98" s="122"/>
      <c r="AJ98" s="122"/>
      <c r="AK98" s="122"/>
      <c r="AL98" s="122"/>
      <c r="AM98" s="122"/>
      <c r="AN98" s="122"/>
      <c r="AO98" s="122"/>
      <c r="AP98" s="122"/>
      <c r="AQ98" s="122"/>
      <c r="AR98" s="122"/>
      <c r="AS98" s="122"/>
      <c r="AT98" s="122"/>
      <c r="AU98" s="122"/>
      <c r="AV98" s="122"/>
    </row>
    <row r="99" spans="4:48" ht="15.95" customHeight="1">
      <c r="D99" s="122"/>
      <c r="E99" s="122"/>
      <c r="F99" s="122"/>
      <c r="G99" s="122"/>
      <c r="H99" s="122"/>
      <c r="I99" s="122"/>
      <c r="J99" s="122"/>
      <c r="K99" s="122"/>
      <c r="L99" s="122"/>
      <c r="M99" s="122"/>
      <c r="N99" s="122"/>
      <c r="O99" s="122"/>
      <c r="P99" s="122"/>
      <c r="Q99" s="122"/>
      <c r="R99" s="122"/>
      <c r="S99" s="122"/>
      <c r="T99" s="172" t="s">
        <v>461</v>
      </c>
      <c r="U99" s="122"/>
      <c r="V99" s="122"/>
      <c r="W99" s="172" t="s">
        <v>462</v>
      </c>
      <c r="X99" s="122"/>
      <c r="Y99" s="122"/>
      <c r="Z99" s="122"/>
      <c r="AA99" s="122"/>
      <c r="AB99" s="122"/>
      <c r="AC99" s="122"/>
      <c r="AD99" s="122"/>
      <c r="AE99" s="122"/>
      <c r="AF99" s="122"/>
      <c r="AG99" s="122"/>
      <c r="AH99" s="122"/>
      <c r="AI99" s="122"/>
      <c r="AJ99" s="122"/>
      <c r="AK99" s="122"/>
      <c r="AL99" s="122"/>
      <c r="AM99" s="122"/>
      <c r="AN99" s="122"/>
      <c r="AO99" s="122"/>
      <c r="AP99" s="122"/>
      <c r="AQ99" s="122"/>
      <c r="AR99" s="122"/>
      <c r="AS99" s="122"/>
      <c r="AT99" s="122"/>
      <c r="AU99" s="122"/>
      <c r="AV99" s="122"/>
    </row>
    <row r="100" spans="4:48" ht="15.95" customHeight="1">
      <c r="D100" s="122"/>
      <c r="E100" s="122"/>
      <c r="F100" s="122"/>
      <c r="G100" s="122"/>
      <c r="H100" s="122"/>
      <c r="I100" s="122"/>
      <c r="J100" s="122"/>
      <c r="K100" s="122"/>
      <c r="L100" s="122"/>
      <c r="M100" s="122"/>
      <c r="N100" s="122"/>
      <c r="O100" s="122"/>
      <c r="P100" s="122"/>
      <c r="Q100" s="122"/>
      <c r="R100" s="122"/>
      <c r="S100" s="122"/>
      <c r="T100" s="172" t="s">
        <v>463</v>
      </c>
      <c r="U100" s="122"/>
      <c r="V100" s="122"/>
      <c r="W100" s="172" t="s">
        <v>464</v>
      </c>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row>
    <row r="101" spans="4:48" ht="15.95" customHeight="1">
      <c r="D101" s="122"/>
      <c r="E101" s="122"/>
      <c r="F101" s="122"/>
      <c r="G101" s="122"/>
      <c r="H101" s="122"/>
      <c r="I101" s="122"/>
      <c r="J101" s="122"/>
      <c r="K101" s="122"/>
      <c r="L101" s="122"/>
      <c r="M101" s="122"/>
      <c r="N101" s="122"/>
      <c r="O101" s="122"/>
      <c r="P101" s="122"/>
      <c r="Q101" s="122"/>
      <c r="R101" s="122"/>
      <c r="S101" s="122"/>
      <c r="T101" s="181" t="s">
        <v>465</v>
      </c>
      <c r="U101" s="122"/>
      <c r="V101" s="122"/>
      <c r="W101" s="172" t="s">
        <v>466</v>
      </c>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row>
    <row r="102" spans="4:48" ht="15.95" customHeight="1">
      <c r="D102" s="122"/>
      <c r="E102" s="122"/>
      <c r="F102" s="122"/>
      <c r="G102" s="122"/>
      <c r="H102" s="122"/>
      <c r="I102" s="122"/>
      <c r="J102" s="122"/>
      <c r="K102" s="122"/>
      <c r="L102" s="122"/>
      <c r="M102" s="122"/>
      <c r="N102" s="122"/>
      <c r="O102" s="122"/>
      <c r="P102" s="122"/>
      <c r="Q102" s="122"/>
      <c r="R102" s="122"/>
      <c r="S102" s="122"/>
      <c r="T102" s="122" t="s">
        <v>467</v>
      </c>
      <c r="U102" s="122"/>
      <c r="V102" s="122"/>
      <c r="W102" s="172" t="s">
        <v>468</v>
      </c>
      <c r="X102" s="122"/>
      <c r="Y102" s="122"/>
      <c r="Z102" s="122"/>
      <c r="AA102" s="122"/>
      <c r="AB102" s="122"/>
      <c r="AC102" s="122"/>
      <c r="AD102" s="122"/>
      <c r="AE102" s="122"/>
      <c r="AF102" s="122"/>
      <c r="AG102" s="122"/>
      <c r="AH102" s="122"/>
      <c r="AI102" s="122"/>
      <c r="AJ102" s="122"/>
      <c r="AK102" s="122"/>
      <c r="AL102" s="122"/>
      <c r="AM102" s="122"/>
      <c r="AN102" s="122"/>
      <c r="AO102" s="122"/>
      <c r="AP102" s="122"/>
      <c r="AQ102" s="122"/>
      <c r="AR102" s="122"/>
      <c r="AS102" s="122"/>
      <c r="AT102" s="122"/>
      <c r="AU102" s="122"/>
      <c r="AV102" s="122"/>
    </row>
    <row r="103" spans="4:48" ht="15.95" customHeight="1">
      <c r="D103" s="122"/>
      <c r="E103" s="122"/>
      <c r="F103" s="122"/>
      <c r="G103" s="122"/>
      <c r="H103" s="122"/>
      <c r="I103" s="122"/>
      <c r="J103" s="122"/>
      <c r="K103" s="122"/>
      <c r="L103" s="122"/>
      <c r="M103" s="122"/>
      <c r="N103" s="122"/>
      <c r="O103" s="122"/>
      <c r="P103" s="122"/>
      <c r="Q103" s="122"/>
      <c r="R103" s="122"/>
      <c r="S103" s="122"/>
      <c r="T103" s="122"/>
      <c r="U103" s="122"/>
      <c r="V103" s="122"/>
      <c r="W103" s="172" t="s">
        <v>469</v>
      </c>
      <c r="X103" s="122"/>
      <c r="Y103" s="122"/>
      <c r="Z103" s="122"/>
      <c r="AA103" s="122"/>
      <c r="AB103" s="122"/>
      <c r="AC103" s="122"/>
      <c r="AD103" s="122"/>
      <c r="AE103" s="122"/>
      <c r="AF103" s="122"/>
      <c r="AG103" s="122"/>
      <c r="AH103" s="122"/>
      <c r="AI103" s="122"/>
      <c r="AJ103" s="122"/>
      <c r="AK103" s="122"/>
      <c r="AL103" s="122"/>
      <c r="AM103" s="122"/>
      <c r="AN103" s="122"/>
      <c r="AO103" s="122"/>
      <c r="AP103" s="122"/>
      <c r="AQ103" s="122"/>
      <c r="AR103" s="122"/>
      <c r="AS103" s="122"/>
      <c r="AT103" s="122"/>
      <c r="AU103" s="122"/>
      <c r="AV103" s="122"/>
    </row>
    <row r="104" spans="4:48" ht="15.95" customHeight="1">
      <c r="D104" s="122"/>
      <c r="E104" s="122"/>
      <c r="F104" s="122"/>
      <c r="G104" s="122"/>
      <c r="H104" s="122"/>
      <c r="I104" s="122"/>
      <c r="J104" s="122"/>
      <c r="K104" s="122"/>
      <c r="L104" s="122"/>
      <c r="M104" s="122"/>
      <c r="N104" s="122"/>
      <c r="O104" s="122"/>
      <c r="P104" s="122"/>
      <c r="Q104" s="122"/>
      <c r="R104" s="122"/>
      <c r="S104" s="122"/>
      <c r="T104" s="122"/>
      <c r="U104" s="122"/>
      <c r="V104" s="122"/>
      <c r="W104" s="172" t="s">
        <v>470</v>
      </c>
      <c r="X104" s="122"/>
      <c r="Y104" s="122"/>
      <c r="Z104" s="122"/>
      <c r="AA104" s="122"/>
      <c r="AB104" s="122"/>
      <c r="AC104" s="122"/>
      <c r="AD104" s="122"/>
      <c r="AE104" s="122"/>
      <c r="AF104" s="122"/>
      <c r="AG104" s="122"/>
      <c r="AH104" s="122"/>
      <c r="AI104" s="122"/>
      <c r="AJ104" s="122"/>
      <c r="AK104" s="122"/>
      <c r="AL104" s="122"/>
      <c r="AM104" s="122"/>
      <c r="AN104" s="122"/>
      <c r="AO104" s="122"/>
      <c r="AP104" s="122"/>
      <c r="AQ104" s="122"/>
      <c r="AR104" s="122"/>
      <c r="AS104" s="122"/>
      <c r="AT104" s="122"/>
      <c r="AU104" s="122"/>
      <c r="AV104" s="122"/>
    </row>
    <row r="105" spans="4:48" ht="15.95" customHeight="1">
      <c r="D105" s="122"/>
      <c r="E105" s="122"/>
      <c r="F105" s="122"/>
      <c r="G105" s="122"/>
      <c r="H105" s="122"/>
      <c r="I105" s="122"/>
      <c r="J105" s="122"/>
      <c r="K105" s="122"/>
      <c r="L105" s="122"/>
      <c r="M105" s="122"/>
      <c r="N105" s="122"/>
      <c r="O105" s="122"/>
      <c r="P105" s="122"/>
      <c r="Q105" s="122"/>
      <c r="R105" s="122"/>
      <c r="S105" s="122"/>
      <c r="T105" s="122"/>
      <c r="U105" s="122"/>
      <c r="V105" s="122"/>
      <c r="W105" s="172" t="s">
        <v>471</v>
      </c>
      <c r="X105" s="122"/>
      <c r="Y105" s="122"/>
      <c r="Z105" s="122"/>
      <c r="AA105" s="122"/>
      <c r="AB105" s="122"/>
      <c r="AC105" s="122"/>
      <c r="AD105" s="122"/>
      <c r="AE105" s="122"/>
      <c r="AF105" s="122"/>
      <c r="AG105" s="122"/>
      <c r="AH105" s="122"/>
      <c r="AI105" s="122"/>
      <c r="AJ105" s="122"/>
      <c r="AK105" s="122"/>
      <c r="AL105" s="122"/>
      <c r="AM105" s="122"/>
      <c r="AN105" s="122"/>
      <c r="AO105" s="122"/>
      <c r="AP105" s="122"/>
      <c r="AQ105" s="122"/>
      <c r="AR105" s="122"/>
      <c r="AS105" s="122"/>
      <c r="AT105" s="122"/>
      <c r="AU105" s="122"/>
      <c r="AV105" s="122"/>
    </row>
    <row r="106" spans="4:48" ht="15.95" customHeight="1">
      <c r="D106" s="122"/>
      <c r="E106" s="122"/>
      <c r="F106" s="122"/>
      <c r="G106" s="122"/>
      <c r="H106" s="122"/>
      <c r="I106" s="122"/>
      <c r="J106" s="122"/>
      <c r="K106" s="122"/>
      <c r="L106" s="122"/>
      <c r="M106" s="122"/>
      <c r="N106" s="122"/>
      <c r="O106" s="122"/>
      <c r="P106" s="122"/>
      <c r="Q106" s="122"/>
      <c r="R106" s="122"/>
      <c r="S106" s="122"/>
      <c r="T106" s="122"/>
      <c r="U106" s="122"/>
      <c r="V106" s="122"/>
      <c r="W106" s="172" t="s">
        <v>472</v>
      </c>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c r="AS106" s="122"/>
      <c r="AT106" s="122"/>
      <c r="AU106" s="122"/>
      <c r="AV106" s="122"/>
    </row>
    <row r="107" spans="4:48" ht="15.95" customHeight="1">
      <c r="D107" s="122"/>
      <c r="E107" s="122"/>
      <c r="F107" s="122"/>
      <c r="G107" s="122"/>
      <c r="H107" s="122"/>
      <c r="I107" s="122"/>
      <c r="J107" s="122"/>
      <c r="K107" s="122"/>
      <c r="L107" s="122"/>
      <c r="M107" s="122"/>
      <c r="N107" s="122"/>
      <c r="O107" s="122"/>
      <c r="P107" s="122"/>
      <c r="Q107" s="122"/>
      <c r="R107" s="122"/>
      <c r="S107" s="122"/>
      <c r="T107" s="122"/>
      <c r="U107" s="122"/>
      <c r="V107" s="122"/>
      <c r="W107" s="172" t="s">
        <v>473</v>
      </c>
      <c r="X107" s="122"/>
      <c r="Y107" s="122"/>
      <c r="Z107" s="122"/>
      <c r="AA107" s="122"/>
      <c r="AB107" s="122"/>
      <c r="AC107" s="122"/>
      <c r="AD107" s="122"/>
      <c r="AE107" s="122"/>
      <c r="AF107" s="122"/>
      <c r="AG107" s="122"/>
      <c r="AH107" s="122"/>
      <c r="AI107" s="122"/>
      <c r="AJ107" s="122"/>
      <c r="AK107" s="122"/>
      <c r="AL107" s="122"/>
      <c r="AM107" s="122"/>
      <c r="AN107" s="122"/>
      <c r="AO107" s="122"/>
      <c r="AP107" s="122"/>
      <c r="AQ107" s="122"/>
      <c r="AR107" s="122"/>
      <c r="AS107" s="122"/>
      <c r="AT107" s="122"/>
      <c r="AU107" s="122"/>
      <c r="AV107" s="122"/>
    </row>
    <row r="108" spans="4:48" ht="15.95" customHeight="1">
      <c r="D108" s="122"/>
      <c r="E108" s="122"/>
      <c r="F108" s="122"/>
      <c r="G108" s="122"/>
      <c r="H108" s="122"/>
      <c r="I108" s="122"/>
      <c r="J108" s="122"/>
      <c r="K108" s="122"/>
      <c r="L108" s="122"/>
      <c r="M108" s="122"/>
      <c r="N108" s="122"/>
      <c r="O108" s="122"/>
      <c r="P108" s="122"/>
      <c r="Q108" s="122"/>
      <c r="R108" s="122"/>
      <c r="S108" s="122"/>
      <c r="T108" s="122"/>
      <c r="U108" s="122"/>
      <c r="V108" s="122"/>
      <c r="W108" s="172" t="s">
        <v>474</v>
      </c>
      <c r="X108" s="122"/>
      <c r="Y108" s="122"/>
      <c r="Z108" s="122"/>
      <c r="AA108" s="122"/>
      <c r="AB108" s="122"/>
      <c r="AC108" s="122"/>
      <c r="AD108" s="122"/>
      <c r="AE108" s="122"/>
      <c r="AF108" s="122"/>
      <c r="AG108" s="122"/>
      <c r="AH108" s="122"/>
      <c r="AI108" s="122"/>
      <c r="AJ108" s="122"/>
      <c r="AK108" s="122"/>
      <c r="AL108" s="122"/>
      <c r="AM108" s="122"/>
      <c r="AN108" s="122"/>
      <c r="AO108" s="122"/>
      <c r="AP108" s="122"/>
      <c r="AQ108" s="122"/>
      <c r="AR108" s="122"/>
      <c r="AS108" s="122"/>
      <c r="AT108" s="122"/>
      <c r="AU108" s="122"/>
      <c r="AV108" s="122"/>
    </row>
    <row r="109" spans="4:48" ht="15.95" customHeight="1">
      <c r="D109" s="122"/>
      <c r="E109" s="122"/>
      <c r="F109" s="122"/>
      <c r="G109" s="122"/>
      <c r="H109" s="122"/>
      <c r="I109" s="122"/>
      <c r="J109" s="122"/>
      <c r="K109" s="122"/>
      <c r="L109" s="122"/>
      <c r="M109" s="122"/>
      <c r="N109" s="122"/>
      <c r="O109" s="122"/>
      <c r="P109" s="122"/>
      <c r="Q109" s="122"/>
      <c r="R109" s="122"/>
      <c r="S109" s="122"/>
      <c r="T109" s="122"/>
      <c r="U109" s="122"/>
      <c r="V109" s="122"/>
      <c r="W109" s="172" t="s">
        <v>475</v>
      </c>
      <c r="X109" s="122"/>
      <c r="Y109" s="122"/>
      <c r="Z109" s="122"/>
      <c r="AA109" s="122"/>
      <c r="AB109" s="122"/>
      <c r="AC109" s="122"/>
      <c r="AD109" s="122"/>
      <c r="AE109" s="122"/>
      <c r="AF109" s="122"/>
      <c r="AG109" s="122"/>
      <c r="AH109" s="122"/>
      <c r="AI109" s="122"/>
      <c r="AJ109" s="122"/>
      <c r="AK109" s="122"/>
      <c r="AL109" s="122"/>
      <c r="AM109" s="122"/>
      <c r="AN109" s="122"/>
      <c r="AO109" s="122"/>
      <c r="AP109" s="122"/>
      <c r="AQ109" s="122"/>
      <c r="AR109" s="122"/>
      <c r="AS109" s="122"/>
      <c r="AT109" s="122"/>
      <c r="AU109" s="122"/>
      <c r="AV109" s="122"/>
    </row>
    <row r="110" spans="4:48" ht="15.95" customHeight="1">
      <c r="D110" s="122"/>
      <c r="E110" s="122"/>
      <c r="F110" s="122"/>
      <c r="G110" s="122"/>
      <c r="H110" s="122"/>
      <c r="I110" s="122"/>
      <c r="J110" s="122"/>
      <c r="K110" s="122"/>
      <c r="L110" s="122"/>
      <c r="M110" s="122"/>
      <c r="N110" s="122"/>
      <c r="O110" s="122"/>
      <c r="P110" s="122"/>
      <c r="Q110" s="122"/>
      <c r="R110" s="122"/>
      <c r="S110" s="122"/>
      <c r="T110" s="122"/>
      <c r="U110" s="122"/>
      <c r="V110" s="122"/>
      <c r="W110" s="172" t="s">
        <v>476</v>
      </c>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2"/>
      <c r="AT110" s="122"/>
      <c r="AU110" s="122"/>
      <c r="AV110" s="122"/>
    </row>
    <row r="111" spans="4:48" ht="15.95" customHeight="1">
      <c r="D111" s="122"/>
      <c r="E111" s="122"/>
      <c r="F111" s="122"/>
      <c r="G111" s="122"/>
      <c r="H111" s="122"/>
      <c r="I111" s="122"/>
      <c r="J111" s="122"/>
      <c r="K111" s="122"/>
      <c r="L111" s="122"/>
      <c r="M111" s="122"/>
      <c r="N111" s="122"/>
      <c r="O111" s="122"/>
      <c r="P111" s="122"/>
      <c r="Q111" s="122"/>
      <c r="R111" s="122"/>
      <c r="S111" s="122"/>
      <c r="T111" s="122"/>
      <c r="U111" s="122"/>
      <c r="V111" s="122"/>
      <c r="W111" s="172" t="s">
        <v>477</v>
      </c>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2"/>
      <c r="AT111" s="122"/>
      <c r="AU111" s="122"/>
      <c r="AV111" s="122"/>
    </row>
    <row r="112" spans="4:48" ht="15.95" customHeight="1">
      <c r="D112" s="122"/>
      <c r="E112" s="122"/>
      <c r="F112" s="122"/>
      <c r="G112" s="122"/>
      <c r="H112" s="122"/>
      <c r="I112" s="122"/>
      <c r="J112" s="122"/>
      <c r="K112" s="122"/>
      <c r="L112" s="122"/>
      <c r="M112" s="122"/>
      <c r="N112" s="122"/>
      <c r="O112" s="122"/>
      <c r="P112" s="122"/>
      <c r="Q112" s="122"/>
      <c r="R112" s="122"/>
      <c r="S112" s="122"/>
      <c r="T112" s="122"/>
      <c r="U112" s="122"/>
      <c r="V112" s="122"/>
      <c r="W112" s="172" t="s">
        <v>478</v>
      </c>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row>
    <row r="113" spans="4:48" ht="15.95" customHeight="1">
      <c r="D113" s="122"/>
      <c r="E113" s="122"/>
      <c r="F113" s="122"/>
      <c r="G113" s="122"/>
      <c r="H113" s="122"/>
      <c r="I113" s="122"/>
      <c r="J113" s="122"/>
      <c r="K113" s="122"/>
      <c r="L113" s="122"/>
      <c r="M113" s="122"/>
      <c r="N113" s="122"/>
      <c r="O113" s="122"/>
      <c r="P113" s="122"/>
      <c r="Q113" s="122"/>
      <c r="R113" s="122"/>
      <c r="S113" s="122"/>
      <c r="T113" s="122"/>
      <c r="U113" s="122"/>
      <c r="V113" s="122"/>
      <c r="W113" s="172" t="s">
        <v>479</v>
      </c>
      <c r="X113" s="122"/>
      <c r="Y113" s="122"/>
      <c r="Z113" s="122"/>
      <c r="AA113" s="122"/>
      <c r="AB113" s="122"/>
      <c r="AC113" s="122"/>
      <c r="AD113" s="122"/>
      <c r="AE113" s="122"/>
      <c r="AF113" s="122"/>
      <c r="AG113" s="122"/>
      <c r="AH113" s="122"/>
      <c r="AI113" s="122"/>
      <c r="AJ113" s="122"/>
      <c r="AK113" s="122"/>
      <c r="AL113" s="122"/>
      <c r="AM113" s="122"/>
      <c r="AN113" s="122"/>
      <c r="AO113" s="122"/>
      <c r="AP113" s="122"/>
      <c r="AQ113" s="122"/>
      <c r="AR113" s="122"/>
      <c r="AS113" s="122"/>
      <c r="AT113" s="122"/>
      <c r="AU113" s="122"/>
      <c r="AV113" s="122"/>
    </row>
    <row r="114" spans="4:48" ht="15.95" customHeight="1">
      <c r="D114" s="122"/>
      <c r="E114" s="122"/>
      <c r="F114" s="122"/>
      <c r="G114" s="122"/>
      <c r="H114" s="122"/>
      <c r="I114" s="122"/>
      <c r="J114" s="122"/>
      <c r="K114" s="122"/>
      <c r="L114" s="122"/>
      <c r="M114" s="122"/>
      <c r="N114" s="122"/>
      <c r="O114" s="122"/>
      <c r="P114" s="122"/>
      <c r="Q114" s="122"/>
      <c r="R114" s="122"/>
      <c r="S114" s="122"/>
      <c r="T114" s="122"/>
      <c r="U114" s="122"/>
      <c r="V114" s="122"/>
      <c r="W114" s="172" t="s">
        <v>480</v>
      </c>
      <c r="X114" s="122"/>
      <c r="Y114" s="122"/>
      <c r="Z114" s="122"/>
      <c r="AA114" s="122"/>
      <c r="AB114" s="122"/>
      <c r="AC114" s="122"/>
      <c r="AD114" s="122"/>
      <c r="AE114" s="122"/>
      <c r="AF114" s="122"/>
      <c r="AG114" s="122"/>
      <c r="AH114" s="122"/>
      <c r="AI114" s="122"/>
      <c r="AJ114" s="122"/>
      <c r="AK114" s="122"/>
      <c r="AL114" s="122"/>
      <c r="AM114" s="122"/>
      <c r="AN114" s="122"/>
      <c r="AO114" s="122"/>
      <c r="AP114" s="122"/>
      <c r="AQ114" s="122"/>
      <c r="AR114" s="122"/>
      <c r="AS114" s="122"/>
      <c r="AT114" s="122"/>
      <c r="AU114" s="122"/>
      <c r="AV114" s="122"/>
    </row>
    <row r="115" spans="4:48" ht="15.95" customHeight="1">
      <c r="D115" s="122"/>
      <c r="E115" s="122"/>
      <c r="F115" s="122"/>
      <c r="G115" s="122"/>
      <c r="H115" s="122"/>
      <c r="I115" s="122"/>
      <c r="J115" s="122"/>
      <c r="K115" s="122"/>
      <c r="L115" s="122"/>
      <c r="M115" s="122"/>
      <c r="N115" s="122"/>
      <c r="O115" s="122"/>
      <c r="P115" s="122"/>
      <c r="Q115" s="122"/>
      <c r="R115" s="122"/>
      <c r="S115" s="122"/>
      <c r="T115" s="122"/>
      <c r="U115" s="122"/>
      <c r="V115" s="122"/>
      <c r="W115" s="172" t="s">
        <v>481</v>
      </c>
      <c r="X115" s="122"/>
      <c r="Y115" s="122"/>
      <c r="Z115" s="122"/>
      <c r="AA115" s="122"/>
      <c r="AB115" s="122"/>
      <c r="AC115" s="122"/>
      <c r="AD115" s="122"/>
      <c r="AE115" s="122"/>
      <c r="AF115" s="122"/>
      <c r="AG115" s="122"/>
      <c r="AH115" s="122"/>
      <c r="AI115" s="122"/>
      <c r="AJ115" s="122"/>
      <c r="AK115" s="122"/>
      <c r="AL115" s="122"/>
      <c r="AM115" s="122"/>
      <c r="AN115" s="122"/>
      <c r="AO115" s="122"/>
      <c r="AP115" s="122"/>
      <c r="AQ115" s="122"/>
      <c r="AR115" s="122"/>
      <c r="AS115" s="122"/>
      <c r="AT115" s="122"/>
      <c r="AU115" s="122"/>
      <c r="AV115" s="122"/>
    </row>
    <row r="116" spans="4:48" ht="15.95" customHeight="1">
      <c r="D116" s="122"/>
      <c r="E116" s="122"/>
      <c r="F116" s="122"/>
      <c r="G116" s="122"/>
      <c r="H116" s="122"/>
      <c r="I116" s="122"/>
      <c r="J116" s="122"/>
      <c r="K116" s="122"/>
      <c r="L116" s="122"/>
      <c r="M116" s="122"/>
      <c r="N116" s="122"/>
      <c r="O116" s="122"/>
      <c r="P116" s="122"/>
      <c r="Q116" s="122"/>
      <c r="R116" s="122"/>
      <c r="S116" s="122"/>
      <c r="T116" s="122"/>
      <c r="U116" s="122"/>
      <c r="V116" s="122"/>
      <c r="W116" s="172" t="s">
        <v>482</v>
      </c>
      <c r="X116" s="122"/>
      <c r="Y116" s="122"/>
      <c r="Z116" s="122"/>
      <c r="AA116" s="122"/>
      <c r="AB116" s="122"/>
      <c r="AC116" s="122"/>
      <c r="AD116" s="122"/>
      <c r="AE116" s="122"/>
      <c r="AF116" s="122"/>
      <c r="AG116" s="122"/>
      <c r="AH116" s="122"/>
      <c r="AI116" s="122"/>
      <c r="AJ116" s="122"/>
      <c r="AK116" s="122"/>
      <c r="AL116" s="122"/>
      <c r="AM116" s="122"/>
      <c r="AN116" s="122"/>
      <c r="AO116" s="122"/>
      <c r="AP116" s="122"/>
      <c r="AQ116" s="122"/>
      <c r="AR116" s="122"/>
      <c r="AS116" s="122"/>
      <c r="AT116" s="122"/>
      <c r="AU116" s="122"/>
      <c r="AV116" s="122"/>
    </row>
    <row r="117" spans="4:48" ht="15.95" customHeight="1">
      <c r="D117" s="122"/>
      <c r="E117" s="122"/>
      <c r="F117" s="122"/>
      <c r="G117" s="122"/>
      <c r="H117" s="122"/>
      <c r="I117" s="122"/>
      <c r="J117" s="122"/>
      <c r="K117" s="122"/>
      <c r="L117" s="122"/>
      <c r="M117" s="122"/>
      <c r="N117" s="122"/>
      <c r="O117" s="122"/>
      <c r="P117" s="122"/>
      <c r="Q117" s="122"/>
      <c r="R117" s="122"/>
      <c r="S117" s="122"/>
      <c r="T117" s="122"/>
      <c r="U117" s="122"/>
      <c r="V117" s="122"/>
      <c r="W117" s="172" t="s">
        <v>483</v>
      </c>
      <c r="X117" s="122"/>
      <c r="Y117" s="122"/>
      <c r="Z117" s="122"/>
      <c r="AA117" s="122"/>
      <c r="AB117" s="122"/>
      <c r="AC117" s="122"/>
      <c r="AD117" s="122"/>
      <c r="AE117" s="122"/>
      <c r="AF117" s="122"/>
      <c r="AG117" s="122"/>
      <c r="AH117" s="122"/>
      <c r="AI117" s="122"/>
      <c r="AJ117" s="122"/>
      <c r="AK117" s="122"/>
      <c r="AL117" s="122"/>
      <c r="AM117" s="122"/>
      <c r="AN117" s="122"/>
      <c r="AO117" s="122"/>
      <c r="AP117" s="122"/>
      <c r="AQ117" s="122"/>
      <c r="AR117" s="122"/>
      <c r="AS117" s="122"/>
      <c r="AT117" s="122"/>
      <c r="AU117" s="122"/>
      <c r="AV117" s="122"/>
    </row>
    <row r="118" spans="4:48" ht="15.95" customHeight="1">
      <c r="D118" s="122"/>
      <c r="E118" s="122"/>
      <c r="F118" s="122"/>
      <c r="G118" s="122"/>
      <c r="H118" s="122"/>
      <c r="I118" s="122"/>
      <c r="J118" s="122"/>
      <c r="K118" s="122"/>
      <c r="L118" s="122"/>
      <c r="M118" s="122"/>
      <c r="N118" s="122"/>
      <c r="O118" s="122"/>
      <c r="P118" s="122"/>
      <c r="Q118" s="122"/>
      <c r="R118" s="122"/>
      <c r="S118" s="122"/>
      <c r="T118" s="122"/>
      <c r="U118" s="122"/>
      <c r="V118" s="122"/>
      <c r="W118" s="172" t="s">
        <v>484</v>
      </c>
      <c r="X118" s="122"/>
      <c r="Y118" s="122"/>
      <c r="Z118" s="122"/>
      <c r="AA118" s="122"/>
      <c r="AB118" s="122"/>
      <c r="AC118" s="122"/>
      <c r="AD118" s="122"/>
      <c r="AE118" s="122"/>
      <c r="AF118" s="122"/>
      <c r="AG118" s="122"/>
      <c r="AH118" s="122"/>
      <c r="AI118" s="122"/>
      <c r="AJ118" s="122"/>
      <c r="AK118" s="122"/>
      <c r="AL118" s="122"/>
      <c r="AM118" s="122"/>
      <c r="AN118" s="122"/>
      <c r="AO118" s="122"/>
      <c r="AP118" s="122"/>
      <c r="AQ118" s="122"/>
      <c r="AR118" s="122"/>
      <c r="AS118" s="122"/>
      <c r="AT118" s="122"/>
      <c r="AU118" s="122"/>
      <c r="AV118" s="122"/>
    </row>
    <row r="119" spans="4:48" ht="15.95" customHeight="1">
      <c r="D119" s="122"/>
      <c r="E119" s="122"/>
      <c r="F119" s="122"/>
      <c r="G119" s="122"/>
      <c r="H119" s="122"/>
      <c r="I119" s="122"/>
      <c r="J119" s="122"/>
      <c r="K119" s="122"/>
      <c r="L119" s="122"/>
      <c r="M119" s="122"/>
      <c r="N119" s="122"/>
      <c r="O119" s="122"/>
      <c r="P119" s="122"/>
      <c r="Q119" s="122"/>
      <c r="R119" s="122"/>
      <c r="S119" s="122"/>
      <c r="T119" s="122"/>
      <c r="U119" s="122"/>
      <c r="V119" s="122"/>
      <c r="W119" s="172" t="s">
        <v>485</v>
      </c>
      <c r="X119" s="122"/>
      <c r="Y119" s="122"/>
      <c r="Z119" s="122"/>
      <c r="AA119" s="122"/>
      <c r="AB119" s="122"/>
      <c r="AC119" s="122"/>
      <c r="AD119" s="122"/>
      <c r="AE119" s="122"/>
      <c r="AF119" s="122"/>
      <c r="AG119" s="122"/>
      <c r="AH119" s="122"/>
      <c r="AI119" s="122"/>
      <c r="AJ119" s="122"/>
      <c r="AK119" s="122"/>
      <c r="AL119" s="122"/>
      <c r="AM119" s="122"/>
      <c r="AN119" s="122"/>
      <c r="AO119" s="122"/>
      <c r="AP119" s="122"/>
      <c r="AQ119" s="122"/>
      <c r="AR119" s="122"/>
      <c r="AS119" s="122"/>
      <c r="AT119" s="122"/>
      <c r="AU119" s="122"/>
      <c r="AV119" s="122"/>
    </row>
    <row r="120" spans="4:48" ht="15.95" customHeight="1">
      <c r="D120" s="122"/>
      <c r="E120" s="122"/>
      <c r="F120" s="122"/>
      <c r="G120" s="122"/>
      <c r="H120" s="122"/>
      <c r="I120" s="122"/>
      <c r="J120" s="122"/>
      <c r="K120" s="122"/>
      <c r="L120" s="122"/>
      <c r="M120" s="122"/>
      <c r="N120" s="122"/>
      <c r="O120" s="122"/>
      <c r="P120" s="122"/>
      <c r="Q120" s="122"/>
      <c r="R120" s="122"/>
      <c r="S120" s="122"/>
      <c r="T120" s="122"/>
      <c r="U120" s="122"/>
      <c r="V120" s="122"/>
      <c r="W120" s="172" t="s">
        <v>486</v>
      </c>
      <c r="X120" s="122"/>
      <c r="Y120" s="122"/>
      <c r="Z120" s="122"/>
      <c r="AA120" s="122"/>
      <c r="AB120" s="122"/>
      <c r="AC120" s="122"/>
      <c r="AD120" s="122"/>
      <c r="AE120" s="122"/>
      <c r="AF120" s="122"/>
      <c r="AG120" s="122"/>
      <c r="AH120" s="122"/>
      <c r="AI120" s="122"/>
      <c r="AJ120" s="122"/>
      <c r="AK120" s="122"/>
      <c r="AL120" s="122"/>
      <c r="AM120" s="122"/>
      <c r="AN120" s="122"/>
      <c r="AO120" s="122"/>
      <c r="AP120" s="122"/>
      <c r="AQ120" s="122"/>
      <c r="AR120" s="122"/>
      <c r="AS120" s="122"/>
      <c r="AT120" s="122"/>
      <c r="AU120" s="122"/>
      <c r="AV120" s="122"/>
    </row>
    <row r="121" spans="4:48" ht="15.95" customHeight="1">
      <c r="D121" s="122"/>
      <c r="E121" s="122"/>
      <c r="F121" s="122"/>
      <c r="G121" s="122"/>
      <c r="H121" s="122"/>
      <c r="I121" s="122"/>
      <c r="J121" s="122"/>
      <c r="K121" s="122"/>
      <c r="L121" s="122"/>
      <c r="M121" s="122"/>
      <c r="N121" s="122"/>
      <c r="O121" s="122"/>
      <c r="P121" s="122"/>
      <c r="Q121" s="122"/>
      <c r="R121" s="122"/>
      <c r="S121" s="122"/>
      <c r="T121" s="122"/>
      <c r="U121" s="122"/>
      <c r="V121" s="122"/>
      <c r="W121" s="172" t="s">
        <v>487</v>
      </c>
      <c r="X121" s="122"/>
      <c r="Y121" s="122"/>
      <c r="Z121" s="122"/>
      <c r="AA121" s="122"/>
      <c r="AB121" s="122"/>
      <c r="AC121" s="122"/>
      <c r="AD121" s="122"/>
      <c r="AE121" s="122"/>
      <c r="AF121" s="122"/>
      <c r="AG121" s="122"/>
      <c r="AH121" s="122"/>
      <c r="AI121" s="122"/>
      <c r="AJ121" s="122"/>
      <c r="AK121" s="122"/>
      <c r="AL121" s="122"/>
      <c r="AM121" s="122"/>
      <c r="AN121" s="122"/>
      <c r="AO121" s="122"/>
      <c r="AP121" s="122"/>
      <c r="AQ121" s="122"/>
      <c r="AR121" s="122"/>
      <c r="AS121" s="122"/>
      <c r="AT121" s="122"/>
      <c r="AU121" s="122"/>
      <c r="AV121" s="122"/>
    </row>
    <row r="122" spans="4:48" ht="15.95" customHeight="1">
      <c r="D122" s="122"/>
      <c r="E122" s="122"/>
      <c r="F122" s="122"/>
      <c r="G122" s="122"/>
      <c r="H122" s="122"/>
      <c r="I122" s="122"/>
      <c r="J122" s="122"/>
      <c r="K122" s="122"/>
      <c r="L122" s="122"/>
      <c r="M122" s="122"/>
      <c r="N122" s="122"/>
      <c r="O122" s="122"/>
      <c r="P122" s="122"/>
      <c r="Q122" s="122"/>
      <c r="R122" s="122"/>
      <c r="S122" s="122"/>
      <c r="T122" s="122"/>
      <c r="U122" s="122"/>
      <c r="V122" s="122"/>
      <c r="W122" s="172" t="s">
        <v>488</v>
      </c>
      <c r="X122" s="122"/>
      <c r="Y122" s="122"/>
      <c r="Z122" s="122"/>
      <c r="AA122" s="122"/>
      <c r="AB122" s="122"/>
      <c r="AC122" s="122"/>
      <c r="AD122" s="122"/>
      <c r="AE122" s="122"/>
      <c r="AF122" s="122"/>
      <c r="AG122" s="122"/>
      <c r="AH122" s="122"/>
      <c r="AI122" s="122"/>
      <c r="AJ122" s="122"/>
      <c r="AK122" s="122"/>
      <c r="AL122" s="122"/>
      <c r="AM122" s="122"/>
      <c r="AN122" s="122"/>
      <c r="AO122" s="122"/>
      <c r="AP122" s="122"/>
      <c r="AQ122" s="122"/>
      <c r="AR122" s="122"/>
      <c r="AS122" s="122"/>
      <c r="AT122" s="122"/>
      <c r="AU122" s="122"/>
      <c r="AV122" s="122"/>
    </row>
    <row r="123" spans="4:48" ht="15.95" customHeight="1">
      <c r="D123" s="122"/>
      <c r="E123" s="122"/>
      <c r="F123" s="122"/>
      <c r="G123" s="122"/>
      <c r="H123" s="122"/>
      <c r="I123" s="122"/>
      <c r="J123" s="122"/>
      <c r="K123" s="122"/>
      <c r="L123" s="122"/>
      <c r="M123" s="122"/>
      <c r="N123" s="122"/>
      <c r="O123" s="122"/>
      <c r="P123" s="122"/>
      <c r="Q123" s="122"/>
      <c r="R123" s="122"/>
      <c r="S123" s="122"/>
      <c r="T123" s="122"/>
      <c r="U123" s="122"/>
      <c r="V123" s="122"/>
      <c r="W123" s="172" t="s">
        <v>489</v>
      </c>
      <c r="X123" s="122"/>
      <c r="Y123" s="122"/>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c r="AU123" s="122"/>
      <c r="AV123" s="122"/>
    </row>
    <row r="124" spans="4:48" ht="15.95" customHeight="1">
      <c r="D124" s="122"/>
      <c r="E124" s="122"/>
      <c r="F124" s="122"/>
      <c r="G124" s="122"/>
      <c r="H124" s="122"/>
      <c r="I124" s="122"/>
      <c r="J124" s="122"/>
      <c r="K124" s="122"/>
      <c r="L124" s="122"/>
      <c r="M124" s="122"/>
      <c r="N124" s="122"/>
      <c r="O124" s="122"/>
      <c r="P124" s="122"/>
      <c r="Q124" s="122"/>
      <c r="R124" s="122"/>
      <c r="S124" s="122"/>
      <c r="T124" s="122"/>
      <c r="U124" s="122"/>
      <c r="V124" s="122"/>
      <c r="W124" s="172" t="s">
        <v>490</v>
      </c>
      <c r="X124" s="122"/>
      <c r="Y124" s="122"/>
      <c r="Z124" s="122"/>
      <c r="AA124" s="122"/>
      <c r="AB124" s="122"/>
      <c r="AC124" s="122"/>
      <c r="AD124" s="122"/>
      <c r="AE124" s="122"/>
      <c r="AF124" s="122"/>
      <c r="AG124" s="122"/>
      <c r="AH124" s="122"/>
      <c r="AI124" s="122"/>
      <c r="AJ124" s="122"/>
      <c r="AK124" s="122"/>
      <c r="AL124" s="122"/>
      <c r="AM124" s="122"/>
      <c r="AN124" s="122"/>
      <c r="AO124" s="122"/>
      <c r="AP124" s="122"/>
      <c r="AQ124" s="122"/>
      <c r="AR124" s="122"/>
      <c r="AS124" s="122"/>
      <c r="AT124" s="122"/>
      <c r="AU124" s="122"/>
      <c r="AV124" s="122"/>
    </row>
    <row r="125" spans="4:48" ht="15.95" customHeight="1">
      <c r="D125" s="122"/>
      <c r="E125" s="122"/>
      <c r="F125" s="122"/>
      <c r="G125" s="122"/>
      <c r="H125" s="122"/>
      <c r="I125" s="122"/>
      <c r="J125" s="122"/>
      <c r="K125" s="122"/>
      <c r="L125" s="122"/>
      <c r="M125" s="122"/>
      <c r="N125" s="122"/>
      <c r="O125" s="122"/>
      <c r="P125" s="122"/>
      <c r="Q125" s="122"/>
      <c r="R125" s="122"/>
      <c r="S125" s="122"/>
      <c r="T125" s="122"/>
      <c r="U125" s="122"/>
      <c r="V125" s="122"/>
      <c r="W125" s="172" t="s">
        <v>491</v>
      </c>
      <c r="X125" s="122"/>
      <c r="Y125" s="122"/>
      <c r="Z125" s="122"/>
      <c r="AA125" s="122"/>
      <c r="AB125" s="122"/>
      <c r="AC125" s="122"/>
      <c r="AD125" s="122"/>
      <c r="AE125" s="122"/>
      <c r="AF125" s="122"/>
      <c r="AG125" s="122"/>
      <c r="AH125" s="122"/>
      <c r="AI125" s="122"/>
      <c r="AJ125" s="122"/>
      <c r="AK125" s="122"/>
      <c r="AL125" s="122"/>
      <c r="AM125" s="122"/>
      <c r="AN125" s="122"/>
      <c r="AO125" s="122"/>
      <c r="AP125" s="122"/>
      <c r="AQ125" s="122"/>
      <c r="AR125" s="122"/>
      <c r="AS125" s="122"/>
      <c r="AT125" s="122"/>
      <c r="AU125" s="122"/>
      <c r="AV125" s="122"/>
    </row>
    <row r="126" spans="4:48" ht="15.95" customHeight="1">
      <c r="D126" s="122"/>
      <c r="E126" s="122"/>
      <c r="F126" s="122"/>
      <c r="G126" s="122"/>
      <c r="H126" s="122"/>
      <c r="I126" s="122"/>
      <c r="J126" s="122"/>
      <c r="K126" s="122"/>
      <c r="L126" s="122"/>
      <c r="M126" s="122"/>
      <c r="N126" s="122"/>
      <c r="O126" s="122"/>
      <c r="P126" s="122"/>
      <c r="Q126" s="122"/>
      <c r="R126" s="122"/>
      <c r="S126" s="122"/>
      <c r="T126" s="122"/>
      <c r="U126" s="122"/>
      <c r="V126" s="122"/>
      <c r="W126" s="172" t="s">
        <v>492</v>
      </c>
      <c r="X126" s="122"/>
      <c r="Y126" s="122"/>
      <c r="Z126" s="122"/>
      <c r="AA126" s="122"/>
      <c r="AB126" s="122"/>
      <c r="AC126" s="122"/>
      <c r="AD126" s="122"/>
      <c r="AE126" s="122"/>
      <c r="AF126" s="122"/>
      <c r="AG126" s="122"/>
      <c r="AH126" s="122"/>
      <c r="AI126" s="122"/>
      <c r="AJ126" s="122"/>
      <c r="AK126" s="122"/>
      <c r="AL126" s="122"/>
      <c r="AM126" s="122"/>
      <c r="AN126" s="122"/>
      <c r="AO126" s="122"/>
      <c r="AP126" s="122"/>
      <c r="AQ126" s="122"/>
      <c r="AR126" s="122"/>
      <c r="AS126" s="122"/>
      <c r="AT126" s="122"/>
      <c r="AU126" s="122"/>
      <c r="AV126" s="122"/>
    </row>
    <row r="127" spans="4:48" ht="15.95" customHeight="1">
      <c r="D127" s="122"/>
      <c r="E127" s="122"/>
      <c r="F127" s="122"/>
      <c r="G127" s="122"/>
      <c r="H127" s="122"/>
      <c r="I127" s="122"/>
      <c r="J127" s="122"/>
      <c r="K127" s="122"/>
      <c r="L127" s="122"/>
      <c r="M127" s="122"/>
      <c r="N127" s="122"/>
      <c r="O127" s="122"/>
      <c r="P127" s="122"/>
      <c r="Q127" s="122"/>
      <c r="R127" s="122"/>
      <c r="S127" s="122"/>
      <c r="T127" s="122"/>
      <c r="U127" s="122"/>
      <c r="V127" s="122"/>
      <c r="W127" s="172" t="s">
        <v>493</v>
      </c>
      <c r="X127" s="122"/>
      <c r="Y127" s="122"/>
      <c r="Z127" s="122"/>
      <c r="AA127" s="122"/>
      <c r="AB127" s="122"/>
      <c r="AC127" s="122"/>
      <c r="AD127" s="122"/>
      <c r="AE127" s="122"/>
      <c r="AF127" s="122"/>
      <c r="AG127" s="122"/>
      <c r="AH127" s="122"/>
      <c r="AI127" s="122"/>
      <c r="AJ127" s="122"/>
      <c r="AK127" s="122"/>
      <c r="AL127" s="122"/>
      <c r="AM127" s="122"/>
      <c r="AN127" s="122"/>
      <c r="AO127" s="122"/>
      <c r="AP127" s="122"/>
      <c r="AQ127" s="122"/>
      <c r="AR127" s="122"/>
      <c r="AS127" s="122"/>
      <c r="AT127" s="122"/>
      <c r="AU127" s="122"/>
      <c r="AV127" s="122"/>
    </row>
    <row r="128" spans="4:48" ht="15.95" customHeight="1">
      <c r="D128" s="122"/>
      <c r="E128" s="122"/>
      <c r="F128" s="122"/>
      <c r="G128" s="122"/>
      <c r="H128" s="122"/>
      <c r="I128" s="122"/>
      <c r="J128" s="122"/>
      <c r="K128" s="122"/>
      <c r="L128" s="122"/>
      <c r="M128" s="122"/>
      <c r="N128" s="122"/>
      <c r="O128" s="122"/>
      <c r="P128" s="122"/>
      <c r="Q128" s="122"/>
      <c r="R128" s="122"/>
      <c r="S128" s="122"/>
      <c r="T128" s="122"/>
      <c r="U128" s="122"/>
      <c r="V128" s="122"/>
      <c r="W128" s="172" t="s">
        <v>494</v>
      </c>
      <c r="X128" s="122"/>
      <c r="Y128" s="122"/>
      <c r="Z128" s="122"/>
      <c r="AA128" s="122"/>
      <c r="AB128" s="122"/>
      <c r="AC128" s="122"/>
      <c r="AD128" s="122"/>
      <c r="AE128" s="122"/>
      <c r="AF128" s="122"/>
      <c r="AG128" s="122"/>
      <c r="AH128" s="122"/>
      <c r="AI128" s="122"/>
      <c r="AJ128" s="122"/>
      <c r="AK128" s="122"/>
      <c r="AL128" s="122"/>
      <c r="AM128" s="122"/>
      <c r="AN128" s="122"/>
      <c r="AO128" s="122"/>
      <c r="AP128" s="122"/>
      <c r="AQ128" s="122"/>
      <c r="AR128" s="122"/>
      <c r="AS128" s="122"/>
      <c r="AT128" s="122"/>
      <c r="AU128" s="122"/>
      <c r="AV128" s="122"/>
    </row>
    <row r="129" spans="4:48" ht="15.95" customHeight="1">
      <c r="D129" s="122"/>
      <c r="E129" s="122"/>
      <c r="F129" s="122"/>
      <c r="G129" s="122"/>
      <c r="H129" s="122"/>
      <c r="I129" s="122"/>
      <c r="J129" s="122"/>
      <c r="K129" s="122"/>
      <c r="L129" s="122"/>
      <c r="M129" s="122"/>
      <c r="N129" s="122"/>
      <c r="O129" s="122"/>
      <c r="P129" s="122"/>
      <c r="Q129" s="122"/>
      <c r="R129" s="122"/>
      <c r="S129" s="122"/>
      <c r="T129" s="122"/>
      <c r="U129" s="122"/>
      <c r="V129" s="122"/>
      <c r="W129" s="172" t="s">
        <v>495</v>
      </c>
      <c r="X129" s="122"/>
      <c r="Y129" s="122"/>
      <c r="Z129" s="122"/>
      <c r="AA129" s="122"/>
      <c r="AB129" s="122"/>
      <c r="AC129" s="122"/>
      <c r="AD129" s="122"/>
      <c r="AE129" s="122"/>
      <c r="AF129" s="122"/>
      <c r="AG129" s="122"/>
      <c r="AH129" s="122"/>
      <c r="AI129" s="122"/>
      <c r="AJ129" s="122"/>
      <c r="AK129" s="122"/>
      <c r="AL129" s="122"/>
      <c r="AM129" s="122"/>
      <c r="AN129" s="122"/>
      <c r="AO129" s="122"/>
      <c r="AP129" s="122"/>
      <c r="AQ129" s="122"/>
      <c r="AR129" s="122"/>
      <c r="AS129" s="122"/>
      <c r="AT129" s="122"/>
      <c r="AU129" s="122"/>
      <c r="AV129" s="122"/>
    </row>
    <row r="130" spans="4:48" ht="15.95" customHeight="1">
      <c r="D130" s="122"/>
      <c r="E130" s="122"/>
      <c r="F130" s="122"/>
      <c r="G130" s="122"/>
      <c r="H130" s="122"/>
      <c r="I130" s="122"/>
      <c r="J130" s="122"/>
      <c r="K130" s="122"/>
      <c r="L130" s="122"/>
      <c r="M130" s="122"/>
      <c r="N130" s="122"/>
      <c r="O130" s="122"/>
      <c r="P130" s="122"/>
      <c r="Q130" s="122"/>
      <c r="R130" s="122"/>
      <c r="S130" s="122"/>
      <c r="T130" s="122"/>
      <c r="U130" s="122"/>
      <c r="V130" s="122"/>
      <c r="W130" s="172" t="s">
        <v>496</v>
      </c>
      <c r="X130" s="122"/>
      <c r="Y130" s="122"/>
      <c r="Z130" s="122"/>
      <c r="AA130" s="122"/>
      <c r="AB130" s="122"/>
      <c r="AC130" s="122"/>
      <c r="AD130" s="122"/>
      <c r="AE130" s="122"/>
      <c r="AF130" s="122"/>
      <c r="AG130" s="122"/>
      <c r="AH130" s="122"/>
      <c r="AI130" s="122"/>
      <c r="AJ130" s="122"/>
      <c r="AK130" s="122"/>
      <c r="AL130" s="122"/>
      <c r="AM130" s="122"/>
      <c r="AN130" s="122"/>
      <c r="AO130" s="122"/>
      <c r="AP130" s="122"/>
      <c r="AQ130" s="122"/>
      <c r="AR130" s="122"/>
      <c r="AS130" s="122"/>
      <c r="AT130" s="122"/>
      <c r="AU130" s="122"/>
      <c r="AV130" s="122"/>
    </row>
    <row r="131" spans="4:48" ht="15.95" customHeight="1">
      <c r="D131" s="122"/>
      <c r="E131" s="122"/>
      <c r="F131" s="122"/>
      <c r="G131" s="122"/>
      <c r="H131" s="122"/>
      <c r="I131" s="122"/>
      <c r="J131" s="122"/>
      <c r="K131" s="122"/>
      <c r="L131" s="122"/>
      <c r="M131" s="122"/>
      <c r="N131" s="122"/>
      <c r="O131" s="122"/>
      <c r="P131" s="122"/>
      <c r="Q131" s="122"/>
      <c r="R131" s="122"/>
      <c r="S131" s="122"/>
      <c r="T131" s="122"/>
      <c r="U131" s="122"/>
      <c r="V131" s="122"/>
      <c r="W131" s="172" t="s">
        <v>497</v>
      </c>
      <c r="X131" s="122"/>
      <c r="Y131" s="122"/>
      <c r="Z131" s="122"/>
      <c r="AA131" s="122"/>
      <c r="AB131" s="122"/>
      <c r="AC131" s="122"/>
      <c r="AD131" s="122"/>
      <c r="AE131" s="122"/>
      <c r="AF131" s="122"/>
      <c r="AG131" s="122"/>
      <c r="AH131" s="122"/>
      <c r="AI131" s="122"/>
      <c r="AJ131" s="122"/>
      <c r="AK131" s="122"/>
      <c r="AL131" s="122"/>
      <c r="AM131" s="122"/>
      <c r="AN131" s="122"/>
      <c r="AO131" s="122"/>
      <c r="AP131" s="122"/>
      <c r="AQ131" s="122"/>
      <c r="AR131" s="122"/>
      <c r="AS131" s="122"/>
      <c r="AT131" s="122"/>
      <c r="AU131" s="122"/>
      <c r="AV131" s="122"/>
    </row>
    <row r="132" spans="4:48" ht="15.95" customHeight="1">
      <c r="D132" s="122"/>
      <c r="E132" s="122"/>
      <c r="F132" s="122"/>
      <c r="G132" s="122"/>
      <c r="H132" s="122"/>
      <c r="I132" s="122"/>
      <c r="J132" s="122"/>
      <c r="K132" s="122"/>
      <c r="L132" s="122"/>
      <c r="M132" s="122"/>
      <c r="N132" s="122"/>
      <c r="O132" s="122"/>
      <c r="P132" s="122"/>
      <c r="Q132" s="122"/>
      <c r="R132" s="122"/>
      <c r="S132" s="122"/>
      <c r="T132" s="122"/>
      <c r="U132" s="122"/>
      <c r="V132" s="122"/>
      <c r="W132" s="172" t="s">
        <v>498</v>
      </c>
      <c r="X132" s="122"/>
      <c r="Y132" s="122"/>
      <c r="Z132" s="122"/>
      <c r="AA132" s="122"/>
      <c r="AB132" s="122"/>
      <c r="AC132" s="122"/>
      <c r="AD132" s="122"/>
      <c r="AE132" s="122"/>
      <c r="AF132" s="122"/>
      <c r="AG132" s="122"/>
      <c r="AH132" s="122"/>
      <c r="AI132" s="122"/>
      <c r="AJ132" s="122"/>
      <c r="AK132" s="122"/>
      <c r="AL132" s="122"/>
      <c r="AM132" s="122"/>
      <c r="AN132" s="122"/>
      <c r="AO132" s="122"/>
      <c r="AP132" s="122"/>
      <c r="AQ132" s="122"/>
      <c r="AR132" s="122"/>
      <c r="AS132" s="122"/>
      <c r="AT132" s="122"/>
      <c r="AU132" s="122"/>
      <c r="AV132" s="122"/>
    </row>
    <row r="133" spans="4:48" ht="15.95" customHeight="1">
      <c r="D133" s="122"/>
      <c r="E133" s="122"/>
      <c r="F133" s="122"/>
      <c r="G133" s="122"/>
      <c r="H133" s="122"/>
      <c r="I133" s="122"/>
      <c r="J133" s="122"/>
      <c r="K133" s="122"/>
      <c r="L133" s="122"/>
      <c r="M133" s="122"/>
      <c r="N133" s="122"/>
      <c r="O133" s="122"/>
      <c r="P133" s="122"/>
      <c r="Q133" s="122"/>
      <c r="R133" s="122"/>
      <c r="S133" s="122"/>
      <c r="T133" s="122"/>
      <c r="U133" s="122"/>
      <c r="V133" s="122"/>
      <c r="W133" s="172" t="s">
        <v>499</v>
      </c>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row>
    <row r="134" spans="4:48" ht="15.95" customHeight="1">
      <c r="D134" s="122"/>
      <c r="E134" s="122"/>
      <c r="F134" s="122"/>
      <c r="G134" s="122"/>
      <c r="H134" s="122"/>
      <c r="I134" s="122"/>
      <c r="J134" s="122"/>
      <c r="K134" s="122"/>
      <c r="L134" s="122"/>
      <c r="M134" s="122"/>
      <c r="N134" s="122"/>
      <c r="O134" s="122"/>
      <c r="P134" s="122"/>
      <c r="Q134" s="122"/>
      <c r="R134" s="122"/>
      <c r="S134" s="122"/>
      <c r="T134" s="122"/>
      <c r="U134" s="122"/>
      <c r="V134" s="122"/>
      <c r="W134" s="172" t="s">
        <v>500</v>
      </c>
      <c r="X134" s="122"/>
      <c r="Y134" s="122"/>
      <c r="Z134" s="122"/>
      <c r="AA134" s="122"/>
      <c r="AB134" s="122"/>
      <c r="AC134" s="122"/>
      <c r="AD134" s="122"/>
      <c r="AE134" s="122"/>
      <c r="AF134" s="122"/>
      <c r="AG134" s="122"/>
      <c r="AH134" s="122"/>
      <c r="AI134" s="122"/>
      <c r="AJ134" s="122"/>
      <c r="AK134" s="122"/>
      <c r="AL134" s="122"/>
      <c r="AM134" s="122"/>
      <c r="AN134" s="122"/>
      <c r="AO134" s="122"/>
      <c r="AP134" s="122"/>
      <c r="AQ134" s="122"/>
      <c r="AR134" s="122"/>
      <c r="AS134" s="122"/>
      <c r="AT134" s="122"/>
      <c r="AU134" s="122"/>
      <c r="AV134" s="122"/>
    </row>
    <row r="135" spans="4:48" ht="15.95" customHeight="1">
      <c r="D135" s="122"/>
      <c r="E135" s="122"/>
      <c r="F135" s="122"/>
      <c r="G135" s="122"/>
      <c r="H135" s="122"/>
      <c r="I135" s="122"/>
      <c r="J135" s="122"/>
      <c r="K135" s="122"/>
      <c r="L135" s="122"/>
      <c r="M135" s="122"/>
      <c r="N135" s="122"/>
      <c r="O135" s="122"/>
      <c r="P135" s="122"/>
      <c r="Q135" s="122"/>
      <c r="R135" s="122"/>
      <c r="S135" s="122"/>
      <c r="T135" s="122"/>
      <c r="U135" s="122"/>
      <c r="V135" s="122"/>
      <c r="W135" s="172" t="s">
        <v>501</v>
      </c>
      <c r="X135" s="122"/>
      <c r="Y135" s="122"/>
      <c r="Z135" s="122"/>
      <c r="AA135" s="122"/>
      <c r="AB135" s="122"/>
      <c r="AC135" s="122"/>
      <c r="AD135" s="122"/>
      <c r="AE135" s="122"/>
      <c r="AF135" s="122"/>
      <c r="AG135" s="122"/>
      <c r="AH135" s="122"/>
      <c r="AI135" s="122"/>
      <c r="AJ135" s="122"/>
      <c r="AK135" s="122"/>
      <c r="AL135" s="122"/>
      <c r="AM135" s="122"/>
      <c r="AN135" s="122"/>
      <c r="AO135" s="122"/>
      <c r="AP135" s="122"/>
      <c r="AQ135" s="122"/>
      <c r="AR135" s="122"/>
      <c r="AS135" s="122"/>
      <c r="AT135" s="122"/>
      <c r="AU135" s="122"/>
      <c r="AV135" s="122"/>
    </row>
    <row r="136" spans="4:48" ht="15.95" customHeight="1">
      <c r="D136" s="122"/>
      <c r="E136" s="122"/>
      <c r="F136" s="122"/>
      <c r="G136" s="122"/>
      <c r="H136" s="122"/>
      <c r="I136" s="122"/>
      <c r="J136" s="122"/>
      <c r="K136" s="122"/>
      <c r="L136" s="122"/>
      <c r="M136" s="122"/>
      <c r="N136" s="122"/>
      <c r="O136" s="122"/>
      <c r="P136" s="122"/>
      <c r="Q136" s="122"/>
      <c r="R136" s="122"/>
      <c r="S136" s="122"/>
      <c r="T136" s="122"/>
      <c r="U136" s="122"/>
      <c r="V136" s="122"/>
      <c r="W136" s="172" t="s">
        <v>502</v>
      </c>
      <c r="X136" s="122"/>
      <c r="Y136" s="122"/>
      <c r="Z136" s="122"/>
      <c r="AA136" s="122"/>
      <c r="AB136" s="122"/>
      <c r="AC136" s="122"/>
      <c r="AD136" s="122"/>
      <c r="AE136" s="122"/>
      <c r="AF136" s="122"/>
      <c r="AG136" s="122"/>
      <c r="AH136" s="122"/>
      <c r="AI136" s="122"/>
      <c r="AJ136" s="122"/>
      <c r="AK136" s="122"/>
      <c r="AL136" s="122"/>
      <c r="AM136" s="122"/>
      <c r="AN136" s="122"/>
      <c r="AO136" s="122"/>
      <c r="AP136" s="122"/>
      <c r="AQ136" s="122"/>
      <c r="AR136" s="122"/>
      <c r="AS136" s="122"/>
      <c r="AT136" s="122"/>
      <c r="AU136" s="122"/>
      <c r="AV136" s="122"/>
    </row>
    <row r="137" spans="4:48" ht="15.95" customHeight="1">
      <c r="D137" s="122"/>
      <c r="E137" s="122"/>
      <c r="F137" s="122"/>
      <c r="G137" s="122"/>
      <c r="H137" s="122"/>
      <c r="I137" s="122"/>
      <c r="J137" s="122"/>
      <c r="K137" s="122"/>
      <c r="L137" s="122"/>
      <c r="M137" s="122"/>
      <c r="N137" s="122"/>
      <c r="O137" s="122"/>
      <c r="P137" s="122"/>
      <c r="Q137" s="122"/>
      <c r="R137" s="122"/>
      <c r="S137" s="122"/>
      <c r="T137" s="122"/>
      <c r="U137" s="122"/>
      <c r="V137" s="122"/>
      <c r="W137" s="172" t="s">
        <v>503</v>
      </c>
      <c r="X137" s="122"/>
      <c r="Y137" s="122"/>
      <c r="Z137" s="122"/>
      <c r="AA137" s="122"/>
      <c r="AB137" s="122"/>
      <c r="AC137" s="122"/>
      <c r="AD137" s="122"/>
      <c r="AE137" s="122"/>
      <c r="AF137" s="122"/>
      <c r="AG137" s="122"/>
      <c r="AH137" s="122"/>
      <c r="AI137" s="122"/>
      <c r="AJ137" s="122"/>
      <c r="AK137" s="122"/>
      <c r="AL137" s="122"/>
      <c r="AM137" s="122"/>
      <c r="AN137" s="122"/>
      <c r="AO137" s="122"/>
      <c r="AP137" s="122"/>
      <c r="AQ137" s="122"/>
      <c r="AR137" s="122"/>
      <c r="AS137" s="122"/>
      <c r="AT137" s="122"/>
      <c r="AU137" s="122"/>
      <c r="AV137" s="122"/>
    </row>
    <row r="138" spans="4:48" ht="15.95" customHeight="1">
      <c r="D138" s="122"/>
      <c r="E138" s="122"/>
      <c r="F138" s="122"/>
      <c r="G138" s="122"/>
      <c r="H138" s="122"/>
      <c r="I138" s="122"/>
      <c r="J138" s="122"/>
      <c r="K138" s="122"/>
      <c r="L138" s="122"/>
      <c r="M138" s="122"/>
      <c r="N138" s="122"/>
      <c r="O138" s="122"/>
      <c r="P138" s="122"/>
      <c r="Q138" s="122"/>
      <c r="R138" s="122"/>
      <c r="S138" s="122"/>
      <c r="T138" s="122"/>
      <c r="U138" s="122"/>
      <c r="V138" s="122"/>
      <c r="W138" s="172" t="s">
        <v>504</v>
      </c>
      <c r="X138" s="122"/>
      <c r="Y138" s="122"/>
      <c r="Z138" s="122"/>
      <c r="AA138" s="122"/>
      <c r="AB138" s="122"/>
      <c r="AC138" s="122"/>
      <c r="AD138" s="122"/>
      <c r="AE138" s="122"/>
      <c r="AF138" s="122"/>
      <c r="AG138" s="122"/>
      <c r="AH138" s="122"/>
      <c r="AI138" s="122"/>
      <c r="AJ138" s="122"/>
      <c r="AK138" s="122"/>
      <c r="AL138" s="122"/>
      <c r="AM138" s="122"/>
      <c r="AN138" s="122"/>
      <c r="AO138" s="122"/>
      <c r="AP138" s="122"/>
      <c r="AQ138" s="122"/>
      <c r="AR138" s="122"/>
      <c r="AS138" s="122"/>
      <c r="AT138" s="122"/>
      <c r="AU138" s="122"/>
      <c r="AV138" s="122"/>
    </row>
    <row r="139" spans="4:48" ht="15.95" customHeight="1">
      <c r="D139" s="122"/>
      <c r="E139" s="122"/>
      <c r="F139" s="122"/>
      <c r="G139" s="122"/>
      <c r="H139" s="122"/>
      <c r="I139" s="122"/>
      <c r="J139" s="122"/>
      <c r="K139" s="122"/>
      <c r="L139" s="122"/>
      <c r="M139" s="122"/>
      <c r="N139" s="122"/>
      <c r="O139" s="122"/>
      <c r="P139" s="122"/>
      <c r="Q139" s="122"/>
      <c r="R139" s="122"/>
      <c r="S139" s="122"/>
      <c r="T139" s="122"/>
      <c r="U139" s="122"/>
      <c r="V139" s="122"/>
      <c r="W139" s="172" t="s">
        <v>505</v>
      </c>
      <c r="X139" s="122"/>
      <c r="Y139" s="122"/>
      <c r="Z139" s="122"/>
      <c r="AA139" s="122"/>
      <c r="AB139" s="122"/>
      <c r="AC139" s="122"/>
      <c r="AD139" s="122"/>
      <c r="AE139" s="122"/>
      <c r="AF139" s="122"/>
      <c r="AG139" s="122"/>
      <c r="AH139" s="122"/>
      <c r="AI139" s="122"/>
      <c r="AJ139" s="122"/>
      <c r="AK139" s="122"/>
      <c r="AL139" s="122"/>
      <c r="AM139" s="122"/>
      <c r="AN139" s="122"/>
      <c r="AO139" s="122"/>
      <c r="AP139" s="122"/>
      <c r="AQ139" s="122"/>
      <c r="AR139" s="122"/>
      <c r="AS139" s="122"/>
      <c r="AT139" s="122"/>
      <c r="AU139" s="122"/>
      <c r="AV139" s="122"/>
    </row>
    <row r="140" spans="4:48" ht="15.95" customHeight="1">
      <c r="D140" s="122"/>
      <c r="E140" s="122"/>
      <c r="F140" s="122"/>
      <c r="G140" s="122"/>
      <c r="H140" s="122"/>
      <c r="I140" s="122"/>
      <c r="J140" s="122"/>
      <c r="K140" s="122"/>
      <c r="L140" s="122"/>
      <c r="M140" s="122"/>
      <c r="N140" s="122"/>
      <c r="O140" s="122"/>
      <c r="P140" s="122"/>
      <c r="Q140" s="122"/>
      <c r="R140" s="122"/>
      <c r="S140" s="122"/>
      <c r="T140" s="122"/>
      <c r="U140" s="122"/>
      <c r="V140" s="122"/>
      <c r="W140" s="172" t="s">
        <v>506</v>
      </c>
      <c r="X140" s="122"/>
      <c r="Y140" s="122"/>
      <c r="Z140" s="122"/>
      <c r="AA140" s="122"/>
      <c r="AB140" s="122"/>
      <c r="AC140" s="122"/>
      <c r="AD140" s="122"/>
      <c r="AE140" s="122"/>
      <c r="AF140" s="122"/>
      <c r="AG140" s="122"/>
      <c r="AH140" s="122"/>
      <c r="AI140" s="122"/>
      <c r="AJ140" s="122"/>
      <c r="AK140" s="122"/>
      <c r="AL140" s="122"/>
      <c r="AM140" s="122"/>
      <c r="AN140" s="122"/>
      <c r="AO140" s="122"/>
      <c r="AP140" s="122"/>
      <c r="AQ140" s="122"/>
      <c r="AR140" s="122"/>
      <c r="AS140" s="122"/>
      <c r="AT140" s="122"/>
      <c r="AU140" s="122"/>
      <c r="AV140" s="122"/>
    </row>
    <row r="141" spans="4:48" ht="15.95" customHeight="1">
      <c r="D141" s="122"/>
      <c r="E141" s="122"/>
      <c r="F141" s="122"/>
      <c r="G141" s="122"/>
      <c r="H141" s="122"/>
      <c r="I141" s="122"/>
      <c r="J141" s="122"/>
      <c r="K141" s="122"/>
      <c r="L141" s="122"/>
      <c r="M141" s="122"/>
      <c r="N141" s="122"/>
      <c r="O141" s="122"/>
      <c r="P141" s="122"/>
      <c r="Q141" s="122"/>
      <c r="R141" s="122"/>
      <c r="S141" s="122"/>
      <c r="T141" s="122"/>
      <c r="U141" s="122"/>
      <c r="V141" s="122"/>
      <c r="W141" s="172" t="s">
        <v>507</v>
      </c>
      <c r="X141" s="122"/>
      <c r="Y141" s="122"/>
      <c r="Z141" s="122"/>
      <c r="AA141" s="122"/>
      <c r="AB141" s="122"/>
      <c r="AC141" s="122"/>
      <c r="AD141" s="122"/>
      <c r="AE141" s="122"/>
      <c r="AF141" s="122"/>
      <c r="AG141" s="122"/>
      <c r="AH141" s="122"/>
      <c r="AI141" s="122"/>
      <c r="AJ141" s="122"/>
      <c r="AK141" s="122"/>
      <c r="AL141" s="122"/>
      <c r="AM141" s="122"/>
      <c r="AN141" s="122"/>
      <c r="AO141" s="122"/>
      <c r="AP141" s="122"/>
      <c r="AQ141" s="122"/>
      <c r="AR141" s="122"/>
      <c r="AS141" s="122"/>
      <c r="AT141" s="122"/>
      <c r="AU141" s="122"/>
      <c r="AV141" s="122"/>
    </row>
    <row r="142" spans="4:48" ht="15.95" customHeight="1">
      <c r="D142" s="122"/>
      <c r="E142" s="122"/>
      <c r="F142" s="122"/>
      <c r="G142" s="122"/>
      <c r="H142" s="122"/>
      <c r="I142" s="122"/>
      <c r="J142" s="122"/>
      <c r="K142" s="122"/>
      <c r="L142" s="122"/>
      <c r="M142" s="122"/>
      <c r="N142" s="122"/>
      <c r="O142" s="122"/>
      <c r="P142" s="122"/>
      <c r="Q142" s="122"/>
      <c r="R142" s="122"/>
      <c r="S142" s="122"/>
      <c r="T142" s="122"/>
      <c r="U142" s="122"/>
      <c r="V142" s="122"/>
      <c r="W142" s="172" t="s">
        <v>508</v>
      </c>
      <c r="X142" s="122"/>
      <c r="Y142" s="122"/>
      <c r="Z142" s="122"/>
      <c r="AA142" s="122"/>
      <c r="AB142" s="122"/>
      <c r="AC142" s="122"/>
      <c r="AD142" s="122"/>
      <c r="AE142" s="122"/>
      <c r="AF142" s="122"/>
      <c r="AG142" s="122"/>
      <c r="AH142" s="122"/>
      <c r="AI142" s="122"/>
      <c r="AJ142" s="122"/>
      <c r="AK142" s="122"/>
      <c r="AL142" s="122"/>
      <c r="AM142" s="122"/>
      <c r="AN142" s="122"/>
      <c r="AO142" s="122"/>
      <c r="AP142" s="122"/>
      <c r="AQ142" s="122"/>
      <c r="AR142" s="122"/>
      <c r="AS142" s="122"/>
      <c r="AT142" s="122"/>
      <c r="AU142" s="122"/>
      <c r="AV142" s="122"/>
    </row>
    <row r="143" spans="4:48" ht="15.95" customHeight="1">
      <c r="D143" s="122"/>
      <c r="E143" s="122"/>
      <c r="F143" s="122"/>
      <c r="G143" s="122"/>
      <c r="H143" s="122"/>
      <c r="I143" s="122"/>
      <c r="J143" s="122"/>
      <c r="K143" s="122"/>
      <c r="L143" s="122"/>
      <c r="M143" s="122"/>
      <c r="N143" s="122"/>
      <c r="O143" s="122"/>
      <c r="P143" s="122"/>
      <c r="Q143" s="122"/>
      <c r="R143" s="122"/>
      <c r="S143" s="122"/>
      <c r="T143" s="122"/>
      <c r="U143" s="122"/>
      <c r="V143" s="122"/>
      <c r="W143" s="172" t="s">
        <v>509</v>
      </c>
      <c r="X143" s="122"/>
      <c r="Y143" s="122"/>
      <c r="Z143" s="122"/>
      <c r="AA143" s="122"/>
      <c r="AB143" s="122"/>
      <c r="AC143" s="122"/>
      <c r="AD143" s="122"/>
      <c r="AE143" s="122"/>
      <c r="AF143" s="122"/>
      <c r="AG143" s="122"/>
      <c r="AH143" s="122"/>
      <c r="AI143" s="122"/>
      <c r="AJ143" s="122"/>
      <c r="AK143" s="122"/>
      <c r="AL143" s="122"/>
      <c r="AM143" s="122"/>
      <c r="AN143" s="122"/>
      <c r="AO143" s="122"/>
      <c r="AP143" s="122"/>
      <c r="AQ143" s="122"/>
      <c r="AR143" s="122"/>
      <c r="AS143" s="122"/>
      <c r="AT143" s="122"/>
      <c r="AU143" s="122"/>
      <c r="AV143" s="122"/>
    </row>
    <row r="144" spans="4:48" ht="15.95" customHeight="1">
      <c r="D144" s="122"/>
      <c r="E144" s="122"/>
      <c r="F144" s="122"/>
      <c r="G144" s="122"/>
      <c r="H144" s="122"/>
      <c r="I144" s="122"/>
      <c r="J144" s="122"/>
      <c r="K144" s="122"/>
      <c r="L144" s="122"/>
      <c r="M144" s="122"/>
      <c r="N144" s="122"/>
      <c r="O144" s="122"/>
      <c r="P144" s="122"/>
      <c r="Q144" s="122"/>
      <c r="R144" s="122"/>
      <c r="S144" s="122"/>
      <c r="T144" s="122"/>
      <c r="U144" s="122"/>
      <c r="V144" s="122"/>
      <c r="W144" s="172" t="s">
        <v>510</v>
      </c>
      <c r="X144" s="122"/>
      <c r="Y144" s="122"/>
      <c r="Z144" s="122"/>
      <c r="AA144" s="122"/>
      <c r="AB144" s="122"/>
      <c r="AC144" s="122"/>
      <c r="AD144" s="122"/>
      <c r="AE144" s="122"/>
      <c r="AF144" s="122"/>
      <c r="AG144" s="122"/>
      <c r="AH144" s="122"/>
      <c r="AI144" s="122"/>
      <c r="AJ144" s="122"/>
      <c r="AK144" s="122"/>
      <c r="AL144" s="122"/>
      <c r="AM144" s="122"/>
      <c r="AN144" s="122"/>
      <c r="AO144" s="122"/>
      <c r="AP144" s="122"/>
      <c r="AQ144" s="122"/>
      <c r="AR144" s="122"/>
      <c r="AS144" s="122"/>
      <c r="AT144" s="122"/>
      <c r="AU144" s="122"/>
      <c r="AV144" s="122"/>
    </row>
    <row r="145" spans="4:48" ht="15.95" customHeight="1">
      <c r="D145" s="122"/>
      <c r="E145" s="122"/>
      <c r="F145" s="122"/>
      <c r="G145" s="122"/>
      <c r="H145" s="122"/>
      <c r="I145" s="122"/>
      <c r="J145" s="122"/>
      <c r="K145" s="122"/>
      <c r="L145" s="122"/>
      <c r="M145" s="122"/>
      <c r="N145" s="122"/>
      <c r="O145" s="122"/>
      <c r="P145" s="122"/>
      <c r="Q145" s="122"/>
      <c r="R145" s="122"/>
      <c r="S145" s="122"/>
      <c r="T145" s="122"/>
      <c r="U145" s="122"/>
      <c r="V145" s="122"/>
      <c r="W145" s="172" t="s">
        <v>511</v>
      </c>
      <c r="X145" s="122"/>
      <c r="Y145" s="122"/>
      <c r="Z145" s="122"/>
      <c r="AA145" s="122"/>
      <c r="AB145" s="122"/>
      <c r="AC145" s="122"/>
      <c r="AD145" s="122"/>
      <c r="AE145" s="122"/>
      <c r="AF145" s="122"/>
      <c r="AG145" s="122"/>
      <c r="AH145" s="122"/>
      <c r="AI145" s="122"/>
      <c r="AJ145" s="122"/>
      <c r="AK145" s="122"/>
      <c r="AL145" s="122"/>
      <c r="AM145" s="122"/>
      <c r="AN145" s="122"/>
      <c r="AO145" s="122"/>
      <c r="AP145" s="122"/>
      <c r="AQ145" s="122"/>
      <c r="AR145" s="122"/>
      <c r="AS145" s="122"/>
      <c r="AT145" s="122"/>
      <c r="AU145" s="122"/>
      <c r="AV145" s="122"/>
    </row>
    <row r="146" spans="4:48" ht="15.95" customHeight="1">
      <c r="D146" s="122"/>
      <c r="E146" s="122"/>
      <c r="F146" s="122"/>
      <c r="G146" s="122"/>
      <c r="H146" s="122"/>
      <c r="I146" s="122"/>
      <c r="J146" s="122"/>
      <c r="K146" s="122"/>
      <c r="L146" s="122"/>
      <c r="M146" s="122"/>
      <c r="N146" s="122"/>
      <c r="O146" s="122"/>
      <c r="P146" s="122"/>
      <c r="Q146" s="122"/>
      <c r="R146" s="122"/>
      <c r="S146" s="122"/>
      <c r="T146" s="122"/>
      <c r="U146" s="122"/>
      <c r="V146" s="122"/>
      <c r="W146" s="172" t="s">
        <v>512</v>
      </c>
      <c r="X146" s="122"/>
      <c r="Y146" s="122"/>
      <c r="Z146" s="122"/>
      <c r="AA146" s="122"/>
      <c r="AB146" s="122"/>
      <c r="AC146" s="122"/>
      <c r="AD146" s="122"/>
      <c r="AE146" s="122"/>
      <c r="AF146" s="122"/>
      <c r="AG146" s="122"/>
      <c r="AH146" s="122"/>
      <c r="AI146" s="122"/>
      <c r="AJ146" s="122"/>
      <c r="AK146" s="122"/>
      <c r="AL146" s="122"/>
      <c r="AM146" s="122"/>
      <c r="AN146" s="122"/>
      <c r="AO146" s="122"/>
      <c r="AP146" s="122"/>
      <c r="AQ146" s="122"/>
      <c r="AR146" s="122"/>
      <c r="AS146" s="122"/>
      <c r="AT146" s="122"/>
      <c r="AU146" s="122"/>
      <c r="AV146" s="122"/>
    </row>
    <row r="147" spans="4:48" ht="15.95" customHeight="1">
      <c r="D147" s="122"/>
      <c r="E147" s="122"/>
      <c r="F147" s="122"/>
      <c r="G147" s="122"/>
      <c r="H147" s="122"/>
      <c r="I147" s="122"/>
      <c r="J147" s="122"/>
      <c r="K147" s="122"/>
      <c r="L147" s="122"/>
      <c r="M147" s="122"/>
      <c r="N147" s="122"/>
      <c r="O147" s="122"/>
      <c r="P147" s="122"/>
      <c r="Q147" s="122"/>
      <c r="R147" s="122"/>
      <c r="S147" s="122"/>
      <c r="T147" s="122"/>
      <c r="U147" s="122"/>
      <c r="V147" s="122"/>
      <c r="W147" s="172" t="s">
        <v>513</v>
      </c>
      <c r="X147" s="122"/>
      <c r="Y147" s="122"/>
      <c r="Z147" s="122"/>
      <c r="AA147" s="122"/>
      <c r="AB147" s="122"/>
      <c r="AC147" s="122"/>
      <c r="AD147" s="122"/>
      <c r="AE147" s="122"/>
      <c r="AF147" s="122"/>
      <c r="AG147" s="122"/>
      <c r="AH147" s="122"/>
      <c r="AI147" s="122"/>
      <c r="AJ147" s="122"/>
      <c r="AK147" s="122"/>
      <c r="AL147" s="122"/>
      <c r="AM147" s="122"/>
      <c r="AN147" s="122"/>
      <c r="AO147" s="122"/>
      <c r="AP147" s="122"/>
      <c r="AQ147" s="122"/>
      <c r="AR147" s="122"/>
      <c r="AS147" s="122"/>
      <c r="AT147" s="122"/>
      <c r="AU147" s="122"/>
      <c r="AV147" s="122"/>
    </row>
    <row r="148" spans="4:48" ht="15.95" customHeight="1">
      <c r="D148" s="122"/>
      <c r="E148" s="122"/>
      <c r="F148" s="122"/>
      <c r="G148" s="122"/>
      <c r="H148" s="122"/>
      <c r="I148" s="122"/>
      <c r="J148" s="122"/>
      <c r="K148" s="122"/>
      <c r="L148" s="122"/>
      <c r="M148" s="122"/>
      <c r="N148" s="122"/>
      <c r="O148" s="122"/>
      <c r="P148" s="122"/>
      <c r="Q148" s="122"/>
      <c r="R148" s="122"/>
      <c r="S148" s="122"/>
      <c r="T148" s="122"/>
      <c r="U148" s="122"/>
      <c r="V148" s="122"/>
      <c r="W148" s="172" t="s">
        <v>514</v>
      </c>
      <c r="X148" s="122"/>
      <c r="Y148" s="122"/>
      <c r="Z148" s="122"/>
      <c r="AA148" s="122"/>
      <c r="AB148" s="122"/>
      <c r="AC148" s="122"/>
      <c r="AD148" s="122"/>
      <c r="AE148" s="122"/>
      <c r="AF148" s="122"/>
      <c r="AG148" s="122"/>
      <c r="AH148" s="122"/>
      <c r="AI148" s="122"/>
      <c r="AJ148" s="122"/>
      <c r="AK148" s="122"/>
      <c r="AL148" s="122"/>
      <c r="AM148" s="122"/>
      <c r="AN148" s="122"/>
      <c r="AO148" s="122"/>
      <c r="AP148" s="122"/>
      <c r="AQ148" s="122"/>
      <c r="AR148" s="122"/>
      <c r="AS148" s="122"/>
      <c r="AT148" s="122"/>
      <c r="AU148" s="122"/>
      <c r="AV148" s="122"/>
    </row>
    <row r="149" spans="4:48" ht="15.95" customHeight="1">
      <c r="D149" s="122"/>
      <c r="E149" s="122"/>
      <c r="F149" s="122"/>
      <c r="G149" s="122"/>
      <c r="H149" s="122"/>
      <c r="I149" s="122"/>
      <c r="J149" s="122"/>
      <c r="K149" s="122"/>
      <c r="L149" s="122"/>
      <c r="M149" s="122"/>
      <c r="N149" s="122"/>
      <c r="O149" s="122"/>
      <c r="P149" s="122"/>
      <c r="Q149" s="122"/>
      <c r="R149" s="122"/>
      <c r="S149" s="122"/>
      <c r="T149" s="122"/>
      <c r="U149" s="122"/>
      <c r="V149" s="122"/>
      <c r="W149" s="172" t="s">
        <v>515</v>
      </c>
      <c r="X149" s="122"/>
      <c r="Y149" s="122"/>
      <c r="Z149" s="122"/>
      <c r="AA149" s="122"/>
      <c r="AB149" s="122"/>
      <c r="AC149" s="122"/>
      <c r="AD149" s="122"/>
      <c r="AE149" s="122"/>
      <c r="AF149" s="122"/>
      <c r="AG149" s="122"/>
      <c r="AH149" s="122"/>
      <c r="AI149" s="122"/>
      <c r="AJ149" s="122"/>
      <c r="AK149" s="122"/>
      <c r="AL149" s="122"/>
      <c r="AM149" s="122"/>
      <c r="AN149" s="122"/>
      <c r="AO149" s="122"/>
      <c r="AP149" s="122"/>
      <c r="AQ149" s="122"/>
      <c r="AR149" s="122"/>
      <c r="AS149" s="122"/>
      <c r="AT149" s="122"/>
      <c r="AU149" s="122"/>
      <c r="AV149" s="122"/>
    </row>
    <row r="150" spans="4:48" ht="15.95" customHeight="1">
      <c r="D150" s="122"/>
      <c r="E150" s="122"/>
      <c r="F150" s="122"/>
      <c r="G150" s="122"/>
      <c r="H150" s="122"/>
      <c r="I150" s="122"/>
      <c r="J150" s="122"/>
      <c r="K150" s="122"/>
      <c r="L150" s="122"/>
      <c r="M150" s="122"/>
      <c r="N150" s="122"/>
      <c r="O150" s="122"/>
      <c r="P150" s="122"/>
      <c r="Q150" s="122"/>
      <c r="R150" s="122"/>
      <c r="S150" s="122"/>
      <c r="T150" s="122"/>
      <c r="U150" s="122"/>
      <c r="V150" s="122"/>
      <c r="W150" s="172" t="s">
        <v>516</v>
      </c>
      <c r="X150" s="122"/>
      <c r="Y150" s="122"/>
      <c r="Z150" s="122"/>
      <c r="AA150" s="122"/>
      <c r="AB150" s="122"/>
      <c r="AC150" s="122"/>
      <c r="AD150" s="122"/>
      <c r="AE150" s="122"/>
      <c r="AF150" s="122"/>
      <c r="AG150" s="122"/>
      <c r="AH150" s="122"/>
      <c r="AI150" s="122"/>
      <c r="AJ150" s="122"/>
      <c r="AK150" s="122"/>
      <c r="AL150" s="122"/>
      <c r="AM150" s="122"/>
      <c r="AN150" s="122"/>
      <c r="AO150" s="122"/>
      <c r="AP150" s="122"/>
      <c r="AQ150" s="122"/>
      <c r="AR150" s="122"/>
      <c r="AS150" s="122"/>
      <c r="AT150" s="122"/>
      <c r="AU150" s="122"/>
      <c r="AV150" s="122"/>
    </row>
    <row r="151" spans="4:48" ht="15.95" customHeight="1">
      <c r="D151" s="122"/>
      <c r="E151" s="122"/>
      <c r="F151" s="122"/>
      <c r="G151" s="122"/>
      <c r="H151" s="122"/>
      <c r="I151" s="122"/>
      <c r="J151" s="122"/>
      <c r="K151" s="122"/>
      <c r="L151" s="122"/>
      <c r="M151" s="122"/>
      <c r="N151" s="122"/>
      <c r="O151" s="122"/>
      <c r="P151" s="122"/>
      <c r="Q151" s="122"/>
      <c r="R151" s="122"/>
      <c r="S151" s="122"/>
      <c r="T151" s="122"/>
      <c r="U151" s="122"/>
      <c r="V151" s="122"/>
      <c r="W151" s="172" t="s">
        <v>517</v>
      </c>
      <c r="X151" s="122"/>
      <c r="Y151" s="122"/>
      <c r="Z151" s="122"/>
      <c r="AA151" s="122"/>
      <c r="AB151" s="122"/>
      <c r="AC151" s="122"/>
      <c r="AD151" s="122"/>
      <c r="AE151" s="122"/>
      <c r="AF151" s="122"/>
      <c r="AG151" s="122"/>
      <c r="AH151" s="122"/>
      <c r="AI151" s="122"/>
      <c r="AJ151" s="122"/>
      <c r="AK151" s="122"/>
      <c r="AL151" s="122"/>
      <c r="AM151" s="122"/>
      <c r="AN151" s="122"/>
      <c r="AO151" s="122"/>
      <c r="AP151" s="122"/>
      <c r="AQ151" s="122"/>
      <c r="AR151" s="122"/>
      <c r="AS151" s="122"/>
      <c r="AT151" s="122"/>
      <c r="AU151" s="122"/>
      <c r="AV151" s="122"/>
    </row>
    <row r="152" spans="4:48" ht="15.95" customHeight="1">
      <c r="D152" s="122"/>
      <c r="E152" s="122"/>
      <c r="F152" s="122"/>
      <c r="G152" s="122"/>
      <c r="H152" s="122"/>
      <c r="I152" s="122"/>
      <c r="J152" s="122"/>
      <c r="K152" s="122"/>
      <c r="L152" s="122"/>
      <c r="M152" s="122"/>
      <c r="N152" s="122"/>
      <c r="O152" s="122"/>
      <c r="P152" s="122"/>
      <c r="Q152" s="122"/>
      <c r="R152" s="122"/>
      <c r="S152" s="122"/>
      <c r="T152" s="122"/>
      <c r="U152" s="122"/>
      <c r="V152" s="122"/>
      <c r="W152" s="172" t="s">
        <v>518</v>
      </c>
      <c r="X152" s="122"/>
      <c r="Y152" s="122"/>
      <c r="Z152" s="122"/>
      <c r="AA152" s="122"/>
      <c r="AB152" s="122"/>
      <c r="AC152" s="122"/>
      <c r="AD152" s="122"/>
      <c r="AE152" s="122"/>
      <c r="AF152" s="122"/>
      <c r="AG152" s="122"/>
      <c r="AH152" s="122"/>
      <c r="AI152" s="122"/>
      <c r="AJ152" s="122"/>
      <c r="AK152" s="122"/>
      <c r="AL152" s="122"/>
      <c r="AM152" s="122"/>
      <c r="AN152" s="122"/>
      <c r="AO152" s="122"/>
      <c r="AP152" s="122"/>
      <c r="AQ152" s="122"/>
      <c r="AR152" s="122"/>
      <c r="AS152" s="122"/>
      <c r="AT152" s="122"/>
      <c r="AU152" s="122"/>
      <c r="AV152" s="122"/>
    </row>
    <row r="153" spans="4:48" ht="15.95" customHeight="1">
      <c r="D153" s="122"/>
      <c r="E153" s="122"/>
      <c r="F153" s="122"/>
      <c r="G153" s="122"/>
      <c r="H153" s="122"/>
      <c r="I153" s="122"/>
      <c r="J153" s="122"/>
      <c r="K153" s="122"/>
      <c r="L153" s="122"/>
      <c r="M153" s="122"/>
      <c r="N153" s="122"/>
      <c r="O153" s="122"/>
      <c r="P153" s="122"/>
      <c r="Q153" s="122"/>
      <c r="R153" s="122"/>
      <c r="S153" s="122"/>
      <c r="T153" s="122"/>
      <c r="U153" s="122"/>
      <c r="V153" s="122"/>
      <c r="W153" s="172" t="s">
        <v>519</v>
      </c>
      <c r="X153" s="122"/>
      <c r="Y153" s="122"/>
      <c r="Z153" s="122"/>
      <c r="AA153" s="122"/>
      <c r="AB153" s="122"/>
      <c r="AC153" s="122"/>
      <c r="AD153" s="122"/>
      <c r="AE153" s="122"/>
      <c r="AF153" s="122"/>
      <c r="AG153" s="122"/>
      <c r="AH153" s="122"/>
      <c r="AI153" s="122"/>
      <c r="AJ153" s="122"/>
      <c r="AK153" s="122"/>
      <c r="AL153" s="122"/>
      <c r="AM153" s="122"/>
      <c r="AN153" s="122"/>
      <c r="AO153" s="122"/>
      <c r="AP153" s="122"/>
      <c r="AQ153" s="122"/>
      <c r="AR153" s="122"/>
      <c r="AS153" s="122"/>
      <c r="AT153" s="122"/>
      <c r="AU153" s="122"/>
      <c r="AV153" s="122"/>
    </row>
    <row r="154" spans="4:48" ht="15.95" customHeight="1">
      <c r="D154" s="122"/>
      <c r="E154" s="122"/>
      <c r="F154" s="122"/>
      <c r="G154" s="122"/>
      <c r="H154" s="122"/>
      <c r="I154" s="122"/>
      <c r="J154" s="122"/>
      <c r="K154" s="122"/>
      <c r="L154" s="122"/>
      <c r="M154" s="122"/>
      <c r="N154" s="122"/>
      <c r="O154" s="122"/>
      <c r="P154" s="122"/>
      <c r="Q154" s="122"/>
      <c r="R154" s="122"/>
      <c r="S154" s="122"/>
      <c r="T154" s="122"/>
      <c r="U154" s="122"/>
      <c r="V154" s="122"/>
      <c r="W154" s="172" t="s">
        <v>520</v>
      </c>
      <c r="X154" s="122"/>
      <c r="Y154" s="122"/>
      <c r="Z154" s="122"/>
      <c r="AA154" s="122"/>
      <c r="AB154" s="122"/>
      <c r="AC154" s="122"/>
      <c r="AD154" s="122"/>
      <c r="AE154" s="122"/>
      <c r="AF154" s="122"/>
      <c r="AG154" s="122"/>
      <c r="AH154" s="122"/>
      <c r="AI154" s="122"/>
      <c r="AJ154" s="122"/>
      <c r="AK154" s="122"/>
      <c r="AL154" s="122"/>
      <c r="AM154" s="122"/>
      <c r="AN154" s="122"/>
      <c r="AO154" s="122"/>
      <c r="AP154" s="122"/>
      <c r="AQ154" s="122"/>
      <c r="AR154" s="122"/>
      <c r="AS154" s="122"/>
      <c r="AT154" s="122"/>
      <c r="AU154" s="122"/>
      <c r="AV154" s="122"/>
    </row>
    <row r="155" spans="4:48" ht="15.95" customHeight="1">
      <c r="D155" s="122"/>
      <c r="E155" s="122"/>
      <c r="F155" s="122"/>
      <c r="G155" s="122"/>
      <c r="H155" s="122"/>
      <c r="I155" s="122"/>
      <c r="J155" s="122"/>
      <c r="K155" s="122"/>
      <c r="L155" s="122"/>
      <c r="M155" s="122"/>
      <c r="N155" s="122"/>
      <c r="O155" s="122"/>
      <c r="P155" s="122"/>
      <c r="Q155" s="122"/>
      <c r="R155" s="122"/>
      <c r="S155" s="122"/>
      <c r="T155" s="122"/>
      <c r="U155" s="122"/>
      <c r="V155" s="122"/>
      <c r="W155" s="172" t="s">
        <v>521</v>
      </c>
      <c r="X155" s="122"/>
      <c r="Y155" s="122"/>
      <c r="Z155" s="122"/>
      <c r="AA155" s="122"/>
      <c r="AB155" s="122"/>
      <c r="AC155" s="122"/>
      <c r="AD155" s="122"/>
      <c r="AE155" s="122"/>
      <c r="AF155" s="122"/>
      <c r="AG155" s="122"/>
      <c r="AH155" s="122"/>
      <c r="AI155" s="122"/>
      <c r="AJ155" s="122"/>
      <c r="AK155" s="122"/>
      <c r="AL155" s="122"/>
      <c r="AM155" s="122"/>
      <c r="AN155" s="122"/>
      <c r="AO155" s="122"/>
      <c r="AP155" s="122"/>
      <c r="AQ155" s="122"/>
      <c r="AR155" s="122"/>
      <c r="AS155" s="122"/>
      <c r="AT155" s="122"/>
      <c r="AU155" s="122"/>
      <c r="AV155" s="122"/>
    </row>
    <row r="156" spans="4:48" ht="15.95" customHeight="1">
      <c r="D156" s="122"/>
      <c r="E156" s="122"/>
      <c r="F156" s="122"/>
      <c r="G156" s="122"/>
      <c r="H156" s="122"/>
      <c r="I156" s="122"/>
      <c r="J156" s="122"/>
      <c r="K156" s="122"/>
      <c r="L156" s="122"/>
      <c r="M156" s="122"/>
      <c r="N156" s="122"/>
      <c r="O156" s="122"/>
      <c r="P156" s="122"/>
      <c r="Q156" s="122"/>
      <c r="R156" s="122"/>
      <c r="S156" s="122"/>
      <c r="T156" s="122"/>
      <c r="U156" s="122"/>
      <c r="V156" s="122"/>
      <c r="W156" s="172" t="s">
        <v>522</v>
      </c>
      <c r="X156" s="122"/>
      <c r="Y156" s="122"/>
      <c r="Z156" s="122"/>
      <c r="AA156" s="122"/>
      <c r="AB156" s="122"/>
      <c r="AC156" s="122"/>
      <c r="AD156" s="122"/>
      <c r="AE156" s="122"/>
      <c r="AF156" s="122"/>
      <c r="AG156" s="122"/>
      <c r="AH156" s="122"/>
      <c r="AI156" s="122"/>
      <c r="AJ156" s="122"/>
      <c r="AK156" s="122"/>
      <c r="AL156" s="122"/>
      <c r="AM156" s="122"/>
      <c r="AN156" s="122"/>
      <c r="AO156" s="122"/>
      <c r="AP156" s="122"/>
      <c r="AQ156" s="122"/>
      <c r="AR156" s="122"/>
      <c r="AS156" s="122"/>
      <c r="AT156" s="122"/>
      <c r="AU156" s="122"/>
      <c r="AV156" s="122"/>
    </row>
    <row r="157" spans="4:48" ht="15.95" customHeight="1">
      <c r="D157" s="122"/>
      <c r="E157" s="122"/>
      <c r="F157" s="122"/>
      <c r="G157" s="122"/>
      <c r="H157" s="122"/>
      <c r="I157" s="122"/>
      <c r="J157" s="122"/>
      <c r="K157" s="122"/>
      <c r="L157" s="122"/>
      <c r="M157" s="122"/>
      <c r="N157" s="122"/>
      <c r="O157" s="122"/>
      <c r="P157" s="122"/>
      <c r="Q157" s="122"/>
      <c r="R157" s="122"/>
      <c r="S157" s="122"/>
      <c r="T157" s="122"/>
      <c r="U157" s="122"/>
      <c r="V157" s="122"/>
      <c r="W157" s="172" t="s">
        <v>523</v>
      </c>
      <c r="X157" s="122"/>
      <c r="Y157" s="122"/>
      <c r="Z157" s="122"/>
      <c r="AA157" s="122"/>
      <c r="AB157" s="122"/>
      <c r="AC157" s="122"/>
      <c r="AD157" s="122"/>
      <c r="AE157" s="122"/>
      <c r="AF157" s="122"/>
      <c r="AG157" s="122"/>
      <c r="AH157" s="122"/>
      <c r="AI157" s="122"/>
      <c r="AJ157" s="122"/>
      <c r="AK157" s="122"/>
      <c r="AL157" s="122"/>
      <c r="AM157" s="122"/>
      <c r="AN157" s="122"/>
      <c r="AO157" s="122"/>
      <c r="AP157" s="122"/>
      <c r="AQ157" s="122"/>
      <c r="AR157" s="122"/>
      <c r="AS157" s="122"/>
      <c r="AT157" s="122"/>
      <c r="AU157" s="122"/>
      <c r="AV157" s="122"/>
    </row>
    <row r="158" spans="4:48" ht="15.95" customHeight="1">
      <c r="D158" s="122"/>
      <c r="E158" s="122"/>
      <c r="F158" s="122"/>
      <c r="G158" s="122"/>
      <c r="H158" s="122"/>
      <c r="I158" s="122"/>
      <c r="J158" s="122"/>
      <c r="K158" s="122"/>
      <c r="L158" s="122"/>
      <c r="M158" s="122"/>
      <c r="N158" s="122"/>
      <c r="O158" s="122"/>
      <c r="P158" s="122"/>
      <c r="Q158" s="122"/>
      <c r="R158" s="122"/>
      <c r="S158" s="122"/>
      <c r="T158" s="122"/>
      <c r="U158" s="122"/>
      <c r="V158" s="122"/>
      <c r="W158" s="172" t="s">
        <v>524</v>
      </c>
      <c r="X158" s="122"/>
      <c r="Y158" s="122"/>
      <c r="Z158" s="122"/>
      <c r="AA158" s="122"/>
      <c r="AB158" s="122"/>
      <c r="AC158" s="122"/>
      <c r="AD158" s="122"/>
      <c r="AE158" s="122"/>
      <c r="AF158" s="122"/>
      <c r="AG158" s="122"/>
      <c r="AH158" s="122"/>
      <c r="AI158" s="122"/>
      <c r="AJ158" s="122"/>
      <c r="AK158" s="122"/>
      <c r="AL158" s="122"/>
      <c r="AM158" s="122"/>
      <c r="AN158" s="122"/>
      <c r="AO158" s="122"/>
      <c r="AP158" s="122"/>
      <c r="AQ158" s="122"/>
      <c r="AR158" s="122"/>
      <c r="AS158" s="122"/>
      <c r="AT158" s="122"/>
      <c r="AU158" s="122"/>
      <c r="AV158" s="122"/>
    </row>
    <row r="159" spans="4:48" ht="15.95" customHeight="1">
      <c r="D159" s="122"/>
      <c r="E159" s="122"/>
      <c r="F159" s="122"/>
      <c r="G159" s="122"/>
      <c r="H159" s="122"/>
      <c r="I159" s="122"/>
      <c r="J159" s="122"/>
      <c r="K159" s="122"/>
      <c r="L159" s="122"/>
      <c r="M159" s="122"/>
      <c r="N159" s="122"/>
      <c r="O159" s="122"/>
      <c r="P159" s="122"/>
      <c r="Q159" s="122"/>
      <c r="R159" s="122"/>
      <c r="S159" s="122"/>
      <c r="T159" s="122"/>
      <c r="U159" s="122"/>
      <c r="V159" s="122"/>
      <c r="W159" s="172" t="s">
        <v>525</v>
      </c>
      <c r="X159" s="122"/>
      <c r="Y159" s="122"/>
      <c r="Z159" s="122"/>
      <c r="AA159" s="122"/>
      <c r="AB159" s="122"/>
      <c r="AC159" s="122"/>
      <c r="AD159" s="122"/>
      <c r="AE159" s="122"/>
      <c r="AF159" s="122"/>
      <c r="AG159" s="122"/>
      <c r="AH159" s="122"/>
      <c r="AI159" s="122"/>
      <c r="AJ159" s="122"/>
      <c r="AK159" s="122"/>
      <c r="AL159" s="122"/>
      <c r="AM159" s="122"/>
      <c r="AN159" s="122"/>
      <c r="AO159" s="122"/>
      <c r="AP159" s="122"/>
      <c r="AQ159" s="122"/>
      <c r="AR159" s="122"/>
      <c r="AS159" s="122"/>
      <c r="AT159" s="122"/>
      <c r="AU159" s="122"/>
      <c r="AV159" s="122"/>
    </row>
    <row r="160" spans="4:48" ht="15.95" customHeight="1">
      <c r="D160" s="122"/>
      <c r="E160" s="122"/>
      <c r="F160" s="122"/>
      <c r="G160" s="122"/>
      <c r="H160" s="122"/>
      <c r="I160" s="122"/>
      <c r="J160" s="122"/>
      <c r="K160" s="122"/>
      <c r="L160" s="122"/>
      <c r="M160" s="122"/>
      <c r="N160" s="122"/>
      <c r="O160" s="122"/>
      <c r="P160" s="122"/>
      <c r="Q160" s="122"/>
      <c r="R160" s="122"/>
      <c r="S160" s="122"/>
      <c r="T160" s="122"/>
      <c r="U160" s="122"/>
      <c r="V160" s="122"/>
      <c r="W160" s="172" t="s">
        <v>526</v>
      </c>
      <c r="X160" s="122"/>
      <c r="Y160" s="122"/>
      <c r="Z160" s="122"/>
      <c r="AA160" s="122"/>
      <c r="AB160" s="122"/>
      <c r="AC160" s="122"/>
      <c r="AD160" s="122"/>
      <c r="AE160" s="122"/>
      <c r="AF160" s="122"/>
      <c r="AG160" s="122"/>
      <c r="AH160" s="122"/>
      <c r="AI160" s="122"/>
      <c r="AJ160" s="122"/>
      <c r="AK160" s="122"/>
      <c r="AL160" s="122"/>
      <c r="AM160" s="122"/>
      <c r="AN160" s="122"/>
      <c r="AO160" s="122"/>
      <c r="AP160" s="122"/>
      <c r="AQ160" s="122"/>
      <c r="AR160" s="122"/>
      <c r="AS160" s="122"/>
      <c r="AT160" s="122"/>
      <c r="AU160" s="122"/>
      <c r="AV160" s="122"/>
    </row>
    <row r="161" spans="4:48" ht="15.95" customHeight="1">
      <c r="D161" s="122"/>
      <c r="E161" s="122"/>
      <c r="F161" s="122"/>
      <c r="G161" s="122"/>
      <c r="H161" s="122"/>
      <c r="I161" s="122"/>
      <c r="J161" s="122"/>
      <c r="K161" s="122"/>
      <c r="L161" s="122"/>
      <c r="M161" s="122"/>
      <c r="N161" s="122"/>
      <c r="O161" s="122"/>
      <c r="P161" s="122"/>
      <c r="Q161" s="122"/>
      <c r="R161" s="122"/>
      <c r="S161" s="122"/>
      <c r="T161" s="122"/>
      <c r="U161" s="122"/>
      <c r="V161" s="122"/>
      <c r="W161" s="172" t="s">
        <v>527</v>
      </c>
      <c r="X161" s="122"/>
      <c r="Y161" s="122"/>
      <c r="Z161" s="122"/>
      <c r="AA161" s="122"/>
      <c r="AB161" s="122"/>
      <c r="AC161" s="122"/>
      <c r="AD161" s="122"/>
      <c r="AE161" s="122"/>
      <c r="AF161" s="122"/>
      <c r="AG161" s="122"/>
      <c r="AH161" s="122"/>
      <c r="AI161" s="122"/>
      <c r="AJ161" s="122"/>
      <c r="AK161" s="122"/>
      <c r="AL161" s="122"/>
      <c r="AM161" s="122"/>
      <c r="AN161" s="122"/>
      <c r="AO161" s="122"/>
      <c r="AP161" s="122"/>
      <c r="AQ161" s="122"/>
      <c r="AR161" s="122"/>
      <c r="AS161" s="122"/>
      <c r="AT161" s="122"/>
      <c r="AU161" s="122"/>
      <c r="AV161" s="122"/>
    </row>
    <row r="162" spans="4:48" ht="15.95" customHeight="1">
      <c r="D162" s="122"/>
      <c r="E162" s="122"/>
      <c r="F162" s="122"/>
      <c r="G162" s="122"/>
      <c r="H162" s="122"/>
      <c r="I162" s="122"/>
      <c r="J162" s="122"/>
      <c r="K162" s="122"/>
      <c r="L162" s="122"/>
      <c r="M162" s="122"/>
      <c r="N162" s="122"/>
      <c r="O162" s="122"/>
      <c r="P162" s="122"/>
      <c r="Q162" s="122"/>
      <c r="R162" s="122"/>
      <c r="S162" s="122"/>
      <c r="T162" s="122"/>
      <c r="U162" s="122"/>
      <c r="V162" s="122"/>
      <c r="W162" s="172" t="s">
        <v>528</v>
      </c>
      <c r="X162" s="122"/>
      <c r="Y162" s="122"/>
      <c r="Z162" s="122"/>
      <c r="AA162" s="122"/>
      <c r="AB162" s="122"/>
      <c r="AC162" s="122"/>
      <c r="AD162" s="122"/>
      <c r="AE162" s="122"/>
      <c r="AF162" s="122"/>
      <c r="AG162" s="122"/>
      <c r="AH162" s="122"/>
      <c r="AI162" s="122"/>
      <c r="AJ162" s="122"/>
      <c r="AK162" s="122"/>
      <c r="AL162" s="122"/>
      <c r="AM162" s="122"/>
      <c r="AN162" s="122"/>
      <c r="AO162" s="122"/>
      <c r="AP162" s="122"/>
      <c r="AQ162" s="122"/>
      <c r="AR162" s="122"/>
      <c r="AS162" s="122"/>
      <c r="AT162" s="122"/>
      <c r="AU162" s="122"/>
      <c r="AV162" s="122"/>
    </row>
    <row r="163" spans="4:48" ht="15.95" customHeight="1">
      <c r="D163" s="122"/>
      <c r="E163" s="122"/>
      <c r="F163" s="122"/>
      <c r="G163" s="122"/>
      <c r="H163" s="122"/>
      <c r="I163" s="122"/>
      <c r="J163" s="122"/>
      <c r="K163" s="122"/>
      <c r="L163" s="122"/>
      <c r="M163" s="122"/>
      <c r="N163" s="122"/>
      <c r="O163" s="122"/>
      <c r="P163" s="122"/>
      <c r="Q163" s="122"/>
      <c r="R163" s="122"/>
      <c r="S163" s="122"/>
      <c r="T163" s="122"/>
      <c r="U163" s="122"/>
      <c r="V163" s="122"/>
      <c r="W163" s="172" t="s">
        <v>529</v>
      </c>
      <c r="X163" s="122"/>
      <c r="Y163" s="122"/>
      <c r="Z163" s="122"/>
      <c r="AA163" s="122"/>
      <c r="AB163" s="122"/>
      <c r="AC163" s="122"/>
      <c r="AD163" s="122"/>
      <c r="AE163" s="122"/>
      <c r="AF163" s="122"/>
      <c r="AG163" s="122"/>
      <c r="AH163" s="122"/>
      <c r="AI163" s="122"/>
      <c r="AJ163" s="122"/>
      <c r="AK163" s="122"/>
      <c r="AL163" s="122"/>
      <c r="AM163" s="122"/>
      <c r="AN163" s="122"/>
      <c r="AO163" s="122"/>
      <c r="AP163" s="122"/>
      <c r="AQ163" s="122"/>
      <c r="AR163" s="122"/>
      <c r="AS163" s="122"/>
      <c r="AT163" s="122"/>
      <c r="AU163" s="122"/>
      <c r="AV163" s="122"/>
    </row>
    <row r="164" spans="4:48" ht="15.95" customHeight="1">
      <c r="D164" s="122"/>
      <c r="E164" s="122"/>
      <c r="F164" s="122"/>
      <c r="G164" s="122"/>
      <c r="H164" s="122"/>
      <c r="I164" s="122"/>
      <c r="J164" s="122"/>
      <c r="K164" s="122"/>
      <c r="L164" s="122"/>
      <c r="M164" s="122"/>
      <c r="N164" s="122"/>
      <c r="O164" s="122"/>
      <c r="P164" s="122"/>
      <c r="Q164" s="122"/>
      <c r="R164" s="122"/>
      <c r="S164" s="122"/>
      <c r="T164" s="122"/>
      <c r="U164" s="122"/>
      <c r="V164" s="122"/>
      <c r="W164" s="172" t="s">
        <v>530</v>
      </c>
      <c r="X164" s="122"/>
      <c r="Y164" s="122"/>
      <c r="Z164" s="122"/>
      <c r="AA164" s="122"/>
      <c r="AB164" s="122"/>
      <c r="AC164" s="122"/>
      <c r="AD164" s="122"/>
      <c r="AE164" s="122"/>
      <c r="AF164" s="122"/>
      <c r="AG164" s="122"/>
      <c r="AH164" s="122"/>
      <c r="AI164" s="122"/>
      <c r="AJ164" s="122"/>
      <c r="AK164" s="122"/>
      <c r="AL164" s="122"/>
      <c r="AM164" s="122"/>
      <c r="AN164" s="122"/>
      <c r="AO164" s="122"/>
      <c r="AP164" s="122"/>
      <c r="AQ164" s="122"/>
      <c r="AR164" s="122"/>
      <c r="AS164" s="122"/>
      <c r="AT164" s="122"/>
      <c r="AU164" s="122"/>
      <c r="AV164" s="122"/>
    </row>
    <row r="165" spans="4:48" ht="15.95" customHeight="1">
      <c r="D165" s="122"/>
      <c r="E165" s="122"/>
      <c r="F165" s="122"/>
      <c r="G165" s="122"/>
      <c r="H165" s="122"/>
      <c r="I165" s="122"/>
      <c r="J165" s="122"/>
      <c r="K165" s="122"/>
      <c r="L165" s="122"/>
      <c r="M165" s="122"/>
      <c r="N165" s="122"/>
      <c r="O165" s="122"/>
      <c r="P165" s="122"/>
      <c r="Q165" s="122"/>
      <c r="R165" s="122"/>
      <c r="S165" s="122"/>
      <c r="T165" s="122"/>
      <c r="U165" s="122"/>
      <c r="V165" s="122"/>
      <c r="W165" s="172" t="s">
        <v>531</v>
      </c>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2"/>
      <c r="AS165" s="122"/>
      <c r="AT165" s="122"/>
      <c r="AU165" s="122"/>
      <c r="AV165" s="122"/>
    </row>
    <row r="166" spans="4:48" ht="15.95" customHeight="1">
      <c r="D166" s="122"/>
      <c r="E166" s="122"/>
      <c r="F166" s="122"/>
      <c r="G166" s="122"/>
      <c r="H166" s="122"/>
      <c r="I166" s="122"/>
      <c r="J166" s="122"/>
      <c r="K166" s="122"/>
      <c r="L166" s="122"/>
      <c r="M166" s="122"/>
      <c r="N166" s="122"/>
      <c r="O166" s="122"/>
      <c r="P166" s="122"/>
      <c r="Q166" s="122"/>
      <c r="R166" s="122"/>
      <c r="S166" s="122"/>
      <c r="T166" s="122"/>
      <c r="U166" s="122"/>
      <c r="V166" s="122"/>
      <c r="W166" s="172" t="s">
        <v>532</v>
      </c>
      <c r="X166" s="122"/>
      <c r="Y166" s="122"/>
      <c r="Z166" s="122"/>
      <c r="AA166" s="122"/>
      <c r="AB166" s="122"/>
      <c r="AC166" s="122"/>
      <c r="AD166" s="122"/>
      <c r="AE166" s="122"/>
      <c r="AF166" s="122"/>
      <c r="AG166" s="122"/>
      <c r="AH166" s="122"/>
      <c r="AI166" s="122"/>
      <c r="AJ166" s="122"/>
      <c r="AK166" s="122"/>
      <c r="AL166" s="122"/>
      <c r="AM166" s="122"/>
      <c r="AN166" s="122"/>
      <c r="AO166" s="122"/>
      <c r="AP166" s="122"/>
      <c r="AQ166" s="122"/>
      <c r="AR166" s="122"/>
      <c r="AS166" s="122"/>
      <c r="AT166" s="122"/>
      <c r="AU166" s="122"/>
      <c r="AV166" s="122"/>
    </row>
    <row r="167" spans="4:48" ht="15.95" customHeight="1">
      <c r="D167" s="122"/>
      <c r="E167" s="122"/>
      <c r="F167" s="122"/>
      <c r="G167" s="122"/>
      <c r="H167" s="122"/>
      <c r="I167" s="122"/>
      <c r="J167" s="122"/>
      <c r="K167" s="122"/>
      <c r="L167" s="122"/>
      <c r="M167" s="122"/>
      <c r="N167" s="122"/>
      <c r="O167" s="122"/>
      <c r="P167" s="122"/>
      <c r="Q167" s="122"/>
      <c r="R167" s="122"/>
      <c r="S167" s="122"/>
      <c r="T167" s="122"/>
      <c r="U167" s="122"/>
      <c r="V167" s="122"/>
      <c r="W167" s="172" t="s">
        <v>533</v>
      </c>
      <c r="X167" s="122"/>
      <c r="Y167" s="122"/>
      <c r="Z167" s="122"/>
      <c r="AA167" s="122"/>
      <c r="AB167" s="122"/>
      <c r="AC167" s="122"/>
      <c r="AD167" s="122"/>
      <c r="AE167" s="122"/>
      <c r="AF167" s="122"/>
      <c r="AG167" s="122"/>
      <c r="AH167" s="122"/>
      <c r="AI167" s="122"/>
      <c r="AJ167" s="122"/>
      <c r="AK167" s="122"/>
      <c r="AL167" s="122"/>
      <c r="AM167" s="122"/>
      <c r="AN167" s="122"/>
      <c r="AO167" s="122"/>
      <c r="AP167" s="122"/>
      <c r="AQ167" s="122"/>
      <c r="AR167" s="122"/>
      <c r="AS167" s="122"/>
      <c r="AT167" s="122"/>
      <c r="AU167" s="122"/>
      <c r="AV167" s="122"/>
    </row>
    <row r="168" spans="4:48" ht="15.95" customHeight="1">
      <c r="D168" s="122"/>
      <c r="E168" s="122"/>
      <c r="F168" s="122"/>
      <c r="G168" s="122"/>
      <c r="H168" s="122"/>
      <c r="I168" s="122"/>
      <c r="J168" s="122"/>
      <c r="K168" s="122"/>
      <c r="L168" s="122"/>
      <c r="M168" s="122"/>
      <c r="N168" s="122"/>
      <c r="O168" s="122"/>
      <c r="P168" s="122"/>
      <c r="Q168" s="122"/>
      <c r="R168" s="122"/>
      <c r="S168" s="122"/>
      <c r="T168" s="122"/>
      <c r="U168" s="122"/>
      <c r="V168" s="122"/>
      <c r="W168" s="172" t="s">
        <v>534</v>
      </c>
      <c r="X168" s="122"/>
      <c r="Y168" s="122"/>
      <c r="Z168" s="122"/>
      <c r="AA168" s="122"/>
      <c r="AB168" s="122"/>
      <c r="AC168" s="122"/>
      <c r="AD168" s="122"/>
      <c r="AE168" s="122"/>
      <c r="AF168" s="122"/>
      <c r="AG168" s="122"/>
      <c r="AH168" s="122"/>
      <c r="AI168" s="122"/>
      <c r="AJ168" s="122"/>
      <c r="AK168" s="122"/>
      <c r="AL168" s="122"/>
      <c r="AM168" s="122"/>
      <c r="AN168" s="122"/>
      <c r="AO168" s="122"/>
      <c r="AP168" s="122"/>
      <c r="AQ168" s="122"/>
      <c r="AR168" s="122"/>
      <c r="AS168" s="122"/>
      <c r="AT168" s="122"/>
      <c r="AU168" s="122"/>
      <c r="AV168" s="122"/>
    </row>
    <row r="169" spans="4:48" ht="15.95" customHeight="1">
      <c r="D169" s="122"/>
      <c r="E169" s="122"/>
      <c r="F169" s="122"/>
      <c r="G169" s="122"/>
      <c r="H169" s="122"/>
      <c r="I169" s="122"/>
      <c r="J169" s="122"/>
      <c r="K169" s="122"/>
      <c r="L169" s="122"/>
      <c r="M169" s="122"/>
      <c r="N169" s="122"/>
      <c r="O169" s="122"/>
      <c r="P169" s="122"/>
      <c r="Q169" s="122"/>
      <c r="R169" s="122"/>
      <c r="S169" s="122"/>
      <c r="T169" s="122"/>
      <c r="U169" s="122"/>
      <c r="V169" s="122"/>
      <c r="W169" s="172" t="s">
        <v>535</v>
      </c>
      <c r="X169" s="122"/>
      <c r="Y169" s="122"/>
      <c r="Z169" s="122"/>
      <c r="AA169" s="122"/>
      <c r="AB169" s="122"/>
      <c r="AC169" s="122"/>
      <c r="AD169" s="122"/>
      <c r="AE169" s="122"/>
      <c r="AF169" s="122"/>
      <c r="AG169" s="122"/>
      <c r="AH169" s="122"/>
      <c r="AI169" s="122"/>
      <c r="AJ169" s="122"/>
      <c r="AK169" s="122"/>
      <c r="AL169" s="122"/>
      <c r="AM169" s="122"/>
      <c r="AN169" s="122"/>
      <c r="AO169" s="122"/>
      <c r="AP169" s="122"/>
      <c r="AQ169" s="122"/>
      <c r="AR169" s="122"/>
      <c r="AS169" s="122"/>
      <c r="AT169" s="122"/>
      <c r="AU169" s="122"/>
      <c r="AV169" s="122"/>
    </row>
    <row r="170" spans="4:48" ht="15.95" customHeight="1">
      <c r="D170" s="122"/>
      <c r="E170" s="122"/>
      <c r="F170" s="122"/>
      <c r="G170" s="122"/>
      <c r="H170" s="122"/>
      <c r="I170" s="122"/>
      <c r="J170" s="122"/>
      <c r="K170" s="122"/>
      <c r="L170" s="122"/>
      <c r="M170" s="122"/>
      <c r="N170" s="122"/>
      <c r="O170" s="122"/>
      <c r="P170" s="122"/>
      <c r="Q170" s="122"/>
      <c r="R170" s="122"/>
      <c r="S170" s="122"/>
      <c r="T170" s="122"/>
      <c r="U170" s="122"/>
      <c r="V170" s="122"/>
      <c r="W170" s="172" t="s">
        <v>536</v>
      </c>
      <c r="X170" s="122"/>
      <c r="Y170" s="122"/>
      <c r="Z170" s="122"/>
      <c r="AA170" s="122"/>
      <c r="AB170" s="122"/>
      <c r="AC170" s="122"/>
      <c r="AD170" s="122"/>
      <c r="AE170" s="122"/>
      <c r="AF170" s="122"/>
      <c r="AG170" s="122"/>
      <c r="AH170" s="122"/>
      <c r="AI170" s="122"/>
      <c r="AJ170" s="122"/>
      <c r="AK170" s="122"/>
      <c r="AL170" s="122"/>
      <c r="AM170" s="122"/>
      <c r="AN170" s="122"/>
      <c r="AO170" s="122"/>
      <c r="AP170" s="122"/>
      <c r="AQ170" s="122"/>
      <c r="AR170" s="122"/>
      <c r="AS170" s="122"/>
      <c r="AT170" s="122"/>
      <c r="AU170" s="122"/>
      <c r="AV170" s="122"/>
    </row>
    <row r="171" spans="4:48" ht="15.95" customHeight="1">
      <c r="D171" s="122"/>
      <c r="E171" s="122"/>
      <c r="F171" s="122"/>
      <c r="G171" s="122"/>
      <c r="H171" s="122"/>
      <c r="I171" s="122"/>
      <c r="J171" s="122"/>
      <c r="K171" s="122"/>
      <c r="L171" s="122"/>
      <c r="M171" s="122"/>
      <c r="N171" s="122"/>
      <c r="O171" s="122"/>
      <c r="P171" s="122"/>
      <c r="Q171" s="122"/>
      <c r="R171" s="122"/>
      <c r="S171" s="122"/>
      <c r="T171" s="122"/>
      <c r="U171" s="122"/>
      <c r="V171" s="122"/>
      <c r="W171" s="172" t="s">
        <v>537</v>
      </c>
      <c r="X171" s="122"/>
      <c r="Y171" s="122"/>
      <c r="Z171" s="122"/>
      <c r="AA171" s="122"/>
      <c r="AB171" s="122"/>
      <c r="AC171" s="122"/>
      <c r="AD171" s="122"/>
      <c r="AE171" s="122"/>
      <c r="AF171" s="122"/>
      <c r="AG171" s="122"/>
      <c r="AH171" s="122"/>
      <c r="AI171" s="122"/>
      <c r="AJ171" s="122"/>
      <c r="AK171" s="122"/>
      <c r="AL171" s="122"/>
      <c r="AM171" s="122"/>
      <c r="AN171" s="122"/>
      <c r="AO171" s="122"/>
      <c r="AP171" s="122"/>
      <c r="AQ171" s="122"/>
      <c r="AR171" s="122"/>
      <c r="AS171" s="122"/>
      <c r="AT171" s="122"/>
      <c r="AU171" s="122"/>
      <c r="AV171" s="122"/>
    </row>
    <row r="172" spans="4:48" ht="15.95" customHeight="1">
      <c r="D172" s="122"/>
      <c r="E172" s="122"/>
      <c r="F172" s="122"/>
      <c r="G172" s="122"/>
      <c r="H172" s="122"/>
      <c r="I172" s="122"/>
      <c r="J172" s="122"/>
      <c r="K172" s="122"/>
      <c r="L172" s="122"/>
      <c r="M172" s="122"/>
      <c r="N172" s="122"/>
      <c r="O172" s="122"/>
      <c r="P172" s="122"/>
      <c r="Q172" s="122"/>
      <c r="R172" s="122"/>
      <c r="S172" s="122"/>
      <c r="T172" s="122"/>
      <c r="U172" s="122"/>
      <c r="V172" s="122"/>
      <c r="W172" s="172" t="s">
        <v>538</v>
      </c>
      <c r="X172" s="122"/>
      <c r="Y172" s="122"/>
      <c r="Z172" s="122"/>
      <c r="AA172" s="122"/>
      <c r="AB172" s="122"/>
      <c r="AC172" s="122"/>
      <c r="AD172" s="122"/>
      <c r="AE172" s="122"/>
      <c r="AF172" s="122"/>
      <c r="AG172" s="122"/>
      <c r="AH172" s="122"/>
      <c r="AI172" s="122"/>
      <c r="AJ172" s="122"/>
      <c r="AK172" s="122"/>
      <c r="AL172" s="122"/>
      <c r="AM172" s="122"/>
      <c r="AN172" s="122"/>
      <c r="AO172" s="122"/>
      <c r="AP172" s="122"/>
      <c r="AQ172" s="122"/>
      <c r="AR172" s="122"/>
      <c r="AS172" s="122"/>
      <c r="AT172" s="122"/>
      <c r="AU172" s="122"/>
      <c r="AV172" s="122"/>
    </row>
    <row r="173" spans="4:48" ht="15.95" customHeight="1">
      <c r="D173" s="122"/>
      <c r="E173" s="122"/>
      <c r="F173" s="122"/>
      <c r="G173" s="122"/>
      <c r="H173" s="122"/>
      <c r="I173" s="122"/>
      <c r="J173" s="122"/>
      <c r="K173" s="122"/>
      <c r="L173" s="122"/>
      <c r="M173" s="122"/>
      <c r="N173" s="122"/>
      <c r="O173" s="122"/>
      <c r="P173" s="122"/>
      <c r="Q173" s="122"/>
      <c r="R173" s="122"/>
      <c r="S173" s="122"/>
      <c r="T173" s="122"/>
      <c r="U173" s="122"/>
      <c r="V173" s="122"/>
      <c r="W173" s="172" t="s">
        <v>539</v>
      </c>
      <c r="X173" s="122"/>
      <c r="Y173" s="122"/>
      <c r="Z173" s="122"/>
      <c r="AA173" s="122"/>
      <c r="AB173" s="122"/>
      <c r="AC173" s="122"/>
      <c r="AD173" s="122"/>
      <c r="AE173" s="122"/>
      <c r="AF173" s="122"/>
      <c r="AG173" s="122"/>
      <c r="AH173" s="122"/>
      <c r="AI173" s="122"/>
      <c r="AJ173" s="122"/>
      <c r="AK173" s="122"/>
      <c r="AL173" s="122"/>
      <c r="AM173" s="122"/>
      <c r="AN173" s="122"/>
      <c r="AO173" s="122"/>
      <c r="AP173" s="122"/>
      <c r="AQ173" s="122"/>
      <c r="AR173" s="122"/>
      <c r="AS173" s="122"/>
      <c r="AT173" s="122"/>
      <c r="AU173" s="122"/>
      <c r="AV173" s="122"/>
    </row>
    <row r="174" spans="4:48" ht="15.95" customHeight="1">
      <c r="D174" s="122"/>
      <c r="E174" s="122"/>
      <c r="F174" s="122"/>
      <c r="G174" s="122"/>
      <c r="H174" s="122"/>
      <c r="I174" s="122"/>
      <c r="J174" s="122"/>
      <c r="K174" s="122"/>
      <c r="L174" s="122"/>
      <c r="M174" s="122"/>
      <c r="N174" s="122"/>
      <c r="O174" s="122"/>
      <c r="P174" s="122"/>
      <c r="Q174" s="122"/>
      <c r="R174" s="122"/>
      <c r="S174" s="122"/>
      <c r="T174" s="122"/>
      <c r="U174" s="122"/>
      <c r="V174" s="122"/>
      <c r="W174" s="172" t="s">
        <v>540</v>
      </c>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2"/>
      <c r="AS174" s="122"/>
      <c r="AT174" s="122"/>
      <c r="AU174" s="122"/>
      <c r="AV174" s="122"/>
    </row>
    <row r="175" spans="4:48" ht="15.95" customHeight="1">
      <c r="D175" s="122"/>
      <c r="E175" s="122"/>
      <c r="F175" s="122"/>
      <c r="G175" s="122"/>
      <c r="H175" s="122"/>
      <c r="I175" s="122"/>
      <c r="J175" s="122"/>
      <c r="K175" s="122"/>
      <c r="L175" s="122"/>
      <c r="M175" s="122"/>
      <c r="N175" s="122"/>
      <c r="O175" s="122"/>
      <c r="P175" s="122"/>
      <c r="Q175" s="122"/>
      <c r="R175" s="122"/>
      <c r="S175" s="122"/>
      <c r="T175" s="122"/>
      <c r="U175" s="122"/>
      <c r="V175" s="122"/>
      <c r="W175" s="172" t="s">
        <v>541</v>
      </c>
      <c r="X175" s="122"/>
      <c r="Y175" s="122"/>
      <c r="Z175" s="122"/>
      <c r="AA175" s="122"/>
      <c r="AB175" s="122"/>
      <c r="AC175" s="122"/>
      <c r="AD175" s="122"/>
      <c r="AE175" s="122"/>
      <c r="AF175" s="122"/>
      <c r="AG175" s="122"/>
      <c r="AH175" s="122"/>
      <c r="AI175" s="122"/>
      <c r="AJ175" s="122"/>
      <c r="AK175" s="122"/>
      <c r="AL175" s="122"/>
      <c r="AM175" s="122"/>
      <c r="AN175" s="122"/>
      <c r="AO175" s="122"/>
      <c r="AP175" s="122"/>
      <c r="AQ175" s="122"/>
      <c r="AR175" s="122"/>
      <c r="AS175" s="122"/>
      <c r="AT175" s="122"/>
      <c r="AU175" s="122"/>
      <c r="AV175" s="122"/>
    </row>
    <row r="176" spans="4:48" ht="15.95" customHeight="1">
      <c r="D176" s="122"/>
      <c r="E176" s="122"/>
      <c r="F176" s="122"/>
      <c r="G176" s="122"/>
      <c r="H176" s="122"/>
      <c r="I176" s="122"/>
      <c r="J176" s="122"/>
      <c r="K176" s="122"/>
      <c r="L176" s="122"/>
      <c r="M176" s="122"/>
      <c r="N176" s="122"/>
      <c r="O176" s="122"/>
      <c r="P176" s="122"/>
      <c r="Q176" s="122"/>
      <c r="R176" s="122"/>
      <c r="S176" s="122"/>
      <c r="T176" s="122"/>
      <c r="U176" s="122"/>
      <c r="V176" s="122"/>
      <c r="W176" s="172" t="s">
        <v>542</v>
      </c>
      <c r="X176" s="122"/>
      <c r="Y176" s="122"/>
      <c r="Z176" s="122"/>
      <c r="AA176" s="122"/>
      <c r="AB176" s="122"/>
      <c r="AC176" s="122"/>
      <c r="AD176" s="122"/>
      <c r="AE176" s="122"/>
      <c r="AF176" s="122"/>
      <c r="AG176" s="122"/>
      <c r="AH176" s="122"/>
      <c r="AI176" s="122"/>
      <c r="AJ176" s="122"/>
      <c r="AK176" s="122"/>
      <c r="AL176" s="122"/>
      <c r="AM176" s="122"/>
      <c r="AN176" s="122"/>
      <c r="AO176" s="122"/>
      <c r="AP176" s="122"/>
      <c r="AQ176" s="122"/>
      <c r="AR176" s="122"/>
      <c r="AS176" s="122"/>
      <c r="AT176" s="122"/>
      <c r="AU176" s="122"/>
      <c r="AV176" s="122"/>
    </row>
    <row r="177" spans="4:48" ht="15.95" customHeight="1">
      <c r="D177" s="122"/>
      <c r="E177" s="122"/>
      <c r="F177" s="122"/>
      <c r="G177" s="122"/>
      <c r="H177" s="122"/>
      <c r="I177" s="122"/>
      <c r="J177" s="122"/>
      <c r="K177" s="122"/>
      <c r="L177" s="122"/>
      <c r="M177" s="122"/>
      <c r="N177" s="122"/>
      <c r="O177" s="122"/>
      <c r="P177" s="122"/>
      <c r="Q177" s="122"/>
      <c r="R177" s="122"/>
      <c r="S177" s="122"/>
      <c r="T177" s="122"/>
      <c r="U177" s="122"/>
      <c r="V177" s="122"/>
      <c r="W177" s="172" t="s">
        <v>543</v>
      </c>
      <c r="X177" s="122"/>
      <c r="Y177" s="122"/>
      <c r="Z177" s="122"/>
      <c r="AA177" s="122"/>
      <c r="AB177" s="122"/>
      <c r="AC177" s="122"/>
      <c r="AD177" s="122"/>
      <c r="AE177" s="122"/>
      <c r="AF177" s="122"/>
      <c r="AG177" s="122"/>
      <c r="AH177" s="122"/>
      <c r="AI177" s="122"/>
      <c r="AJ177" s="122"/>
      <c r="AK177" s="122"/>
      <c r="AL177" s="122"/>
      <c r="AM177" s="122"/>
      <c r="AN177" s="122"/>
      <c r="AO177" s="122"/>
      <c r="AP177" s="122"/>
      <c r="AQ177" s="122"/>
      <c r="AR177" s="122"/>
      <c r="AS177" s="122"/>
      <c r="AT177" s="122"/>
      <c r="AU177" s="122"/>
      <c r="AV177" s="122"/>
    </row>
    <row r="178" spans="4:48" ht="15.95" customHeight="1">
      <c r="D178" s="122"/>
      <c r="E178" s="122"/>
      <c r="F178" s="122"/>
      <c r="G178" s="122"/>
      <c r="H178" s="122"/>
      <c r="I178" s="122"/>
      <c r="J178" s="122"/>
      <c r="K178" s="122"/>
      <c r="L178" s="122"/>
      <c r="M178" s="122"/>
      <c r="N178" s="122"/>
      <c r="O178" s="122"/>
      <c r="P178" s="122"/>
      <c r="Q178" s="122"/>
      <c r="R178" s="122"/>
      <c r="S178" s="122"/>
      <c r="T178" s="122"/>
      <c r="U178" s="122"/>
      <c r="V178" s="122"/>
      <c r="W178" s="172" t="s">
        <v>544</v>
      </c>
      <c r="X178" s="122"/>
      <c r="Y178" s="122"/>
      <c r="Z178" s="122"/>
      <c r="AA178" s="122"/>
      <c r="AB178" s="122"/>
      <c r="AC178" s="122"/>
      <c r="AD178" s="122"/>
      <c r="AE178" s="122"/>
      <c r="AF178" s="122"/>
      <c r="AG178" s="122"/>
      <c r="AH178" s="122"/>
      <c r="AI178" s="122"/>
      <c r="AJ178" s="122"/>
      <c r="AK178" s="122"/>
      <c r="AL178" s="122"/>
      <c r="AM178" s="122"/>
      <c r="AN178" s="122"/>
      <c r="AO178" s="122"/>
      <c r="AP178" s="122"/>
      <c r="AQ178" s="122"/>
      <c r="AR178" s="122"/>
      <c r="AS178" s="122"/>
      <c r="AT178" s="122"/>
      <c r="AU178" s="122"/>
      <c r="AV178" s="122"/>
    </row>
    <row r="179" spans="4:48" ht="15.95" customHeight="1">
      <c r="D179" s="122"/>
      <c r="E179" s="122"/>
      <c r="F179" s="122"/>
      <c r="G179" s="122"/>
      <c r="H179" s="122"/>
      <c r="I179" s="122"/>
      <c r="J179" s="122"/>
      <c r="K179" s="122"/>
      <c r="L179" s="122"/>
      <c r="M179" s="122"/>
      <c r="N179" s="122"/>
      <c r="O179" s="122"/>
      <c r="P179" s="122"/>
      <c r="Q179" s="122"/>
      <c r="R179" s="122"/>
      <c r="S179" s="122"/>
      <c r="T179" s="122"/>
      <c r="U179" s="122"/>
      <c r="V179" s="122"/>
      <c r="W179" s="172" t="s">
        <v>545</v>
      </c>
      <c r="X179" s="122"/>
      <c r="Y179" s="122"/>
      <c r="Z179" s="122"/>
      <c r="AA179" s="122"/>
      <c r="AB179" s="122"/>
      <c r="AC179" s="122"/>
      <c r="AD179" s="122"/>
      <c r="AE179" s="122"/>
      <c r="AF179" s="122"/>
      <c r="AG179" s="122"/>
      <c r="AH179" s="122"/>
      <c r="AI179" s="122"/>
      <c r="AJ179" s="122"/>
      <c r="AK179" s="122"/>
      <c r="AL179" s="122"/>
      <c r="AM179" s="122"/>
      <c r="AN179" s="122"/>
      <c r="AO179" s="122"/>
      <c r="AP179" s="122"/>
      <c r="AQ179" s="122"/>
      <c r="AR179" s="122"/>
      <c r="AS179" s="122"/>
      <c r="AT179" s="122"/>
      <c r="AU179" s="122"/>
      <c r="AV179" s="122"/>
    </row>
    <row r="180" spans="4:48" ht="15.95" customHeight="1">
      <c r="D180" s="122"/>
      <c r="E180" s="122"/>
      <c r="F180" s="122"/>
      <c r="G180" s="122"/>
      <c r="H180" s="122"/>
      <c r="I180" s="122"/>
      <c r="J180" s="122"/>
      <c r="K180" s="122"/>
      <c r="L180" s="122"/>
      <c r="M180" s="122"/>
      <c r="N180" s="122"/>
      <c r="O180" s="122"/>
      <c r="P180" s="122"/>
      <c r="Q180" s="122"/>
      <c r="R180" s="122"/>
      <c r="S180" s="122"/>
      <c r="T180" s="122"/>
      <c r="U180" s="122"/>
      <c r="V180" s="122"/>
      <c r="W180" s="172" t="s">
        <v>546</v>
      </c>
      <c r="X180" s="122"/>
      <c r="Y180" s="122"/>
      <c r="Z180" s="122"/>
      <c r="AA180" s="122"/>
      <c r="AB180" s="122"/>
      <c r="AC180" s="122"/>
      <c r="AD180" s="122"/>
      <c r="AE180" s="122"/>
      <c r="AF180" s="122"/>
      <c r="AG180" s="122"/>
      <c r="AH180" s="122"/>
      <c r="AI180" s="122"/>
      <c r="AJ180" s="122"/>
      <c r="AK180" s="122"/>
      <c r="AL180" s="122"/>
      <c r="AM180" s="122"/>
      <c r="AN180" s="122"/>
      <c r="AO180" s="122"/>
      <c r="AP180" s="122"/>
      <c r="AQ180" s="122"/>
      <c r="AR180" s="122"/>
      <c r="AS180" s="122"/>
      <c r="AT180" s="122"/>
      <c r="AU180" s="122"/>
      <c r="AV180" s="122"/>
    </row>
    <row r="181" spans="4:48" ht="15.95" customHeight="1">
      <c r="D181" s="122"/>
      <c r="E181" s="122"/>
      <c r="F181" s="122"/>
      <c r="G181" s="122"/>
      <c r="H181" s="122"/>
      <c r="I181" s="122"/>
      <c r="J181" s="122"/>
      <c r="K181" s="122"/>
      <c r="L181" s="122"/>
      <c r="M181" s="122"/>
      <c r="N181" s="122"/>
      <c r="O181" s="122"/>
      <c r="P181" s="122"/>
      <c r="Q181" s="122"/>
      <c r="R181" s="122"/>
      <c r="S181" s="122"/>
      <c r="T181" s="122"/>
      <c r="U181" s="122"/>
      <c r="V181" s="122"/>
      <c r="W181" s="172" t="s">
        <v>547</v>
      </c>
      <c r="X181" s="122"/>
      <c r="Y181" s="122"/>
      <c r="Z181" s="122"/>
      <c r="AA181" s="122"/>
      <c r="AB181" s="122"/>
      <c r="AC181" s="122"/>
      <c r="AD181" s="122"/>
      <c r="AE181" s="122"/>
      <c r="AF181" s="122"/>
      <c r="AG181" s="122"/>
      <c r="AH181" s="122"/>
      <c r="AI181" s="122"/>
      <c r="AJ181" s="122"/>
      <c r="AK181" s="122"/>
      <c r="AL181" s="122"/>
      <c r="AM181" s="122"/>
      <c r="AN181" s="122"/>
      <c r="AO181" s="122"/>
      <c r="AP181" s="122"/>
      <c r="AQ181" s="122"/>
      <c r="AR181" s="122"/>
      <c r="AS181" s="122"/>
      <c r="AT181" s="122"/>
      <c r="AU181" s="122"/>
      <c r="AV181" s="122"/>
    </row>
    <row r="182" spans="4:48" ht="15.95" customHeight="1">
      <c r="D182" s="122"/>
      <c r="E182" s="122"/>
      <c r="F182" s="122"/>
      <c r="G182" s="122"/>
      <c r="H182" s="122"/>
      <c r="I182" s="122"/>
      <c r="J182" s="122"/>
      <c r="K182" s="122"/>
      <c r="L182" s="122"/>
      <c r="M182" s="122"/>
      <c r="N182" s="122"/>
      <c r="O182" s="122"/>
      <c r="P182" s="122"/>
      <c r="Q182" s="122"/>
      <c r="R182" s="122"/>
      <c r="S182" s="122"/>
      <c r="T182" s="122"/>
      <c r="U182" s="122"/>
      <c r="V182" s="122"/>
      <c r="W182" s="172" t="s">
        <v>548</v>
      </c>
      <c r="X182" s="122"/>
      <c r="Y182" s="122"/>
      <c r="Z182" s="122"/>
      <c r="AA182" s="122"/>
      <c r="AB182" s="122"/>
      <c r="AC182" s="122"/>
      <c r="AD182" s="122"/>
      <c r="AE182" s="122"/>
      <c r="AF182" s="122"/>
      <c r="AG182" s="122"/>
      <c r="AH182" s="122"/>
      <c r="AI182" s="122"/>
      <c r="AJ182" s="122"/>
      <c r="AK182" s="122"/>
      <c r="AL182" s="122"/>
      <c r="AM182" s="122"/>
      <c r="AN182" s="122"/>
      <c r="AO182" s="122"/>
      <c r="AP182" s="122"/>
      <c r="AQ182" s="122"/>
      <c r="AR182" s="122"/>
      <c r="AS182" s="122"/>
      <c r="AT182" s="122"/>
      <c r="AU182" s="122"/>
      <c r="AV182" s="122"/>
    </row>
    <row r="183" spans="4:48" ht="15.95" customHeight="1">
      <c r="D183" s="122"/>
      <c r="E183" s="122"/>
      <c r="F183" s="122"/>
      <c r="G183" s="122"/>
      <c r="H183" s="122"/>
      <c r="I183" s="122"/>
      <c r="J183" s="122"/>
      <c r="K183" s="122"/>
      <c r="L183" s="122"/>
      <c r="M183" s="122"/>
      <c r="N183" s="122"/>
      <c r="O183" s="122"/>
      <c r="P183" s="122"/>
      <c r="Q183" s="122"/>
      <c r="R183" s="122"/>
      <c r="S183" s="122"/>
      <c r="T183" s="122"/>
      <c r="U183" s="122"/>
      <c r="V183" s="122"/>
      <c r="W183" s="172" t="s">
        <v>549</v>
      </c>
      <c r="X183" s="122"/>
      <c r="Y183" s="122"/>
      <c r="Z183" s="122"/>
      <c r="AA183" s="122"/>
      <c r="AB183" s="122"/>
      <c r="AC183" s="122"/>
      <c r="AD183" s="122"/>
      <c r="AE183" s="122"/>
      <c r="AF183" s="122"/>
      <c r="AG183" s="122"/>
      <c r="AH183" s="122"/>
      <c r="AI183" s="122"/>
      <c r="AJ183" s="122"/>
      <c r="AK183" s="122"/>
      <c r="AL183" s="122"/>
      <c r="AM183" s="122"/>
      <c r="AN183" s="122"/>
      <c r="AO183" s="122"/>
      <c r="AP183" s="122"/>
      <c r="AQ183" s="122"/>
      <c r="AR183" s="122"/>
      <c r="AS183" s="122"/>
      <c r="AT183" s="122"/>
      <c r="AU183" s="122"/>
      <c r="AV183" s="122"/>
    </row>
    <row r="184" spans="4:48" ht="15.95" customHeight="1">
      <c r="D184" s="122"/>
      <c r="E184" s="122"/>
      <c r="F184" s="122"/>
      <c r="G184" s="122"/>
      <c r="H184" s="122"/>
      <c r="I184" s="122"/>
      <c r="J184" s="122"/>
      <c r="K184" s="122"/>
      <c r="L184" s="122"/>
      <c r="M184" s="122"/>
      <c r="N184" s="122"/>
      <c r="O184" s="122"/>
      <c r="P184" s="122"/>
      <c r="Q184" s="122"/>
      <c r="R184" s="122"/>
      <c r="S184" s="122"/>
      <c r="T184" s="122"/>
      <c r="U184" s="122"/>
      <c r="V184" s="122"/>
      <c r="W184" s="172" t="s">
        <v>550</v>
      </c>
      <c r="X184" s="122"/>
      <c r="Y184" s="122"/>
      <c r="Z184" s="122"/>
      <c r="AA184" s="122"/>
      <c r="AB184" s="122"/>
      <c r="AC184" s="122"/>
      <c r="AD184" s="122"/>
      <c r="AE184" s="122"/>
      <c r="AF184" s="122"/>
      <c r="AG184" s="122"/>
      <c r="AH184" s="122"/>
      <c r="AI184" s="122"/>
      <c r="AJ184" s="122"/>
      <c r="AK184" s="122"/>
      <c r="AL184" s="122"/>
      <c r="AM184" s="122"/>
      <c r="AN184" s="122"/>
      <c r="AO184" s="122"/>
      <c r="AP184" s="122"/>
      <c r="AQ184" s="122"/>
      <c r="AR184" s="122"/>
      <c r="AS184" s="122"/>
      <c r="AT184" s="122"/>
      <c r="AU184" s="122"/>
      <c r="AV184" s="122"/>
    </row>
    <row r="185" spans="4:48" ht="15.95" customHeight="1">
      <c r="D185" s="122"/>
      <c r="E185" s="122"/>
      <c r="F185" s="122"/>
      <c r="G185" s="122"/>
      <c r="H185" s="122"/>
      <c r="I185" s="122"/>
      <c r="J185" s="122"/>
      <c r="K185" s="122"/>
      <c r="L185" s="122"/>
      <c r="M185" s="122"/>
      <c r="N185" s="122"/>
      <c r="O185" s="122"/>
      <c r="P185" s="122"/>
      <c r="Q185" s="122"/>
      <c r="R185" s="122"/>
      <c r="S185" s="122"/>
      <c r="T185" s="122"/>
      <c r="U185" s="122"/>
      <c r="V185" s="122"/>
      <c r="W185" s="172" t="s">
        <v>551</v>
      </c>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row>
    <row r="186" spans="4:48" ht="15.95" customHeight="1">
      <c r="D186" s="122"/>
      <c r="E186" s="122"/>
      <c r="F186" s="122"/>
      <c r="G186" s="122"/>
      <c r="H186" s="122"/>
      <c r="I186" s="122"/>
      <c r="J186" s="122"/>
      <c r="K186" s="122"/>
      <c r="L186" s="122"/>
      <c r="M186" s="122"/>
      <c r="N186" s="122"/>
      <c r="O186" s="122"/>
      <c r="P186" s="122"/>
      <c r="Q186" s="122"/>
      <c r="R186" s="122"/>
      <c r="S186" s="122"/>
      <c r="T186" s="122"/>
      <c r="U186" s="122"/>
      <c r="V186" s="122"/>
      <c r="W186" s="172" t="s">
        <v>552</v>
      </c>
      <c r="X186" s="122"/>
      <c r="Y186" s="122"/>
      <c r="Z186" s="122"/>
      <c r="AA186" s="122"/>
      <c r="AB186" s="122"/>
      <c r="AC186" s="122"/>
      <c r="AD186" s="122"/>
      <c r="AE186" s="122"/>
      <c r="AF186" s="122"/>
      <c r="AG186" s="122"/>
      <c r="AH186" s="122"/>
      <c r="AI186" s="122"/>
      <c r="AJ186" s="122"/>
      <c r="AK186" s="122"/>
      <c r="AL186" s="122"/>
      <c r="AM186" s="122"/>
      <c r="AN186" s="122"/>
      <c r="AO186" s="122"/>
      <c r="AP186" s="122"/>
      <c r="AQ186" s="122"/>
      <c r="AR186" s="122"/>
      <c r="AS186" s="122"/>
      <c r="AT186" s="122"/>
      <c r="AU186" s="122"/>
      <c r="AV186" s="122"/>
    </row>
    <row r="187" spans="4:48" ht="15.95" customHeight="1">
      <c r="D187" s="122"/>
      <c r="E187" s="122"/>
      <c r="F187" s="122"/>
      <c r="G187" s="122"/>
      <c r="H187" s="122"/>
      <c r="I187" s="122"/>
      <c r="J187" s="122"/>
      <c r="K187" s="122"/>
      <c r="L187" s="122"/>
      <c r="M187" s="122"/>
      <c r="N187" s="122"/>
      <c r="O187" s="122"/>
      <c r="P187" s="122"/>
      <c r="Q187" s="122"/>
      <c r="R187" s="122"/>
      <c r="S187" s="122"/>
      <c r="T187" s="122"/>
      <c r="U187" s="122"/>
      <c r="V187" s="122"/>
      <c r="W187" s="172" t="s">
        <v>553</v>
      </c>
      <c r="X187" s="122"/>
      <c r="Y187" s="122"/>
      <c r="Z187" s="122"/>
      <c r="AA187" s="122"/>
      <c r="AB187" s="122"/>
      <c r="AC187" s="122"/>
      <c r="AD187" s="122"/>
      <c r="AE187" s="122"/>
      <c r="AF187" s="122"/>
      <c r="AG187" s="122"/>
      <c r="AH187" s="122"/>
      <c r="AI187" s="122"/>
      <c r="AJ187" s="122"/>
      <c r="AK187" s="122"/>
      <c r="AL187" s="122"/>
      <c r="AM187" s="122"/>
      <c r="AN187" s="122"/>
      <c r="AO187" s="122"/>
      <c r="AP187" s="122"/>
      <c r="AQ187" s="122"/>
      <c r="AR187" s="122"/>
      <c r="AS187" s="122"/>
      <c r="AT187" s="122"/>
      <c r="AU187" s="122"/>
      <c r="AV187" s="122"/>
    </row>
    <row r="188" spans="4:48" ht="15.95" customHeight="1">
      <c r="D188" s="122"/>
      <c r="E188" s="122"/>
      <c r="F188" s="122"/>
      <c r="G188" s="122"/>
      <c r="H188" s="122"/>
      <c r="I188" s="122"/>
      <c r="J188" s="122"/>
      <c r="K188" s="122"/>
      <c r="L188" s="122"/>
      <c r="M188" s="122"/>
      <c r="N188" s="122"/>
      <c r="O188" s="122"/>
      <c r="P188" s="122"/>
      <c r="Q188" s="122"/>
      <c r="R188" s="122"/>
      <c r="S188" s="122"/>
      <c r="T188" s="122"/>
      <c r="U188" s="122"/>
      <c r="V188" s="122"/>
      <c r="W188" s="172" t="s">
        <v>554</v>
      </c>
      <c r="X188" s="122"/>
      <c r="Y188" s="122"/>
      <c r="Z188" s="122"/>
      <c r="AA188" s="122"/>
      <c r="AB188" s="122"/>
      <c r="AC188" s="122"/>
      <c r="AD188" s="122"/>
      <c r="AE188" s="122"/>
      <c r="AF188" s="122"/>
      <c r="AG188" s="122"/>
      <c r="AH188" s="122"/>
      <c r="AI188" s="122"/>
      <c r="AJ188" s="122"/>
      <c r="AK188" s="122"/>
      <c r="AL188" s="122"/>
      <c r="AM188" s="122"/>
      <c r="AN188" s="122"/>
      <c r="AO188" s="122"/>
      <c r="AP188" s="122"/>
      <c r="AQ188" s="122"/>
      <c r="AR188" s="122"/>
      <c r="AS188" s="122"/>
      <c r="AT188" s="122"/>
      <c r="AU188" s="122"/>
      <c r="AV188" s="122"/>
    </row>
    <row r="189" spans="4:48" ht="15.95" customHeight="1">
      <c r="D189" s="122"/>
      <c r="E189" s="122"/>
      <c r="F189" s="122"/>
      <c r="G189" s="122"/>
      <c r="H189" s="122"/>
      <c r="I189" s="122"/>
      <c r="J189" s="122"/>
      <c r="K189" s="122"/>
      <c r="L189" s="122"/>
      <c r="M189" s="122"/>
      <c r="N189" s="122"/>
      <c r="O189" s="122"/>
      <c r="P189" s="122"/>
      <c r="Q189" s="122"/>
      <c r="R189" s="122"/>
      <c r="S189" s="122"/>
      <c r="T189" s="122"/>
      <c r="U189" s="122"/>
      <c r="V189" s="122"/>
      <c r="W189" s="172" t="s">
        <v>555</v>
      </c>
      <c r="X189" s="122"/>
      <c r="Y189" s="122"/>
      <c r="Z189" s="122"/>
      <c r="AA189" s="122"/>
      <c r="AB189" s="122"/>
      <c r="AC189" s="122"/>
      <c r="AD189" s="122"/>
      <c r="AE189" s="122"/>
      <c r="AF189" s="122"/>
      <c r="AG189" s="122"/>
      <c r="AH189" s="122"/>
      <c r="AI189" s="122"/>
      <c r="AJ189" s="122"/>
      <c r="AK189" s="122"/>
      <c r="AL189" s="122"/>
      <c r="AM189" s="122"/>
      <c r="AN189" s="122"/>
      <c r="AO189" s="122"/>
      <c r="AP189" s="122"/>
      <c r="AQ189" s="122"/>
      <c r="AR189" s="122"/>
      <c r="AS189" s="122"/>
      <c r="AT189" s="122"/>
      <c r="AU189" s="122"/>
      <c r="AV189" s="122"/>
    </row>
    <row r="190" spans="4:48" ht="15.95" customHeight="1">
      <c r="D190" s="122"/>
      <c r="E190" s="122"/>
      <c r="F190" s="122"/>
      <c r="G190" s="122"/>
      <c r="H190" s="122"/>
      <c r="I190" s="122"/>
      <c r="J190" s="122"/>
      <c r="K190" s="122"/>
      <c r="L190" s="122"/>
      <c r="M190" s="122"/>
      <c r="N190" s="122"/>
      <c r="O190" s="122"/>
      <c r="P190" s="122"/>
      <c r="Q190" s="122"/>
      <c r="R190" s="122"/>
      <c r="S190" s="122"/>
      <c r="T190" s="122"/>
      <c r="U190" s="122"/>
      <c r="V190" s="122"/>
      <c r="W190" s="172" t="s">
        <v>556</v>
      </c>
      <c r="X190" s="122"/>
      <c r="Y190" s="122"/>
      <c r="Z190" s="122"/>
      <c r="AA190" s="122"/>
      <c r="AB190" s="122"/>
      <c r="AC190" s="122"/>
      <c r="AD190" s="122"/>
      <c r="AE190" s="122"/>
      <c r="AF190" s="122"/>
      <c r="AG190" s="122"/>
      <c r="AH190" s="122"/>
      <c r="AI190" s="122"/>
      <c r="AJ190" s="122"/>
      <c r="AK190" s="122"/>
      <c r="AL190" s="122"/>
      <c r="AM190" s="122"/>
      <c r="AN190" s="122"/>
      <c r="AO190" s="122"/>
      <c r="AP190" s="122"/>
      <c r="AQ190" s="122"/>
      <c r="AR190" s="122"/>
      <c r="AS190" s="122"/>
      <c r="AT190" s="122"/>
      <c r="AU190" s="122"/>
      <c r="AV190" s="122"/>
    </row>
    <row r="191" spans="4:48" ht="15.95" customHeight="1">
      <c r="D191" s="122"/>
      <c r="E191" s="122"/>
      <c r="F191" s="122"/>
      <c r="G191" s="122"/>
      <c r="H191" s="122"/>
      <c r="I191" s="122"/>
      <c r="J191" s="122"/>
      <c r="K191" s="122"/>
      <c r="L191" s="122"/>
      <c r="M191" s="122"/>
      <c r="N191" s="122"/>
      <c r="O191" s="122"/>
      <c r="P191" s="122"/>
      <c r="Q191" s="122"/>
      <c r="R191" s="122"/>
      <c r="S191" s="122"/>
      <c r="T191" s="122"/>
      <c r="U191" s="122"/>
      <c r="V191" s="122"/>
      <c r="W191" s="172" t="s">
        <v>557</v>
      </c>
      <c r="X191" s="122"/>
      <c r="Y191" s="122"/>
      <c r="Z191" s="122"/>
      <c r="AA191" s="122"/>
      <c r="AB191" s="122"/>
      <c r="AC191" s="122"/>
      <c r="AD191" s="122"/>
      <c r="AE191" s="122"/>
      <c r="AF191" s="122"/>
      <c r="AG191" s="122"/>
      <c r="AH191" s="122"/>
      <c r="AI191" s="122"/>
      <c r="AJ191" s="122"/>
      <c r="AK191" s="122"/>
      <c r="AL191" s="122"/>
      <c r="AM191" s="122"/>
      <c r="AN191" s="122"/>
      <c r="AO191" s="122"/>
      <c r="AP191" s="122"/>
      <c r="AQ191" s="122"/>
      <c r="AR191" s="122"/>
      <c r="AS191" s="122"/>
      <c r="AT191" s="122"/>
      <c r="AU191" s="122"/>
      <c r="AV191" s="122"/>
    </row>
    <row r="192" spans="4:48" ht="15.95" customHeight="1">
      <c r="D192" s="122"/>
      <c r="E192" s="122"/>
      <c r="F192" s="122"/>
      <c r="G192" s="122"/>
      <c r="H192" s="122"/>
      <c r="I192" s="122"/>
      <c r="J192" s="122"/>
      <c r="K192" s="122"/>
      <c r="L192" s="122"/>
      <c r="M192" s="122"/>
      <c r="N192" s="122"/>
      <c r="O192" s="122"/>
      <c r="P192" s="122"/>
      <c r="Q192" s="122"/>
      <c r="R192" s="122"/>
      <c r="S192" s="122"/>
      <c r="T192" s="122"/>
      <c r="U192" s="122"/>
      <c r="V192" s="122"/>
      <c r="W192" s="172" t="s">
        <v>558</v>
      </c>
      <c r="X192" s="122"/>
      <c r="Y192" s="122"/>
      <c r="Z192" s="122"/>
      <c r="AA192" s="122"/>
      <c r="AB192" s="122"/>
      <c r="AC192" s="122"/>
      <c r="AD192" s="122"/>
      <c r="AE192" s="122"/>
      <c r="AF192" s="122"/>
      <c r="AG192" s="122"/>
      <c r="AH192" s="122"/>
      <c r="AI192" s="122"/>
      <c r="AJ192" s="122"/>
      <c r="AK192" s="122"/>
      <c r="AL192" s="122"/>
      <c r="AM192" s="122"/>
      <c r="AN192" s="122"/>
      <c r="AO192" s="122"/>
      <c r="AP192" s="122"/>
      <c r="AQ192" s="122"/>
      <c r="AR192" s="122"/>
      <c r="AS192" s="122"/>
      <c r="AT192" s="122"/>
      <c r="AU192" s="122"/>
      <c r="AV192" s="122"/>
    </row>
    <row r="193" spans="4:48" ht="15.95" customHeight="1">
      <c r="D193" s="122"/>
      <c r="E193" s="122"/>
      <c r="F193" s="122"/>
      <c r="G193" s="122"/>
      <c r="H193" s="122"/>
      <c r="I193" s="122"/>
      <c r="J193" s="122"/>
      <c r="K193" s="122"/>
      <c r="L193" s="122"/>
      <c r="M193" s="122"/>
      <c r="N193" s="122"/>
      <c r="O193" s="122"/>
      <c r="P193" s="122"/>
      <c r="Q193" s="122"/>
      <c r="R193" s="122"/>
      <c r="S193" s="122"/>
      <c r="T193" s="122"/>
      <c r="U193" s="122"/>
      <c r="V193" s="122"/>
      <c r="W193" s="172" t="s">
        <v>559</v>
      </c>
      <c r="X193" s="122"/>
      <c r="Y193" s="122"/>
      <c r="Z193" s="122"/>
      <c r="AA193" s="122"/>
      <c r="AB193" s="122"/>
      <c r="AC193" s="122"/>
      <c r="AD193" s="122"/>
      <c r="AE193" s="122"/>
      <c r="AF193" s="122"/>
      <c r="AG193" s="122"/>
      <c r="AH193" s="122"/>
      <c r="AI193" s="122"/>
      <c r="AJ193" s="122"/>
      <c r="AK193" s="122"/>
      <c r="AL193" s="122"/>
      <c r="AM193" s="122"/>
      <c r="AN193" s="122"/>
      <c r="AO193" s="122"/>
      <c r="AP193" s="122"/>
      <c r="AQ193" s="122"/>
      <c r="AR193" s="122"/>
      <c r="AS193" s="122"/>
      <c r="AT193" s="122"/>
      <c r="AU193" s="122"/>
      <c r="AV193" s="122"/>
    </row>
    <row r="194" spans="4:48" ht="15.95" customHeight="1">
      <c r="D194" s="122"/>
      <c r="E194" s="122"/>
      <c r="F194" s="122"/>
      <c r="G194" s="122"/>
      <c r="H194" s="122"/>
      <c r="I194" s="122"/>
      <c r="J194" s="122"/>
      <c r="K194" s="122"/>
      <c r="L194" s="122"/>
      <c r="M194" s="122"/>
      <c r="N194" s="122"/>
      <c r="O194" s="122"/>
      <c r="P194" s="122"/>
      <c r="Q194" s="122"/>
      <c r="R194" s="122"/>
      <c r="S194" s="122"/>
      <c r="T194" s="122"/>
      <c r="U194" s="122"/>
      <c r="V194" s="122"/>
      <c r="W194" s="172" t="s">
        <v>560</v>
      </c>
      <c r="X194" s="122"/>
      <c r="Y194" s="122"/>
      <c r="Z194" s="122"/>
      <c r="AA194" s="122"/>
      <c r="AB194" s="122"/>
      <c r="AC194" s="122"/>
      <c r="AD194" s="122"/>
      <c r="AE194" s="122"/>
      <c r="AF194" s="122"/>
      <c r="AG194" s="122"/>
      <c r="AH194" s="122"/>
      <c r="AI194" s="122"/>
      <c r="AJ194" s="122"/>
      <c r="AK194" s="122"/>
      <c r="AL194" s="122"/>
      <c r="AM194" s="122"/>
      <c r="AN194" s="122"/>
      <c r="AO194" s="122"/>
      <c r="AP194" s="122"/>
      <c r="AQ194" s="122"/>
      <c r="AR194" s="122"/>
      <c r="AS194" s="122"/>
      <c r="AT194" s="122"/>
      <c r="AU194" s="122"/>
      <c r="AV194" s="122"/>
    </row>
    <row r="195" spans="4:48" ht="15.95" customHeight="1">
      <c r="D195" s="122"/>
      <c r="E195" s="122"/>
      <c r="F195" s="122"/>
      <c r="G195" s="122"/>
      <c r="H195" s="122"/>
      <c r="I195" s="122"/>
      <c r="J195" s="122"/>
      <c r="K195" s="122"/>
      <c r="L195" s="122"/>
      <c r="M195" s="122"/>
      <c r="N195" s="122"/>
      <c r="O195" s="122"/>
      <c r="P195" s="122"/>
      <c r="Q195" s="122"/>
      <c r="R195" s="122"/>
      <c r="S195" s="122"/>
      <c r="T195" s="122"/>
      <c r="U195" s="122"/>
      <c r="V195" s="122"/>
      <c r="W195" s="172" t="s">
        <v>561</v>
      </c>
      <c r="X195" s="122"/>
      <c r="Y195" s="122"/>
      <c r="Z195" s="122"/>
      <c r="AA195" s="122"/>
      <c r="AB195" s="122"/>
      <c r="AC195" s="122"/>
      <c r="AD195" s="122"/>
      <c r="AE195" s="122"/>
      <c r="AF195" s="122"/>
      <c r="AG195" s="122"/>
      <c r="AH195" s="122"/>
      <c r="AI195" s="122"/>
      <c r="AJ195" s="122"/>
      <c r="AK195" s="122"/>
      <c r="AL195" s="122"/>
      <c r="AM195" s="122"/>
      <c r="AN195" s="122"/>
      <c r="AO195" s="122"/>
      <c r="AP195" s="122"/>
      <c r="AQ195" s="122"/>
      <c r="AR195" s="122"/>
      <c r="AS195" s="122"/>
      <c r="AT195" s="122"/>
      <c r="AU195" s="122"/>
      <c r="AV195" s="122"/>
    </row>
    <row r="196" spans="4:48" ht="15.95" customHeight="1">
      <c r="D196" s="122"/>
      <c r="E196" s="122"/>
      <c r="F196" s="122"/>
      <c r="G196" s="122"/>
      <c r="H196" s="122"/>
      <c r="I196" s="122"/>
      <c r="J196" s="122"/>
      <c r="K196" s="122"/>
      <c r="L196" s="122"/>
      <c r="M196" s="122"/>
      <c r="N196" s="122"/>
      <c r="O196" s="122"/>
      <c r="P196" s="122"/>
      <c r="Q196" s="122"/>
      <c r="R196" s="122"/>
      <c r="S196" s="122"/>
      <c r="T196" s="122"/>
      <c r="U196" s="122"/>
      <c r="V196" s="122"/>
      <c r="W196" s="172" t="s">
        <v>562</v>
      </c>
      <c r="X196" s="122"/>
      <c r="Y196" s="122"/>
      <c r="Z196" s="122"/>
      <c r="AA196" s="122"/>
      <c r="AB196" s="122"/>
      <c r="AC196" s="122"/>
      <c r="AD196" s="122"/>
      <c r="AE196" s="122"/>
      <c r="AF196" s="122"/>
      <c r="AG196" s="122"/>
      <c r="AH196" s="122"/>
      <c r="AI196" s="122"/>
      <c r="AJ196" s="122"/>
      <c r="AK196" s="122"/>
      <c r="AL196" s="122"/>
      <c r="AM196" s="122"/>
      <c r="AN196" s="122"/>
      <c r="AO196" s="122"/>
      <c r="AP196" s="122"/>
      <c r="AQ196" s="122"/>
      <c r="AR196" s="122"/>
      <c r="AS196" s="122"/>
      <c r="AT196" s="122"/>
      <c r="AU196" s="122"/>
      <c r="AV196" s="122"/>
    </row>
    <row r="197" spans="4:48" ht="15.95" customHeight="1">
      <c r="D197" s="122"/>
      <c r="E197" s="122"/>
      <c r="F197" s="122"/>
      <c r="G197" s="122"/>
      <c r="H197" s="122"/>
      <c r="I197" s="122"/>
      <c r="J197" s="122"/>
      <c r="K197" s="122"/>
      <c r="L197" s="122"/>
      <c r="M197" s="122"/>
      <c r="N197" s="122"/>
      <c r="O197" s="122"/>
      <c r="P197" s="122"/>
      <c r="Q197" s="122"/>
      <c r="R197" s="122"/>
      <c r="S197" s="122"/>
      <c r="T197" s="122"/>
      <c r="U197" s="122"/>
      <c r="V197" s="122"/>
      <c r="W197" s="172" t="s">
        <v>563</v>
      </c>
      <c r="X197" s="122"/>
      <c r="Y197" s="122"/>
      <c r="Z197" s="122"/>
      <c r="AA197" s="122"/>
      <c r="AB197" s="122"/>
      <c r="AC197" s="122"/>
      <c r="AD197" s="122"/>
      <c r="AE197" s="122"/>
      <c r="AF197" s="122"/>
      <c r="AG197" s="122"/>
      <c r="AH197" s="122"/>
      <c r="AI197" s="122"/>
      <c r="AJ197" s="122"/>
      <c r="AK197" s="122"/>
      <c r="AL197" s="122"/>
      <c r="AM197" s="122"/>
      <c r="AN197" s="122"/>
      <c r="AO197" s="122"/>
      <c r="AP197" s="122"/>
      <c r="AQ197" s="122"/>
      <c r="AR197" s="122"/>
      <c r="AS197" s="122"/>
      <c r="AT197" s="122"/>
      <c r="AU197" s="122"/>
      <c r="AV197" s="122"/>
    </row>
    <row r="198" spans="4:48" ht="15.95" customHeight="1">
      <c r="D198" s="122"/>
      <c r="E198" s="122"/>
      <c r="F198" s="122"/>
      <c r="G198" s="122"/>
      <c r="H198" s="122"/>
      <c r="I198" s="122"/>
      <c r="J198" s="122"/>
      <c r="K198" s="122"/>
      <c r="L198" s="122"/>
      <c r="M198" s="122"/>
      <c r="N198" s="122"/>
      <c r="O198" s="122"/>
      <c r="P198" s="122"/>
      <c r="Q198" s="122"/>
      <c r="R198" s="122"/>
      <c r="S198" s="122"/>
      <c r="T198" s="122"/>
      <c r="U198" s="122"/>
      <c r="V198" s="122"/>
      <c r="W198" s="172" t="s">
        <v>564</v>
      </c>
      <c r="X198" s="122"/>
      <c r="Y198" s="122"/>
      <c r="Z198" s="122"/>
      <c r="AA198" s="122"/>
      <c r="AB198" s="122"/>
      <c r="AC198" s="122"/>
      <c r="AD198" s="122"/>
      <c r="AE198" s="122"/>
      <c r="AF198" s="122"/>
      <c r="AG198" s="122"/>
      <c r="AH198" s="122"/>
      <c r="AI198" s="122"/>
      <c r="AJ198" s="122"/>
      <c r="AK198" s="122"/>
      <c r="AL198" s="122"/>
      <c r="AM198" s="122"/>
      <c r="AN198" s="122"/>
      <c r="AO198" s="122"/>
      <c r="AP198" s="122"/>
      <c r="AQ198" s="122"/>
      <c r="AR198" s="122"/>
      <c r="AS198" s="122"/>
      <c r="AT198" s="122"/>
      <c r="AU198" s="122"/>
      <c r="AV198" s="122"/>
    </row>
    <row r="199" spans="4:48" ht="15.95" customHeight="1">
      <c r="D199" s="122"/>
      <c r="E199" s="122"/>
      <c r="F199" s="122"/>
      <c r="G199" s="122"/>
      <c r="H199" s="122"/>
      <c r="I199" s="122"/>
      <c r="J199" s="122"/>
      <c r="K199" s="122"/>
      <c r="L199" s="122"/>
      <c r="M199" s="122"/>
      <c r="N199" s="122"/>
      <c r="O199" s="122"/>
      <c r="P199" s="122"/>
      <c r="Q199" s="122"/>
      <c r="R199" s="122"/>
      <c r="S199" s="122"/>
      <c r="T199" s="122"/>
      <c r="U199" s="122"/>
      <c r="V199" s="122"/>
      <c r="W199" s="172" t="s">
        <v>565</v>
      </c>
      <c r="X199" s="122"/>
      <c r="Y199" s="122"/>
      <c r="Z199" s="122"/>
      <c r="AA199" s="122"/>
      <c r="AB199" s="122"/>
      <c r="AC199" s="122"/>
      <c r="AD199" s="122"/>
      <c r="AE199" s="122"/>
      <c r="AF199" s="122"/>
      <c r="AG199" s="122"/>
      <c r="AH199" s="122"/>
      <c r="AI199" s="122"/>
      <c r="AJ199" s="122"/>
      <c r="AK199" s="122"/>
      <c r="AL199" s="122"/>
      <c r="AM199" s="122"/>
      <c r="AN199" s="122"/>
      <c r="AO199" s="122"/>
      <c r="AP199" s="122"/>
      <c r="AQ199" s="122"/>
      <c r="AR199" s="122"/>
      <c r="AS199" s="122"/>
      <c r="AT199" s="122"/>
      <c r="AU199" s="122"/>
      <c r="AV199" s="122"/>
    </row>
    <row r="200" spans="4:48" ht="15.95" customHeight="1">
      <c r="D200" s="122"/>
      <c r="E200" s="122"/>
      <c r="F200" s="122"/>
      <c r="G200" s="122"/>
      <c r="H200" s="122"/>
      <c r="I200" s="122"/>
      <c r="J200" s="122"/>
      <c r="K200" s="122"/>
      <c r="L200" s="122"/>
      <c r="M200" s="122"/>
      <c r="N200" s="122"/>
      <c r="O200" s="122"/>
      <c r="P200" s="122"/>
      <c r="Q200" s="122"/>
      <c r="R200" s="122"/>
      <c r="S200" s="122"/>
      <c r="T200" s="122"/>
      <c r="U200" s="122"/>
      <c r="V200" s="122"/>
      <c r="W200" s="172" t="s">
        <v>566</v>
      </c>
      <c r="X200" s="122"/>
      <c r="Y200" s="122"/>
      <c r="Z200" s="122"/>
      <c r="AA200" s="122"/>
      <c r="AB200" s="122"/>
      <c r="AC200" s="122"/>
      <c r="AD200" s="122"/>
      <c r="AE200" s="122"/>
      <c r="AF200" s="122"/>
      <c r="AG200" s="122"/>
      <c r="AH200" s="122"/>
      <c r="AI200" s="122"/>
      <c r="AJ200" s="122"/>
      <c r="AK200" s="122"/>
      <c r="AL200" s="122"/>
      <c r="AM200" s="122"/>
      <c r="AN200" s="122"/>
      <c r="AO200" s="122"/>
      <c r="AP200" s="122"/>
      <c r="AQ200" s="122"/>
      <c r="AR200" s="122"/>
      <c r="AS200" s="122"/>
      <c r="AT200" s="122"/>
      <c r="AU200" s="122"/>
      <c r="AV200" s="122"/>
    </row>
    <row r="201" spans="4:48" ht="15.95" customHeight="1">
      <c r="D201" s="122"/>
      <c r="E201" s="122"/>
      <c r="F201" s="122"/>
      <c r="G201" s="122"/>
      <c r="H201" s="122"/>
      <c r="I201" s="122"/>
      <c r="J201" s="122"/>
      <c r="K201" s="122"/>
      <c r="L201" s="122"/>
      <c r="M201" s="122"/>
      <c r="N201" s="122"/>
      <c r="O201" s="122"/>
      <c r="P201" s="122"/>
      <c r="Q201" s="122"/>
      <c r="R201" s="122"/>
      <c r="S201" s="122"/>
      <c r="T201" s="122"/>
      <c r="U201" s="122"/>
      <c r="V201" s="122"/>
      <c r="W201" s="172" t="s">
        <v>567</v>
      </c>
      <c r="X201" s="122"/>
      <c r="Y201" s="122"/>
      <c r="Z201" s="122"/>
      <c r="AA201" s="122"/>
      <c r="AB201" s="122"/>
      <c r="AC201" s="122"/>
      <c r="AD201" s="122"/>
      <c r="AE201" s="122"/>
      <c r="AF201" s="122"/>
      <c r="AG201" s="122"/>
      <c r="AH201" s="122"/>
      <c r="AI201" s="122"/>
      <c r="AJ201" s="122"/>
      <c r="AK201" s="122"/>
      <c r="AL201" s="122"/>
      <c r="AM201" s="122"/>
      <c r="AN201" s="122"/>
      <c r="AO201" s="122"/>
      <c r="AP201" s="122"/>
      <c r="AQ201" s="122"/>
      <c r="AR201" s="122"/>
      <c r="AS201" s="122"/>
      <c r="AT201" s="122"/>
      <c r="AU201" s="122"/>
      <c r="AV201" s="122"/>
    </row>
    <row r="202" spans="4:48" ht="15.95" customHeight="1">
      <c r="D202" s="122"/>
      <c r="E202" s="122"/>
      <c r="F202" s="122"/>
      <c r="G202" s="122"/>
      <c r="H202" s="122"/>
      <c r="I202" s="122"/>
      <c r="J202" s="122"/>
      <c r="K202" s="122"/>
      <c r="L202" s="122"/>
      <c r="M202" s="122"/>
      <c r="N202" s="122"/>
      <c r="O202" s="122"/>
      <c r="P202" s="122"/>
      <c r="Q202" s="122"/>
      <c r="R202" s="122"/>
      <c r="S202" s="122"/>
      <c r="T202" s="122"/>
      <c r="U202" s="122"/>
      <c r="V202" s="122"/>
      <c r="W202" s="172" t="s">
        <v>568</v>
      </c>
      <c r="X202" s="122"/>
      <c r="Y202" s="122"/>
      <c r="Z202" s="122"/>
      <c r="AA202" s="122"/>
      <c r="AB202" s="122"/>
      <c r="AC202" s="122"/>
      <c r="AD202" s="122"/>
      <c r="AE202" s="122"/>
      <c r="AF202" s="122"/>
      <c r="AG202" s="122"/>
      <c r="AH202" s="122"/>
      <c r="AI202" s="122"/>
      <c r="AJ202" s="122"/>
      <c r="AK202" s="122"/>
      <c r="AL202" s="122"/>
      <c r="AM202" s="122"/>
      <c r="AN202" s="122"/>
      <c r="AO202" s="122"/>
      <c r="AP202" s="122"/>
      <c r="AQ202" s="122"/>
      <c r="AR202" s="122"/>
      <c r="AS202" s="122"/>
      <c r="AT202" s="122"/>
      <c r="AU202" s="122"/>
      <c r="AV202" s="122"/>
    </row>
    <row r="203" spans="4:48" ht="15.95" customHeight="1">
      <c r="D203" s="122"/>
      <c r="E203" s="122"/>
      <c r="F203" s="122"/>
      <c r="G203" s="122"/>
      <c r="H203" s="122"/>
      <c r="I203" s="122"/>
      <c r="J203" s="122"/>
      <c r="K203" s="122"/>
      <c r="L203" s="122"/>
      <c r="M203" s="122"/>
      <c r="N203" s="122"/>
      <c r="O203" s="122"/>
      <c r="P203" s="122"/>
      <c r="Q203" s="122"/>
      <c r="R203" s="122"/>
      <c r="S203" s="122"/>
      <c r="T203" s="122"/>
      <c r="U203" s="122"/>
      <c r="V203" s="122"/>
      <c r="W203" s="172" t="s">
        <v>569</v>
      </c>
      <c r="X203" s="122"/>
      <c r="Y203" s="122"/>
      <c r="Z203" s="122"/>
      <c r="AA203" s="122"/>
      <c r="AB203" s="122"/>
      <c r="AC203" s="122"/>
      <c r="AD203" s="122"/>
      <c r="AE203" s="122"/>
      <c r="AF203" s="122"/>
      <c r="AG203" s="122"/>
      <c r="AH203" s="122"/>
      <c r="AI203" s="122"/>
      <c r="AJ203" s="122"/>
      <c r="AK203" s="122"/>
      <c r="AL203" s="122"/>
      <c r="AM203" s="122"/>
      <c r="AN203" s="122"/>
      <c r="AO203" s="122"/>
      <c r="AP203" s="122"/>
      <c r="AQ203" s="122"/>
      <c r="AR203" s="122"/>
      <c r="AS203" s="122"/>
      <c r="AT203" s="122"/>
      <c r="AU203" s="122"/>
      <c r="AV203" s="122"/>
    </row>
    <row r="204" spans="4:48" ht="15.95" customHeight="1">
      <c r="D204" s="122"/>
      <c r="E204" s="122"/>
      <c r="F204" s="122"/>
      <c r="G204" s="122"/>
      <c r="H204" s="122"/>
      <c r="I204" s="122"/>
      <c r="J204" s="122"/>
      <c r="K204" s="122"/>
      <c r="L204" s="122"/>
      <c r="M204" s="122"/>
      <c r="N204" s="122"/>
      <c r="O204" s="122"/>
      <c r="P204" s="122"/>
      <c r="Q204" s="122"/>
      <c r="R204" s="122"/>
      <c r="S204" s="122"/>
      <c r="T204" s="122"/>
      <c r="U204" s="122"/>
      <c r="V204" s="122"/>
      <c r="W204" s="172" t="s">
        <v>570</v>
      </c>
      <c r="X204" s="122"/>
      <c r="Y204" s="122"/>
      <c r="Z204" s="122"/>
      <c r="AA204" s="122"/>
      <c r="AB204" s="122"/>
      <c r="AC204" s="122"/>
      <c r="AD204" s="122"/>
      <c r="AE204" s="122"/>
      <c r="AF204" s="122"/>
      <c r="AG204" s="122"/>
      <c r="AH204" s="122"/>
      <c r="AI204" s="122"/>
      <c r="AJ204" s="122"/>
      <c r="AK204" s="122"/>
      <c r="AL204" s="122"/>
      <c r="AM204" s="122"/>
      <c r="AN204" s="122"/>
      <c r="AO204" s="122"/>
      <c r="AP204" s="122"/>
      <c r="AQ204" s="122"/>
      <c r="AR204" s="122"/>
      <c r="AS204" s="122"/>
      <c r="AT204" s="122"/>
      <c r="AU204" s="122"/>
      <c r="AV204" s="122"/>
    </row>
    <row r="205" spans="4:48" ht="15.95" customHeight="1">
      <c r="D205" s="122"/>
      <c r="E205" s="122"/>
      <c r="F205" s="122"/>
      <c r="G205" s="122"/>
      <c r="H205" s="122"/>
      <c r="I205" s="122"/>
      <c r="J205" s="122"/>
      <c r="K205" s="122"/>
      <c r="L205" s="122"/>
      <c r="M205" s="122"/>
      <c r="N205" s="122"/>
      <c r="O205" s="122"/>
      <c r="P205" s="122"/>
      <c r="Q205" s="122"/>
      <c r="R205" s="122"/>
      <c r="S205" s="122"/>
      <c r="T205" s="122"/>
      <c r="U205" s="122"/>
      <c r="V205" s="122"/>
      <c r="W205" s="172" t="s">
        <v>571</v>
      </c>
      <c r="X205" s="122"/>
      <c r="Y205" s="122"/>
      <c r="Z205" s="122"/>
      <c r="AA205" s="122"/>
      <c r="AB205" s="122"/>
      <c r="AC205" s="122"/>
      <c r="AD205" s="122"/>
      <c r="AE205" s="122"/>
      <c r="AF205" s="122"/>
      <c r="AG205" s="122"/>
      <c r="AH205" s="122"/>
      <c r="AI205" s="122"/>
      <c r="AJ205" s="122"/>
      <c r="AK205" s="122"/>
      <c r="AL205" s="122"/>
      <c r="AM205" s="122"/>
      <c r="AN205" s="122"/>
      <c r="AO205" s="122"/>
      <c r="AP205" s="122"/>
      <c r="AQ205" s="122"/>
      <c r="AR205" s="122"/>
      <c r="AS205" s="122"/>
      <c r="AT205" s="122"/>
      <c r="AU205" s="122"/>
      <c r="AV205" s="122"/>
    </row>
    <row r="206" spans="4:48" ht="15.95" customHeight="1">
      <c r="D206" s="122"/>
      <c r="E206" s="122"/>
      <c r="F206" s="122"/>
      <c r="G206" s="122"/>
      <c r="H206" s="122"/>
      <c r="I206" s="122"/>
      <c r="J206" s="122"/>
      <c r="K206" s="122"/>
      <c r="L206" s="122"/>
      <c r="M206" s="122"/>
      <c r="N206" s="122"/>
      <c r="O206" s="122"/>
      <c r="P206" s="122"/>
      <c r="Q206" s="122"/>
      <c r="R206" s="122"/>
      <c r="S206" s="122"/>
      <c r="T206" s="122"/>
      <c r="U206" s="122"/>
      <c r="V206" s="122"/>
      <c r="W206" s="172" t="s">
        <v>572</v>
      </c>
      <c r="X206" s="122"/>
      <c r="Y206" s="122"/>
      <c r="Z206" s="122"/>
      <c r="AA206" s="122"/>
      <c r="AB206" s="122"/>
      <c r="AC206" s="122"/>
      <c r="AD206" s="122"/>
      <c r="AE206" s="122"/>
      <c r="AF206" s="122"/>
      <c r="AG206" s="122"/>
      <c r="AH206" s="122"/>
      <c r="AI206" s="122"/>
      <c r="AJ206" s="122"/>
      <c r="AK206" s="122"/>
      <c r="AL206" s="122"/>
      <c r="AM206" s="122"/>
      <c r="AN206" s="122"/>
      <c r="AO206" s="122"/>
      <c r="AP206" s="122"/>
      <c r="AQ206" s="122"/>
      <c r="AR206" s="122"/>
      <c r="AS206" s="122"/>
      <c r="AT206" s="122"/>
      <c r="AU206" s="122"/>
      <c r="AV206" s="122"/>
    </row>
    <row r="207" spans="4:48" ht="15.95" customHeight="1">
      <c r="D207" s="122"/>
      <c r="E207" s="122"/>
      <c r="F207" s="122"/>
      <c r="G207" s="122"/>
      <c r="H207" s="122"/>
      <c r="I207" s="122"/>
      <c r="J207" s="122"/>
      <c r="K207" s="122"/>
      <c r="L207" s="122"/>
      <c r="M207" s="122"/>
      <c r="N207" s="122"/>
      <c r="O207" s="122"/>
      <c r="P207" s="122"/>
      <c r="Q207" s="122"/>
      <c r="R207" s="122"/>
      <c r="S207" s="122"/>
      <c r="T207" s="122"/>
      <c r="U207" s="122"/>
      <c r="V207" s="122"/>
      <c r="W207" s="172" t="s">
        <v>573</v>
      </c>
      <c r="X207" s="122"/>
      <c r="Y207" s="122"/>
      <c r="Z207" s="122"/>
      <c r="AA207" s="122"/>
      <c r="AB207" s="122"/>
      <c r="AC207" s="122"/>
      <c r="AD207" s="122"/>
      <c r="AE207" s="122"/>
      <c r="AF207" s="122"/>
      <c r="AG207" s="122"/>
      <c r="AH207" s="122"/>
      <c r="AI207" s="122"/>
      <c r="AJ207" s="122"/>
      <c r="AK207" s="122"/>
      <c r="AL207" s="122"/>
      <c r="AM207" s="122"/>
      <c r="AN207" s="122"/>
      <c r="AO207" s="122"/>
      <c r="AP207" s="122"/>
      <c r="AQ207" s="122"/>
      <c r="AR207" s="122"/>
      <c r="AS207" s="122"/>
      <c r="AT207" s="122"/>
      <c r="AU207" s="122"/>
      <c r="AV207" s="122"/>
    </row>
    <row r="208" spans="4:48" ht="15.95" customHeight="1">
      <c r="D208" s="122"/>
      <c r="E208" s="122"/>
      <c r="F208" s="122"/>
      <c r="G208" s="122"/>
      <c r="H208" s="122"/>
      <c r="I208" s="122"/>
      <c r="J208" s="122"/>
      <c r="K208" s="122"/>
      <c r="L208" s="122"/>
      <c r="M208" s="122"/>
      <c r="N208" s="122"/>
      <c r="O208" s="122"/>
      <c r="P208" s="122"/>
      <c r="Q208" s="122"/>
      <c r="R208" s="122"/>
      <c r="S208" s="122"/>
      <c r="T208" s="122"/>
      <c r="U208" s="122"/>
      <c r="V208" s="122"/>
      <c r="W208" s="172" t="s">
        <v>574</v>
      </c>
      <c r="X208" s="122"/>
      <c r="Y208" s="122"/>
      <c r="Z208" s="122"/>
      <c r="AA208" s="122"/>
      <c r="AB208" s="122"/>
      <c r="AC208" s="122"/>
      <c r="AD208" s="122"/>
      <c r="AE208" s="122"/>
      <c r="AF208" s="122"/>
      <c r="AG208" s="122"/>
      <c r="AH208" s="122"/>
      <c r="AI208" s="122"/>
      <c r="AJ208" s="122"/>
      <c r="AK208" s="122"/>
      <c r="AL208" s="122"/>
      <c r="AM208" s="122"/>
      <c r="AN208" s="122"/>
      <c r="AO208" s="122"/>
      <c r="AP208" s="122"/>
      <c r="AQ208" s="122"/>
      <c r="AR208" s="122"/>
      <c r="AS208" s="122"/>
      <c r="AT208" s="122"/>
      <c r="AU208" s="122"/>
      <c r="AV208" s="122"/>
    </row>
    <row r="209" spans="4:48" ht="15.95" customHeight="1">
      <c r="D209" s="122"/>
      <c r="E209" s="122"/>
      <c r="F209" s="122"/>
      <c r="G209" s="122"/>
      <c r="H209" s="122"/>
      <c r="I209" s="122"/>
      <c r="J209" s="122"/>
      <c r="K209" s="122"/>
      <c r="L209" s="122"/>
      <c r="M209" s="122"/>
      <c r="N209" s="122"/>
      <c r="O209" s="122"/>
      <c r="P209" s="122"/>
      <c r="Q209" s="122"/>
      <c r="R209" s="122"/>
      <c r="S209" s="122"/>
      <c r="T209" s="122"/>
      <c r="U209" s="122"/>
      <c r="V209" s="122"/>
      <c r="W209" s="172" t="s">
        <v>575</v>
      </c>
      <c r="X209" s="122"/>
      <c r="Y209" s="122"/>
      <c r="Z209" s="122"/>
      <c r="AA209" s="122"/>
      <c r="AB209" s="122"/>
      <c r="AC209" s="122"/>
      <c r="AD209" s="122"/>
      <c r="AE209" s="122"/>
      <c r="AF209" s="122"/>
      <c r="AG209" s="122"/>
      <c r="AH209" s="122"/>
      <c r="AI209" s="122"/>
      <c r="AJ209" s="122"/>
      <c r="AK209" s="122"/>
      <c r="AL209" s="122"/>
      <c r="AM209" s="122"/>
      <c r="AN209" s="122"/>
      <c r="AO209" s="122"/>
      <c r="AP209" s="122"/>
      <c r="AQ209" s="122"/>
      <c r="AR209" s="122"/>
      <c r="AS209" s="122"/>
      <c r="AT209" s="122"/>
      <c r="AU209" s="122"/>
      <c r="AV209" s="122"/>
    </row>
    <row r="210" spans="4:48" ht="15.95" customHeight="1">
      <c r="D210" s="122"/>
      <c r="E210" s="122"/>
      <c r="F210" s="122"/>
      <c r="G210" s="122"/>
      <c r="H210" s="122"/>
      <c r="I210" s="122"/>
      <c r="J210" s="122"/>
      <c r="K210" s="122"/>
      <c r="L210" s="122"/>
      <c r="M210" s="122"/>
      <c r="N210" s="122"/>
      <c r="O210" s="122"/>
      <c r="P210" s="122"/>
      <c r="Q210" s="122"/>
      <c r="R210" s="122"/>
      <c r="S210" s="122"/>
      <c r="T210" s="122"/>
      <c r="U210" s="122"/>
      <c r="V210" s="122"/>
      <c r="W210" s="172" t="s">
        <v>576</v>
      </c>
      <c r="X210" s="122"/>
      <c r="Y210" s="122"/>
      <c r="Z210" s="122"/>
      <c r="AA210" s="122"/>
      <c r="AB210" s="122"/>
      <c r="AC210" s="122"/>
      <c r="AD210" s="122"/>
      <c r="AE210" s="122"/>
      <c r="AF210" s="122"/>
      <c r="AG210" s="122"/>
      <c r="AH210" s="122"/>
      <c r="AI210" s="122"/>
      <c r="AJ210" s="122"/>
      <c r="AK210" s="122"/>
      <c r="AL210" s="122"/>
      <c r="AM210" s="122"/>
      <c r="AN210" s="122"/>
      <c r="AO210" s="122"/>
      <c r="AP210" s="122"/>
      <c r="AQ210" s="122"/>
      <c r="AR210" s="122"/>
      <c r="AS210" s="122"/>
      <c r="AT210" s="122"/>
      <c r="AU210" s="122"/>
      <c r="AV210" s="122"/>
    </row>
    <row r="211" spans="4:48" ht="15.95" customHeight="1">
      <c r="D211" s="122"/>
      <c r="E211" s="122"/>
      <c r="F211" s="122"/>
      <c r="G211" s="122"/>
      <c r="H211" s="122"/>
      <c r="I211" s="122"/>
      <c r="J211" s="122"/>
      <c r="K211" s="122"/>
      <c r="L211" s="122"/>
      <c r="M211" s="122"/>
      <c r="N211" s="122"/>
      <c r="O211" s="122"/>
      <c r="P211" s="122"/>
      <c r="Q211" s="122"/>
      <c r="R211" s="122"/>
      <c r="S211" s="122"/>
      <c r="T211" s="122"/>
      <c r="U211" s="122"/>
      <c r="V211" s="122"/>
      <c r="W211" s="172" t="s">
        <v>577</v>
      </c>
      <c r="X211" s="122"/>
      <c r="Y211" s="122"/>
      <c r="Z211" s="122"/>
      <c r="AA211" s="122"/>
      <c r="AB211" s="122"/>
      <c r="AC211" s="122"/>
      <c r="AD211" s="122"/>
      <c r="AE211" s="122"/>
      <c r="AF211" s="122"/>
      <c r="AG211" s="122"/>
      <c r="AH211" s="122"/>
      <c r="AI211" s="122"/>
      <c r="AJ211" s="122"/>
      <c r="AK211" s="122"/>
      <c r="AL211" s="122"/>
      <c r="AM211" s="122"/>
      <c r="AN211" s="122"/>
      <c r="AO211" s="122"/>
      <c r="AP211" s="122"/>
      <c r="AQ211" s="122"/>
      <c r="AR211" s="122"/>
      <c r="AS211" s="122"/>
      <c r="AT211" s="122"/>
      <c r="AU211" s="122"/>
      <c r="AV211" s="122"/>
    </row>
    <row r="212" spans="4:48" ht="15.95" customHeight="1">
      <c r="D212" s="122"/>
      <c r="E212" s="122"/>
      <c r="F212" s="122"/>
      <c r="G212" s="122"/>
      <c r="H212" s="122"/>
      <c r="I212" s="122"/>
      <c r="J212" s="122"/>
      <c r="K212" s="122"/>
      <c r="L212" s="122"/>
      <c r="M212" s="122"/>
      <c r="N212" s="122"/>
      <c r="O212" s="122"/>
      <c r="P212" s="122"/>
      <c r="Q212" s="122"/>
      <c r="R212" s="122"/>
      <c r="S212" s="122"/>
      <c r="T212" s="122"/>
      <c r="U212" s="122"/>
      <c r="V212" s="122"/>
      <c r="W212" s="172" t="s">
        <v>578</v>
      </c>
      <c r="X212" s="122"/>
      <c r="Y212" s="122"/>
      <c r="Z212" s="122"/>
      <c r="AA212" s="122"/>
      <c r="AB212" s="122"/>
      <c r="AC212" s="122"/>
      <c r="AD212" s="122"/>
      <c r="AE212" s="122"/>
      <c r="AF212" s="122"/>
      <c r="AG212" s="122"/>
      <c r="AH212" s="122"/>
      <c r="AI212" s="122"/>
      <c r="AJ212" s="122"/>
      <c r="AK212" s="122"/>
      <c r="AL212" s="122"/>
      <c r="AM212" s="122"/>
      <c r="AN212" s="122"/>
      <c r="AO212" s="122"/>
      <c r="AP212" s="122"/>
      <c r="AQ212" s="122"/>
      <c r="AR212" s="122"/>
      <c r="AS212" s="122"/>
      <c r="AT212" s="122"/>
      <c r="AU212" s="122"/>
      <c r="AV212" s="122"/>
    </row>
    <row r="213" spans="4:48" ht="15.95" customHeight="1">
      <c r="D213" s="122"/>
      <c r="E213" s="122"/>
      <c r="F213" s="122"/>
      <c r="G213" s="122"/>
      <c r="H213" s="122"/>
      <c r="I213" s="122"/>
      <c r="J213" s="122"/>
      <c r="K213" s="122"/>
      <c r="L213" s="122"/>
      <c r="M213" s="122"/>
      <c r="N213" s="122"/>
      <c r="O213" s="122"/>
      <c r="P213" s="122"/>
      <c r="Q213" s="122"/>
      <c r="R213" s="122"/>
      <c r="S213" s="122"/>
      <c r="T213" s="122"/>
      <c r="U213" s="122"/>
      <c r="V213" s="122"/>
      <c r="W213" s="172" t="s">
        <v>579</v>
      </c>
      <c r="X213" s="122"/>
      <c r="Y213" s="122"/>
      <c r="Z213" s="122"/>
      <c r="AA213" s="122"/>
      <c r="AB213" s="122"/>
      <c r="AC213" s="122"/>
      <c r="AD213" s="122"/>
      <c r="AE213" s="122"/>
      <c r="AF213" s="122"/>
      <c r="AG213" s="122"/>
      <c r="AH213" s="122"/>
      <c r="AI213" s="122"/>
      <c r="AJ213" s="122"/>
      <c r="AK213" s="122"/>
      <c r="AL213" s="122"/>
      <c r="AM213" s="122"/>
      <c r="AN213" s="122"/>
      <c r="AO213" s="122"/>
      <c r="AP213" s="122"/>
      <c r="AQ213" s="122"/>
      <c r="AR213" s="122"/>
      <c r="AS213" s="122"/>
      <c r="AT213" s="122"/>
      <c r="AU213" s="122"/>
      <c r="AV213" s="122"/>
    </row>
    <row r="214" spans="4:48" ht="15.95" customHeight="1">
      <c r="D214" s="122"/>
      <c r="E214" s="122"/>
      <c r="F214" s="122"/>
      <c r="G214" s="122"/>
      <c r="H214" s="122"/>
      <c r="I214" s="122"/>
      <c r="J214" s="122"/>
      <c r="K214" s="122"/>
      <c r="L214" s="122"/>
      <c r="M214" s="122"/>
      <c r="N214" s="122"/>
      <c r="O214" s="122"/>
      <c r="P214" s="122"/>
      <c r="Q214" s="122"/>
      <c r="R214" s="122"/>
      <c r="S214" s="122"/>
      <c r="T214" s="122"/>
      <c r="U214" s="122"/>
      <c r="V214" s="122"/>
      <c r="W214" s="172" t="s">
        <v>580</v>
      </c>
      <c r="X214" s="122"/>
      <c r="Y214" s="122"/>
      <c r="Z214" s="122"/>
      <c r="AA214" s="122"/>
      <c r="AB214" s="122"/>
      <c r="AC214" s="122"/>
      <c r="AD214" s="122"/>
      <c r="AE214" s="122"/>
      <c r="AF214" s="122"/>
      <c r="AG214" s="122"/>
      <c r="AH214" s="122"/>
      <c r="AI214" s="122"/>
      <c r="AJ214" s="122"/>
      <c r="AK214" s="122"/>
      <c r="AL214" s="122"/>
      <c r="AM214" s="122"/>
      <c r="AN214" s="122"/>
      <c r="AO214" s="122"/>
      <c r="AP214" s="122"/>
      <c r="AQ214" s="122"/>
      <c r="AR214" s="122"/>
      <c r="AS214" s="122"/>
      <c r="AT214" s="122"/>
      <c r="AU214" s="122"/>
      <c r="AV214" s="122"/>
    </row>
    <row r="215" spans="4:48" ht="15.95" customHeight="1">
      <c r="D215" s="122"/>
      <c r="E215" s="122"/>
      <c r="F215" s="122"/>
      <c r="G215" s="122"/>
      <c r="H215" s="122"/>
      <c r="I215" s="122"/>
      <c r="J215" s="122"/>
      <c r="K215" s="122"/>
      <c r="L215" s="122"/>
      <c r="M215" s="122"/>
      <c r="N215" s="122"/>
      <c r="O215" s="122"/>
      <c r="P215" s="122"/>
      <c r="Q215" s="122"/>
      <c r="R215" s="122"/>
      <c r="S215" s="122"/>
      <c r="T215" s="122"/>
      <c r="U215" s="122"/>
      <c r="V215" s="122"/>
      <c r="W215" s="172" t="s">
        <v>581</v>
      </c>
      <c r="X215" s="122"/>
      <c r="Y215" s="122"/>
      <c r="Z215" s="122"/>
      <c r="AA215" s="122"/>
      <c r="AB215" s="122"/>
      <c r="AC215" s="122"/>
      <c r="AD215" s="122"/>
      <c r="AE215" s="122"/>
      <c r="AF215" s="122"/>
      <c r="AG215" s="122"/>
      <c r="AH215" s="122"/>
      <c r="AI215" s="122"/>
      <c r="AJ215" s="122"/>
      <c r="AK215" s="122"/>
      <c r="AL215" s="122"/>
      <c r="AM215" s="122"/>
      <c r="AN215" s="122"/>
      <c r="AO215" s="122"/>
      <c r="AP215" s="122"/>
      <c r="AQ215" s="122"/>
      <c r="AR215" s="122"/>
      <c r="AS215" s="122"/>
      <c r="AT215" s="122"/>
      <c r="AU215" s="122"/>
      <c r="AV215" s="122"/>
    </row>
    <row r="216" spans="4:48" ht="15.95" customHeight="1">
      <c r="D216" s="122"/>
      <c r="E216" s="122"/>
      <c r="F216" s="122"/>
      <c r="G216" s="122"/>
      <c r="H216" s="122"/>
      <c r="I216" s="122"/>
      <c r="J216" s="122"/>
      <c r="K216" s="122"/>
      <c r="L216" s="122"/>
      <c r="M216" s="122"/>
      <c r="N216" s="122"/>
      <c r="O216" s="122"/>
      <c r="P216" s="122"/>
      <c r="Q216" s="122"/>
      <c r="R216" s="122"/>
      <c r="S216" s="122"/>
      <c r="T216" s="122"/>
      <c r="U216" s="122"/>
      <c r="V216" s="122"/>
      <c r="W216" s="172" t="s">
        <v>582</v>
      </c>
      <c r="X216" s="122"/>
      <c r="Y216" s="122"/>
      <c r="Z216" s="122"/>
      <c r="AA216" s="122"/>
      <c r="AB216" s="122"/>
      <c r="AC216" s="122"/>
      <c r="AD216" s="122"/>
      <c r="AE216" s="122"/>
      <c r="AF216" s="122"/>
      <c r="AG216" s="122"/>
      <c r="AH216" s="122"/>
      <c r="AI216" s="122"/>
      <c r="AJ216" s="122"/>
      <c r="AK216" s="122"/>
      <c r="AL216" s="122"/>
      <c r="AM216" s="122"/>
      <c r="AN216" s="122"/>
      <c r="AO216" s="122"/>
      <c r="AP216" s="122"/>
      <c r="AQ216" s="122"/>
      <c r="AR216" s="122"/>
      <c r="AS216" s="122"/>
      <c r="AT216" s="122"/>
      <c r="AU216" s="122"/>
      <c r="AV216" s="122"/>
    </row>
    <row r="217" spans="4:48" ht="15.95" customHeight="1">
      <c r="D217" s="122"/>
      <c r="E217" s="122"/>
      <c r="F217" s="122"/>
      <c r="G217" s="122"/>
      <c r="H217" s="122"/>
      <c r="I217" s="122"/>
      <c r="J217" s="122"/>
      <c r="K217" s="122"/>
      <c r="L217" s="122"/>
      <c r="M217" s="122"/>
      <c r="N217" s="122"/>
      <c r="O217" s="122"/>
      <c r="P217" s="122"/>
      <c r="Q217" s="122"/>
      <c r="R217" s="122"/>
      <c r="S217" s="122"/>
      <c r="T217" s="122"/>
      <c r="U217" s="122"/>
      <c r="V217" s="122"/>
      <c r="W217" s="172" t="s">
        <v>583</v>
      </c>
      <c r="X217" s="122"/>
      <c r="Y217" s="122"/>
      <c r="Z217" s="122"/>
      <c r="AA217" s="122"/>
      <c r="AB217" s="122"/>
      <c r="AC217" s="122"/>
      <c r="AD217" s="122"/>
      <c r="AE217" s="122"/>
      <c r="AF217" s="122"/>
      <c r="AG217" s="122"/>
      <c r="AH217" s="122"/>
      <c r="AI217" s="122"/>
      <c r="AJ217" s="122"/>
      <c r="AK217" s="122"/>
      <c r="AL217" s="122"/>
      <c r="AM217" s="122"/>
      <c r="AN217" s="122"/>
      <c r="AO217" s="122"/>
      <c r="AP217" s="122"/>
      <c r="AQ217" s="122"/>
      <c r="AR217" s="122"/>
      <c r="AS217" s="122"/>
      <c r="AT217" s="122"/>
      <c r="AU217" s="122"/>
      <c r="AV217" s="122"/>
    </row>
    <row r="218" spans="4:48" ht="15.95" customHeight="1">
      <c r="D218" s="122"/>
      <c r="E218" s="122"/>
      <c r="F218" s="122"/>
      <c r="G218" s="122"/>
      <c r="H218" s="122"/>
      <c r="I218" s="122"/>
      <c r="J218" s="122"/>
      <c r="K218" s="122"/>
      <c r="L218" s="122"/>
      <c r="M218" s="122"/>
      <c r="N218" s="122"/>
      <c r="O218" s="122"/>
      <c r="P218" s="122"/>
      <c r="Q218" s="122"/>
      <c r="R218" s="122"/>
      <c r="S218" s="122"/>
      <c r="T218" s="122"/>
      <c r="U218" s="122"/>
      <c r="V218" s="122"/>
      <c r="W218" s="172" t="s">
        <v>584</v>
      </c>
      <c r="X218" s="122"/>
      <c r="Y218" s="122"/>
      <c r="Z218" s="122"/>
      <c r="AA218" s="122"/>
      <c r="AB218" s="122"/>
      <c r="AC218" s="122"/>
      <c r="AD218" s="122"/>
      <c r="AE218" s="122"/>
      <c r="AF218" s="122"/>
      <c r="AG218" s="122"/>
      <c r="AH218" s="122"/>
      <c r="AI218" s="122"/>
      <c r="AJ218" s="122"/>
      <c r="AK218" s="122"/>
      <c r="AL218" s="122"/>
      <c r="AM218" s="122"/>
      <c r="AN218" s="122"/>
      <c r="AO218" s="122"/>
      <c r="AP218" s="122"/>
      <c r="AQ218" s="122"/>
      <c r="AR218" s="122"/>
      <c r="AS218" s="122"/>
      <c r="AT218" s="122"/>
      <c r="AU218" s="122"/>
      <c r="AV218" s="122"/>
    </row>
    <row r="219" spans="4:48" ht="15.95" customHeight="1">
      <c r="D219" s="122"/>
      <c r="E219" s="122"/>
      <c r="F219" s="122"/>
      <c r="G219" s="122"/>
      <c r="H219" s="122"/>
      <c r="I219" s="122"/>
      <c r="J219" s="122"/>
      <c r="K219" s="122"/>
      <c r="L219" s="122"/>
      <c r="M219" s="122"/>
      <c r="N219" s="122"/>
      <c r="O219" s="122"/>
      <c r="P219" s="122"/>
      <c r="Q219" s="122"/>
      <c r="R219" s="122"/>
      <c r="S219" s="122"/>
      <c r="T219" s="122"/>
      <c r="U219" s="122"/>
      <c r="V219" s="122"/>
      <c r="W219" s="172" t="s">
        <v>585</v>
      </c>
      <c r="X219" s="122"/>
      <c r="Y219" s="122"/>
      <c r="Z219" s="122"/>
      <c r="AA219" s="122"/>
      <c r="AB219" s="122"/>
      <c r="AC219" s="122"/>
      <c r="AD219" s="122"/>
      <c r="AE219" s="122"/>
      <c r="AF219" s="122"/>
      <c r="AG219" s="122"/>
      <c r="AH219" s="122"/>
      <c r="AI219" s="122"/>
      <c r="AJ219" s="122"/>
      <c r="AK219" s="122"/>
      <c r="AL219" s="122"/>
      <c r="AM219" s="122"/>
      <c r="AN219" s="122"/>
      <c r="AO219" s="122"/>
      <c r="AP219" s="122"/>
      <c r="AQ219" s="122"/>
      <c r="AR219" s="122"/>
      <c r="AS219" s="122"/>
      <c r="AT219" s="122"/>
      <c r="AU219" s="122"/>
      <c r="AV219" s="122"/>
    </row>
    <row r="220" spans="4:48" ht="15.95" customHeight="1">
      <c r="D220" s="122"/>
      <c r="E220" s="122"/>
      <c r="F220" s="122"/>
      <c r="G220" s="122"/>
      <c r="H220" s="122"/>
      <c r="I220" s="122"/>
      <c r="J220" s="122"/>
      <c r="K220" s="122"/>
      <c r="L220" s="122"/>
      <c r="M220" s="122"/>
      <c r="N220" s="122"/>
      <c r="O220" s="122"/>
      <c r="P220" s="122"/>
      <c r="Q220" s="122"/>
      <c r="R220" s="122"/>
      <c r="S220" s="122"/>
      <c r="T220" s="122"/>
      <c r="U220" s="122"/>
      <c r="V220" s="122"/>
      <c r="W220" s="172" t="s">
        <v>586</v>
      </c>
      <c r="X220" s="122"/>
      <c r="Y220" s="122"/>
      <c r="Z220" s="122"/>
      <c r="AA220" s="122"/>
      <c r="AB220" s="122"/>
      <c r="AC220" s="122"/>
      <c r="AD220" s="122"/>
      <c r="AE220" s="122"/>
      <c r="AF220" s="122"/>
      <c r="AG220" s="122"/>
      <c r="AH220" s="122"/>
      <c r="AI220" s="122"/>
      <c r="AJ220" s="122"/>
      <c r="AK220" s="122"/>
      <c r="AL220" s="122"/>
      <c r="AM220" s="122"/>
      <c r="AN220" s="122"/>
      <c r="AO220" s="122"/>
      <c r="AP220" s="122"/>
      <c r="AQ220" s="122"/>
      <c r="AR220" s="122"/>
      <c r="AS220" s="122"/>
      <c r="AT220" s="122"/>
      <c r="AU220" s="122"/>
      <c r="AV220" s="122"/>
    </row>
    <row r="221" spans="4:48" ht="15.95" customHeight="1">
      <c r="D221" s="122"/>
      <c r="E221" s="122"/>
      <c r="F221" s="122"/>
      <c r="G221" s="122"/>
      <c r="H221" s="122"/>
      <c r="I221" s="122"/>
      <c r="J221" s="122"/>
      <c r="K221" s="122"/>
      <c r="L221" s="122"/>
      <c r="M221" s="122"/>
      <c r="N221" s="122"/>
      <c r="O221" s="122"/>
      <c r="P221" s="122"/>
      <c r="Q221" s="122"/>
      <c r="R221" s="122"/>
      <c r="S221" s="122"/>
      <c r="T221" s="122"/>
      <c r="U221" s="122"/>
      <c r="V221" s="122"/>
      <c r="W221" s="172" t="s">
        <v>587</v>
      </c>
      <c r="X221" s="122"/>
      <c r="Y221" s="122"/>
      <c r="Z221" s="122"/>
      <c r="AA221" s="122"/>
      <c r="AB221" s="122"/>
      <c r="AC221" s="122"/>
      <c r="AD221" s="122"/>
      <c r="AE221" s="122"/>
      <c r="AF221" s="122"/>
      <c r="AG221" s="122"/>
      <c r="AH221" s="122"/>
      <c r="AI221" s="122"/>
      <c r="AJ221" s="122"/>
      <c r="AK221" s="122"/>
      <c r="AL221" s="122"/>
      <c r="AM221" s="122"/>
      <c r="AN221" s="122"/>
      <c r="AO221" s="122"/>
      <c r="AP221" s="122"/>
      <c r="AQ221" s="122"/>
      <c r="AR221" s="122"/>
      <c r="AS221" s="122"/>
      <c r="AT221" s="122"/>
      <c r="AU221" s="122"/>
      <c r="AV221" s="122"/>
    </row>
    <row r="222" spans="4:48" ht="15.95" customHeight="1">
      <c r="D222" s="122"/>
      <c r="E222" s="122"/>
      <c r="F222" s="122"/>
      <c r="G222" s="122"/>
      <c r="H222" s="122"/>
      <c r="I222" s="122"/>
      <c r="J222" s="122"/>
      <c r="K222" s="122"/>
      <c r="L222" s="122"/>
      <c r="M222" s="122"/>
      <c r="N222" s="122"/>
      <c r="O222" s="122"/>
      <c r="P222" s="122"/>
      <c r="Q222" s="122"/>
      <c r="R222" s="122"/>
      <c r="S222" s="122"/>
      <c r="T222" s="122"/>
      <c r="U222" s="122"/>
      <c r="V222" s="122"/>
      <c r="W222" s="172" t="s">
        <v>588</v>
      </c>
      <c r="X222" s="122"/>
      <c r="Y222" s="122"/>
      <c r="Z222" s="122"/>
      <c r="AA222" s="122"/>
      <c r="AB222" s="122"/>
      <c r="AC222" s="122"/>
      <c r="AD222" s="122"/>
      <c r="AE222" s="122"/>
      <c r="AF222" s="122"/>
      <c r="AG222" s="122"/>
      <c r="AH222" s="122"/>
      <c r="AI222" s="122"/>
      <c r="AJ222" s="122"/>
      <c r="AK222" s="122"/>
      <c r="AL222" s="122"/>
      <c r="AM222" s="122"/>
      <c r="AN222" s="122"/>
      <c r="AO222" s="122"/>
      <c r="AP222" s="122"/>
      <c r="AQ222" s="122"/>
      <c r="AR222" s="122"/>
      <c r="AS222" s="122"/>
      <c r="AT222" s="122"/>
      <c r="AU222" s="122"/>
      <c r="AV222" s="122"/>
    </row>
    <row r="223" spans="4:48" ht="15.95" customHeight="1">
      <c r="D223" s="122"/>
      <c r="E223" s="122"/>
      <c r="F223" s="122"/>
      <c r="G223" s="122"/>
      <c r="H223" s="122"/>
      <c r="I223" s="122"/>
      <c r="J223" s="122"/>
      <c r="K223" s="122"/>
      <c r="L223" s="122"/>
      <c r="M223" s="122"/>
      <c r="N223" s="122"/>
      <c r="O223" s="122"/>
      <c r="P223" s="122"/>
      <c r="Q223" s="122"/>
      <c r="R223" s="122"/>
      <c r="S223" s="122"/>
      <c r="T223" s="122"/>
      <c r="U223" s="122"/>
      <c r="V223" s="122"/>
      <c r="W223" s="172" t="s">
        <v>589</v>
      </c>
      <c r="X223" s="122"/>
      <c r="Y223" s="122"/>
      <c r="Z223" s="122"/>
      <c r="AA223" s="122"/>
      <c r="AB223" s="122"/>
      <c r="AC223" s="122"/>
      <c r="AD223" s="122"/>
      <c r="AE223" s="122"/>
      <c r="AF223" s="122"/>
      <c r="AG223" s="122"/>
      <c r="AH223" s="122"/>
      <c r="AI223" s="122"/>
      <c r="AJ223" s="122"/>
      <c r="AK223" s="122"/>
      <c r="AL223" s="122"/>
      <c r="AM223" s="122"/>
      <c r="AN223" s="122"/>
      <c r="AO223" s="122"/>
      <c r="AP223" s="122"/>
      <c r="AQ223" s="122"/>
      <c r="AR223" s="122"/>
      <c r="AS223" s="122"/>
      <c r="AT223" s="122"/>
      <c r="AU223" s="122"/>
      <c r="AV223" s="122"/>
    </row>
    <row r="224" spans="4:48" ht="15.95" customHeight="1">
      <c r="D224" s="122"/>
      <c r="E224" s="122"/>
      <c r="F224" s="122"/>
      <c r="G224" s="122"/>
      <c r="H224" s="122"/>
      <c r="I224" s="122"/>
      <c r="J224" s="122"/>
      <c r="K224" s="122"/>
      <c r="L224" s="122"/>
      <c r="M224" s="122"/>
      <c r="N224" s="122"/>
      <c r="O224" s="122"/>
      <c r="P224" s="122"/>
      <c r="Q224" s="122"/>
      <c r="R224" s="122"/>
      <c r="S224" s="122"/>
      <c r="T224" s="122"/>
      <c r="U224" s="122"/>
      <c r="V224" s="122"/>
      <c r="W224" s="172" t="s">
        <v>590</v>
      </c>
      <c r="X224" s="122"/>
      <c r="Y224" s="122"/>
      <c r="Z224" s="122"/>
      <c r="AA224" s="122"/>
      <c r="AB224" s="122"/>
      <c r="AC224" s="122"/>
      <c r="AD224" s="122"/>
      <c r="AE224" s="122"/>
      <c r="AF224" s="122"/>
      <c r="AG224" s="122"/>
      <c r="AH224" s="122"/>
      <c r="AI224" s="122"/>
      <c r="AJ224" s="122"/>
      <c r="AK224" s="122"/>
      <c r="AL224" s="122"/>
      <c r="AM224" s="122"/>
      <c r="AN224" s="122"/>
      <c r="AO224" s="122"/>
      <c r="AP224" s="122"/>
      <c r="AQ224" s="122"/>
      <c r="AR224" s="122"/>
      <c r="AS224" s="122"/>
      <c r="AT224" s="122"/>
      <c r="AU224" s="122"/>
      <c r="AV224" s="122"/>
    </row>
    <row r="225" spans="4:48" ht="15.95" customHeight="1">
      <c r="D225" s="122"/>
      <c r="E225" s="122"/>
      <c r="F225" s="122"/>
      <c r="G225" s="122"/>
      <c r="H225" s="122"/>
      <c r="I225" s="122"/>
      <c r="J225" s="122"/>
      <c r="K225" s="122"/>
      <c r="L225" s="122"/>
      <c r="M225" s="122"/>
      <c r="N225" s="122"/>
      <c r="O225" s="122"/>
      <c r="P225" s="122"/>
      <c r="Q225" s="122"/>
      <c r="R225" s="122"/>
      <c r="S225" s="122"/>
      <c r="T225" s="122"/>
      <c r="U225" s="122"/>
      <c r="V225" s="122"/>
      <c r="W225" s="172" t="s">
        <v>591</v>
      </c>
      <c r="X225" s="122"/>
      <c r="Y225" s="122"/>
      <c r="Z225" s="122"/>
      <c r="AA225" s="122"/>
      <c r="AB225" s="122"/>
      <c r="AC225" s="122"/>
      <c r="AD225" s="122"/>
      <c r="AE225" s="122"/>
      <c r="AF225" s="122"/>
      <c r="AG225" s="122"/>
      <c r="AH225" s="122"/>
      <c r="AI225" s="122"/>
      <c r="AJ225" s="122"/>
      <c r="AK225" s="122"/>
      <c r="AL225" s="122"/>
      <c r="AM225" s="122"/>
      <c r="AN225" s="122"/>
      <c r="AO225" s="122"/>
      <c r="AP225" s="122"/>
      <c r="AQ225" s="122"/>
      <c r="AR225" s="122"/>
      <c r="AS225" s="122"/>
      <c r="AT225" s="122"/>
      <c r="AU225" s="122"/>
      <c r="AV225" s="122"/>
    </row>
    <row r="226" spans="4:48" ht="15.95" customHeight="1">
      <c r="D226" s="122"/>
      <c r="E226" s="122"/>
      <c r="F226" s="122"/>
      <c r="G226" s="122"/>
      <c r="H226" s="122"/>
      <c r="I226" s="122"/>
      <c r="J226" s="122"/>
      <c r="K226" s="122"/>
      <c r="L226" s="122"/>
      <c r="M226" s="122"/>
      <c r="N226" s="122"/>
      <c r="O226" s="122"/>
      <c r="P226" s="122"/>
      <c r="Q226" s="122"/>
      <c r="R226" s="122"/>
      <c r="S226" s="122"/>
      <c r="T226" s="122"/>
      <c r="U226" s="122"/>
      <c r="V226" s="122"/>
      <c r="W226" s="172" t="s">
        <v>592</v>
      </c>
      <c r="X226" s="122"/>
      <c r="Y226" s="122"/>
      <c r="Z226" s="122"/>
      <c r="AA226" s="122"/>
      <c r="AB226" s="122"/>
      <c r="AC226" s="122"/>
      <c r="AD226" s="122"/>
      <c r="AE226" s="122"/>
      <c r="AF226" s="122"/>
      <c r="AG226" s="122"/>
      <c r="AH226" s="122"/>
      <c r="AI226" s="122"/>
      <c r="AJ226" s="122"/>
      <c r="AK226" s="122"/>
      <c r="AL226" s="122"/>
      <c r="AM226" s="122"/>
      <c r="AN226" s="122"/>
      <c r="AO226" s="122"/>
      <c r="AP226" s="122"/>
      <c r="AQ226" s="122"/>
      <c r="AR226" s="122"/>
      <c r="AS226" s="122"/>
      <c r="AT226" s="122"/>
      <c r="AU226" s="122"/>
      <c r="AV226" s="122"/>
    </row>
    <row r="227" spans="4:48" ht="15.95" customHeight="1">
      <c r="D227" s="122"/>
      <c r="E227" s="122"/>
      <c r="F227" s="122"/>
      <c r="G227" s="122"/>
      <c r="H227" s="122"/>
      <c r="I227" s="122"/>
      <c r="J227" s="122"/>
      <c r="K227" s="122"/>
      <c r="L227" s="122"/>
      <c r="M227" s="122"/>
      <c r="N227" s="122"/>
      <c r="O227" s="122"/>
      <c r="P227" s="122"/>
      <c r="Q227" s="122"/>
      <c r="R227" s="122"/>
      <c r="S227" s="122"/>
      <c r="T227" s="122"/>
      <c r="U227" s="122"/>
      <c r="V227" s="122"/>
      <c r="W227" s="172" t="s">
        <v>593</v>
      </c>
      <c r="X227" s="122"/>
      <c r="Y227" s="122"/>
      <c r="Z227" s="122"/>
      <c r="AA227" s="122"/>
      <c r="AB227" s="122"/>
      <c r="AC227" s="122"/>
      <c r="AD227" s="122"/>
      <c r="AE227" s="122"/>
      <c r="AF227" s="122"/>
      <c r="AG227" s="122"/>
      <c r="AH227" s="122"/>
      <c r="AI227" s="122"/>
      <c r="AJ227" s="122"/>
      <c r="AK227" s="122"/>
      <c r="AL227" s="122"/>
      <c r="AM227" s="122"/>
      <c r="AN227" s="122"/>
      <c r="AO227" s="122"/>
      <c r="AP227" s="122"/>
      <c r="AQ227" s="122"/>
      <c r="AR227" s="122"/>
      <c r="AS227" s="122"/>
      <c r="AT227" s="122"/>
      <c r="AU227" s="122"/>
      <c r="AV227" s="122"/>
    </row>
    <row r="228" spans="4:48" ht="15.95" customHeight="1">
      <c r="D228" s="122"/>
      <c r="E228" s="122"/>
      <c r="F228" s="122"/>
      <c r="G228" s="122"/>
      <c r="H228" s="122"/>
      <c r="I228" s="122"/>
      <c r="J228" s="122"/>
      <c r="K228" s="122"/>
      <c r="L228" s="122"/>
      <c r="M228" s="122"/>
      <c r="N228" s="122"/>
      <c r="O228" s="122"/>
      <c r="P228" s="122"/>
      <c r="Q228" s="122"/>
      <c r="R228" s="122"/>
      <c r="S228" s="122"/>
      <c r="T228" s="122"/>
      <c r="U228" s="122"/>
      <c r="V228" s="122"/>
      <c r="W228" s="172" t="s">
        <v>594</v>
      </c>
      <c r="X228" s="122"/>
      <c r="Y228" s="122"/>
      <c r="Z228" s="122"/>
      <c r="AA228" s="122"/>
      <c r="AB228" s="122"/>
      <c r="AC228" s="122"/>
      <c r="AD228" s="122"/>
      <c r="AE228" s="122"/>
      <c r="AF228" s="122"/>
      <c r="AG228" s="122"/>
      <c r="AH228" s="122"/>
      <c r="AI228" s="122"/>
      <c r="AJ228" s="122"/>
      <c r="AK228" s="122"/>
      <c r="AL228" s="122"/>
      <c r="AM228" s="122"/>
      <c r="AN228" s="122"/>
      <c r="AO228" s="122"/>
      <c r="AP228" s="122"/>
      <c r="AQ228" s="122"/>
      <c r="AR228" s="122"/>
      <c r="AS228" s="122"/>
      <c r="AT228" s="122"/>
      <c r="AU228" s="122"/>
      <c r="AV228" s="122"/>
    </row>
    <row r="229" spans="4:48" ht="15.95" customHeight="1">
      <c r="D229" s="122"/>
      <c r="E229" s="122"/>
      <c r="F229" s="122"/>
      <c r="G229" s="122"/>
      <c r="H229" s="122"/>
      <c r="I229" s="122"/>
      <c r="J229" s="122"/>
      <c r="K229" s="122"/>
      <c r="L229" s="122"/>
      <c r="M229" s="122"/>
      <c r="N229" s="122"/>
      <c r="O229" s="122"/>
      <c r="P229" s="122"/>
      <c r="Q229" s="122"/>
      <c r="R229" s="122"/>
      <c r="S229" s="122"/>
      <c r="T229" s="122"/>
      <c r="U229" s="122"/>
      <c r="V229" s="122"/>
      <c r="W229" s="172" t="s">
        <v>595</v>
      </c>
      <c r="X229" s="122"/>
      <c r="Y229" s="122"/>
      <c r="Z229" s="122"/>
      <c r="AA229" s="122"/>
      <c r="AB229" s="122"/>
      <c r="AC229" s="122"/>
      <c r="AD229" s="122"/>
      <c r="AE229" s="122"/>
      <c r="AF229" s="122"/>
      <c r="AG229" s="122"/>
      <c r="AH229" s="122"/>
      <c r="AI229" s="122"/>
      <c r="AJ229" s="122"/>
      <c r="AK229" s="122"/>
      <c r="AL229" s="122"/>
      <c r="AM229" s="122"/>
      <c r="AN229" s="122"/>
      <c r="AO229" s="122"/>
      <c r="AP229" s="122"/>
      <c r="AQ229" s="122"/>
      <c r="AR229" s="122"/>
      <c r="AS229" s="122"/>
      <c r="AT229" s="122"/>
      <c r="AU229" s="122"/>
      <c r="AV229" s="122"/>
    </row>
    <row r="230" spans="4:48" ht="15.95" customHeight="1">
      <c r="D230" s="122"/>
      <c r="E230" s="122"/>
      <c r="F230" s="122"/>
      <c r="G230" s="122"/>
      <c r="H230" s="122"/>
      <c r="I230" s="122"/>
      <c r="J230" s="122"/>
      <c r="K230" s="122"/>
      <c r="L230" s="122"/>
      <c r="M230" s="122"/>
      <c r="N230" s="122"/>
      <c r="O230" s="122"/>
      <c r="P230" s="122"/>
      <c r="Q230" s="122"/>
      <c r="R230" s="122"/>
      <c r="S230" s="122"/>
      <c r="T230" s="122"/>
      <c r="U230" s="122"/>
      <c r="V230" s="122"/>
      <c r="W230" s="172" t="s">
        <v>596</v>
      </c>
      <c r="X230" s="122"/>
      <c r="Y230" s="122"/>
      <c r="Z230" s="122"/>
      <c r="AA230" s="122"/>
      <c r="AB230" s="122"/>
      <c r="AC230" s="122"/>
      <c r="AD230" s="122"/>
      <c r="AE230" s="122"/>
      <c r="AF230" s="122"/>
      <c r="AG230" s="122"/>
      <c r="AH230" s="122"/>
      <c r="AI230" s="122"/>
      <c r="AJ230" s="122"/>
      <c r="AK230" s="122"/>
      <c r="AL230" s="122"/>
      <c r="AM230" s="122"/>
      <c r="AN230" s="122"/>
      <c r="AO230" s="122"/>
      <c r="AP230" s="122"/>
      <c r="AQ230" s="122"/>
      <c r="AR230" s="122"/>
      <c r="AS230" s="122"/>
      <c r="AT230" s="122"/>
      <c r="AU230" s="122"/>
      <c r="AV230" s="122"/>
    </row>
    <row r="231" spans="4:48" ht="15.95" customHeight="1">
      <c r="D231" s="122"/>
      <c r="E231" s="122"/>
      <c r="F231" s="122"/>
      <c r="G231" s="122"/>
      <c r="H231" s="122"/>
      <c r="I231" s="122"/>
      <c r="J231" s="122"/>
      <c r="K231" s="122"/>
      <c r="L231" s="122"/>
      <c r="M231" s="122"/>
      <c r="N231" s="122"/>
      <c r="O231" s="122"/>
      <c r="P231" s="122"/>
      <c r="Q231" s="122"/>
      <c r="R231" s="122"/>
      <c r="S231" s="122"/>
      <c r="T231" s="122"/>
      <c r="U231" s="122"/>
      <c r="V231" s="122"/>
      <c r="W231" s="172" t="s">
        <v>597</v>
      </c>
      <c r="X231" s="122"/>
      <c r="Y231" s="122"/>
      <c r="Z231" s="122"/>
      <c r="AA231" s="122"/>
      <c r="AB231" s="122"/>
      <c r="AC231" s="122"/>
      <c r="AD231" s="122"/>
      <c r="AE231" s="122"/>
      <c r="AF231" s="122"/>
      <c r="AG231" s="122"/>
      <c r="AH231" s="122"/>
      <c r="AI231" s="122"/>
      <c r="AJ231" s="122"/>
      <c r="AK231" s="122"/>
      <c r="AL231" s="122"/>
      <c r="AM231" s="122"/>
      <c r="AN231" s="122"/>
      <c r="AO231" s="122"/>
      <c r="AP231" s="122"/>
      <c r="AQ231" s="122"/>
      <c r="AR231" s="122"/>
      <c r="AS231" s="122"/>
      <c r="AT231" s="122"/>
      <c r="AU231" s="122"/>
      <c r="AV231" s="122"/>
    </row>
    <row r="232" spans="4:48" ht="15.95" customHeight="1">
      <c r="D232" s="122"/>
      <c r="E232" s="122"/>
      <c r="F232" s="122"/>
      <c r="G232" s="122"/>
      <c r="H232" s="122"/>
      <c r="I232" s="122"/>
      <c r="J232" s="122"/>
      <c r="K232" s="122"/>
      <c r="L232" s="122"/>
      <c r="M232" s="122"/>
      <c r="N232" s="122"/>
      <c r="O232" s="122"/>
      <c r="P232" s="122"/>
      <c r="Q232" s="122"/>
      <c r="R232" s="122"/>
      <c r="S232" s="122"/>
      <c r="T232" s="122"/>
      <c r="U232" s="122"/>
      <c r="V232" s="122"/>
      <c r="W232" s="172" t="s">
        <v>598</v>
      </c>
      <c r="X232" s="122"/>
      <c r="Y232" s="122"/>
      <c r="Z232" s="122"/>
      <c r="AA232" s="122"/>
      <c r="AB232" s="122"/>
      <c r="AC232" s="122"/>
      <c r="AD232" s="122"/>
      <c r="AE232" s="122"/>
      <c r="AF232" s="122"/>
      <c r="AG232" s="122"/>
      <c r="AH232" s="122"/>
      <c r="AI232" s="122"/>
      <c r="AJ232" s="122"/>
      <c r="AK232" s="122"/>
      <c r="AL232" s="122"/>
      <c r="AM232" s="122"/>
      <c r="AN232" s="122"/>
      <c r="AO232" s="122"/>
      <c r="AP232" s="122"/>
      <c r="AQ232" s="122"/>
      <c r="AR232" s="122"/>
      <c r="AS232" s="122"/>
      <c r="AT232" s="122"/>
      <c r="AU232" s="122"/>
      <c r="AV232" s="122"/>
    </row>
    <row r="233" spans="4:48" ht="15.95" customHeight="1">
      <c r="D233" s="122"/>
      <c r="E233" s="122"/>
      <c r="F233" s="122"/>
      <c r="G233" s="122"/>
      <c r="H233" s="122"/>
      <c r="I233" s="122"/>
      <c r="J233" s="122"/>
      <c r="K233" s="122"/>
      <c r="L233" s="122"/>
      <c r="M233" s="122"/>
      <c r="N233" s="122"/>
      <c r="O233" s="122"/>
      <c r="P233" s="122"/>
      <c r="Q233" s="122"/>
      <c r="R233" s="122"/>
      <c r="S233" s="122"/>
      <c r="T233" s="122"/>
      <c r="U233" s="122"/>
      <c r="V233" s="122"/>
      <c r="W233" s="172" t="s">
        <v>599</v>
      </c>
      <c r="X233" s="122"/>
      <c r="Y233" s="122"/>
      <c r="Z233" s="122"/>
      <c r="AA233" s="122"/>
      <c r="AB233" s="122"/>
      <c r="AC233" s="122"/>
      <c r="AD233" s="122"/>
      <c r="AE233" s="122"/>
      <c r="AF233" s="122"/>
      <c r="AG233" s="122"/>
      <c r="AH233" s="122"/>
      <c r="AI233" s="122"/>
      <c r="AJ233" s="122"/>
      <c r="AK233" s="122"/>
      <c r="AL233" s="122"/>
      <c r="AM233" s="122"/>
      <c r="AN233" s="122"/>
      <c r="AO233" s="122"/>
      <c r="AP233" s="122"/>
      <c r="AQ233" s="122"/>
      <c r="AR233" s="122"/>
      <c r="AS233" s="122"/>
      <c r="AT233" s="122"/>
      <c r="AU233" s="122"/>
      <c r="AV233" s="122"/>
    </row>
    <row r="234" spans="4:48" ht="15.95" customHeight="1">
      <c r="D234" s="122"/>
      <c r="E234" s="122"/>
      <c r="F234" s="122"/>
      <c r="G234" s="122"/>
      <c r="H234" s="122"/>
      <c r="I234" s="122"/>
      <c r="J234" s="122"/>
      <c r="K234" s="122"/>
      <c r="L234" s="122"/>
      <c r="M234" s="122"/>
      <c r="N234" s="122"/>
      <c r="O234" s="122"/>
      <c r="P234" s="122"/>
      <c r="Q234" s="122"/>
      <c r="R234" s="122"/>
      <c r="S234" s="122"/>
      <c r="T234" s="122"/>
      <c r="U234" s="122"/>
      <c r="V234" s="122"/>
      <c r="W234" s="172" t="s">
        <v>600</v>
      </c>
      <c r="X234" s="122"/>
      <c r="Y234" s="122"/>
      <c r="Z234" s="122"/>
      <c r="AA234" s="122"/>
      <c r="AB234" s="122"/>
      <c r="AC234" s="122"/>
      <c r="AD234" s="122"/>
      <c r="AE234" s="122"/>
      <c r="AF234" s="122"/>
      <c r="AG234" s="122"/>
      <c r="AH234" s="122"/>
      <c r="AI234" s="122"/>
      <c r="AJ234" s="122"/>
      <c r="AK234" s="122"/>
      <c r="AL234" s="122"/>
      <c r="AM234" s="122"/>
      <c r="AN234" s="122"/>
      <c r="AO234" s="122"/>
      <c r="AP234" s="122"/>
      <c r="AQ234" s="122"/>
      <c r="AR234" s="122"/>
      <c r="AS234" s="122"/>
      <c r="AT234" s="122"/>
      <c r="AU234" s="122"/>
      <c r="AV234" s="122"/>
    </row>
    <row r="235" spans="4:48" ht="15.95" customHeight="1">
      <c r="D235" s="122"/>
      <c r="E235" s="122"/>
      <c r="F235" s="122"/>
      <c r="G235" s="122"/>
      <c r="H235" s="122"/>
      <c r="I235" s="122"/>
      <c r="J235" s="122"/>
      <c r="K235" s="122"/>
      <c r="L235" s="122"/>
      <c r="M235" s="122"/>
      <c r="N235" s="122"/>
      <c r="O235" s="122"/>
      <c r="P235" s="122"/>
      <c r="Q235" s="122"/>
      <c r="R235" s="122"/>
      <c r="S235" s="122"/>
      <c r="T235" s="122"/>
      <c r="U235" s="122"/>
      <c r="V235" s="122"/>
      <c r="W235" s="172" t="s">
        <v>601</v>
      </c>
      <c r="X235" s="122"/>
      <c r="Y235" s="122"/>
      <c r="Z235" s="122"/>
      <c r="AA235" s="122"/>
      <c r="AB235" s="122"/>
      <c r="AC235" s="122"/>
      <c r="AD235" s="122"/>
      <c r="AE235" s="122"/>
      <c r="AF235" s="122"/>
      <c r="AG235" s="122"/>
      <c r="AH235" s="122"/>
      <c r="AI235" s="122"/>
      <c r="AJ235" s="122"/>
      <c r="AK235" s="122"/>
      <c r="AL235" s="122"/>
      <c r="AM235" s="122"/>
      <c r="AN235" s="122"/>
      <c r="AO235" s="122"/>
      <c r="AP235" s="122"/>
      <c r="AQ235" s="122"/>
      <c r="AR235" s="122"/>
      <c r="AS235" s="122"/>
      <c r="AT235" s="122"/>
      <c r="AU235" s="122"/>
      <c r="AV235" s="122"/>
    </row>
    <row r="236" spans="4:48" ht="15.95" customHeight="1">
      <c r="D236" s="122"/>
      <c r="E236" s="122"/>
      <c r="F236" s="122"/>
      <c r="G236" s="122"/>
      <c r="H236" s="122"/>
      <c r="I236" s="122"/>
      <c r="J236" s="122"/>
      <c r="K236" s="122"/>
      <c r="L236" s="122"/>
      <c r="M236" s="122"/>
      <c r="N236" s="122"/>
      <c r="O236" s="122"/>
      <c r="P236" s="122"/>
      <c r="Q236" s="122"/>
      <c r="R236" s="122"/>
      <c r="S236" s="122"/>
      <c r="T236" s="122"/>
      <c r="U236" s="122"/>
      <c r="V236" s="122"/>
      <c r="W236" s="172" t="s">
        <v>602</v>
      </c>
      <c r="X236" s="122"/>
      <c r="Y236" s="122"/>
      <c r="Z236" s="122"/>
      <c r="AA236" s="122"/>
      <c r="AB236" s="122"/>
      <c r="AC236" s="122"/>
      <c r="AD236" s="122"/>
      <c r="AE236" s="122"/>
      <c r="AF236" s="122"/>
      <c r="AG236" s="122"/>
      <c r="AH236" s="122"/>
      <c r="AI236" s="122"/>
      <c r="AJ236" s="122"/>
      <c r="AK236" s="122"/>
      <c r="AL236" s="122"/>
      <c r="AM236" s="122"/>
      <c r="AN236" s="122"/>
      <c r="AO236" s="122"/>
      <c r="AP236" s="122"/>
      <c r="AQ236" s="122"/>
      <c r="AR236" s="122"/>
      <c r="AS236" s="122"/>
      <c r="AT236" s="122"/>
      <c r="AU236" s="122"/>
      <c r="AV236" s="122"/>
    </row>
    <row r="237" spans="4:48" ht="15.95" customHeight="1">
      <c r="D237" s="122"/>
      <c r="E237" s="122"/>
      <c r="F237" s="122"/>
      <c r="G237" s="122"/>
      <c r="H237" s="122"/>
      <c r="I237" s="122"/>
      <c r="J237" s="122"/>
      <c r="K237" s="122"/>
      <c r="L237" s="122"/>
      <c r="M237" s="122"/>
      <c r="N237" s="122"/>
      <c r="O237" s="122"/>
      <c r="P237" s="122"/>
      <c r="Q237" s="122"/>
      <c r="R237" s="122"/>
      <c r="S237" s="122"/>
      <c r="T237" s="122"/>
      <c r="U237" s="122"/>
      <c r="V237" s="122"/>
      <c r="W237" s="172" t="s">
        <v>603</v>
      </c>
      <c r="X237" s="122"/>
      <c r="Y237" s="122"/>
      <c r="Z237" s="122"/>
      <c r="AA237" s="122"/>
      <c r="AB237" s="122"/>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row>
    <row r="238" spans="4:48" ht="15.95" customHeight="1">
      <c r="D238" s="122"/>
      <c r="E238" s="122"/>
      <c r="F238" s="122"/>
      <c r="G238" s="122"/>
      <c r="H238" s="122"/>
      <c r="I238" s="122"/>
      <c r="J238" s="122"/>
      <c r="K238" s="122"/>
      <c r="L238" s="122"/>
      <c r="M238" s="122"/>
      <c r="N238" s="122"/>
      <c r="O238" s="122"/>
      <c r="P238" s="122"/>
      <c r="Q238" s="122"/>
      <c r="R238" s="122"/>
      <c r="S238" s="122"/>
      <c r="T238" s="122"/>
      <c r="U238" s="122"/>
      <c r="V238" s="122"/>
      <c r="W238" s="172" t="s">
        <v>604</v>
      </c>
      <c r="X238" s="122"/>
      <c r="Y238" s="122"/>
      <c r="Z238" s="122"/>
      <c r="AA238" s="122"/>
      <c r="AB238" s="122"/>
      <c r="AC238" s="122"/>
      <c r="AD238" s="122"/>
      <c r="AE238" s="122"/>
      <c r="AF238" s="122"/>
      <c r="AG238" s="122"/>
      <c r="AH238" s="122"/>
      <c r="AI238" s="122"/>
      <c r="AJ238" s="122"/>
      <c r="AK238" s="122"/>
      <c r="AL238" s="122"/>
      <c r="AM238" s="122"/>
      <c r="AN238" s="122"/>
      <c r="AO238" s="122"/>
      <c r="AP238" s="122"/>
      <c r="AQ238" s="122"/>
      <c r="AR238" s="122"/>
      <c r="AS238" s="122"/>
      <c r="AT238" s="122"/>
      <c r="AU238" s="122"/>
      <c r="AV238" s="122"/>
    </row>
    <row r="239" spans="4:48" ht="15.95" customHeight="1">
      <c r="D239" s="122"/>
      <c r="E239" s="122"/>
      <c r="F239" s="122"/>
      <c r="G239" s="122"/>
      <c r="H239" s="122"/>
      <c r="I239" s="122"/>
      <c r="J239" s="122"/>
      <c r="K239" s="122"/>
      <c r="L239" s="122"/>
      <c r="M239" s="122"/>
      <c r="N239" s="122"/>
      <c r="O239" s="122"/>
      <c r="P239" s="122"/>
      <c r="Q239" s="122"/>
      <c r="R239" s="122"/>
      <c r="S239" s="122"/>
      <c r="T239" s="122"/>
      <c r="U239" s="122"/>
      <c r="V239" s="122"/>
      <c r="W239" s="172" t="s">
        <v>605</v>
      </c>
      <c r="X239" s="122"/>
      <c r="Y239" s="122"/>
      <c r="Z239" s="122"/>
      <c r="AA239" s="122"/>
      <c r="AB239" s="122"/>
      <c r="AC239" s="122"/>
      <c r="AD239" s="122"/>
      <c r="AE239" s="122"/>
      <c r="AF239" s="122"/>
      <c r="AG239" s="122"/>
      <c r="AH239" s="122"/>
      <c r="AI239" s="122"/>
      <c r="AJ239" s="122"/>
      <c r="AK239" s="122"/>
      <c r="AL239" s="122"/>
      <c r="AM239" s="122"/>
      <c r="AN239" s="122"/>
      <c r="AO239" s="122"/>
      <c r="AP239" s="122"/>
      <c r="AQ239" s="122"/>
      <c r="AR239" s="122"/>
      <c r="AS239" s="122"/>
      <c r="AT239" s="122"/>
      <c r="AU239" s="122"/>
      <c r="AV239" s="122"/>
    </row>
    <row r="240" spans="4:48" ht="15.95" customHeight="1">
      <c r="D240" s="122"/>
      <c r="E240" s="122"/>
      <c r="F240" s="122"/>
      <c r="G240" s="122"/>
      <c r="H240" s="122"/>
      <c r="I240" s="122"/>
      <c r="J240" s="122"/>
      <c r="K240" s="122"/>
      <c r="L240" s="122"/>
      <c r="M240" s="122"/>
      <c r="N240" s="122"/>
      <c r="O240" s="122"/>
      <c r="P240" s="122"/>
      <c r="Q240" s="122"/>
      <c r="R240" s="122"/>
      <c r="S240" s="122"/>
      <c r="T240" s="122"/>
      <c r="U240" s="122"/>
      <c r="V240" s="122"/>
      <c r="W240" s="172" t="s">
        <v>606</v>
      </c>
      <c r="X240" s="122"/>
      <c r="Y240" s="122"/>
      <c r="Z240" s="122"/>
      <c r="AA240" s="122"/>
      <c r="AB240" s="122"/>
      <c r="AC240" s="122"/>
      <c r="AD240" s="122"/>
      <c r="AE240" s="122"/>
      <c r="AF240" s="122"/>
      <c r="AG240" s="122"/>
      <c r="AH240" s="122"/>
      <c r="AI240" s="122"/>
      <c r="AJ240" s="122"/>
      <c r="AK240" s="122"/>
      <c r="AL240" s="122"/>
      <c r="AM240" s="122"/>
      <c r="AN240" s="122"/>
      <c r="AO240" s="122"/>
      <c r="AP240" s="122"/>
      <c r="AQ240" s="122"/>
      <c r="AR240" s="122"/>
      <c r="AS240" s="122"/>
      <c r="AT240" s="122"/>
      <c r="AU240" s="122"/>
      <c r="AV240" s="122"/>
    </row>
    <row r="241" spans="4:48" ht="15.95" customHeight="1">
      <c r="D241" s="122"/>
      <c r="E241" s="122"/>
      <c r="F241" s="122"/>
      <c r="G241" s="122"/>
      <c r="H241" s="122"/>
      <c r="I241" s="122"/>
      <c r="J241" s="122"/>
      <c r="K241" s="122"/>
      <c r="L241" s="122"/>
      <c r="M241" s="122"/>
      <c r="N241" s="122"/>
      <c r="O241" s="122"/>
      <c r="P241" s="122"/>
      <c r="Q241" s="122"/>
      <c r="R241" s="122"/>
      <c r="S241" s="122"/>
      <c r="T241" s="122"/>
      <c r="U241" s="122"/>
      <c r="V241" s="122"/>
      <c r="W241" s="172" t="s">
        <v>607</v>
      </c>
      <c r="X241" s="122"/>
      <c r="Y241" s="122"/>
      <c r="Z241" s="122"/>
      <c r="AA241" s="122"/>
      <c r="AB241" s="122"/>
      <c r="AC241" s="122"/>
      <c r="AD241" s="122"/>
      <c r="AE241" s="122"/>
      <c r="AF241" s="122"/>
      <c r="AG241" s="122"/>
      <c r="AH241" s="122"/>
      <c r="AI241" s="122"/>
      <c r="AJ241" s="122"/>
      <c r="AK241" s="122"/>
      <c r="AL241" s="122"/>
      <c r="AM241" s="122"/>
      <c r="AN241" s="122"/>
      <c r="AO241" s="122"/>
      <c r="AP241" s="122"/>
      <c r="AQ241" s="122"/>
      <c r="AR241" s="122"/>
      <c r="AS241" s="122"/>
      <c r="AT241" s="122"/>
      <c r="AU241" s="122"/>
      <c r="AV241" s="122"/>
    </row>
    <row r="242" spans="4:48" ht="15.95" customHeight="1">
      <c r="D242" s="122"/>
      <c r="E242" s="122"/>
      <c r="F242" s="122"/>
      <c r="G242" s="122"/>
      <c r="H242" s="122"/>
      <c r="I242" s="122"/>
      <c r="J242" s="122"/>
      <c r="K242" s="122"/>
      <c r="L242" s="122"/>
      <c r="M242" s="122"/>
      <c r="N242" s="122"/>
      <c r="O242" s="122"/>
      <c r="P242" s="122"/>
      <c r="Q242" s="122"/>
      <c r="R242" s="122"/>
      <c r="S242" s="122"/>
      <c r="T242" s="122"/>
      <c r="U242" s="122"/>
      <c r="V242" s="122"/>
      <c r="W242" s="172" t="s">
        <v>608</v>
      </c>
      <c r="X242" s="122"/>
      <c r="Y242" s="122"/>
      <c r="Z242" s="122"/>
      <c r="AA242" s="122"/>
      <c r="AB242" s="122"/>
      <c r="AC242" s="122"/>
      <c r="AD242" s="122"/>
      <c r="AE242" s="122"/>
      <c r="AF242" s="122"/>
      <c r="AG242" s="122"/>
      <c r="AH242" s="122"/>
      <c r="AI242" s="122"/>
      <c r="AJ242" s="122"/>
      <c r="AK242" s="122"/>
      <c r="AL242" s="122"/>
      <c r="AM242" s="122"/>
      <c r="AN242" s="122"/>
      <c r="AO242" s="122"/>
      <c r="AP242" s="122"/>
      <c r="AQ242" s="122"/>
      <c r="AR242" s="122"/>
      <c r="AS242" s="122"/>
      <c r="AT242" s="122"/>
      <c r="AU242" s="122"/>
      <c r="AV242" s="122"/>
    </row>
    <row r="243" spans="4:48" ht="15.95" customHeight="1">
      <c r="D243" s="122"/>
      <c r="E243" s="122"/>
      <c r="F243" s="122"/>
      <c r="G243" s="122"/>
      <c r="H243" s="122"/>
      <c r="I243" s="122"/>
      <c r="J243" s="122"/>
      <c r="K243" s="122"/>
      <c r="L243" s="122"/>
      <c r="M243" s="122"/>
      <c r="N243" s="122"/>
      <c r="O243" s="122"/>
      <c r="P243" s="122"/>
      <c r="Q243" s="122"/>
      <c r="R243" s="122"/>
      <c r="S243" s="122"/>
      <c r="T243" s="122"/>
      <c r="U243" s="122"/>
      <c r="V243" s="122"/>
      <c r="W243" s="172" t="s">
        <v>609</v>
      </c>
      <c r="X243" s="122"/>
      <c r="Y243" s="122"/>
      <c r="Z243" s="122"/>
      <c r="AA243" s="122"/>
      <c r="AB243" s="122"/>
      <c r="AC243" s="122"/>
      <c r="AD243" s="122"/>
      <c r="AE243" s="122"/>
      <c r="AF243" s="122"/>
      <c r="AG243" s="122"/>
      <c r="AH243" s="122"/>
      <c r="AI243" s="122"/>
      <c r="AJ243" s="122"/>
      <c r="AK243" s="122"/>
      <c r="AL243" s="122"/>
      <c r="AM243" s="122"/>
      <c r="AN243" s="122"/>
      <c r="AO243" s="122"/>
      <c r="AP243" s="122"/>
      <c r="AQ243" s="122"/>
      <c r="AR243" s="122"/>
      <c r="AS243" s="122"/>
      <c r="AT243" s="122"/>
      <c r="AU243" s="122"/>
      <c r="AV243" s="122"/>
    </row>
    <row r="244" spans="4:48" ht="15.95" customHeight="1">
      <c r="D244" s="122"/>
      <c r="E244" s="122"/>
      <c r="F244" s="122"/>
      <c r="G244" s="122"/>
      <c r="H244" s="122"/>
      <c r="I244" s="122"/>
      <c r="J244" s="122"/>
      <c r="K244" s="122"/>
      <c r="L244" s="122"/>
      <c r="M244" s="122"/>
      <c r="N244" s="122"/>
      <c r="O244" s="122"/>
      <c r="P244" s="122"/>
      <c r="Q244" s="122"/>
      <c r="R244" s="122"/>
      <c r="S244" s="122"/>
      <c r="T244" s="122"/>
      <c r="U244" s="122"/>
      <c r="V244" s="122"/>
      <c r="W244" s="172" t="s">
        <v>610</v>
      </c>
      <c r="X244" s="122"/>
      <c r="Y244" s="122"/>
      <c r="Z244" s="122"/>
      <c r="AA244" s="122"/>
      <c r="AB244" s="122"/>
      <c r="AC244" s="122"/>
      <c r="AD244" s="122"/>
      <c r="AE244" s="122"/>
      <c r="AF244" s="122"/>
      <c r="AG244" s="122"/>
      <c r="AH244" s="122"/>
      <c r="AI244" s="122"/>
      <c r="AJ244" s="122"/>
      <c r="AK244" s="122"/>
      <c r="AL244" s="122"/>
      <c r="AM244" s="122"/>
      <c r="AN244" s="122"/>
      <c r="AO244" s="122"/>
      <c r="AP244" s="122"/>
      <c r="AQ244" s="122"/>
      <c r="AR244" s="122"/>
      <c r="AS244" s="122"/>
      <c r="AT244" s="122"/>
      <c r="AU244" s="122"/>
      <c r="AV244" s="122"/>
    </row>
    <row r="245" spans="4:48" ht="15.95" customHeight="1">
      <c r="D245" s="122"/>
      <c r="E245" s="122"/>
      <c r="F245" s="122"/>
      <c r="G245" s="122"/>
      <c r="H245" s="122"/>
      <c r="I245" s="122"/>
      <c r="J245" s="122"/>
      <c r="K245" s="122"/>
      <c r="L245" s="122"/>
      <c r="M245" s="122"/>
      <c r="N245" s="122"/>
      <c r="O245" s="122"/>
      <c r="P245" s="122"/>
      <c r="Q245" s="122"/>
      <c r="R245" s="122"/>
      <c r="S245" s="122"/>
      <c r="T245" s="122"/>
      <c r="U245" s="122"/>
      <c r="V245" s="122"/>
      <c r="W245" s="172" t="s">
        <v>611</v>
      </c>
      <c r="X245" s="122"/>
      <c r="Y245" s="122"/>
      <c r="Z245" s="122"/>
      <c r="AA245" s="122"/>
      <c r="AB245" s="122"/>
      <c r="AC245" s="122"/>
      <c r="AD245" s="122"/>
      <c r="AE245" s="122"/>
      <c r="AF245" s="122"/>
      <c r="AG245" s="122"/>
      <c r="AH245" s="122"/>
      <c r="AI245" s="122"/>
      <c r="AJ245" s="122"/>
      <c r="AK245" s="122"/>
      <c r="AL245" s="122"/>
      <c r="AM245" s="122"/>
      <c r="AN245" s="122"/>
      <c r="AO245" s="122"/>
      <c r="AP245" s="122"/>
      <c r="AQ245" s="122"/>
      <c r="AR245" s="122"/>
      <c r="AS245" s="122"/>
      <c r="AT245" s="122"/>
      <c r="AU245" s="122"/>
      <c r="AV245" s="122"/>
    </row>
    <row r="246" spans="4:48" ht="15.95" customHeight="1">
      <c r="D246" s="122"/>
      <c r="E246" s="122"/>
      <c r="F246" s="122"/>
      <c r="G246" s="122"/>
      <c r="H246" s="122"/>
      <c r="I246" s="122"/>
      <c r="J246" s="122"/>
      <c r="K246" s="122"/>
      <c r="L246" s="122"/>
      <c r="M246" s="122"/>
      <c r="N246" s="122"/>
      <c r="O246" s="122"/>
      <c r="P246" s="122"/>
      <c r="Q246" s="122"/>
      <c r="R246" s="122"/>
      <c r="S246" s="122"/>
      <c r="T246" s="122"/>
      <c r="U246" s="122"/>
      <c r="V246" s="122"/>
      <c r="W246" s="172" t="s">
        <v>612</v>
      </c>
      <c r="X246" s="122"/>
      <c r="Y246" s="122"/>
      <c r="Z246" s="122"/>
      <c r="AA246" s="122"/>
      <c r="AB246" s="122"/>
      <c r="AC246" s="122"/>
      <c r="AD246" s="122"/>
      <c r="AE246" s="122"/>
      <c r="AF246" s="122"/>
      <c r="AG246" s="122"/>
      <c r="AH246" s="122"/>
      <c r="AI246" s="122"/>
      <c r="AJ246" s="122"/>
      <c r="AK246" s="122"/>
      <c r="AL246" s="122"/>
      <c r="AM246" s="122"/>
      <c r="AN246" s="122"/>
      <c r="AO246" s="122"/>
      <c r="AP246" s="122"/>
      <c r="AQ246" s="122"/>
      <c r="AR246" s="122"/>
      <c r="AS246" s="122"/>
      <c r="AT246" s="122"/>
      <c r="AU246" s="122"/>
      <c r="AV246" s="122"/>
    </row>
    <row r="247" spans="4:48" ht="15.95" customHeight="1">
      <c r="D247" s="122"/>
      <c r="E247" s="122"/>
      <c r="F247" s="122"/>
      <c r="G247" s="122"/>
      <c r="H247" s="122"/>
      <c r="I247" s="122"/>
      <c r="J247" s="122"/>
      <c r="K247" s="122"/>
      <c r="L247" s="122"/>
      <c r="M247" s="122"/>
      <c r="N247" s="122"/>
      <c r="O247" s="122"/>
      <c r="P247" s="122"/>
      <c r="Q247" s="122"/>
      <c r="R247" s="122"/>
      <c r="S247" s="122"/>
      <c r="T247" s="122"/>
      <c r="U247" s="122"/>
      <c r="V247" s="122"/>
      <c r="W247" s="172" t="s">
        <v>613</v>
      </c>
      <c r="X247" s="122"/>
      <c r="Y247" s="122"/>
      <c r="Z247" s="122"/>
      <c r="AA247" s="122"/>
      <c r="AB247" s="122"/>
      <c r="AC247" s="122"/>
      <c r="AD247" s="122"/>
      <c r="AE247" s="122"/>
      <c r="AF247" s="122"/>
      <c r="AG247" s="122"/>
      <c r="AH247" s="122"/>
      <c r="AI247" s="122"/>
      <c r="AJ247" s="122"/>
      <c r="AK247" s="122"/>
      <c r="AL247" s="122"/>
      <c r="AM247" s="122"/>
      <c r="AN247" s="122"/>
      <c r="AO247" s="122"/>
      <c r="AP247" s="122"/>
      <c r="AQ247" s="122"/>
      <c r="AR247" s="122"/>
      <c r="AS247" s="122"/>
      <c r="AT247" s="122"/>
      <c r="AU247" s="122"/>
      <c r="AV247" s="122"/>
    </row>
    <row r="248" spans="4:48" ht="15.95" customHeight="1">
      <c r="D248" s="122"/>
      <c r="E248" s="122"/>
      <c r="F248" s="122"/>
      <c r="G248" s="122"/>
      <c r="H248" s="122"/>
      <c r="I248" s="122"/>
      <c r="J248" s="122"/>
      <c r="K248" s="122"/>
      <c r="L248" s="122"/>
      <c r="M248" s="122"/>
      <c r="N248" s="122"/>
      <c r="O248" s="122"/>
      <c r="P248" s="122"/>
      <c r="Q248" s="122"/>
      <c r="R248" s="122"/>
      <c r="S248" s="122"/>
      <c r="T248" s="122"/>
      <c r="U248" s="122"/>
      <c r="V248" s="122"/>
      <c r="W248" s="172" t="s">
        <v>614</v>
      </c>
      <c r="X248" s="122"/>
      <c r="Y248" s="122"/>
      <c r="Z248" s="122"/>
      <c r="AA248" s="122"/>
      <c r="AB248" s="122"/>
      <c r="AC248" s="122"/>
      <c r="AD248" s="122"/>
      <c r="AE248" s="122"/>
      <c r="AF248" s="122"/>
      <c r="AG248" s="122"/>
      <c r="AH248" s="122"/>
      <c r="AI248" s="122"/>
      <c r="AJ248" s="122"/>
      <c r="AK248" s="122"/>
      <c r="AL248" s="122"/>
      <c r="AM248" s="122"/>
      <c r="AN248" s="122"/>
      <c r="AO248" s="122"/>
      <c r="AP248" s="122"/>
      <c r="AQ248" s="122"/>
      <c r="AR248" s="122"/>
      <c r="AS248" s="122"/>
      <c r="AT248" s="122"/>
      <c r="AU248" s="122"/>
      <c r="AV248" s="122"/>
    </row>
    <row r="249" spans="4:48" ht="15.95" customHeight="1">
      <c r="D249" s="122"/>
      <c r="E249" s="122"/>
      <c r="F249" s="122"/>
      <c r="G249" s="122"/>
      <c r="H249" s="122"/>
      <c r="I249" s="122"/>
      <c r="J249" s="122"/>
      <c r="K249" s="122"/>
      <c r="L249" s="122"/>
      <c r="M249" s="122"/>
      <c r="N249" s="122"/>
      <c r="O249" s="122"/>
      <c r="P249" s="122"/>
      <c r="Q249" s="122"/>
      <c r="R249" s="122"/>
      <c r="S249" s="122"/>
      <c r="T249" s="122"/>
      <c r="U249" s="122"/>
      <c r="V249" s="122"/>
      <c r="W249" s="172" t="s">
        <v>615</v>
      </c>
      <c r="X249" s="122"/>
      <c r="Y249" s="122"/>
      <c r="Z249" s="122"/>
      <c r="AA249" s="122"/>
      <c r="AB249" s="122"/>
      <c r="AC249" s="122"/>
      <c r="AD249" s="122"/>
      <c r="AE249" s="122"/>
      <c r="AF249" s="122"/>
      <c r="AG249" s="122"/>
      <c r="AH249" s="122"/>
      <c r="AI249" s="122"/>
      <c r="AJ249" s="122"/>
      <c r="AK249" s="122"/>
      <c r="AL249" s="122"/>
      <c r="AM249" s="122"/>
      <c r="AN249" s="122"/>
      <c r="AO249" s="122"/>
      <c r="AP249" s="122"/>
      <c r="AQ249" s="122"/>
      <c r="AR249" s="122"/>
      <c r="AS249" s="122"/>
      <c r="AT249" s="122"/>
      <c r="AU249" s="122"/>
      <c r="AV249" s="122"/>
    </row>
    <row r="250" spans="4:48" ht="15.95" customHeight="1">
      <c r="D250" s="122"/>
      <c r="E250" s="122"/>
      <c r="F250" s="122"/>
      <c r="G250" s="122"/>
      <c r="H250" s="122"/>
      <c r="I250" s="122"/>
      <c r="J250" s="122"/>
      <c r="K250" s="122"/>
      <c r="L250" s="122"/>
      <c r="M250" s="122"/>
      <c r="N250" s="122"/>
      <c r="O250" s="122"/>
      <c r="P250" s="122"/>
      <c r="Q250" s="122"/>
      <c r="R250" s="122"/>
      <c r="S250" s="122"/>
      <c r="T250" s="122"/>
      <c r="U250" s="122"/>
      <c r="V250" s="122"/>
      <c r="W250" s="172" t="s">
        <v>616</v>
      </c>
      <c r="X250" s="122"/>
      <c r="Y250" s="122"/>
      <c r="Z250" s="122"/>
      <c r="AA250" s="122"/>
      <c r="AB250" s="122"/>
      <c r="AC250" s="122"/>
      <c r="AD250" s="122"/>
      <c r="AE250" s="122"/>
      <c r="AF250" s="122"/>
      <c r="AG250" s="122"/>
      <c r="AH250" s="122"/>
      <c r="AI250" s="122"/>
      <c r="AJ250" s="122"/>
      <c r="AK250" s="122"/>
      <c r="AL250" s="122"/>
      <c r="AM250" s="122"/>
      <c r="AN250" s="122"/>
      <c r="AO250" s="122"/>
      <c r="AP250" s="122"/>
      <c r="AQ250" s="122"/>
      <c r="AR250" s="122"/>
      <c r="AS250" s="122"/>
      <c r="AT250" s="122"/>
      <c r="AU250" s="122"/>
      <c r="AV250" s="122"/>
    </row>
    <row r="251" spans="4:48" ht="15.95" customHeight="1">
      <c r="D251" s="122"/>
      <c r="E251" s="122"/>
      <c r="F251" s="122"/>
      <c r="G251" s="122"/>
      <c r="H251" s="122"/>
      <c r="I251" s="122"/>
      <c r="J251" s="122"/>
      <c r="K251" s="122"/>
      <c r="L251" s="122"/>
      <c r="M251" s="122"/>
      <c r="N251" s="122"/>
      <c r="O251" s="122"/>
      <c r="P251" s="122"/>
      <c r="Q251" s="122"/>
      <c r="R251" s="122"/>
      <c r="S251" s="122"/>
      <c r="T251" s="122"/>
      <c r="U251" s="122"/>
      <c r="V251" s="122"/>
      <c r="W251" s="172" t="s">
        <v>617</v>
      </c>
      <c r="X251" s="122"/>
      <c r="Y251" s="122"/>
      <c r="Z251" s="122"/>
      <c r="AA251" s="122"/>
      <c r="AB251" s="122"/>
      <c r="AC251" s="122"/>
      <c r="AD251" s="122"/>
      <c r="AE251" s="122"/>
      <c r="AF251" s="122"/>
      <c r="AG251" s="122"/>
      <c r="AH251" s="122"/>
      <c r="AI251" s="122"/>
      <c r="AJ251" s="122"/>
      <c r="AK251" s="122"/>
      <c r="AL251" s="122"/>
      <c r="AM251" s="122"/>
      <c r="AN251" s="122"/>
      <c r="AO251" s="122"/>
      <c r="AP251" s="122"/>
      <c r="AQ251" s="122"/>
      <c r="AR251" s="122"/>
      <c r="AS251" s="122"/>
      <c r="AT251" s="122"/>
      <c r="AU251" s="122"/>
      <c r="AV251" s="122"/>
    </row>
    <row r="252" spans="4:48" ht="15.95" customHeight="1">
      <c r="D252" s="122"/>
      <c r="E252" s="122"/>
      <c r="F252" s="122"/>
      <c r="G252" s="122"/>
      <c r="H252" s="122"/>
      <c r="I252" s="122"/>
      <c r="J252" s="122"/>
      <c r="K252" s="122"/>
      <c r="L252" s="122"/>
      <c r="M252" s="122"/>
      <c r="N252" s="122"/>
      <c r="O252" s="122"/>
      <c r="P252" s="122"/>
      <c r="Q252" s="122"/>
      <c r="R252" s="122"/>
      <c r="S252" s="122"/>
      <c r="T252" s="122"/>
      <c r="U252" s="122"/>
      <c r="V252" s="122"/>
      <c r="W252" s="172" t="s">
        <v>618</v>
      </c>
      <c r="X252" s="122"/>
      <c r="Y252" s="122"/>
      <c r="Z252" s="122"/>
      <c r="AA252" s="122"/>
      <c r="AB252" s="122"/>
      <c r="AC252" s="122"/>
      <c r="AD252" s="122"/>
      <c r="AE252" s="122"/>
      <c r="AF252" s="122"/>
      <c r="AG252" s="122"/>
      <c r="AH252" s="122"/>
      <c r="AI252" s="122"/>
      <c r="AJ252" s="122"/>
      <c r="AK252" s="122"/>
      <c r="AL252" s="122"/>
      <c r="AM252" s="122"/>
      <c r="AN252" s="122"/>
      <c r="AO252" s="122"/>
      <c r="AP252" s="122"/>
      <c r="AQ252" s="122"/>
      <c r="AR252" s="122"/>
      <c r="AS252" s="122"/>
      <c r="AT252" s="122"/>
      <c r="AU252" s="122"/>
      <c r="AV252" s="122"/>
    </row>
    <row r="253" spans="4:48" ht="15.95" customHeight="1">
      <c r="D253" s="122"/>
      <c r="E253" s="122"/>
      <c r="F253" s="122"/>
      <c r="G253" s="122"/>
      <c r="H253" s="122"/>
      <c r="I253" s="122"/>
      <c r="J253" s="122"/>
      <c r="K253" s="122"/>
      <c r="L253" s="122"/>
      <c r="M253" s="122"/>
      <c r="N253" s="122"/>
      <c r="O253" s="122"/>
      <c r="P253" s="122"/>
      <c r="Q253" s="122"/>
      <c r="R253" s="122"/>
      <c r="S253" s="122"/>
      <c r="T253" s="122"/>
      <c r="U253" s="122"/>
      <c r="V253" s="122"/>
      <c r="W253" s="172" t="s">
        <v>619</v>
      </c>
      <c r="X253" s="122"/>
      <c r="Y253" s="122"/>
      <c r="Z253" s="122"/>
      <c r="AA253" s="122"/>
      <c r="AB253" s="122"/>
      <c r="AC253" s="122"/>
      <c r="AD253" s="122"/>
      <c r="AE253" s="122"/>
      <c r="AF253" s="122"/>
      <c r="AG253" s="122"/>
      <c r="AH253" s="122"/>
      <c r="AI253" s="122"/>
      <c r="AJ253" s="122"/>
      <c r="AK253" s="122"/>
      <c r="AL253" s="122"/>
      <c r="AM253" s="122"/>
      <c r="AN253" s="122"/>
      <c r="AO253" s="122"/>
      <c r="AP253" s="122"/>
      <c r="AQ253" s="122"/>
      <c r="AR253" s="122"/>
      <c r="AS253" s="122"/>
      <c r="AT253" s="122"/>
      <c r="AU253" s="122"/>
      <c r="AV253" s="122"/>
    </row>
    <row r="254" spans="4:48" ht="15.95" customHeight="1">
      <c r="W254" s="179" t="s">
        <v>620</v>
      </c>
    </row>
    <row r="255" spans="4:48" ht="15.95" customHeight="1">
      <c r="W255" s="179" t="s">
        <v>621</v>
      </c>
    </row>
  </sheetData>
  <sheetProtection sheet="1" objects="1" scenarios="1" formatCells="0" formatColumns="0" formatRows="0" insertRows="0" deleteRows="0" sort="0" autoFilter="0"/>
  <conditionalFormatting sqref="A2:C67">
    <cfRule type="expression" dxfId="66" priority="5">
      <formula>ISEVEN(ROW())</formula>
    </cfRule>
  </conditionalFormatting>
  <conditionalFormatting sqref="Q2:Q11">
    <cfRule type="expression" dxfId="65" priority="20">
      <formula>ISEVEN(ROW())</formula>
    </cfRule>
  </conditionalFormatting>
  <conditionalFormatting sqref="S2:S4">
    <cfRule type="expression" dxfId="64" priority="11">
      <formula>ISEVEN(ROW())</formula>
    </cfRule>
  </conditionalFormatting>
  <conditionalFormatting sqref="T2:T100">
    <cfRule type="expression" dxfId="63" priority="21">
      <formula>ISEVEN(ROW())</formula>
    </cfRule>
  </conditionalFormatting>
  <conditionalFormatting sqref="U2:U54">
    <cfRule type="expression" dxfId="62" priority="22">
      <formula>ISEVEN(ROW())</formula>
    </cfRule>
  </conditionalFormatting>
  <conditionalFormatting sqref="V2:V8">
    <cfRule type="expression" dxfId="61" priority="14">
      <formula>ISEVEN(ROW())</formula>
    </cfRule>
  </conditionalFormatting>
  <conditionalFormatting sqref="W2:W255">
    <cfRule type="expression" dxfId="60" priority="23">
      <formula>ISEVEN(ROW())</formula>
    </cfRule>
  </conditionalFormatting>
  <conditionalFormatting sqref="AL2:AM5">
    <cfRule type="expression" dxfId="59" priority="24">
      <formula>ISEVEN(ROW())</formula>
    </cfRule>
  </conditionalFormatting>
  <conditionalFormatting sqref="AO2:AP5">
    <cfRule type="expression" dxfId="58" priority="25">
      <formula>ISEVEN(ROW())</formula>
    </cfRule>
  </conditionalFormatting>
  <conditionalFormatting sqref="AR2:AS5">
    <cfRule type="expression" dxfId="57" priority="26">
      <formula>ISEVEN(ROW())</formula>
    </cfRule>
  </conditionalFormatting>
  <conditionalFormatting sqref="AU2:AV7">
    <cfRule type="expression" dxfId="56" priority="27">
      <formula>ISEVEN(ROW())</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AN998"/>
  <sheetViews>
    <sheetView showGridLines="0" rightToLeft="1" zoomScale="85" zoomScaleNormal="85" workbookViewId="0">
      <pane xSplit="1" ySplit="1" topLeftCell="U32" activePane="bottomRight" state="frozen"/>
      <selection activeCell="J1988" sqref="J1988"/>
      <selection pane="topRight" activeCell="J1988" sqref="J1988"/>
      <selection pane="bottomLeft" activeCell="J1988" sqref="J1988"/>
      <selection pane="bottomRight" activeCell="AA37" sqref="Z37:AA37"/>
    </sheetView>
  </sheetViews>
  <sheetFormatPr defaultColWidth="8.7109375" defaultRowHeight="15" outlineLevelCol="2"/>
  <cols>
    <col min="1" max="1" width="8.5703125" style="122" customWidth="1" outlineLevel="1"/>
    <col min="2" max="2" width="14.28515625" style="122" customWidth="1" outlineLevel="1"/>
    <col min="3" max="3" width="18.140625" style="131" customWidth="1" outlineLevel="1"/>
    <col min="4" max="4" width="24.7109375" style="122" customWidth="1" outlineLevel="1" collapsed="1"/>
    <col min="5" max="5" width="16.140625" style="233" customWidth="1"/>
    <col min="6" max="6" width="14.28515625" style="122" customWidth="1"/>
    <col min="7" max="7" width="18.140625" style="122" customWidth="1"/>
    <col min="8" max="8" width="31.42578125" style="122" customWidth="1"/>
    <col min="9" max="9" width="25.7109375" style="122" customWidth="1"/>
    <col min="10" max="10" width="31.42578125" style="122" customWidth="1"/>
    <col min="11" max="11" width="21" style="122" customWidth="1"/>
    <col min="12" max="12" width="24.7109375" style="132" customWidth="1"/>
    <col min="13" max="13" width="17.140625" style="122" customWidth="1"/>
    <col min="14" max="14" width="29.5703125" style="122" customWidth="1"/>
    <col min="15" max="15" width="22.85546875" style="122" customWidth="1"/>
    <col min="16" max="16" width="18.140625" style="122" customWidth="1"/>
    <col min="17" max="18" width="21" style="122" customWidth="1"/>
    <col min="19" max="19" width="18.140625" style="122" customWidth="1"/>
    <col min="20" max="20" width="22.85546875" style="122" customWidth="1"/>
    <col min="21" max="21" width="34.28515625" style="122" customWidth="1"/>
    <col min="22" max="22" width="41.85546875" style="122" customWidth="1"/>
    <col min="23" max="23" width="53.28515625" style="122" customWidth="1"/>
    <col min="24" max="24" width="14.28515625" style="122" customWidth="1"/>
    <col min="25" max="25" width="24.7109375" style="122" customWidth="1"/>
    <col min="26" max="30" width="21" style="122" customWidth="1"/>
    <col min="31" max="34" width="13.28515625" style="131" customWidth="1" outlineLevel="2"/>
    <col min="35" max="35" width="14.28515625" style="122" customWidth="1" outlineLevel="1"/>
    <col min="36" max="36" width="21.85546875" style="122" customWidth="1" outlineLevel="1"/>
    <col min="37" max="37" width="10.28515625" style="122" customWidth="1" outlineLevel="2"/>
    <col min="38" max="38" width="11.42578125" style="122" customWidth="1" outlineLevel="2"/>
    <col min="39" max="40" width="21" style="122" customWidth="1"/>
    <col min="41" max="42" width="22.85546875" style="122" customWidth="1"/>
    <col min="43" max="43" width="21.85546875" style="122" customWidth="1"/>
    <col min="44" max="44" width="15.28515625" style="122" customWidth="1"/>
    <col min="45" max="45" width="19" style="122" customWidth="1"/>
    <col min="46" max="47" width="21.85546875" style="122" customWidth="1"/>
    <col min="48" max="48" width="24.7109375" style="122" customWidth="1"/>
    <col min="49" max="49" width="21.85546875" style="122" customWidth="1"/>
    <col min="50" max="50" width="19" style="122" customWidth="1"/>
    <col min="51" max="51" width="22.85546875" style="122" customWidth="1"/>
    <col min="52" max="52" width="34.28515625" style="122" customWidth="1"/>
    <col min="53" max="53" width="8.7109375" style="122" customWidth="1"/>
    <col min="54" max="16384" width="8.7109375" style="122"/>
  </cols>
  <sheetData>
    <row r="1" spans="1:40" s="121" customFormat="1" ht="30" customHeight="1" thickBot="1">
      <c r="A1" s="133" t="s">
        <v>622</v>
      </c>
      <c r="B1" s="137" t="s">
        <v>623</v>
      </c>
      <c r="C1" s="119" t="s">
        <v>624</v>
      </c>
      <c r="D1" s="137" t="s">
        <v>625</v>
      </c>
      <c r="E1" s="234" t="s">
        <v>626</v>
      </c>
      <c r="F1" s="119" t="s">
        <v>627</v>
      </c>
      <c r="G1" s="119" t="s">
        <v>90</v>
      </c>
      <c r="H1" s="119" t="s">
        <v>91</v>
      </c>
      <c r="I1" s="119" t="s">
        <v>628</v>
      </c>
      <c r="J1" s="137" t="s">
        <v>94</v>
      </c>
      <c r="K1" s="119" t="s">
        <v>93</v>
      </c>
      <c r="L1" s="119" t="s">
        <v>629</v>
      </c>
      <c r="M1" s="119" t="s">
        <v>630</v>
      </c>
      <c r="N1" s="119" t="s">
        <v>631</v>
      </c>
      <c r="O1" s="198" t="s">
        <v>15</v>
      </c>
      <c r="P1" s="198" t="s">
        <v>632</v>
      </c>
      <c r="Q1" s="198" t="s">
        <v>31</v>
      </c>
      <c r="R1" s="198" t="s">
        <v>633</v>
      </c>
      <c r="S1" s="198" t="s">
        <v>634</v>
      </c>
      <c r="T1" s="198" t="s">
        <v>635</v>
      </c>
      <c r="U1" s="199" t="s">
        <v>636</v>
      </c>
      <c r="V1" s="119" t="s">
        <v>637</v>
      </c>
      <c r="W1" s="119" t="s">
        <v>638</v>
      </c>
      <c r="X1" s="137" t="s">
        <v>639</v>
      </c>
      <c r="Y1" s="119" t="s">
        <v>640</v>
      </c>
      <c r="Z1" s="119" t="s">
        <v>108</v>
      </c>
      <c r="AA1" s="119" t="s">
        <v>110</v>
      </c>
      <c r="AB1" s="119" t="s">
        <v>112</v>
      </c>
      <c r="AC1" s="119" t="s">
        <v>114</v>
      </c>
      <c r="AD1" s="120" t="s">
        <v>46</v>
      </c>
      <c r="AE1" s="148" t="s">
        <v>109</v>
      </c>
      <c r="AF1" s="150" t="s">
        <v>111</v>
      </c>
      <c r="AG1" s="137" t="s">
        <v>113</v>
      </c>
      <c r="AH1" s="153" t="s">
        <v>115</v>
      </c>
      <c r="AI1" s="148" t="s">
        <v>641</v>
      </c>
      <c r="AJ1" s="155" t="s">
        <v>642</v>
      </c>
      <c r="AK1" s="156" t="s">
        <v>643</v>
      </c>
      <c r="AL1" s="159" t="s">
        <v>644</v>
      </c>
      <c r="AM1" s="208" t="s">
        <v>29</v>
      </c>
      <c r="AN1" s="208" t="s">
        <v>36</v>
      </c>
    </row>
    <row r="2" spans="1:40" ht="27.95" customHeight="1" thickTop="1">
      <c r="A2" s="134">
        <f>IF(I2&lt;&gt;"",COUNTA($I$2:I2),"")</f>
        <v>1</v>
      </c>
      <c r="B2" s="138" t="str">
        <f t="shared" ref="B2:B23" si="0">IF(E2="","",CHOOSE(WEEKDAY(E2,2),"الاثنين","الثلاثاء","الأربعاء","الخميس","الجمعة","السبت","الأحد"))</f>
        <v>الأربعاء</v>
      </c>
      <c r="C2" s="93" t="str">
        <f t="array" ref="C2">IF(E2="","",IF(M2&lt;&gt;"",
M2&amp;"/"&amp;SUMPRODUCT((M$2:M2=M2)*1)&amp;" - "&amp;(ROW()-2),
"إداري/"&amp;SUMPRODUCT((M$2:M2="")*1)&amp;" - "&amp;(ROW()-2)))</f>
        <v>إداري/1 - 0</v>
      </c>
      <c r="D2" s="141" t="str">
        <f>IF(AND(G2="",H2="",I2=""),"",IF(COUNTIFS(LISTS!$A$2:$A$67,G2,LISTS!$B$2:$B$67,H2,LISTS!$C$2:$C$67,I2)=0,"✗ هرم",IF(NOT(OR(Z2="ممتاز 100%",Z2="جيد 80%",Z2="مقبول 60%",Z2="خطر 40%",Z2="")),"✗ قائمة R",IF(NOT(OR(AA2="ممتاز 100%",AA2="جيد 85%",AA2="مقبول 70%",AA2="ضعيف 50%",AA2="")),"✗ قائمة S",IF(NOT(OR(AB2="مكتمل 100%",AB2="جزئي 60%",AB2="معلق 30%",AB2="مفتوح 0%",AB2="")),"✗ قائمة T",IF(NOT(OR(AC2="لا خصم 0",AC2="تأخير −5",AC2="عجز −10",AC2="جودة −15",AC2="امتثال −20",AC2="مخالفة −25",AC2="")),"✗ قائمة U",IF(AND(X2="لا",AC2&lt;&gt;"",AC2&lt;&gt;"لا خصم 0"),"✗ خصم",IF(AND(X2="نعم",AC2="لا خصم 0"),"✗ خصم",IF(AND(Z2="ممتاز 100%",AA2="ممتاز 100%",AB2&lt;&gt;"",AB2&lt;&gt;"مكتمل 100%"),"✗ إغلاق",IFERROR(IF(LEN(_xlfn.TEXTJOIN("، ",TRUE,IF(E2="","التاريخ",""),IF(F2="","الوقت",""),IF(G2="","المركز",""),IF(H2="","الدائرة",""),IF(I2="","القسم",""),IF(J2="","المسؤول",""),IF(K2="","نوع النشاط",""),IF(L2="","المشروع",""),IF(N2="","الممول",""),IF(V2="","الموضوع",""),IF(W2="","الملاحظة",""),IF(X2="","مشكلة",""),IF(Y2="","الإجراء",""),IF(Z2="","التنفيذ",""),IF(AA2="","الجودة",""),IF(AB2="","الإغلاق",""),IF(AC2="","الخصم",""),IF(AND(COUNTA($O2:$U2)&gt;0,O2=""),"مدير المشروع",""),IF(AND(COUNTA($O2:$U2)&gt;0,P2=""),"المستفيدين",""),IF(AND(COUNTA($O2:$U2)&gt;0,Q2=""),"المناطق",""),IF(AND(COUNTA($O2:$U2)&gt;0,R2=""),"الميزانية",""),IF(AND(COUNTA($O2:$U2)&gt;0,S2=""),"نسبة الجاهزية",""),IF(AND(COUNTA($O2:$U2)&gt;0,T2=""),"حالة الجاهزية",""),IF(AND(COUNTA($O2:$U2)&gt;0,U2=""),"التوصيات","")))&gt;0,"✗ ناقص: "&amp;_xlfn.TEXTJOIN("، ",TRUE,IF(E2="","التاريخ",""),IF(F2="","الوقت",""),IF(G2="","المركز",""),IF(H2="","الدائرة",""),IF(I2="","القسم",""),IF(J2="","المسؤول",""),IF(K2="","نوع النشاط",""),IF(L2="","المشروع",""),IF(N2="","الممول",""),IF(V2="","الموضوع",""),IF(W2="","الملاحظة",""),IF(X2="","مشكلة",""),IF(Y2="","الإجراء",""),IF(Z2="","التنفيذ",""),IF(AA2="","الجودة",""),IF(AB2="","الإغلاق",""),IF(AC2="","الخصم",""),IF(AND(COUNTA($O2:$U2)&gt;0,O2=""),"مدير المشروع",""),IF(AND(COUNTA($O2:$U2)&gt;0,P2=""),"المستفيدين",""),IF(AND(COUNTA($O2:$U2)&gt;0,Q2=""),"المناطق",""),IF(AND(COUNTA($O2:$U2)&gt;0,R2=""),"الميزانية",""),IF(AND(COUNTA($O2:$U2)&gt;0,S2=""),"نسبة الجاهزية",""),IF(AND(COUNTA($O2:$U2)&gt;0,T2=""),"حالة الجاهزية",""),IF(AND(COUNTA($O2:$U2)&gt;0,U2=""),"التوصيات","")),"✓"),"✓"))))))))))</f>
        <v>✗ ناقص: الممول</v>
      </c>
      <c r="E2" s="235">
        <v>46113</v>
      </c>
      <c r="F2" s="236">
        <v>0.39583333333333331</v>
      </c>
      <c r="G2" s="90" t="s">
        <v>97</v>
      </c>
      <c r="H2" s="123" t="s">
        <v>104</v>
      </c>
      <c r="I2" s="89" t="s">
        <v>192</v>
      </c>
      <c r="J2" s="142" t="s">
        <v>117</v>
      </c>
      <c r="K2" s="90" t="s">
        <v>133</v>
      </c>
      <c r="L2" s="90" t="s">
        <v>118</v>
      </c>
      <c r="M2" s="90"/>
      <c r="N2" s="89"/>
      <c r="O2" s="200"/>
      <c r="P2" s="201"/>
      <c r="Q2" s="201"/>
      <c r="R2" s="237"/>
      <c r="S2" s="202"/>
      <c r="T2" s="200"/>
      <c r="U2" s="203"/>
      <c r="V2" s="89" t="s">
        <v>645</v>
      </c>
      <c r="W2" s="89" t="s">
        <v>646</v>
      </c>
      <c r="X2" s="145" t="s">
        <v>647</v>
      </c>
      <c r="Y2" s="89" t="s">
        <v>648</v>
      </c>
      <c r="Z2" s="90" t="s">
        <v>148</v>
      </c>
      <c r="AA2" s="90" t="s">
        <v>182</v>
      </c>
      <c r="AB2" s="90" t="s">
        <v>150</v>
      </c>
      <c r="AC2" s="90" t="s">
        <v>206</v>
      </c>
      <c r="AD2" s="91" t="s">
        <v>134</v>
      </c>
      <c r="AE2" s="149">
        <f>IFERROR(VLOOKUP(Z2,LISTS!$AL$2:$AM$1000,2,FALSE()),"")</f>
        <v>60</v>
      </c>
      <c r="AF2" s="151">
        <f>IFERROR(VLOOKUP(AA2,LISTS!$AO$2:$AP$1000,2,FALSE()),"")</f>
        <v>50</v>
      </c>
      <c r="AG2" s="152">
        <f>IFERROR(VLOOKUP(AB2,LISTS!$AR$2:$AS$1000,2,FALSE()),"")</f>
        <v>30</v>
      </c>
      <c r="AH2" s="154">
        <f>IFERROR(VLOOKUP(AC2,LISTS!$AU$2:$AV$1000,2,FALSE()),"")</f>
        <v>15</v>
      </c>
      <c r="AI2" s="238">
        <f t="shared" ref="AI2:AI65" si="1">IF(OR(AE2="",AF2="",AG2=""),"—",IFERROR(ROUND(AE2*0.4+AF2*0.3+AG2*0.3-IF(ISNUMBER(AH2),AH2,0),1),"⚠️"))</f>
        <v>33</v>
      </c>
      <c r="AJ2" s="190" t="str">
        <f t="shared" ref="AJ2:AJ65" si="2">IF(AI2="—","—",IF(NOT(ISNUMBER(AI2)),"⚠️",IF(AI2&gt;=98,"🌟 ممتاز جدًا",IF(AI2&gt;=90,"⭐ ممتاز",IF(AI2&gt;=75,"🟢 جيد",IF(AI2&gt;=60,"🟡 مقبول",IF(AI2&gt;=40,"🔴 ضعيف","🚨 خطر شديد")))))))</f>
        <v>🚨 خطر شديد</v>
      </c>
      <c r="AK2" s="157">
        <f t="shared" ref="AK2:AK23" si="3">IF(E2="","",MONTH(E2))</f>
        <v>4</v>
      </c>
      <c r="AL2" s="160">
        <f t="shared" ref="AL2:AL23" si="4">IF(E2="","",YEAR(E2))</f>
        <v>2026</v>
      </c>
      <c r="AM2" s="203"/>
      <c r="AN2" s="200"/>
    </row>
    <row r="3" spans="1:40" ht="27.95" customHeight="1">
      <c r="A3" s="134">
        <f>IF(I3&lt;&gt;"",COUNTA($I$2:I3),"")</f>
        <v>2</v>
      </c>
      <c r="B3" s="138" t="str">
        <f t="shared" si="0"/>
        <v>الأربعاء</v>
      </c>
      <c r="C3" s="93" t="str">
        <f t="array" ref="C3">IF(E3="","",IF(M3&lt;&gt;"",
M3&amp;"/"&amp;SUMPRODUCT((M$2:M3=M3)*1)&amp;" - "&amp;(ROW()-2),
"إداري/"&amp;SUMPRODUCT((M$2:M3="")*1)&amp;" - "&amp;(ROW()-2)))</f>
        <v>إداري/2 - 1</v>
      </c>
      <c r="D3" s="141" t="str">
        <f>IF(AND(G3="",H3="",I3=""),"",IF(COUNTIFS(LISTS!$A$2:$A$67,G3,LISTS!$B$2:$B$67,H3,LISTS!$C$2:$C$67,I3)=0,"✗ هرم",IF(NOT(OR(Z3="ممتاز 100%",Z3="جيد 80%",Z3="مقبول 60%",Z3="خطر 40%",Z3="")),"✗ قائمة R",IF(NOT(OR(AA3="ممتاز 100%",AA3="جيد 85%",AA3="مقبول 70%",AA3="ضعيف 50%",AA3="")),"✗ قائمة S",IF(NOT(OR(AB3="مكتمل 100%",AB3="جزئي 60%",AB3="معلق 30%",AB3="مفتوح 0%",AB3="")),"✗ قائمة T",IF(NOT(OR(AC3="لا خصم 0",AC3="تأخير −5",AC3="عجز −10",AC3="جودة −15",AC3="امتثال −20",AC3="مخالفة −25",AC3="")),"✗ قائمة U",IF(AND(X3="لا",AC3&lt;&gt;"",AC3&lt;&gt;"لا خصم 0"),"✗ خصم",IF(AND(X3="نعم",AC3="لا خصم 0"),"✗ خصم",IF(AND(Z3="ممتاز 100%",AA3="ممتاز 100%",AB3&lt;&gt;"",AB3&lt;&gt;"مكتمل 100%"),"✗ إغلاق",IFERROR(IF(LEN(_xlfn.TEXTJOIN("، ",TRUE,IF(E3="","التاريخ",""),IF(F3="","الوقت",""),IF(G3="","المركز",""),IF(H3="","الدائرة",""),IF(I3="","القسم",""),IF(J3="","المسؤول",""),IF(K3="","نوع النشاط",""),IF(L3="","المشروع",""),IF(N3="","الممول",""),IF(V3="","الموضوع",""),IF(W3="","الملاحظة",""),IF(X3="","مشكلة",""),IF(Y3="","الإجراء",""),IF(Z3="","التنفيذ",""),IF(AA3="","الجودة",""),IF(AB3="","الإغلاق",""),IF(AC3="","الخصم",""),IF(AND(COUNTA($O3:$U3)&gt;0,O3=""),"مدير المشروع",""),IF(AND(COUNTA($O3:$U3)&gt;0,P3=""),"المستفيدين",""),IF(AND(COUNTA($O3:$U3)&gt;0,Q3=""),"المناطق",""),IF(AND(COUNTA($O3:$U3)&gt;0,R3=""),"الميزانية",""),IF(AND(COUNTA($O3:$U3)&gt;0,S3=""),"نسبة الجاهزية",""),IF(AND(COUNTA($O3:$U3)&gt;0,T3=""),"حالة الجاهزية",""),IF(AND(COUNTA($O3:$U3)&gt;0,U3=""),"التوصيات","")))&gt;0,"✗ ناقص: "&amp;_xlfn.TEXTJOIN("، ",TRUE,IF(E3="","التاريخ",""),IF(F3="","الوقت",""),IF(G3="","المركز",""),IF(H3="","الدائرة",""),IF(I3="","القسم",""),IF(J3="","المسؤول",""),IF(K3="","نوع النشاط",""),IF(L3="","المشروع",""),IF(N3="","الممول",""),IF(V3="","الموضوع",""),IF(W3="","الملاحظة",""),IF(X3="","مشكلة",""),IF(Y3="","الإجراء",""),IF(Z3="","التنفيذ",""),IF(AA3="","الجودة",""),IF(AB3="","الإغلاق",""),IF(AC3="","الخصم",""),IF(AND(COUNTA($O3:$U3)&gt;0,O3=""),"مدير المشروع",""),IF(AND(COUNTA($O3:$U3)&gt;0,P3=""),"المستفيدين",""),IF(AND(COUNTA($O3:$U3)&gt;0,Q3=""),"المناطق",""),IF(AND(COUNTA($O3:$U3)&gt;0,R3=""),"الميزانية",""),IF(AND(COUNTA($O3:$U3)&gt;0,S3=""),"نسبة الجاهزية",""),IF(AND(COUNTA($O3:$U3)&gt;0,T3=""),"حالة الجاهزية",""),IF(AND(COUNTA($O3:$U3)&gt;0,U3=""),"التوصيات","")),"✓"),"✓"))))))))))</f>
        <v>✗ ناقص: الممول</v>
      </c>
      <c r="E3" s="235">
        <v>46113</v>
      </c>
      <c r="F3" s="236">
        <v>0.5</v>
      </c>
      <c r="G3" s="90" t="s">
        <v>97</v>
      </c>
      <c r="H3" s="123" t="s">
        <v>104</v>
      </c>
      <c r="I3" s="89" t="s">
        <v>192</v>
      </c>
      <c r="J3" s="142" t="s">
        <v>117</v>
      </c>
      <c r="K3" s="90" t="s">
        <v>133</v>
      </c>
      <c r="L3" s="90" t="s">
        <v>369</v>
      </c>
      <c r="M3" s="90"/>
      <c r="N3" s="89"/>
      <c r="O3" s="200"/>
      <c r="P3" s="201"/>
      <c r="Q3" s="201"/>
      <c r="R3" s="237"/>
      <c r="S3" s="202"/>
      <c r="T3" s="200"/>
      <c r="U3" s="203"/>
      <c r="V3" s="89" t="s">
        <v>649</v>
      </c>
      <c r="W3" s="89" t="s">
        <v>650</v>
      </c>
      <c r="X3" s="145" t="s">
        <v>651</v>
      </c>
      <c r="Y3" s="89" t="s">
        <v>652</v>
      </c>
      <c r="Z3" s="90" t="s">
        <v>130</v>
      </c>
      <c r="AA3" s="90" t="s">
        <v>130</v>
      </c>
      <c r="AB3" s="90" t="s">
        <v>131</v>
      </c>
      <c r="AC3" s="90" t="s">
        <v>132</v>
      </c>
      <c r="AD3" s="92" t="s">
        <v>26</v>
      </c>
      <c r="AE3" s="149">
        <f>IFERROR(VLOOKUP(Z3,LISTS!$AL$2:$AM$1000,2,FALSE()),"")</f>
        <v>100</v>
      </c>
      <c r="AF3" s="151">
        <f>IFERROR(VLOOKUP(AA3,LISTS!$AO$2:$AP$1000,2,FALSE()),"")</f>
        <v>100</v>
      </c>
      <c r="AG3" s="152">
        <f>IFERROR(VLOOKUP(AB3,LISTS!$AR$2:$AS$1000,2,FALSE()),"")</f>
        <v>100</v>
      </c>
      <c r="AH3" s="154">
        <f>IFERROR(VLOOKUP(AC3,LISTS!$AU$2:$AV$1000,2,FALSE()),"")</f>
        <v>0</v>
      </c>
      <c r="AI3" s="238">
        <f t="shared" si="1"/>
        <v>100</v>
      </c>
      <c r="AJ3" s="190" t="str">
        <f t="shared" si="2"/>
        <v>🌟 ممتاز جدًا</v>
      </c>
      <c r="AK3" s="157">
        <f t="shared" si="3"/>
        <v>4</v>
      </c>
      <c r="AL3" s="160">
        <f t="shared" si="4"/>
        <v>2026</v>
      </c>
      <c r="AM3" s="203"/>
      <c r="AN3" s="200"/>
    </row>
    <row r="4" spans="1:40" ht="27.95" customHeight="1">
      <c r="A4" s="134">
        <f>IF(I4&lt;&gt;"",COUNTA($I$2:I4),"")</f>
        <v>3</v>
      </c>
      <c r="B4" s="138" t="str">
        <f t="shared" si="0"/>
        <v>الخميس</v>
      </c>
      <c r="C4" s="93" t="str">
        <f t="array" ref="C4">IF(E4="","",IF(M4&lt;&gt;"",
M4&amp;"/"&amp;SUMPRODUCT((M$2:M4=M4)*1)&amp;" - "&amp;(ROW()-2),
"إداري/"&amp;SUMPRODUCT((M$2:M4="")*1)&amp;" - "&amp;(ROW()-2)))</f>
        <v>إداري/3 - 2</v>
      </c>
      <c r="D4" s="141" t="str">
        <f>IF(AND(G4="",H4="",I4=""),"",IF(COUNTIFS(LISTS!$A$2:$A$67,G4,LISTS!$B$2:$B$67,H4,LISTS!$C$2:$C$67,I4)=0,"✗ هرم",IF(NOT(OR(Z4="ممتاز 100%",Z4="جيد 80%",Z4="مقبول 60%",Z4="خطر 40%",Z4="")),"✗ قائمة R",IF(NOT(OR(AA4="ممتاز 100%",AA4="جيد 85%",AA4="مقبول 70%",AA4="ضعيف 50%",AA4="")),"✗ قائمة S",IF(NOT(OR(AB4="مكتمل 100%",AB4="جزئي 60%",AB4="معلق 30%",AB4="مفتوح 0%",AB4="")),"✗ قائمة T",IF(NOT(OR(AC4="لا خصم 0",AC4="تأخير −5",AC4="عجز −10",AC4="جودة −15",AC4="امتثال −20",AC4="مخالفة −25",AC4="")),"✗ قائمة U",IF(AND(X4="لا",AC4&lt;&gt;"",AC4&lt;&gt;"لا خصم 0"),"✗ خصم",IF(AND(X4="نعم",AC4="لا خصم 0"),"✗ خصم",IF(AND(Z4="ممتاز 100%",AA4="ممتاز 100%",AB4&lt;&gt;"",AB4&lt;&gt;"مكتمل 100%"),"✗ إغلاق",IFERROR(IF(LEN(_xlfn.TEXTJOIN("، ",TRUE,IF(E4="","التاريخ",""),IF(F4="","الوقت",""),IF(G4="","المركز",""),IF(H4="","الدائرة",""),IF(I4="","القسم",""),IF(J4="","المسؤول",""),IF(K4="","نوع النشاط",""),IF(L4="","المشروع",""),IF(N4="","الممول",""),IF(V4="","الموضوع",""),IF(W4="","الملاحظة",""),IF(X4="","مشكلة",""),IF(Y4="","الإجراء",""),IF(Z4="","التنفيذ",""),IF(AA4="","الجودة",""),IF(AB4="","الإغلاق",""),IF(AC4="","الخصم",""),IF(AND(COUNTA($O4:$U4)&gt;0,O4=""),"مدير المشروع",""),IF(AND(COUNTA($O4:$U4)&gt;0,P4=""),"المستفيدين",""),IF(AND(COUNTA($O4:$U4)&gt;0,Q4=""),"المناطق",""),IF(AND(COUNTA($O4:$U4)&gt;0,R4=""),"الميزانية",""),IF(AND(COUNTA($O4:$U4)&gt;0,S4=""),"نسبة الجاهزية",""),IF(AND(COUNTA($O4:$U4)&gt;0,T4=""),"حالة الجاهزية",""),IF(AND(COUNTA($O4:$U4)&gt;0,U4=""),"التوصيات","")))&gt;0,"✗ ناقص: "&amp;_xlfn.TEXTJOIN("، ",TRUE,IF(E4="","التاريخ",""),IF(F4="","الوقت",""),IF(G4="","المركز",""),IF(H4="","الدائرة",""),IF(I4="","القسم",""),IF(J4="","المسؤول",""),IF(K4="","نوع النشاط",""),IF(L4="","المشروع",""),IF(N4="","الممول",""),IF(V4="","الموضوع",""),IF(W4="","الملاحظة",""),IF(X4="","مشكلة",""),IF(Y4="","الإجراء",""),IF(Z4="","التنفيذ",""),IF(AA4="","الجودة",""),IF(AB4="","الإغلاق",""),IF(AC4="","الخصم",""),IF(AND(COUNTA($O4:$U4)&gt;0,O4=""),"مدير المشروع",""),IF(AND(COUNTA($O4:$U4)&gt;0,P4=""),"المستفيدين",""),IF(AND(COUNTA($O4:$U4)&gt;0,Q4=""),"المناطق",""),IF(AND(COUNTA($O4:$U4)&gt;0,R4=""),"الميزانية",""),IF(AND(COUNTA($O4:$U4)&gt;0,S4=""),"نسبة الجاهزية",""),IF(AND(COUNTA($O4:$U4)&gt;0,T4=""),"حالة الجاهزية",""),IF(AND(COUNTA($O4:$U4)&gt;0,U4=""),"التوصيات","")),"✓"),"✓"))))))))))</f>
        <v>✗ ناقص: الممول</v>
      </c>
      <c r="E4" s="235">
        <v>46114</v>
      </c>
      <c r="F4" s="236">
        <v>0.48958333333333331</v>
      </c>
      <c r="G4" s="90" t="s">
        <v>97</v>
      </c>
      <c r="H4" s="123" t="s">
        <v>102</v>
      </c>
      <c r="I4" s="89" t="s">
        <v>202</v>
      </c>
      <c r="J4" s="142" t="s">
        <v>135</v>
      </c>
      <c r="K4" s="90" t="s">
        <v>133</v>
      </c>
      <c r="L4" s="90" t="s">
        <v>369</v>
      </c>
      <c r="M4" s="100"/>
      <c r="N4" s="89"/>
      <c r="O4" s="200"/>
      <c r="P4" s="201"/>
      <c r="Q4" s="201"/>
      <c r="R4" s="237"/>
      <c r="S4" s="202"/>
      <c r="T4" s="200"/>
      <c r="U4" s="203"/>
      <c r="V4" s="89" t="s">
        <v>653</v>
      </c>
      <c r="W4" s="89" t="s">
        <v>654</v>
      </c>
      <c r="X4" s="145" t="s">
        <v>651</v>
      </c>
      <c r="Y4" s="89" t="s">
        <v>652</v>
      </c>
      <c r="Z4" s="90" t="s">
        <v>130</v>
      </c>
      <c r="AA4" s="90" t="s">
        <v>149</v>
      </c>
      <c r="AB4" s="90" t="s">
        <v>131</v>
      </c>
      <c r="AC4" s="90" t="s">
        <v>132</v>
      </c>
      <c r="AD4" s="91" t="s">
        <v>26</v>
      </c>
      <c r="AE4" s="149">
        <f>IFERROR(VLOOKUP(Z4,LISTS!$AL$2:$AM$1000,2,FALSE()),"")</f>
        <v>100</v>
      </c>
      <c r="AF4" s="151">
        <f>IFERROR(VLOOKUP(AA4,LISTS!$AO$2:$AP$1000,2,FALSE()),"")</f>
        <v>85</v>
      </c>
      <c r="AG4" s="152">
        <f>IFERROR(VLOOKUP(AB4,LISTS!$AR$2:$AS$1000,2,FALSE()),"")</f>
        <v>100</v>
      </c>
      <c r="AH4" s="154">
        <f>IFERROR(VLOOKUP(AC4,LISTS!$AU$2:$AV$1000,2,FALSE()),"")</f>
        <v>0</v>
      </c>
      <c r="AI4" s="238">
        <f t="shared" si="1"/>
        <v>95.5</v>
      </c>
      <c r="AJ4" s="190" t="str">
        <f t="shared" si="2"/>
        <v>⭐ ممتاز</v>
      </c>
      <c r="AK4" s="157">
        <f t="shared" si="3"/>
        <v>4</v>
      </c>
      <c r="AL4" s="160">
        <f t="shared" si="4"/>
        <v>2026</v>
      </c>
      <c r="AM4" s="203"/>
      <c r="AN4" s="200"/>
    </row>
    <row r="5" spans="1:40" ht="27.95" customHeight="1">
      <c r="A5" s="134">
        <f>IF(I5&lt;&gt;"",COUNTA($I$2:I5),"")</f>
        <v>4</v>
      </c>
      <c r="B5" s="138" t="str">
        <f t="shared" si="0"/>
        <v>الخميس</v>
      </c>
      <c r="C5" s="93" t="str">
        <f t="array" ref="C5">IF(E5="","",IF(M5&lt;&gt;"",
M5&amp;"/"&amp;SUMPRODUCT((M$2:M5=M5)*1)&amp;" - "&amp;(ROW()-2),
"إداري/"&amp;SUMPRODUCT((M$2:M5="")*1)&amp;" - "&amp;(ROW()-2)))</f>
        <v>إداري/4 - 3</v>
      </c>
      <c r="D5" s="141" t="str">
        <f>IF(AND(G5="",H5="",I5=""),"",IF(COUNTIFS(LISTS!$A$2:$A$67,G5,LISTS!$B$2:$B$67,H5,LISTS!$C$2:$C$67,I5)=0,"✗ هرم",IF(NOT(OR(Z5="ممتاز 100%",Z5="جيد 80%",Z5="مقبول 60%",Z5="خطر 40%",Z5="")),"✗ قائمة R",IF(NOT(OR(AA5="ممتاز 100%",AA5="جيد 85%",AA5="مقبول 70%",AA5="ضعيف 50%",AA5="")),"✗ قائمة S",IF(NOT(OR(AB5="مكتمل 100%",AB5="جزئي 60%",AB5="معلق 30%",AB5="مفتوح 0%",AB5="")),"✗ قائمة T",IF(NOT(OR(AC5="لا خصم 0",AC5="تأخير −5",AC5="عجز −10",AC5="جودة −15",AC5="امتثال −20",AC5="مخالفة −25",AC5="")),"✗ قائمة U",IF(AND(X5="لا",AC5&lt;&gt;"",AC5&lt;&gt;"لا خصم 0"),"✗ خصم",IF(AND(X5="نعم",AC5="لا خصم 0"),"✗ خصم",IF(AND(Z5="ممتاز 100%",AA5="ممتاز 100%",AB5&lt;&gt;"",AB5&lt;&gt;"مكتمل 100%"),"✗ إغلاق",IFERROR(IF(LEN(_xlfn.TEXTJOIN("، ",TRUE,IF(E5="","التاريخ",""),IF(F5="","الوقت",""),IF(G5="","المركز",""),IF(H5="","الدائرة",""),IF(I5="","القسم",""),IF(J5="","المسؤول",""),IF(K5="","نوع النشاط",""),IF(L5="","المشروع",""),IF(N5="","الممول",""),IF(V5="","الموضوع",""),IF(W5="","الملاحظة",""),IF(X5="","مشكلة",""),IF(Y5="","الإجراء",""),IF(Z5="","التنفيذ",""),IF(AA5="","الجودة",""),IF(AB5="","الإغلاق",""),IF(AC5="","الخصم",""),IF(AND(COUNTA($O5:$U5)&gt;0,O5=""),"مدير المشروع",""),IF(AND(COUNTA($O5:$U5)&gt;0,P5=""),"المستفيدين",""),IF(AND(COUNTA($O5:$U5)&gt;0,Q5=""),"المناطق",""),IF(AND(COUNTA($O5:$U5)&gt;0,R5=""),"الميزانية",""),IF(AND(COUNTA($O5:$U5)&gt;0,S5=""),"نسبة الجاهزية",""),IF(AND(COUNTA($O5:$U5)&gt;0,T5=""),"حالة الجاهزية",""),IF(AND(COUNTA($O5:$U5)&gt;0,U5=""),"التوصيات","")))&gt;0,"✗ ناقص: "&amp;_xlfn.TEXTJOIN("، ",TRUE,IF(E5="","التاريخ",""),IF(F5="","الوقت",""),IF(G5="","المركز",""),IF(H5="","الدائرة",""),IF(I5="","القسم",""),IF(J5="","المسؤول",""),IF(K5="","نوع النشاط",""),IF(L5="","المشروع",""),IF(N5="","الممول",""),IF(V5="","الموضوع",""),IF(W5="","الملاحظة",""),IF(X5="","مشكلة",""),IF(Y5="","الإجراء",""),IF(Z5="","التنفيذ",""),IF(AA5="","الجودة",""),IF(AB5="","الإغلاق",""),IF(AC5="","الخصم",""),IF(AND(COUNTA($O5:$U5)&gt;0,O5=""),"مدير المشروع",""),IF(AND(COUNTA($O5:$U5)&gt;0,P5=""),"المستفيدين",""),IF(AND(COUNTA($O5:$U5)&gt;0,Q5=""),"المناطق",""),IF(AND(COUNTA($O5:$U5)&gt;0,R5=""),"الميزانية",""),IF(AND(COUNTA($O5:$U5)&gt;0,S5=""),"نسبة الجاهزية",""),IF(AND(COUNTA($O5:$U5)&gt;0,T5=""),"حالة الجاهزية",""),IF(AND(COUNTA($O5:$U5)&gt;0,U5=""),"التوصيات","")),"✓"),"✓"))))))))))</f>
        <v>✓</v>
      </c>
      <c r="E5" s="235">
        <v>46114</v>
      </c>
      <c r="F5" s="236">
        <v>0.50694444444444442</v>
      </c>
      <c r="G5" s="90" t="s">
        <v>97</v>
      </c>
      <c r="H5" s="123" t="s">
        <v>102</v>
      </c>
      <c r="I5" s="89" t="s">
        <v>124</v>
      </c>
      <c r="J5" s="142" t="s">
        <v>117</v>
      </c>
      <c r="K5" s="90" t="s">
        <v>133</v>
      </c>
      <c r="L5" s="90" t="s">
        <v>369</v>
      </c>
      <c r="M5" s="90"/>
      <c r="N5" s="89" t="s">
        <v>655</v>
      </c>
      <c r="O5" s="200"/>
      <c r="P5" s="201"/>
      <c r="Q5" s="201"/>
      <c r="R5" s="237"/>
      <c r="S5" s="202"/>
      <c r="T5" s="200"/>
      <c r="U5" s="203"/>
      <c r="V5" s="89" t="s">
        <v>656</v>
      </c>
      <c r="W5" s="89" t="s">
        <v>657</v>
      </c>
      <c r="X5" s="145" t="s">
        <v>651</v>
      </c>
      <c r="Y5" s="89" t="s">
        <v>652</v>
      </c>
      <c r="Z5" s="90" t="s">
        <v>130</v>
      </c>
      <c r="AA5" s="90" t="s">
        <v>130</v>
      </c>
      <c r="AB5" s="90" t="s">
        <v>131</v>
      </c>
      <c r="AC5" s="90" t="s">
        <v>132</v>
      </c>
      <c r="AD5" s="92" t="s">
        <v>26</v>
      </c>
      <c r="AE5" s="149">
        <f>IFERROR(VLOOKUP(Z5,LISTS!$AL$2:$AM$1000,2,FALSE()),"")</f>
        <v>100</v>
      </c>
      <c r="AF5" s="151">
        <f>IFERROR(VLOOKUP(AA5,LISTS!$AO$2:$AP$1000,2,FALSE()),"")</f>
        <v>100</v>
      </c>
      <c r="AG5" s="152">
        <f>IFERROR(VLOOKUP(AB5,LISTS!$AR$2:$AS$1000,2,FALSE()),"")</f>
        <v>100</v>
      </c>
      <c r="AH5" s="154">
        <f>IFERROR(VLOOKUP(AC5,LISTS!$AU$2:$AV$1000,2,FALSE()),"")</f>
        <v>0</v>
      </c>
      <c r="AI5" s="238">
        <f t="shared" si="1"/>
        <v>100</v>
      </c>
      <c r="AJ5" s="190" t="str">
        <f t="shared" si="2"/>
        <v>🌟 ممتاز جدًا</v>
      </c>
      <c r="AK5" s="157">
        <f t="shared" si="3"/>
        <v>4</v>
      </c>
      <c r="AL5" s="160">
        <f t="shared" si="4"/>
        <v>2026</v>
      </c>
      <c r="AM5" s="203"/>
      <c r="AN5" s="200"/>
    </row>
    <row r="6" spans="1:40" ht="27.95" customHeight="1">
      <c r="A6" s="134">
        <f>IF(I6&lt;&gt;"",COUNTA($I$2:I6),"")</f>
        <v>5</v>
      </c>
      <c r="B6" s="138" t="str">
        <f t="shared" si="0"/>
        <v>الخميس</v>
      </c>
      <c r="C6" s="93" t="str">
        <f t="array" ref="C6">IF(E6="","",IF(M6&lt;&gt;"",
M6&amp;"/"&amp;SUMPRODUCT((M$2:M6=M6)*1)&amp;" - "&amp;(ROW()-2),
"إداري/"&amp;SUMPRODUCT((M$2:M6="")*1)&amp;" - "&amp;(ROW()-2)))</f>
        <v>إداري/5 - 4</v>
      </c>
      <c r="D6" s="141" t="str">
        <f>IF(AND(G6="",H6="",I6=""),"",IF(COUNTIFS(LISTS!$A$2:$A$67,G6,LISTS!$B$2:$B$67,H6,LISTS!$C$2:$C$67,I6)=0,"✗ هرم",IF(NOT(OR(Z6="ممتاز 100%",Z6="جيد 80%",Z6="مقبول 60%",Z6="خطر 40%",Z6="")),"✗ قائمة R",IF(NOT(OR(AA6="ممتاز 100%",AA6="جيد 85%",AA6="مقبول 70%",AA6="ضعيف 50%",AA6="")),"✗ قائمة S",IF(NOT(OR(AB6="مكتمل 100%",AB6="جزئي 60%",AB6="معلق 30%",AB6="مفتوح 0%",AB6="")),"✗ قائمة T",IF(NOT(OR(AC6="لا خصم 0",AC6="تأخير −5",AC6="عجز −10",AC6="جودة −15",AC6="امتثال −20",AC6="مخالفة −25",AC6="")),"✗ قائمة U",IF(AND(X6="لا",AC6&lt;&gt;"",AC6&lt;&gt;"لا خصم 0"),"✗ خصم",IF(AND(X6="نعم",AC6="لا خصم 0"),"✗ خصم",IF(AND(Z6="ممتاز 100%",AA6="ممتاز 100%",AB6&lt;&gt;"",AB6&lt;&gt;"مكتمل 100%"),"✗ إغلاق",IFERROR(IF(LEN(_xlfn.TEXTJOIN("، ",TRUE,IF(E6="","التاريخ",""),IF(F6="","الوقت",""),IF(G6="","المركز",""),IF(H6="","الدائرة",""),IF(I6="","القسم",""),IF(J6="","المسؤول",""),IF(K6="","نوع النشاط",""),IF(L6="","المشروع",""),IF(N6="","الممول",""),IF(V6="","الموضوع",""),IF(W6="","الملاحظة",""),IF(X6="","مشكلة",""),IF(Y6="","الإجراء",""),IF(Z6="","التنفيذ",""),IF(AA6="","الجودة",""),IF(AB6="","الإغلاق",""),IF(AC6="","الخصم",""),IF(AND(COUNTA($O6:$U6)&gt;0,O6=""),"مدير المشروع",""),IF(AND(COUNTA($O6:$U6)&gt;0,P6=""),"المستفيدين",""),IF(AND(COUNTA($O6:$U6)&gt;0,Q6=""),"المناطق",""),IF(AND(COUNTA($O6:$U6)&gt;0,R6=""),"الميزانية",""),IF(AND(COUNTA($O6:$U6)&gt;0,S6=""),"نسبة الجاهزية",""),IF(AND(COUNTA($O6:$U6)&gt;0,T6=""),"حالة الجاهزية",""),IF(AND(COUNTA($O6:$U6)&gt;0,U6=""),"التوصيات","")))&gt;0,"✗ ناقص: "&amp;_xlfn.TEXTJOIN("، ",TRUE,IF(E6="","التاريخ",""),IF(F6="","الوقت",""),IF(G6="","المركز",""),IF(H6="","الدائرة",""),IF(I6="","القسم",""),IF(J6="","المسؤول",""),IF(K6="","نوع النشاط",""),IF(L6="","المشروع",""),IF(N6="","الممول",""),IF(V6="","الموضوع",""),IF(W6="","الملاحظة",""),IF(X6="","مشكلة",""),IF(Y6="","الإجراء",""),IF(Z6="","التنفيذ",""),IF(AA6="","الجودة",""),IF(AB6="","الإغلاق",""),IF(AC6="","الخصم",""),IF(AND(COUNTA($O6:$U6)&gt;0,O6=""),"مدير المشروع",""),IF(AND(COUNTA($O6:$U6)&gt;0,P6=""),"المستفيدين",""),IF(AND(COUNTA($O6:$U6)&gt;0,Q6=""),"المناطق",""),IF(AND(COUNTA($O6:$U6)&gt;0,R6=""),"الميزانية",""),IF(AND(COUNTA($O6:$U6)&gt;0,S6=""),"نسبة الجاهزية",""),IF(AND(COUNTA($O6:$U6)&gt;0,T6=""),"حالة الجاهزية",""),IF(AND(COUNTA($O6:$U6)&gt;0,U6=""),"التوصيات","")),"✓"),"✓"))))))))))</f>
        <v>✗ ناقص: الممول</v>
      </c>
      <c r="E6" s="235">
        <v>46114</v>
      </c>
      <c r="F6" s="236">
        <v>0.45833333333333331</v>
      </c>
      <c r="G6" s="90" t="s">
        <v>97</v>
      </c>
      <c r="H6" s="123" t="s">
        <v>104</v>
      </c>
      <c r="I6" s="89" t="s">
        <v>192</v>
      </c>
      <c r="J6" s="142" t="s">
        <v>117</v>
      </c>
      <c r="K6" s="90" t="s">
        <v>133</v>
      </c>
      <c r="L6" s="90" t="s">
        <v>369</v>
      </c>
      <c r="M6" s="90"/>
      <c r="N6" s="89"/>
      <c r="O6" s="200"/>
      <c r="P6" s="201"/>
      <c r="Q6" s="201"/>
      <c r="R6" s="237"/>
      <c r="S6" s="202"/>
      <c r="T6" s="200"/>
      <c r="U6" s="203"/>
      <c r="V6" s="89" t="s">
        <v>658</v>
      </c>
      <c r="W6" s="89" t="s">
        <v>659</v>
      </c>
      <c r="X6" s="145" t="s">
        <v>651</v>
      </c>
      <c r="Y6" s="89" t="s">
        <v>652</v>
      </c>
      <c r="Z6" s="90" t="s">
        <v>130</v>
      </c>
      <c r="AA6" s="90" t="s">
        <v>130</v>
      </c>
      <c r="AB6" s="90" t="s">
        <v>131</v>
      </c>
      <c r="AC6" s="90" t="s">
        <v>132</v>
      </c>
      <c r="AD6" s="91" t="s">
        <v>26</v>
      </c>
      <c r="AE6" s="149">
        <f>IFERROR(VLOOKUP(Z6,LISTS!$AL$2:$AM$1000,2,FALSE()),"")</f>
        <v>100</v>
      </c>
      <c r="AF6" s="151">
        <f>IFERROR(VLOOKUP(AA6,LISTS!$AO$2:$AP$1000,2,FALSE()),"")</f>
        <v>100</v>
      </c>
      <c r="AG6" s="152">
        <f>IFERROR(VLOOKUP(AB6,LISTS!$AR$2:$AS$1000,2,FALSE()),"")</f>
        <v>100</v>
      </c>
      <c r="AH6" s="154">
        <f>IFERROR(VLOOKUP(AC6,LISTS!$AU$2:$AV$1000,2,FALSE()),"")</f>
        <v>0</v>
      </c>
      <c r="AI6" s="238">
        <f t="shared" si="1"/>
        <v>100</v>
      </c>
      <c r="AJ6" s="190" t="str">
        <f t="shared" si="2"/>
        <v>🌟 ممتاز جدًا</v>
      </c>
      <c r="AK6" s="157">
        <f t="shared" si="3"/>
        <v>4</v>
      </c>
      <c r="AL6" s="160">
        <f t="shared" si="4"/>
        <v>2026</v>
      </c>
      <c r="AM6" s="203"/>
      <c r="AN6" s="200"/>
    </row>
    <row r="7" spans="1:40" ht="27.95" customHeight="1">
      <c r="A7" s="134">
        <f>IF(I7&lt;&gt;"",COUNTA($I$2:I7),"")</f>
        <v>6</v>
      </c>
      <c r="B7" s="138" t="str">
        <f t="shared" si="0"/>
        <v>الجمعة</v>
      </c>
      <c r="C7" s="93" t="str">
        <f t="array" ref="C7">IF(E7="","",IF(M7&lt;&gt;"",
M7&amp;"/"&amp;SUMPRODUCT((M$2:M7=M7)*1)&amp;" - "&amp;(ROW()-2),
"إداري/"&amp;SUMPRODUCT((M$2:M7="")*1)&amp;" - "&amp;(ROW()-2)))</f>
        <v>إداري/6 - 5</v>
      </c>
      <c r="D7" s="141" t="str">
        <f>IF(AND(G7="",H7="",I7=""),"",IF(COUNTIFS(LISTS!$A$2:$A$67,G7,LISTS!$B$2:$B$67,H7,LISTS!$C$2:$C$67,I7)=0,"✗ هرم",IF(NOT(OR(Z7="ممتاز 100%",Z7="جيد 80%",Z7="مقبول 60%",Z7="خطر 40%",Z7="")),"✗ قائمة R",IF(NOT(OR(AA7="ممتاز 100%",AA7="جيد 85%",AA7="مقبول 70%",AA7="ضعيف 50%",AA7="")),"✗ قائمة S",IF(NOT(OR(AB7="مكتمل 100%",AB7="جزئي 60%",AB7="معلق 30%",AB7="مفتوح 0%",AB7="")),"✗ قائمة T",IF(NOT(OR(AC7="لا خصم 0",AC7="تأخير −5",AC7="عجز −10",AC7="جودة −15",AC7="امتثال −20",AC7="مخالفة −25",AC7="")),"✗ قائمة U",IF(AND(X7="لا",AC7&lt;&gt;"",AC7&lt;&gt;"لا خصم 0"),"✗ خصم",IF(AND(X7="نعم",AC7="لا خصم 0"),"✗ خصم",IF(AND(Z7="ممتاز 100%",AA7="ممتاز 100%",AB7&lt;&gt;"",AB7&lt;&gt;"مكتمل 100%"),"✗ إغلاق",IFERROR(IF(LEN(_xlfn.TEXTJOIN("، ",TRUE,IF(E7="","التاريخ",""),IF(F7="","الوقت",""),IF(G7="","المركز",""),IF(H7="","الدائرة",""),IF(I7="","القسم",""),IF(J7="","المسؤول",""),IF(K7="","نوع النشاط",""),IF(L7="","المشروع",""),IF(N7="","الممول",""),IF(V7="","الموضوع",""),IF(W7="","الملاحظة",""),IF(X7="","مشكلة",""),IF(Y7="","الإجراء",""),IF(Z7="","التنفيذ",""),IF(AA7="","الجودة",""),IF(AB7="","الإغلاق",""),IF(AC7="","الخصم",""),IF(AND(COUNTA($O7:$U7)&gt;0,O7=""),"مدير المشروع",""),IF(AND(COUNTA($O7:$U7)&gt;0,P7=""),"المستفيدين",""),IF(AND(COUNTA($O7:$U7)&gt;0,Q7=""),"المناطق",""),IF(AND(COUNTA($O7:$U7)&gt;0,R7=""),"الميزانية",""),IF(AND(COUNTA($O7:$U7)&gt;0,S7=""),"نسبة الجاهزية",""),IF(AND(COUNTA($O7:$U7)&gt;0,T7=""),"حالة الجاهزية",""),IF(AND(COUNTA($O7:$U7)&gt;0,U7=""),"التوصيات","")))&gt;0,"✗ ناقص: "&amp;_xlfn.TEXTJOIN("، ",TRUE,IF(E7="","التاريخ",""),IF(F7="","الوقت",""),IF(G7="","المركز",""),IF(H7="","الدائرة",""),IF(I7="","القسم",""),IF(J7="","المسؤول",""),IF(K7="","نوع النشاط",""),IF(L7="","المشروع",""),IF(N7="","الممول",""),IF(V7="","الموضوع",""),IF(W7="","الملاحظة",""),IF(X7="","مشكلة",""),IF(Y7="","الإجراء",""),IF(Z7="","التنفيذ",""),IF(AA7="","الجودة",""),IF(AB7="","الإغلاق",""),IF(AC7="","الخصم",""),IF(AND(COUNTA($O7:$U7)&gt;0,O7=""),"مدير المشروع",""),IF(AND(COUNTA($O7:$U7)&gt;0,P7=""),"المستفيدين",""),IF(AND(COUNTA($O7:$U7)&gt;0,Q7=""),"المناطق",""),IF(AND(COUNTA($O7:$U7)&gt;0,R7=""),"الميزانية",""),IF(AND(COUNTA($O7:$U7)&gt;0,S7=""),"نسبة الجاهزية",""),IF(AND(COUNTA($O7:$U7)&gt;0,T7=""),"حالة الجاهزية",""),IF(AND(COUNTA($O7:$U7)&gt;0,U7=""),"التوصيات","")),"✓"),"✓"))))))))))</f>
        <v>✗ ناقص: الممول</v>
      </c>
      <c r="E7" s="235">
        <v>46115</v>
      </c>
      <c r="F7" s="236">
        <v>0.5</v>
      </c>
      <c r="G7" s="90" t="s">
        <v>97</v>
      </c>
      <c r="H7" s="123" t="s">
        <v>102</v>
      </c>
      <c r="I7" s="89" t="s">
        <v>175</v>
      </c>
      <c r="J7" s="142" t="s">
        <v>170</v>
      </c>
      <c r="K7" s="90" t="s">
        <v>133</v>
      </c>
      <c r="L7" s="90" t="s">
        <v>369</v>
      </c>
      <c r="M7" s="90"/>
      <c r="N7" s="89"/>
      <c r="O7" s="200"/>
      <c r="P7" s="201"/>
      <c r="Q7" s="201"/>
      <c r="R7" s="237"/>
      <c r="S7" s="202"/>
      <c r="T7" s="200"/>
      <c r="U7" s="203"/>
      <c r="V7" s="89" t="s">
        <v>660</v>
      </c>
      <c r="W7" s="89" t="s">
        <v>661</v>
      </c>
      <c r="X7" s="145" t="s">
        <v>651</v>
      </c>
      <c r="Y7" s="89" t="s">
        <v>652</v>
      </c>
      <c r="Z7" s="90" t="s">
        <v>130</v>
      </c>
      <c r="AA7" s="90" t="s">
        <v>130</v>
      </c>
      <c r="AB7" s="90" t="s">
        <v>131</v>
      </c>
      <c r="AC7" s="90" t="s">
        <v>132</v>
      </c>
      <c r="AD7" s="92" t="s">
        <v>26</v>
      </c>
      <c r="AE7" s="149">
        <f>IFERROR(VLOOKUP(Z7,LISTS!$AL$2:$AM$1000,2,FALSE()),"")</f>
        <v>100</v>
      </c>
      <c r="AF7" s="151">
        <f>IFERROR(VLOOKUP(AA7,LISTS!$AO$2:$AP$1000,2,FALSE()),"")</f>
        <v>100</v>
      </c>
      <c r="AG7" s="152">
        <f>IFERROR(VLOOKUP(AB7,LISTS!$AR$2:$AS$1000,2,FALSE()),"")</f>
        <v>100</v>
      </c>
      <c r="AH7" s="154">
        <f>IFERROR(VLOOKUP(AC7,LISTS!$AU$2:$AV$1000,2,FALSE()),"")</f>
        <v>0</v>
      </c>
      <c r="AI7" s="238">
        <f t="shared" si="1"/>
        <v>100</v>
      </c>
      <c r="AJ7" s="190" t="str">
        <f t="shared" si="2"/>
        <v>🌟 ممتاز جدًا</v>
      </c>
      <c r="AK7" s="157">
        <f t="shared" si="3"/>
        <v>4</v>
      </c>
      <c r="AL7" s="160">
        <f t="shared" si="4"/>
        <v>2026</v>
      </c>
      <c r="AM7" s="203"/>
      <c r="AN7" s="200"/>
    </row>
    <row r="8" spans="1:40" ht="27.95" customHeight="1">
      <c r="A8" s="134">
        <f>IF(I8&lt;&gt;"",COUNTA($I$2:I8),"")</f>
        <v>7</v>
      </c>
      <c r="B8" s="138" t="str">
        <f t="shared" si="0"/>
        <v>الجمعة</v>
      </c>
      <c r="C8" s="93" t="str">
        <f t="array" ref="C8">IF(E8="","",IF(M8&lt;&gt;"",
M8&amp;"/"&amp;SUMPRODUCT((M$2:M8=M8)*1)&amp;" - "&amp;(ROW()-2),
"إداري/"&amp;SUMPRODUCT((M$2:M8="")*1)&amp;" - "&amp;(ROW()-2)))</f>
        <v>إداري/7 - 6</v>
      </c>
      <c r="D8" s="141" t="str">
        <f>IF(AND(G8="",H8="",I8=""),"",IF(COUNTIFS(LISTS!$A$2:$A$67,G8,LISTS!$B$2:$B$67,H8,LISTS!$C$2:$C$67,I8)=0,"✗ هرم",IF(NOT(OR(Z8="ممتاز 100%",Z8="جيد 80%",Z8="مقبول 60%",Z8="خطر 40%",Z8="")),"✗ قائمة R",IF(NOT(OR(AA8="ممتاز 100%",AA8="جيد 85%",AA8="مقبول 70%",AA8="ضعيف 50%",AA8="")),"✗ قائمة S",IF(NOT(OR(AB8="مكتمل 100%",AB8="جزئي 60%",AB8="معلق 30%",AB8="مفتوح 0%",AB8="")),"✗ قائمة T",IF(NOT(OR(AC8="لا خصم 0",AC8="تأخير −5",AC8="عجز −10",AC8="جودة −15",AC8="امتثال −20",AC8="مخالفة −25",AC8="")),"✗ قائمة U",IF(AND(X8="لا",AC8&lt;&gt;"",AC8&lt;&gt;"لا خصم 0"),"✗ خصم",IF(AND(X8="نعم",AC8="لا خصم 0"),"✗ خصم",IF(AND(Z8="ممتاز 100%",AA8="ممتاز 100%",AB8&lt;&gt;"",AB8&lt;&gt;"مكتمل 100%"),"✗ إغلاق",IFERROR(IF(LEN(_xlfn.TEXTJOIN("، ",TRUE,IF(E8="","التاريخ",""),IF(F8="","الوقت",""),IF(G8="","المركز",""),IF(H8="","الدائرة",""),IF(I8="","القسم",""),IF(J8="","المسؤول",""),IF(K8="","نوع النشاط",""),IF(L8="","المشروع",""),IF(N8="","الممول",""),IF(V8="","الموضوع",""),IF(W8="","الملاحظة",""),IF(X8="","مشكلة",""),IF(Y8="","الإجراء",""),IF(Z8="","التنفيذ",""),IF(AA8="","الجودة",""),IF(AB8="","الإغلاق",""),IF(AC8="","الخصم",""),IF(AND(COUNTA($O8:$U8)&gt;0,O8=""),"مدير المشروع",""),IF(AND(COUNTA($O8:$U8)&gt;0,P8=""),"المستفيدين",""),IF(AND(COUNTA($O8:$U8)&gt;0,Q8=""),"المناطق",""),IF(AND(COUNTA($O8:$U8)&gt;0,R8=""),"الميزانية",""),IF(AND(COUNTA($O8:$U8)&gt;0,S8=""),"نسبة الجاهزية",""),IF(AND(COUNTA($O8:$U8)&gt;0,T8=""),"حالة الجاهزية",""),IF(AND(COUNTA($O8:$U8)&gt;0,U8=""),"التوصيات","")))&gt;0,"✗ ناقص: "&amp;_xlfn.TEXTJOIN("، ",TRUE,IF(E8="","التاريخ",""),IF(F8="","الوقت",""),IF(G8="","المركز",""),IF(H8="","الدائرة",""),IF(I8="","القسم",""),IF(J8="","المسؤول",""),IF(K8="","نوع النشاط",""),IF(L8="","المشروع",""),IF(N8="","الممول",""),IF(V8="","الموضوع",""),IF(W8="","الملاحظة",""),IF(X8="","مشكلة",""),IF(Y8="","الإجراء",""),IF(Z8="","التنفيذ",""),IF(AA8="","الجودة",""),IF(AB8="","الإغلاق",""),IF(AC8="","الخصم",""),IF(AND(COUNTA($O8:$U8)&gt;0,O8=""),"مدير المشروع",""),IF(AND(COUNTA($O8:$U8)&gt;0,P8=""),"المستفيدين",""),IF(AND(COUNTA($O8:$U8)&gt;0,Q8=""),"المناطق",""),IF(AND(COUNTA($O8:$U8)&gt;0,R8=""),"الميزانية",""),IF(AND(COUNTA($O8:$U8)&gt;0,S8=""),"نسبة الجاهزية",""),IF(AND(COUNTA($O8:$U8)&gt;0,T8=""),"حالة الجاهزية",""),IF(AND(COUNTA($O8:$U8)&gt;0,U8=""),"التوصيات","")),"✓"),"✓"))))))))))</f>
        <v>✗ ناقص: الممول</v>
      </c>
      <c r="E8" s="235">
        <v>46115</v>
      </c>
      <c r="F8" s="236">
        <v>0.45833333333333331</v>
      </c>
      <c r="G8" s="90" t="s">
        <v>97</v>
      </c>
      <c r="H8" s="123" t="s">
        <v>104</v>
      </c>
      <c r="I8" s="89" t="s">
        <v>192</v>
      </c>
      <c r="J8" s="142" t="s">
        <v>117</v>
      </c>
      <c r="K8" s="90" t="s">
        <v>133</v>
      </c>
      <c r="L8" s="90" t="s">
        <v>369</v>
      </c>
      <c r="M8" s="90"/>
      <c r="N8" s="89"/>
      <c r="O8" s="200"/>
      <c r="P8" s="201"/>
      <c r="Q8" s="201"/>
      <c r="R8" s="237"/>
      <c r="S8" s="202"/>
      <c r="T8" s="200"/>
      <c r="U8" s="203"/>
      <c r="V8" s="89" t="s">
        <v>662</v>
      </c>
      <c r="W8" s="89" t="s">
        <v>663</v>
      </c>
      <c r="X8" s="145" t="s">
        <v>651</v>
      </c>
      <c r="Y8" s="89" t="s">
        <v>652</v>
      </c>
      <c r="Z8" s="90" t="s">
        <v>130</v>
      </c>
      <c r="AA8" s="90" t="s">
        <v>130</v>
      </c>
      <c r="AB8" s="90" t="s">
        <v>131</v>
      </c>
      <c r="AC8" s="90" t="s">
        <v>132</v>
      </c>
      <c r="AD8" s="91" t="s">
        <v>26</v>
      </c>
      <c r="AE8" s="149">
        <f>IFERROR(VLOOKUP(Z8,LISTS!$AL$2:$AM$1000,2,FALSE()),"")</f>
        <v>100</v>
      </c>
      <c r="AF8" s="151">
        <f>IFERROR(VLOOKUP(AA8,LISTS!$AO$2:$AP$1000,2,FALSE()),"")</f>
        <v>100</v>
      </c>
      <c r="AG8" s="152">
        <f>IFERROR(VLOOKUP(AB8,LISTS!$AR$2:$AS$1000,2,FALSE()),"")</f>
        <v>100</v>
      </c>
      <c r="AH8" s="154">
        <f>IFERROR(VLOOKUP(AC8,LISTS!$AU$2:$AV$1000,2,FALSE()),"")</f>
        <v>0</v>
      </c>
      <c r="AI8" s="238">
        <f t="shared" si="1"/>
        <v>100</v>
      </c>
      <c r="AJ8" s="190" t="str">
        <f t="shared" si="2"/>
        <v>🌟 ممتاز جدًا</v>
      </c>
      <c r="AK8" s="157">
        <f t="shared" si="3"/>
        <v>4</v>
      </c>
      <c r="AL8" s="160">
        <f t="shared" si="4"/>
        <v>2026</v>
      </c>
      <c r="AM8" s="203"/>
      <c r="AN8" s="200"/>
    </row>
    <row r="9" spans="1:40" ht="27.95" customHeight="1">
      <c r="A9" s="134">
        <f>IF(I9&lt;&gt;"",COUNTA($I$2:I9),"")</f>
        <v>8</v>
      </c>
      <c r="B9" s="138" t="str">
        <f t="shared" si="0"/>
        <v>السبت</v>
      </c>
      <c r="C9" s="93" t="str">
        <f t="array" ref="C9">IF(E9="","",IF(M9&lt;&gt;"",
M9&amp;"/"&amp;SUMPRODUCT((M$2:M9=M9)*1)&amp;" - "&amp;(ROW()-2),
"إداري/"&amp;SUMPRODUCT((M$2:M9="")*1)&amp;" - "&amp;(ROW()-2)))</f>
        <v>إداري/8 - 7</v>
      </c>
      <c r="D9" s="141" t="str">
        <f>IF(AND(G9="",H9="",I9=""),"",IF(COUNTIFS(LISTS!$A$2:$A$67,G9,LISTS!$B$2:$B$67,H9,LISTS!$C$2:$C$67,I9)=0,"✗ هرم",IF(NOT(OR(Z9="ممتاز 100%",Z9="جيد 80%",Z9="مقبول 60%",Z9="خطر 40%",Z9="")),"✗ قائمة R",IF(NOT(OR(AA9="ممتاز 100%",AA9="جيد 85%",AA9="مقبول 70%",AA9="ضعيف 50%",AA9="")),"✗ قائمة S",IF(NOT(OR(AB9="مكتمل 100%",AB9="جزئي 60%",AB9="معلق 30%",AB9="مفتوح 0%",AB9="")),"✗ قائمة T",IF(NOT(OR(AC9="لا خصم 0",AC9="تأخير −5",AC9="عجز −10",AC9="جودة −15",AC9="امتثال −20",AC9="مخالفة −25",AC9="")),"✗ قائمة U",IF(AND(X9="لا",AC9&lt;&gt;"",AC9&lt;&gt;"لا خصم 0"),"✗ خصم",IF(AND(X9="نعم",AC9="لا خصم 0"),"✗ خصم",IF(AND(Z9="ممتاز 100%",AA9="ممتاز 100%",AB9&lt;&gt;"",AB9&lt;&gt;"مكتمل 100%"),"✗ إغلاق",IFERROR(IF(LEN(_xlfn.TEXTJOIN("، ",TRUE,IF(E9="","التاريخ",""),IF(F9="","الوقت",""),IF(G9="","المركز",""),IF(H9="","الدائرة",""),IF(I9="","القسم",""),IF(J9="","المسؤول",""),IF(K9="","نوع النشاط",""),IF(L9="","المشروع",""),IF(N9="","الممول",""),IF(V9="","الموضوع",""),IF(W9="","الملاحظة",""),IF(X9="","مشكلة",""),IF(Y9="","الإجراء",""),IF(Z9="","التنفيذ",""),IF(AA9="","الجودة",""),IF(AB9="","الإغلاق",""),IF(AC9="","الخصم",""),IF(AND(COUNTA($O9:$U9)&gt;0,O9=""),"مدير المشروع",""),IF(AND(COUNTA($O9:$U9)&gt;0,P9=""),"المستفيدين",""),IF(AND(COUNTA($O9:$U9)&gt;0,Q9=""),"المناطق",""),IF(AND(COUNTA($O9:$U9)&gt;0,R9=""),"الميزانية",""),IF(AND(COUNTA($O9:$U9)&gt;0,S9=""),"نسبة الجاهزية",""),IF(AND(COUNTA($O9:$U9)&gt;0,T9=""),"حالة الجاهزية",""),IF(AND(COUNTA($O9:$U9)&gt;0,U9=""),"التوصيات","")))&gt;0,"✗ ناقص: "&amp;_xlfn.TEXTJOIN("، ",TRUE,IF(E9="","التاريخ",""),IF(F9="","الوقت",""),IF(G9="","المركز",""),IF(H9="","الدائرة",""),IF(I9="","القسم",""),IF(J9="","المسؤول",""),IF(K9="","نوع النشاط",""),IF(L9="","المشروع",""),IF(N9="","الممول",""),IF(V9="","الموضوع",""),IF(W9="","الملاحظة",""),IF(X9="","مشكلة",""),IF(Y9="","الإجراء",""),IF(Z9="","التنفيذ",""),IF(AA9="","الجودة",""),IF(AB9="","الإغلاق",""),IF(AC9="","الخصم",""),IF(AND(COUNTA($O9:$U9)&gt;0,O9=""),"مدير المشروع",""),IF(AND(COUNTA($O9:$U9)&gt;0,P9=""),"المستفيدين",""),IF(AND(COUNTA($O9:$U9)&gt;0,Q9=""),"المناطق",""),IF(AND(COUNTA($O9:$U9)&gt;0,R9=""),"الميزانية",""),IF(AND(COUNTA($O9:$U9)&gt;0,S9=""),"نسبة الجاهزية",""),IF(AND(COUNTA($O9:$U9)&gt;0,T9=""),"حالة الجاهزية",""),IF(AND(COUNTA($O9:$U9)&gt;0,U9=""),"التوصيات","")),"✓"),"✓"))))))))))</f>
        <v>✓</v>
      </c>
      <c r="E9" s="235">
        <v>46116</v>
      </c>
      <c r="F9" s="236">
        <v>0.5625</v>
      </c>
      <c r="G9" s="90" t="s">
        <v>97</v>
      </c>
      <c r="H9" s="123" t="s">
        <v>102</v>
      </c>
      <c r="I9" s="89" t="s">
        <v>124</v>
      </c>
      <c r="J9" s="142" t="s">
        <v>117</v>
      </c>
      <c r="K9" s="90" t="s">
        <v>133</v>
      </c>
      <c r="L9" s="90" t="s">
        <v>369</v>
      </c>
      <c r="M9" s="90"/>
      <c r="N9" s="89" t="s">
        <v>655</v>
      </c>
      <c r="O9" s="200"/>
      <c r="P9" s="201"/>
      <c r="Q9" s="201"/>
      <c r="R9" s="237"/>
      <c r="S9" s="202"/>
      <c r="T9" s="200"/>
      <c r="U9" s="203"/>
      <c r="V9" s="89" t="s">
        <v>664</v>
      </c>
      <c r="W9" s="89" t="s">
        <v>665</v>
      </c>
      <c r="X9" s="145" t="s">
        <v>647</v>
      </c>
      <c r="Y9" s="89" t="s">
        <v>666</v>
      </c>
      <c r="Z9" s="90" t="s">
        <v>130</v>
      </c>
      <c r="AA9" s="90" t="s">
        <v>130</v>
      </c>
      <c r="AB9" s="90" t="s">
        <v>131</v>
      </c>
      <c r="AC9" s="90" t="s">
        <v>196</v>
      </c>
      <c r="AD9" s="92" t="s">
        <v>26</v>
      </c>
      <c r="AE9" s="149">
        <f>IFERROR(VLOOKUP(Z9,LISTS!$AL$2:$AM$1000,2,FALSE()),"")</f>
        <v>100</v>
      </c>
      <c r="AF9" s="151">
        <f>IFERROR(VLOOKUP(AA9,LISTS!$AO$2:$AP$1000,2,FALSE()),"")</f>
        <v>100</v>
      </c>
      <c r="AG9" s="152">
        <f>IFERROR(VLOOKUP(AB9,LISTS!$AR$2:$AS$1000,2,FALSE()),"")</f>
        <v>100</v>
      </c>
      <c r="AH9" s="154">
        <f>IFERROR(VLOOKUP(AC9,LISTS!$AU$2:$AV$1000,2,FALSE()),"")</f>
        <v>5</v>
      </c>
      <c r="AI9" s="238">
        <f t="shared" si="1"/>
        <v>95</v>
      </c>
      <c r="AJ9" s="190" t="str">
        <f t="shared" si="2"/>
        <v>⭐ ممتاز</v>
      </c>
      <c r="AK9" s="157">
        <f t="shared" si="3"/>
        <v>4</v>
      </c>
      <c r="AL9" s="160">
        <f t="shared" si="4"/>
        <v>2026</v>
      </c>
      <c r="AM9" s="203"/>
      <c r="AN9" s="200"/>
    </row>
    <row r="10" spans="1:40" ht="27.95" customHeight="1">
      <c r="A10" s="134">
        <f>IF(I10&lt;&gt;"",COUNTA($I$2:I10),"")</f>
        <v>9</v>
      </c>
      <c r="B10" s="138" t="str">
        <f t="shared" si="0"/>
        <v>الأربعاء</v>
      </c>
      <c r="C10" s="93" t="s">
        <v>8</v>
      </c>
      <c r="D10" s="141" t="str">
        <f>IF(AND(G10="",H10="",I10=""),"",IF(COUNTIFS(LISTS!$A$2:$A$67,G10,LISTS!$B$2:$B$67,H10,LISTS!$C$2:$C$67,I10)=0,"✗ هرم",IF(NOT(OR(Z10="ممتاز 100%",Z10="جيد 80%",Z10="مقبول 60%",Z10="خطر 40%",Z10="")),"✗ قائمة R",IF(NOT(OR(AA10="ممتاز 100%",AA10="جيد 85%",AA10="مقبول 70%",AA10="ضعيف 50%",AA10="")),"✗ قائمة S",IF(NOT(OR(AB10="مكتمل 100%",AB10="جزئي 60%",AB10="معلق 30%",AB10="مفتوح 0%",AB10="")),"✗ قائمة T",IF(NOT(OR(AC10="لا خصم 0",AC10="تأخير −5",AC10="عجز −10",AC10="جودة −15",AC10="امتثال −20",AC10="مخالفة −25",AC10="")),"✗ قائمة U",IF(AND(X10="لا",AC10&lt;&gt;"",AC10&lt;&gt;"لا خصم 0"),"✗ خصم",IF(AND(X10="نعم",AC10="لا خصم 0"),"✗ خصم",IF(AND(Z10="ممتاز 100%",AA10="ممتاز 100%",AB10&lt;&gt;"",AB10&lt;&gt;"مكتمل 100%"),"✗ إغلاق",IFERROR(IF(LEN(_xlfn.TEXTJOIN("، ",TRUE,IF(E10="","التاريخ",""),IF(F10="","الوقت",""),IF(G10="","المركز",""),IF(H10="","الدائرة",""),IF(I10="","القسم",""),IF(J10="","المسؤول",""),IF(K10="","نوع النشاط",""),IF(L10="","المشروع",""),IF(N10="","الممول",""),IF(V10="","الموضوع",""),IF(W10="","الملاحظة",""),IF(X10="","مشكلة",""),IF(Y10="","الإجراء",""),IF(Z10="","التنفيذ",""),IF(AA10="","الجودة",""),IF(AB10="","الإغلاق",""),IF(AC10="","الخصم",""),IF(AND(COUNTA($O10:$U10)&gt;0,O10=""),"مدير المشروع",""),IF(AND(COUNTA($O10:$U10)&gt;0,P10=""),"المستفيدين",""),IF(AND(COUNTA($O10:$U10)&gt;0,Q10=""),"المناطق",""),IF(AND(COUNTA($O10:$U10)&gt;0,R10=""),"الميزانية",""),IF(AND(COUNTA($O10:$U10)&gt;0,S10=""),"نسبة الجاهزية",""),IF(AND(COUNTA($O10:$U10)&gt;0,T10=""),"حالة الجاهزية",""),IF(AND(COUNTA($O10:$U10)&gt;0,U10=""),"التوصيات","")))&gt;0,"✗ ناقص: "&amp;_xlfn.TEXTJOIN("، ",TRUE,IF(E10="","التاريخ",""),IF(F10="","الوقت",""),IF(G10="","المركز",""),IF(H10="","الدائرة",""),IF(I10="","القسم",""),IF(J10="","المسؤول",""),IF(K10="","نوع النشاط",""),IF(L10="","المشروع",""),IF(N10="","الممول",""),IF(V10="","الموضوع",""),IF(W10="","الملاحظة",""),IF(X10="","مشكلة",""),IF(Y10="","الإجراء",""),IF(Z10="","التنفيذ",""),IF(AA10="","الجودة",""),IF(AB10="","الإغلاق",""),IF(AC10="","الخصم",""),IF(AND(COUNTA($O10:$U10)&gt;0,O10=""),"مدير المشروع",""),IF(AND(COUNTA($O10:$U10)&gt;0,P10=""),"المستفيدين",""),IF(AND(COUNTA($O10:$U10)&gt;0,Q10=""),"المناطق",""),IF(AND(COUNTA($O10:$U10)&gt;0,R10=""),"الميزانية",""),IF(AND(COUNTA($O10:$U10)&gt;0,S10=""),"نسبة الجاهزية",""),IF(AND(COUNTA($O10:$U10)&gt;0,T10=""),"حالة الجاهزية",""),IF(AND(COUNTA($O10:$U10)&gt;0,U10=""),"التوصيات","")),"✓"),"✓"))))))))))</f>
        <v>✗ هرم</v>
      </c>
      <c r="E10" s="235">
        <v>46120</v>
      </c>
      <c r="F10" s="236">
        <v>0.39583333333333331</v>
      </c>
      <c r="G10" s="90" t="s">
        <v>9</v>
      </c>
      <c r="H10" s="123" t="s">
        <v>102</v>
      </c>
      <c r="I10" s="89" t="s">
        <v>10</v>
      </c>
      <c r="J10" s="142"/>
      <c r="K10" s="90" t="s">
        <v>152</v>
      </c>
      <c r="L10" s="90" t="s">
        <v>136</v>
      </c>
      <c r="M10" s="90"/>
      <c r="N10" s="89"/>
      <c r="O10" s="200"/>
      <c r="P10" s="201"/>
      <c r="Q10" s="201"/>
      <c r="R10" s="237"/>
      <c r="S10" s="202"/>
      <c r="T10" s="200"/>
      <c r="U10" s="203"/>
      <c r="V10" s="89" t="s">
        <v>667</v>
      </c>
      <c r="W10" s="89" t="s">
        <v>668</v>
      </c>
      <c r="X10" s="145" t="s">
        <v>651</v>
      </c>
      <c r="Y10" s="89" t="s">
        <v>652</v>
      </c>
      <c r="Z10" s="90" t="s">
        <v>130</v>
      </c>
      <c r="AA10" s="90" t="s">
        <v>130</v>
      </c>
      <c r="AB10" s="90" t="s">
        <v>131</v>
      </c>
      <c r="AC10" s="90" t="s">
        <v>132</v>
      </c>
      <c r="AD10" s="91" t="s">
        <v>134</v>
      </c>
      <c r="AE10" s="149">
        <f>IFERROR(VLOOKUP(Z10,LISTS!$AL$2:$AM$1000,2,FALSE()),"")</f>
        <v>100</v>
      </c>
      <c r="AF10" s="151">
        <f>IFERROR(VLOOKUP(AA10,LISTS!$AO$2:$AP$1000,2,FALSE()),"")</f>
        <v>100</v>
      </c>
      <c r="AG10" s="152">
        <f>IFERROR(VLOOKUP(AB10,LISTS!$AR$2:$AS$1000,2,FALSE()),"")</f>
        <v>100</v>
      </c>
      <c r="AH10" s="154">
        <f>IFERROR(VLOOKUP(AC10,LISTS!$AU$2:$AV$1000,2,FALSE()),"")</f>
        <v>0</v>
      </c>
      <c r="AI10" s="238">
        <f t="shared" si="1"/>
        <v>100</v>
      </c>
      <c r="AJ10" s="190" t="str">
        <f t="shared" si="2"/>
        <v>🌟 ممتاز جدًا</v>
      </c>
      <c r="AK10" s="157">
        <f t="shared" si="3"/>
        <v>4</v>
      </c>
      <c r="AL10" s="160">
        <f t="shared" si="4"/>
        <v>2026</v>
      </c>
      <c r="AM10" s="203"/>
      <c r="AN10" s="200"/>
    </row>
    <row r="11" spans="1:40" ht="27.95" customHeight="1">
      <c r="A11" s="134">
        <f>IF(I11&lt;&gt;"",COUNTA($I$2:I11),"")</f>
        <v>10</v>
      </c>
      <c r="B11" s="138" t="str">
        <f t="shared" si="0"/>
        <v>الأربعاء</v>
      </c>
      <c r="C11" s="93" t="s">
        <v>12</v>
      </c>
      <c r="D11" s="141" t="str">
        <f>IF(AND(G11="",H11="",I11=""),"",IF(COUNTIFS(LISTS!$A$2:$A$67,G11,LISTS!$B$2:$B$67,H11,LISTS!$C$2:$C$67,I11)=0,"✗ هرم",IF(NOT(OR(Z11="ممتاز 100%",Z11="جيد 80%",Z11="مقبول 60%",Z11="خطر 40%",Z11="")),"✗ قائمة R",IF(NOT(OR(AA11="ممتاز 100%",AA11="جيد 85%",AA11="مقبول 70%",AA11="ضعيف 50%",AA11="")),"✗ قائمة S",IF(NOT(OR(AB11="مكتمل 100%",AB11="جزئي 60%",AB11="معلق 30%",AB11="مفتوح 0%",AB11="")),"✗ قائمة T",IF(NOT(OR(AC11="لا خصم 0",AC11="تأخير −5",AC11="عجز −10",AC11="جودة −15",AC11="امتثال −20",AC11="مخالفة −25",AC11="")),"✗ قائمة U",IF(AND(X11="لا",AC11&lt;&gt;"",AC11&lt;&gt;"لا خصم 0"),"✗ خصم",IF(AND(X11="نعم",AC11="لا خصم 0"),"✗ خصم",IF(AND(Z11="ممتاز 100%",AA11="ممتاز 100%",AB11&lt;&gt;"",AB11&lt;&gt;"مكتمل 100%"),"✗ إغلاق",IFERROR(IF(LEN(_xlfn.TEXTJOIN("، ",TRUE,IF(E11="","التاريخ",""),IF(F11="","الوقت",""),IF(G11="","المركز",""),IF(H11="","الدائرة",""),IF(I11="","القسم",""),IF(J11="","المسؤول",""),IF(K11="","نوع النشاط",""),IF(L11="","المشروع",""),IF(N11="","الممول",""),IF(V11="","الموضوع",""),IF(W11="","الملاحظة",""),IF(X11="","مشكلة",""),IF(Y11="","الإجراء",""),IF(Z11="","التنفيذ",""),IF(AA11="","الجودة",""),IF(AB11="","الإغلاق",""),IF(AC11="","الخصم",""),IF(AND(COUNTA($O11:$U11)&gt;0,O11=""),"مدير المشروع",""),IF(AND(COUNTA($O11:$U11)&gt;0,P11=""),"المستفيدين",""),IF(AND(COUNTA($O11:$U11)&gt;0,Q11=""),"المناطق",""),IF(AND(COUNTA($O11:$U11)&gt;0,R11=""),"الميزانية",""),IF(AND(COUNTA($O11:$U11)&gt;0,S11=""),"نسبة الجاهزية",""),IF(AND(COUNTA($O11:$U11)&gt;0,T11=""),"حالة الجاهزية",""),IF(AND(COUNTA($O11:$U11)&gt;0,U11=""),"التوصيات","")))&gt;0,"✗ ناقص: "&amp;_xlfn.TEXTJOIN("، ",TRUE,IF(E11="","التاريخ",""),IF(F11="","الوقت",""),IF(G11="","المركز",""),IF(H11="","الدائرة",""),IF(I11="","القسم",""),IF(J11="","المسؤول",""),IF(K11="","نوع النشاط",""),IF(L11="","المشروع",""),IF(N11="","الممول",""),IF(V11="","الموضوع",""),IF(W11="","الملاحظة",""),IF(X11="","مشكلة",""),IF(Y11="","الإجراء",""),IF(Z11="","التنفيذ",""),IF(AA11="","الجودة",""),IF(AB11="","الإغلاق",""),IF(AC11="","الخصم",""),IF(AND(COUNTA($O11:$U11)&gt;0,O11=""),"مدير المشروع",""),IF(AND(COUNTA($O11:$U11)&gt;0,P11=""),"المستفيدين",""),IF(AND(COUNTA($O11:$U11)&gt;0,Q11=""),"المناطق",""),IF(AND(COUNTA($O11:$U11)&gt;0,R11=""),"الميزانية",""),IF(AND(COUNTA($O11:$U11)&gt;0,S11=""),"نسبة الجاهزية",""),IF(AND(COUNTA($O11:$U11)&gt;0,T11=""),"حالة الجاهزية",""),IF(AND(COUNTA($O11:$U11)&gt;0,U11=""),"التوصيات","")),"✓"),"✓"))))))))))</f>
        <v>✗ هرم</v>
      </c>
      <c r="E11" s="235">
        <v>46120</v>
      </c>
      <c r="F11" s="236">
        <v>0.39583333333333331</v>
      </c>
      <c r="G11" s="90" t="s">
        <v>13</v>
      </c>
      <c r="H11" s="123" t="s">
        <v>102</v>
      </c>
      <c r="I11" s="89" t="s">
        <v>14</v>
      </c>
      <c r="J11" s="142"/>
      <c r="K11" s="90" t="s">
        <v>152</v>
      </c>
      <c r="L11" s="90" t="s">
        <v>136</v>
      </c>
      <c r="M11" s="90"/>
      <c r="N11" s="89"/>
      <c r="O11" s="200"/>
      <c r="P11" s="201"/>
      <c r="Q11" s="201"/>
      <c r="R11" s="237"/>
      <c r="S11" s="202"/>
      <c r="T11" s="200"/>
      <c r="U11" s="203"/>
      <c r="V11" s="89" t="s">
        <v>669</v>
      </c>
      <c r="W11" s="89" t="s">
        <v>668</v>
      </c>
      <c r="X11" s="145" t="s">
        <v>651</v>
      </c>
      <c r="Y11" s="89" t="s">
        <v>652</v>
      </c>
      <c r="Z11" s="90" t="s">
        <v>130</v>
      </c>
      <c r="AA11" s="90" t="s">
        <v>130</v>
      </c>
      <c r="AB11" s="90" t="s">
        <v>131</v>
      </c>
      <c r="AC11" s="90" t="s">
        <v>132</v>
      </c>
      <c r="AD11" s="92" t="s">
        <v>134</v>
      </c>
      <c r="AE11" s="149">
        <f>IFERROR(VLOOKUP(Z11,LISTS!$AL$2:$AM$1000,2,FALSE()),"")</f>
        <v>100</v>
      </c>
      <c r="AF11" s="151">
        <f>IFERROR(VLOOKUP(AA11,LISTS!$AO$2:$AP$1000,2,FALSE()),"")</f>
        <v>100</v>
      </c>
      <c r="AG11" s="152">
        <f>IFERROR(VLOOKUP(AB11,LISTS!$AR$2:$AS$1000,2,FALSE()),"")</f>
        <v>100</v>
      </c>
      <c r="AH11" s="154">
        <f>IFERROR(VLOOKUP(AC11,LISTS!$AU$2:$AV$1000,2,FALSE()),"")</f>
        <v>0</v>
      </c>
      <c r="AI11" s="238">
        <f t="shared" si="1"/>
        <v>100</v>
      </c>
      <c r="AJ11" s="190" t="str">
        <f t="shared" si="2"/>
        <v>🌟 ممتاز جدًا</v>
      </c>
      <c r="AK11" s="157">
        <f t="shared" si="3"/>
        <v>4</v>
      </c>
      <c r="AL11" s="160">
        <f t="shared" si="4"/>
        <v>2026</v>
      </c>
      <c r="AM11" s="203"/>
      <c r="AN11" s="200"/>
    </row>
    <row r="12" spans="1:40" ht="27.95" customHeight="1">
      <c r="A12" s="134">
        <f>IF(I12&lt;&gt;"",COUNTA($I$2:I12),"")</f>
        <v>11</v>
      </c>
      <c r="B12" s="138" t="str">
        <f t="shared" si="0"/>
        <v>الأربعاء</v>
      </c>
      <c r="C12" s="93" t="s">
        <v>16</v>
      </c>
      <c r="D12" s="141" t="str">
        <f>IF(AND(G12="",H12="",I12=""),"",IF(COUNTIFS(LISTS!$A$2:$A$67,G12,LISTS!$B$2:$B$67,H12,LISTS!$C$2:$C$67,I12)=0,"✗ هرم",IF(NOT(OR(Z12="ممتاز 100%",Z12="جيد 80%",Z12="مقبول 60%",Z12="خطر 40%",Z12="")),"✗ قائمة R",IF(NOT(OR(AA12="ممتاز 100%",AA12="جيد 85%",AA12="مقبول 70%",AA12="ضعيف 50%",AA12="")),"✗ قائمة S",IF(NOT(OR(AB12="مكتمل 100%",AB12="جزئي 60%",AB12="معلق 30%",AB12="مفتوح 0%",AB12="")),"✗ قائمة T",IF(NOT(OR(AC12="لا خصم 0",AC12="تأخير −5",AC12="عجز −10",AC12="جودة −15",AC12="امتثال −20",AC12="مخالفة −25",AC12="")),"✗ قائمة U",IF(AND(X12="لا",AC12&lt;&gt;"",AC12&lt;&gt;"لا خصم 0"),"✗ خصم",IF(AND(X12="نعم",AC12="لا خصم 0"),"✗ خصم",IF(AND(Z12="ممتاز 100%",AA12="ممتاز 100%",AB12&lt;&gt;"",AB12&lt;&gt;"مكتمل 100%"),"✗ إغلاق",IFERROR(IF(LEN(_xlfn.TEXTJOIN("، ",TRUE,IF(E12="","التاريخ",""),IF(F12="","الوقت",""),IF(G12="","المركز",""),IF(H12="","الدائرة",""),IF(I12="","القسم",""),IF(J12="","المسؤول",""),IF(K12="","نوع النشاط",""),IF(L12="","المشروع",""),IF(N12="","الممول",""),IF(V12="","الموضوع",""),IF(W12="","الملاحظة",""),IF(X12="","مشكلة",""),IF(Y12="","الإجراء",""),IF(Z12="","التنفيذ",""),IF(AA12="","الجودة",""),IF(AB12="","الإغلاق",""),IF(AC12="","الخصم",""),IF(AND(COUNTA($O12:$U12)&gt;0,O12=""),"مدير المشروع",""),IF(AND(COUNTA($O12:$U12)&gt;0,P12=""),"المستفيدين",""),IF(AND(COUNTA($O12:$U12)&gt;0,Q12=""),"المناطق",""),IF(AND(COUNTA($O12:$U12)&gt;0,R12=""),"الميزانية",""),IF(AND(COUNTA($O12:$U12)&gt;0,S12=""),"نسبة الجاهزية",""),IF(AND(COUNTA($O12:$U12)&gt;0,T12=""),"حالة الجاهزية",""),IF(AND(COUNTA($O12:$U12)&gt;0,U12=""),"التوصيات","")))&gt;0,"✗ ناقص: "&amp;_xlfn.TEXTJOIN("، ",TRUE,IF(E12="","التاريخ",""),IF(F12="","الوقت",""),IF(G12="","المركز",""),IF(H12="","الدائرة",""),IF(I12="","القسم",""),IF(J12="","المسؤول",""),IF(K12="","نوع النشاط",""),IF(L12="","المشروع",""),IF(N12="","الممول",""),IF(V12="","الموضوع",""),IF(W12="","الملاحظة",""),IF(X12="","مشكلة",""),IF(Y12="","الإجراء",""),IF(Z12="","التنفيذ",""),IF(AA12="","الجودة",""),IF(AB12="","الإغلاق",""),IF(AC12="","الخصم",""),IF(AND(COUNTA($O12:$U12)&gt;0,O12=""),"مدير المشروع",""),IF(AND(COUNTA($O12:$U12)&gt;0,P12=""),"المستفيدين",""),IF(AND(COUNTA($O12:$U12)&gt;0,Q12=""),"المناطق",""),IF(AND(COUNTA($O12:$U12)&gt;0,R12=""),"الميزانية",""),IF(AND(COUNTA($O12:$U12)&gt;0,S12=""),"نسبة الجاهزية",""),IF(AND(COUNTA($O12:$U12)&gt;0,T12=""),"حالة الجاهزية",""),IF(AND(COUNTA($O12:$U12)&gt;0,U12=""),"التوصيات","")),"✓"),"✓"))))))))))</f>
        <v>✗ هرم</v>
      </c>
      <c r="E12" s="235">
        <v>46120</v>
      </c>
      <c r="F12" s="236">
        <v>0.45833333333333331</v>
      </c>
      <c r="G12" s="90" t="s">
        <v>17</v>
      </c>
      <c r="H12" s="123" t="s">
        <v>103</v>
      </c>
      <c r="I12" s="89" t="s">
        <v>18</v>
      </c>
      <c r="J12" s="142" t="s">
        <v>254</v>
      </c>
      <c r="K12" s="90" t="s">
        <v>169</v>
      </c>
      <c r="L12" s="90"/>
      <c r="M12" s="90"/>
      <c r="N12" s="89"/>
      <c r="O12" s="200"/>
      <c r="P12" s="201"/>
      <c r="Q12" s="201"/>
      <c r="R12" s="237"/>
      <c r="S12" s="202"/>
      <c r="T12" s="200"/>
      <c r="U12" s="203"/>
      <c r="V12" s="89" t="s">
        <v>670</v>
      </c>
      <c r="W12" s="89" t="s">
        <v>671</v>
      </c>
      <c r="X12" s="145" t="s">
        <v>651</v>
      </c>
      <c r="Y12" s="89" t="s">
        <v>652</v>
      </c>
      <c r="Z12" s="90" t="s">
        <v>130</v>
      </c>
      <c r="AA12" s="90" t="s">
        <v>130</v>
      </c>
      <c r="AB12" s="90" t="s">
        <v>131</v>
      </c>
      <c r="AC12" s="90" t="s">
        <v>132</v>
      </c>
      <c r="AD12" s="91" t="s">
        <v>134</v>
      </c>
      <c r="AE12" s="149">
        <f>IFERROR(VLOOKUP(Z12,LISTS!$AL$2:$AM$1000,2,FALSE()),"")</f>
        <v>100</v>
      </c>
      <c r="AF12" s="151">
        <f>IFERROR(VLOOKUP(AA12,LISTS!$AO$2:$AP$1000,2,FALSE()),"")</f>
        <v>100</v>
      </c>
      <c r="AG12" s="152">
        <f>IFERROR(VLOOKUP(AB12,LISTS!$AR$2:$AS$1000,2,FALSE()),"")</f>
        <v>100</v>
      </c>
      <c r="AH12" s="154">
        <f>IFERROR(VLOOKUP(AC12,LISTS!$AU$2:$AV$1000,2,FALSE()),"")</f>
        <v>0</v>
      </c>
      <c r="AI12" s="238">
        <f t="shared" si="1"/>
        <v>100</v>
      </c>
      <c r="AJ12" s="190" t="str">
        <f t="shared" si="2"/>
        <v>🌟 ممتاز جدًا</v>
      </c>
      <c r="AK12" s="157">
        <f t="shared" si="3"/>
        <v>4</v>
      </c>
      <c r="AL12" s="160">
        <f t="shared" si="4"/>
        <v>2026</v>
      </c>
      <c r="AM12" s="203"/>
      <c r="AN12" s="200"/>
    </row>
    <row r="13" spans="1:40" ht="27.95" customHeight="1">
      <c r="A13" s="134">
        <f>IF(I13&lt;&gt;"",COUNTA($I$2:I13),"")</f>
        <v>12</v>
      </c>
      <c r="B13" s="138" t="str">
        <f t="shared" si="0"/>
        <v>الخميس</v>
      </c>
      <c r="C13" s="93" t="s">
        <v>20</v>
      </c>
      <c r="D13" s="141" t="str">
        <f>IF(AND(G13="",H13="",I13=""),"",IF(COUNTIFS(LISTS!$A$2:$A$67,G13,LISTS!$B$2:$B$67,H13,LISTS!$C$2:$C$67,I13)=0,"✗ هرم",IF(NOT(OR(Z13="ممتاز 100%",Z13="جيد 80%",Z13="مقبول 60%",Z13="خطر 40%",Z13="")),"✗ قائمة R",IF(NOT(OR(AA13="ممتاز 100%",AA13="جيد 85%",AA13="مقبول 70%",AA13="ضعيف 50%",AA13="")),"✗ قائمة S",IF(NOT(OR(AB13="مكتمل 100%",AB13="جزئي 60%",AB13="معلق 30%",AB13="مفتوح 0%",AB13="")),"✗ قائمة T",IF(NOT(OR(AC13="لا خصم 0",AC13="تأخير −5",AC13="عجز −10",AC13="جودة −15",AC13="امتثال −20",AC13="مخالفة −25",AC13="")),"✗ قائمة U",IF(AND(X13="لا",AC13&lt;&gt;"",AC13&lt;&gt;"لا خصم 0"),"✗ خصم",IF(AND(X13="نعم",AC13="لا خصم 0"),"✗ خصم",IF(AND(Z13="ممتاز 100%",AA13="ممتاز 100%",AB13&lt;&gt;"",AB13&lt;&gt;"مكتمل 100%"),"✗ إغلاق",IFERROR(IF(LEN(_xlfn.TEXTJOIN("، ",TRUE,IF(E13="","التاريخ",""),IF(F13="","الوقت",""),IF(G13="","المركز",""),IF(H13="","الدائرة",""),IF(I13="","القسم",""),IF(J13="","المسؤول",""),IF(K13="","نوع النشاط",""),IF(L13="","المشروع",""),IF(N13="","الممول",""),IF(V13="","الموضوع",""),IF(W13="","الملاحظة",""),IF(X13="","مشكلة",""),IF(Y13="","الإجراء",""),IF(Z13="","التنفيذ",""),IF(AA13="","الجودة",""),IF(AB13="","الإغلاق",""),IF(AC13="","الخصم",""),IF(AND(COUNTA($O13:$U13)&gt;0,O13=""),"مدير المشروع",""),IF(AND(COUNTA($O13:$U13)&gt;0,P13=""),"المستفيدين",""),IF(AND(COUNTA($O13:$U13)&gt;0,Q13=""),"المناطق",""),IF(AND(COUNTA($O13:$U13)&gt;0,R13=""),"الميزانية",""),IF(AND(COUNTA($O13:$U13)&gt;0,S13=""),"نسبة الجاهزية",""),IF(AND(COUNTA($O13:$U13)&gt;0,T13=""),"حالة الجاهزية",""),IF(AND(COUNTA($O13:$U13)&gt;0,U13=""),"التوصيات","")))&gt;0,"✗ ناقص: "&amp;_xlfn.TEXTJOIN("، ",TRUE,IF(E13="","التاريخ",""),IF(F13="","الوقت",""),IF(G13="","المركز",""),IF(H13="","الدائرة",""),IF(I13="","القسم",""),IF(J13="","المسؤول",""),IF(K13="","نوع النشاط",""),IF(L13="","المشروع",""),IF(N13="","الممول",""),IF(V13="","الموضوع",""),IF(W13="","الملاحظة",""),IF(X13="","مشكلة",""),IF(Y13="","الإجراء",""),IF(Z13="","التنفيذ",""),IF(AA13="","الجودة",""),IF(AB13="","الإغلاق",""),IF(AC13="","الخصم",""),IF(AND(COUNTA($O13:$U13)&gt;0,O13=""),"مدير المشروع",""),IF(AND(COUNTA($O13:$U13)&gt;0,P13=""),"المستفيدين",""),IF(AND(COUNTA($O13:$U13)&gt;0,Q13=""),"المناطق",""),IF(AND(COUNTA($O13:$U13)&gt;0,R13=""),"الميزانية",""),IF(AND(COUNTA($O13:$U13)&gt;0,S13=""),"نسبة الجاهزية",""),IF(AND(COUNTA($O13:$U13)&gt;0,T13=""),"حالة الجاهزية",""),IF(AND(COUNTA($O13:$U13)&gt;0,U13=""),"التوصيات","")),"✓"),"✓"))))))))))</f>
        <v>✗ هرم</v>
      </c>
      <c r="E13" s="235">
        <v>46121</v>
      </c>
      <c r="F13" s="236">
        <v>0.5</v>
      </c>
      <c r="G13" s="90" t="s">
        <v>97</v>
      </c>
      <c r="H13" s="123" t="s">
        <v>103</v>
      </c>
      <c r="I13" s="89" t="s">
        <v>22</v>
      </c>
      <c r="J13" s="142" t="s">
        <v>254</v>
      </c>
      <c r="K13" s="90" t="s">
        <v>169</v>
      </c>
      <c r="L13" s="90"/>
      <c r="M13" s="90"/>
      <c r="N13" s="89"/>
      <c r="O13" s="200"/>
      <c r="P13" s="219"/>
      <c r="Q13" s="201"/>
      <c r="R13" s="237"/>
      <c r="S13" s="202"/>
      <c r="T13" s="200"/>
      <c r="U13" s="203"/>
      <c r="V13" s="89" t="s">
        <v>672</v>
      </c>
      <c r="W13" s="89" t="s">
        <v>673</v>
      </c>
      <c r="X13" s="145" t="s">
        <v>651</v>
      </c>
      <c r="Y13" s="89" t="s">
        <v>652</v>
      </c>
      <c r="Z13" s="90" t="s">
        <v>130</v>
      </c>
      <c r="AA13" s="90" t="s">
        <v>130</v>
      </c>
      <c r="AB13" s="90" t="s">
        <v>131</v>
      </c>
      <c r="AC13" s="90" t="s">
        <v>132</v>
      </c>
      <c r="AD13" s="92" t="s">
        <v>134</v>
      </c>
      <c r="AE13" s="149">
        <f>IFERROR(VLOOKUP(Z13,LISTS!$AL$2:$AM$1000,2,FALSE()),"")</f>
        <v>100</v>
      </c>
      <c r="AF13" s="151">
        <f>IFERROR(VLOOKUP(AA13,LISTS!$AO$2:$AP$1000,2,FALSE()),"")</f>
        <v>100</v>
      </c>
      <c r="AG13" s="152">
        <f>IFERROR(VLOOKUP(AB13,LISTS!$AR$2:$AS$1000,2,FALSE()),"")</f>
        <v>100</v>
      </c>
      <c r="AH13" s="154">
        <f>IFERROR(VLOOKUP(AC13,LISTS!$AU$2:$AV$1000,2,FALSE()),"")</f>
        <v>0</v>
      </c>
      <c r="AI13" s="238">
        <f t="shared" si="1"/>
        <v>100</v>
      </c>
      <c r="AJ13" s="190" t="str">
        <f t="shared" si="2"/>
        <v>🌟 ممتاز جدًا</v>
      </c>
      <c r="AK13" s="157">
        <f t="shared" si="3"/>
        <v>4</v>
      </c>
      <c r="AL13" s="160">
        <f t="shared" si="4"/>
        <v>2026</v>
      </c>
      <c r="AM13" s="203"/>
      <c r="AN13" s="200"/>
    </row>
    <row r="14" spans="1:40" ht="27.95" customHeight="1">
      <c r="A14" s="134">
        <f>IF(I14&lt;&gt;"",COUNTA($I$2:I14),"")</f>
        <v>13</v>
      </c>
      <c r="B14" s="138" t="str">
        <f t="shared" si="0"/>
        <v>الخميس</v>
      </c>
      <c r="C14" s="93" t="str">
        <f t="array" ref="C14">IF(E14="","",IF(M14&lt;&gt;"",
M14&amp;"/"&amp;SUMPRODUCT((M$2:M14=M14)*1)&amp;" - "&amp;(ROW()-2),
"إداري/"&amp;SUMPRODUCT((M$2:M14="")*1)&amp;" - "&amp;(ROW()-2)))</f>
        <v>إداري/13 - 12</v>
      </c>
      <c r="D14" s="141" t="str">
        <f>IF(AND(G14="",H14="",I14=""),"",IF(COUNTIFS(LISTS!$A$2:$A$67,G14,LISTS!$B$2:$B$67,H14,LISTS!$C$2:$C$67,I14)=0,"✗ هرم",IF(NOT(OR(Z14="ممتاز 100%",Z14="جيد 80%",Z14="مقبول 60%",Z14="خطر 40%",Z14="")),"✗ قائمة R",IF(NOT(OR(AA14="ممتاز 100%",AA14="جيد 85%",AA14="مقبول 70%",AA14="ضعيف 50%",AA14="")),"✗ قائمة S",IF(NOT(OR(AB14="مكتمل 100%",AB14="جزئي 60%",AB14="معلق 30%",AB14="مفتوح 0%",AB14="")),"✗ قائمة T",IF(NOT(OR(AC14="لا خصم 0",AC14="تأخير −5",AC14="عجز −10",AC14="جودة −15",AC14="امتثال −20",AC14="مخالفة −25",AC14="")),"✗ قائمة U",IF(AND(X14="لا",AC14&lt;&gt;"",AC14&lt;&gt;"لا خصم 0"),"✗ خصم",IF(AND(X14="نعم",AC14="لا خصم 0"),"✗ خصم",IF(AND(Z14="ممتاز 100%",AA14="ممتاز 100%",AB14&lt;&gt;"",AB14&lt;&gt;"مكتمل 100%"),"✗ إغلاق",IFERROR(IF(LEN(_xlfn.TEXTJOIN("، ",TRUE,IF(E14="","التاريخ",""),IF(F14="","الوقت",""),IF(G14="","المركز",""),IF(H14="","الدائرة",""),IF(I14="","القسم",""),IF(J14="","المسؤول",""),IF(K14="","نوع النشاط",""),IF(L14="","المشروع",""),IF(N14="","الممول",""),IF(V14="","الموضوع",""),IF(W14="","الملاحظة",""),IF(X14="","مشكلة",""),IF(Y14="","الإجراء",""),IF(Z14="","التنفيذ",""),IF(AA14="","الجودة",""),IF(AB14="","الإغلاق",""),IF(AC14="","الخصم",""),IF(AND(COUNTA($O14:$U14)&gt;0,O14=""),"مدير المشروع",""),IF(AND(COUNTA($O14:$U14)&gt;0,P14=""),"المستفيدين",""),IF(AND(COUNTA($O14:$U14)&gt;0,Q14=""),"المناطق",""),IF(AND(COUNTA($O14:$U14)&gt;0,R14=""),"الميزانية",""),IF(AND(COUNTA($O14:$U14)&gt;0,S14=""),"نسبة الجاهزية",""),IF(AND(COUNTA($O14:$U14)&gt;0,T14=""),"حالة الجاهزية",""),IF(AND(COUNTA($O14:$U14)&gt;0,U14=""),"التوصيات","")))&gt;0,"✗ ناقص: "&amp;_xlfn.TEXTJOIN("، ",TRUE,IF(E14="","التاريخ",""),IF(F14="","الوقت",""),IF(G14="","المركز",""),IF(H14="","الدائرة",""),IF(I14="","القسم",""),IF(J14="","المسؤول",""),IF(K14="","نوع النشاط",""),IF(L14="","المشروع",""),IF(N14="","الممول",""),IF(V14="","الموضوع",""),IF(W14="","الملاحظة",""),IF(X14="","مشكلة",""),IF(Y14="","الإجراء",""),IF(Z14="","التنفيذ",""),IF(AA14="","الجودة",""),IF(AB14="","الإغلاق",""),IF(AC14="","الخصم",""),IF(AND(COUNTA($O14:$U14)&gt;0,O14=""),"مدير المشروع",""),IF(AND(COUNTA($O14:$U14)&gt;0,P14=""),"المستفيدين",""),IF(AND(COUNTA($O14:$U14)&gt;0,Q14=""),"المناطق",""),IF(AND(COUNTA($O14:$U14)&gt;0,R14=""),"الميزانية",""),IF(AND(COUNTA($O14:$U14)&gt;0,S14=""),"نسبة الجاهزية",""),IF(AND(COUNTA($O14:$U14)&gt;0,T14=""),"حالة الجاهزية",""),IF(AND(COUNTA($O14:$U14)&gt;0,U14=""),"التوصيات","")),"✓"),"✓"))))))))))</f>
        <v>✗ ناقص: الممول</v>
      </c>
      <c r="E14" s="235">
        <v>46121</v>
      </c>
      <c r="F14" s="236">
        <v>0.5</v>
      </c>
      <c r="G14" s="90" t="s">
        <v>97</v>
      </c>
      <c r="H14" s="123" t="s">
        <v>104</v>
      </c>
      <c r="I14" s="89" t="s">
        <v>177</v>
      </c>
      <c r="J14" s="142" t="s">
        <v>223</v>
      </c>
      <c r="K14" s="90" t="s">
        <v>133</v>
      </c>
      <c r="L14" s="90" t="s">
        <v>369</v>
      </c>
      <c r="M14" s="90"/>
      <c r="N14" s="89"/>
      <c r="O14" s="200"/>
      <c r="P14" s="201"/>
      <c r="Q14" s="201"/>
      <c r="R14" s="237"/>
      <c r="S14" s="202"/>
      <c r="T14" s="200"/>
      <c r="U14" s="203"/>
      <c r="V14" s="89" t="s">
        <v>674</v>
      </c>
      <c r="W14" s="89" t="s">
        <v>675</v>
      </c>
      <c r="X14" s="145" t="s">
        <v>651</v>
      </c>
      <c r="Y14" s="89" t="s">
        <v>652</v>
      </c>
      <c r="Z14" s="90" t="s">
        <v>130</v>
      </c>
      <c r="AA14" s="90" t="s">
        <v>130</v>
      </c>
      <c r="AB14" s="90" t="s">
        <v>131</v>
      </c>
      <c r="AC14" s="90" t="s">
        <v>132</v>
      </c>
      <c r="AD14" s="91" t="s">
        <v>134</v>
      </c>
      <c r="AE14" s="149">
        <f>IFERROR(VLOOKUP(Z14,LISTS!$AL$2:$AM$1000,2,FALSE()),"")</f>
        <v>100</v>
      </c>
      <c r="AF14" s="151">
        <f>IFERROR(VLOOKUP(AA14,LISTS!$AO$2:$AP$1000,2,FALSE()),"")</f>
        <v>100</v>
      </c>
      <c r="AG14" s="152">
        <f>IFERROR(VLOOKUP(AB14,LISTS!$AR$2:$AS$1000,2,FALSE()),"")</f>
        <v>100</v>
      </c>
      <c r="AH14" s="154">
        <f>IFERROR(VLOOKUP(AC14,LISTS!$AU$2:$AV$1000,2,FALSE()),"")</f>
        <v>0</v>
      </c>
      <c r="AI14" s="238">
        <f t="shared" si="1"/>
        <v>100</v>
      </c>
      <c r="AJ14" s="190" t="str">
        <f t="shared" si="2"/>
        <v>🌟 ممتاز جدًا</v>
      </c>
      <c r="AK14" s="157">
        <f t="shared" si="3"/>
        <v>4</v>
      </c>
      <c r="AL14" s="160">
        <f t="shared" si="4"/>
        <v>2026</v>
      </c>
      <c r="AM14" s="203"/>
      <c r="AN14" s="200"/>
    </row>
    <row r="15" spans="1:40" ht="27.95" customHeight="1">
      <c r="A15" s="134">
        <f>IF(I15&lt;&gt;"",COUNTA($I$2:I15),"")</f>
        <v>14</v>
      </c>
      <c r="B15" s="138" t="str">
        <f t="shared" si="0"/>
        <v>السبت</v>
      </c>
      <c r="C15" s="93" t="str">
        <f t="array" ref="C15">IF(E15="","",IF(M15&lt;&gt;"",
M15&amp;"/"&amp;SUMPRODUCT((M$2:M15=M15)*1)&amp;" - "&amp;(ROW()-2),
"إداري/"&amp;SUMPRODUCT((M$2:M15="")*1)&amp;" - "&amp;(ROW()-2)))</f>
        <v>إداري/14 - 13</v>
      </c>
      <c r="D15" s="141" t="str">
        <f>IF(AND(G15="",H15="",I15=""),"",IF(COUNTIFS(LISTS!$A$2:$A$67,G15,LISTS!$B$2:$B$67,H15,LISTS!$C$2:$C$67,I15)=0,"✗ هرم",IF(NOT(OR(Z15="ممتاز 100%",Z15="جيد 80%",Z15="مقبول 60%",Z15="خطر 40%",Z15="")),"✗ قائمة R",IF(NOT(OR(AA15="ممتاز 100%",AA15="جيد 85%",AA15="مقبول 70%",AA15="ضعيف 50%",AA15="")),"✗ قائمة S",IF(NOT(OR(AB15="مكتمل 100%",AB15="جزئي 60%",AB15="معلق 30%",AB15="مفتوح 0%",AB15="")),"✗ قائمة T",IF(NOT(OR(AC15="لا خصم 0",AC15="تأخير −5",AC15="عجز −10",AC15="جودة −15",AC15="امتثال −20",AC15="مخالفة −25",AC15="")),"✗ قائمة U",IF(AND(X15="لا",AC15&lt;&gt;"",AC15&lt;&gt;"لا خصم 0"),"✗ خصم",IF(AND(X15="نعم",AC15="لا خصم 0"),"✗ خصم",IF(AND(Z15="ممتاز 100%",AA15="ممتاز 100%",AB15&lt;&gt;"",AB15&lt;&gt;"مكتمل 100%"),"✗ إغلاق",IFERROR(IF(LEN(_xlfn.TEXTJOIN("، ",TRUE,IF(E15="","التاريخ",""),IF(F15="","الوقت",""),IF(G15="","المركز",""),IF(H15="","الدائرة",""),IF(I15="","القسم",""),IF(J15="","المسؤول",""),IF(K15="","نوع النشاط",""),IF(L15="","المشروع",""),IF(N15="","الممول",""),IF(V15="","الموضوع",""),IF(W15="","الملاحظة",""),IF(X15="","مشكلة",""),IF(Y15="","الإجراء",""),IF(Z15="","التنفيذ",""),IF(AA15="","الجودة",""),IF(AB15="","الإغلاق",""),IF(AC15="","الخصم",""),IF(AND(COUNTA($O15:$U15)&gt;0,O15=""),"مدير المشروع",""),IF(AND(COUNTA($O15:$U15)&gt;0,P15=""),"المستفيدين",""),IF(AND(COUNTA($O15:$U15)&gt;0,Q15=""),"المناطق",""),IF(AND(COUNTA($O15:$U15)&gt;0,R15=""),"الميزانية",""),IF(AND(COUNTA($O15:$U15)&gt;0,S15=""),"نسبة الجاهزية",""),IF(AND(COUNTA($O15:$U15)&gt;0,T15=""),"حالة الجاهزية",""),IF(AND(COUNTA($O15:$U15)&gt;0,U15=""),"التوصيات","")))&gt;0,"✗ ناقص: "&amp;_xlfn.TEXTJOIN("، ",TRUE,IF(E15="","التاريخ",""),IF(F15="","الوقت",""),IF(G15="","المركز",""),IF(H15="","الدائرة",""),IF(I15="","القسم",""),IF(J15="","المسؤول",""),IF(K15="","نوع النشاط",""),IF(L15="","المشروع",""),IF(N15="","الممول",""),IF(V15="","الموضوع",""),IF(W15="","الملاحظة",""),IF(X15="","مشكلة",""),IF(Y15="","الإجراء",""),IF(Z15="","التنفيذ",""),IF(AA15="","الجودة",""),IF(AB15="","الإغلاق",""),IF(AC15="","الخصم",""),IF(AND(COUNTA($O15:$U15)&gt;0,O15=""),"مدير المشروع",""),IF(AND(COUNTA($O15:$U15)&gt;0,P15=""),"المستفيدين",""),IF(AND(COUNTA($O15:$U15)&gt;0,Q15=""),"المناطق",""),IF(AND(COUNTA($O15:$U15)&gt;0,R15=""),"الميزانية",""),IF(AND(COUNTA($O15:$U15)&gt;0,S15=""),"نسبة الجاهزية",""),IF(AND(COUNTA($O15:$U15)&gt;0,T15=""),"حالة الجاهزية",""),IF(AND(COUNTA($O15:$U15)&gt;0,U15=""),"التوصيات","")),"✓"),"✓"))))))))))</f>
        <v>✗ ناقص: المسؤول، المشروع، الممول</v>
      </c>
      <c r="E15" s="235">
        <v>46123</v>
      </c>
      <c r="F15" s="236">
        <v>0.45833333333333331</v>
      </c>
      <c r="G15" s="90" t="s">
        <v>98</v>
      </c>
      <c r="H15" s="123" t="s">
        <v>106</v>
      </c>
      <c r="I15" s="89" t="s">
        <v>204</v>
      </c>
      <c r="J15" s="142"/>
      <c r="K15" s="90" t="s">
        <v>133</v>
      </c>
      <c r="L15" s="90"/>
      <c r="M15" s="90"/>
      <c r="N15" s="89"/>
      <c r="O15" s="200"/>
      <c r="P15" s="201"/>
      <c r="Q15" s="201"/>
      <c r="R15" s="237"/>
      <c r="S15" s="202"/>
      <c r="T15" s="200"/>
      <c r="U15" s="203"/>
      <c r="V15" s="89" t="s">
        <v>676</v>
      </c>
      <c r="W15" s="89" t="s">
        <v>677</v>
      </c>
      <c r="X15" s="145" t="s">
        <v>651</v>
      </c>
      <c r="Y15" s="89" t="s">
        <v>652</v>
      </c>
      <c r="Z15" s="90" t="s">
        <v>130</v>
      </c>
      <c r="AA15" s="90" t="s">
        <v>130</v>
      </c>
      <c r="AB15" s="90" t="s">
        <v>131</v>
      </c>
      <c r="AC15" s="90" t="s">
        <v>132</v>
      </c>
      <c r="AD15" s="92" t="s">
        <v>134</v>
      </c>
      <c r="AE15" s="149">
        <f>IFERROR(VLOOKUP(Z15,LISTS!$AL$2:$AM$1000,2,FALSE()),"")</f>
        <v>100</v>
      </c>
      <c r="AF15" s="151">
        <f>IFERROR(VLOOKUP(AA15,LISTS!$AO$2:$AP$1000,2,FALSE()),"")</f>
        <v>100</v>
      </c>
      <c r="AG15" s="152">
        <f>IFERROR(VLOOKUP(AB15,LISTS!$AR$2:$AS$1000,2,FALSE()),"")</f>
        <v>100</v>
      </c>
      <c r="AH15" s="154">
        <f>IFERROR(VLOOKUP(AC15,LISTS!$AU$2:$AV$1000,2,FALSE()),"")</f>
        <v>0</v>
      </c>
      <c r="AI15" s="238">
        <f t="shared" si="1"/>
        <v>100</v>
      </c>
      <c r="AJ15" s="190" t="str">
        <f t="shared" si="2"/>
        <v>🌟 ممتاز جدًا</v>
      </c>
      <c r="AK15" s="157">
        <f t="shared" si="3"/>
        <v>4</v>
      </c>
      <c r="AL15" s="160">
        <f t="shared" si="4"/>
        <v>2026</v>
      </c>
      <c r="AM15" s="203"/>
      <c r="AN15" s="200"/>
    </row>
    <row r="16" spans="1:40" ht="27.95" customHeight="1">
      <c r="A16" s="134">
        <f>IF(I16&lt;&gt;"",COUNTA($I$2:I16),"")</f>
        <v>15</v>
      </c>
      <c r="B16" s="138" t="str">
        <f t="shared" si="0"/>
        <v>السبت</v>
      </c>
      <c r="C16" s="93" t="s">
        <v>26</v>
      </c>
      <c r="D16" s="141" t="str">
        <f>IF(AND(G16="",H16="",I16=""),"",IF(COUNTIFS(LISTS!$A$2:$A$67,G16,LISTS!$B$2:$B$67,H16,LISTS!$C$2:$C$67,I16)=0,"✗ هرم",IF(NOT(OR(Z16="ممتاز 100%",Z16="جيد 80%",Z16="مقبول 60%",Z16="خطر 40%",Z16="")),"✗ قائمة R",IF(NOT(OR(AA16="ممتاز 100%",AA16="جيد 85%",AA16="مقبول 70%",AA16="ضعيف 50%",AA16="")),"✗ قائمة S",IF(NOT(OR(AB16="مكتمل 100%",AB16="جزئي 60%",AB16="معلق 30%",AB16="مفتوح 0%",AB16="")),"✗ قائمة T",IF(NOT(OR(AC16="لا خصم 0",AC16="تأخير −5",AC16="عجز −10",AC16="جودة −15",AC16="امتثال −20",AC16="مخالفة −25",AC16="")),"✗ قائمة U",IF(AND(X16="لا",AC16&lt;&gt;"",AC16&lt;&gt;"لا خصم 0"),"✗ خصم",IF(AND(X16="نعم",AC16="لا خصم 0"),"✗ خصم",IF(AND(Z16="ممتاز 100%",AA16="ممتاز 100%",AB16&lt;&gt;"",AB16&lt;&gt;"مكتمل 100%"),"✗ إغلاق",IFERROR(IF(LEN(_xlfn.TEXTJOIN("، ",TRUE,IF(E16="","التاريخ",""),IF(F16="","الوقت",""),IF(G16="","المركز",""),IF(H16="","الدائرة",""),IF(I16="","القسم",""),IF(J16="","المسؤول",""),IF(K16="","نوع النشاط",""),IF(L16="","المشروع",""),IF(N16="","الممول",""),IF(V16="","الموضوع",""),IF(W16="","الملاحظة",""),IF(X16="","مشكلة",""),IF(Y16="","الإجراء",""),IF(Z16="","التنفيذ",""),IF(AA16="","الجودة",""),IF(AB16="","الإغلاق",""),IF(AC16="","الخصم",""),IF(AND(COUNTA($O16:$U16)&gt;0,O16=""),"مدير المشروع",""),IF(AND(COUNTA($O16:$U16)&gt;0,P16=""),"المستفيدين",""),IF(AND(COUNTA($O16:$U16)&gt;0,Q16=""),"المناطق",""),IF(AND(COUNTA($O16:$U16)&gt;0,R16=""),"الميزانية",""),IF(AND(COUNTA($O16:$U16)&gt;0,S16=""),"نسبة الجاهزية",""),IF(AND(COUNTA($O16:$U16)&gt;0,T16=""),"حالة الجاهزية",""),IF(AND(COUNTA($O16:$U16)&gt;0,U16=""),"التوصيات","")))&gt;0,"✗ ناقص: "&amp;_xlfn.TEXTJOIN("، ",TRUE,IF(E16="","التاريخ",""),IF(F16="","الوقت",""),IF(G16="","المركز",""),IF(H16="","الدائرة",""),IF(I16="","القسم",""),IF(J16="","المسؤول",""),IF(K16="","نوع النشاط",""),IF(L16="","المشروع",""),IF(N16="","الممول",""),IF(V16="","الموضوع",""),IF(W16="","الملاحظة",""),IF(X16="","مشكلة",""),IF(Y16="","الإجراء",""),IF(Z16="","التنفيذ",""),IF(AA16="","الجودة",""),IF(AB16="","الإغلاق",""),IF(AC16="","الخصم",""),IF(AND(COUNTA($O16:$U16)&gt;0,O16=""),"مدير المشروع",""),IF(AND(COUNTA($O16:$U16)&gt;0,P16=""),"المستفيدين",""),IF(AND(COUNTA($O16:$U16)&gt;0,Q16=""),"المناطق",""),IF(AND(COUNTA($O16:$U16)&gt;0,R16=""),"الميزانية",""),IF(AND(COUNTA($O16:$U16)&gt;0,S16=""),"نسبة الجاهزية",""),IF(AND(COUNTA($O16:$U16)&gt;0,T16=""),"حالة الجاهزية",""),IF(AND(COUNTA($O16:$U16)&gt;0,U16=""),"التوصيات","")),"✓"),"✓"))))))))))</f>
        <v>✗ هرم</v>
      </c>
      <c r="E16" s="235">
        <v>46123</v>
      </c>
      <c r="F16" s="236">
        <v>0.86111111111111116</v>
      </c>
      <c r="G16" s="90" t="s">
        <v>97</v>
      </c>
      <c r="H16" s="123" t="s">
        <v>100</v>
      </c>
      <c r="I16" s="89" t="s">
        <v>28</v>
      </c>
      <c r="J16" s="142"/>
      <c r="K16" s="90" t="s">
        <v>152</v>
      </c>
      <c r="L16" s="90"/>
      <c r="M16" s="90"/>
      <c r="N16" s="89"/>
      <c r="O16" s="200"/>
      <c r="P16" s="201"/>
      <c r="Q16" s="201"/>
      <c r="R16" s="237"/>
      <c r="S16" s="202"/>
      <c r="T16" s="200"/>
      <c r="U16" s="203"/>
      <c r="V16" s="89" t="s">
        <v>678</v>
      </c>
      <c r="W16" s="89" t="s">
        <v>679</v>
      </c>
      <c r="X16" s="145" t="s">
        <v>651</v>
      </c>
      <c r="Y16" s="89" t="s">
        <v>652</v>
      </c>
      <c r="Z16" s="90" t="s">
        <v>130</v>
      </c>
      <c r="AA16" s="90" t="s">
        <v>130</v>
      </c>
      <c r="AB16" s="90" t="s">
        <v>131</v>
      </c>
      <c r="AC16" s="90" t="s">
        <v>132</v>
      </c>
      <c r="AD16" s="91" t="s">
        <v>134</v>
      </c>
      <c r="AE16" s="149">
        <f>IFERROR(VLOOKUP(Z16,LISTS!$AL$2:$AM$1000,2,FALSE()),"")</f>
        <v>100</v>
      </c>
      <c r="AF16" s="151">
        <f>IFERROR(VLOOKUP(AA16,LISTS!$AO$2:$AP$1000,2,FALSE()),"")</f>
        <v>100</v>
      </c>
      <c r="AG16" s="152">
        <f>IFERROR(VLOOKUP(AB16,LISTS!$AR$2:$AS$1000,2,FALSE()),"")</f>
        <v>100</v>
      </c>
      <c r="AH16" s="154">
        <f>IFERROR(VLOOKUP(AC16,LISTS!$AU$2:$AV$1000,2,FALSE()),"")</f>
        <v>0</v>
      </c>
      <c r="AI16" s="238">
        <f t="shared" si="1"/>
        <v>100</v>
      </c>
      <c r="AJ16" s="190" t="str">
        <f t="shared" si="2"/>
        <v>🌟 ممتاز جدًا</v>
      </c>
      <c r="AK16" s="157">
        <f t="shared" si="3"/>
        <v>4</v>
      </c>
      <c r="AL16" s="160">
        <f t="shared" si="4"/>
        <v>2026</v>
      </c>
      <c r="AM16" s="203"/>
      <c r="AN16" s="200"/>
    </row>
    <row r="17" spans="1:40" ht="27.95" customHeight="1">
      <c r="A17" s="134">
        <f>IF(I17&lt;&gt;"",COUNTA($I$2:I17),"")</f>
        <v>16</v>
      </c>
      <c r="B17" s="138" t="str">
        <f t="shared" si="0"/>
        <v>السبت</v>
      </c>
      <c r="C17" s="93" t="str">
        <f t="array" ref="C17">IF(E17="","",IF(M17&lt;&gt;"",
M17&amp;"/"&amp;SUMPRODUCT((M$2:M17=M17)*1)&amp;" - "&amp;(ROW()-2),
"إداري/"&amp;SUMPRODUCT((M$2:M17="")*1)&amp;" - "&amp;(ROW()-2)))</f>
        <v>إداري/16 - 15</v>
      </c>
      <c r="D17" s="141" t="str">
        <f>IF(AND(G17="",H17="",I17=""),"",IF(COUNTIFS(LISTS!$A$2:$A$67,G17,LISTS!$B$2:$B$67,H17,LISTS!$C$2:$C$67,I17)=0,"✗ هرم",IF(NOT(OR(Z17="ممتاز 100%",Z17="جيد 80%",Z17="مقبول 60%",Z17="خطر 40%",Z17="")),"✗ قائمة R",IF(NOT(OR(AA17="ممتاز 100%",AA17="جيد 85%",AA17="مقبول 70%",AA17="ضعيف 50%",AA17="")),"✗ قائمة S",IF(NOT(OR(AB17="مكتمل 100%",AB17="جزئي 60%",AB17="معلق 30%",AB17="مفتوح 0%",AB17="")),"✗ قائمة T",IF(NOT(OR(AC17="لا خصم 0",AC17="تأخير −5",AC17="عجز −10",AC17="جودة −15",AC17="امتثال −20",AC17="مخالفة −25",AC17="")),"✗ قائمة U",IF(AND(X17="لا",AC17&lt;&gt;"",AC17&lt;&gt;"لا خصم 0"),"✗ خصم",IF(AND(X17="نعم",AC17="لا خصم 0"),"✗ خصم",IF(AND(Z17="ممتاز 100%",AA17="ممتاز 100%",AB17&lt;&gt;"",AB17&lt;&gt;"مكتمل 100%"),"✗ إغلاق",IFERROR(IF(LEN(_xlfn.TEXTJOIN("، ",TRUE,IF(E17="","التاريخ",""),IF(F17="","الوقت",""),IF(G17="","المركز",""),IF(H17="","الدائرة",""),IF(I17="","القسم",""),IF(J17="","المسؤول",""),IF(K17="","نوع النشاط",""),IF(L17="","المشروع",""),IF(N17="","الممول",""),IF(V17="","الموضوع",""),IF(W17="","الملاحظة",""),IF(X17="","مشكلة",""),IF(Y17="","الإجراء",""),IF(Z17="","التنفيذ",""),IF(AA17="","الجودة",""),IF(AB17="","الإغلاق",""),IF(AC17="","الخصم",""),IF(AND(COUNTA($O17:$U17)&gt;0,O17=""),"مدير المشروع",""),IF(AND(COUNTA($O17:$U17)&gt;0,P17=""),"المستفيدين",""),IF(AND(COUNTA($O17:$U17)&gt;0,Q17=""),"المناطق",""),IF(AND(COUNTA($O17:$U17)&gt;0,R17=""),"الميزانية",""),IF(AND(COUNTA($O17:$U17)&gt;0,S17=""),"نسبة الجاهزية",""),IF(AND(COUNTA($O17:$U17)&gt;0,T17=""),"حالة الجاهزية",""),IF(AND(COUNTA($O17:$U17)&gt;0,U17=""),"التوصيات","")))&gt;0,"✗ ناقص: "&amp;_xlfn.TEXTJOIN("، ",TRUE,IF(E17="","التاريخ",""),IF(F17="","الوقت",""),IF(G17="","المركز",""),IF(H17="","الدائرة",""),IF(I17="","القسم",""),IF(J17="","المسؤول",""),IF(K17="","نوع النشاط",""),IF(L17="","المشروع",""),IF(N17="","الممول",""),IF(V17="","الموضوع",""),IF(W17="","الملاحظة",""),IF(X17="","مشكلة",""),IF(Y17="","الإجراء",""),IF(Z17="","التنفيذ",""),IF(AA17="","الجودة",""),IF(AB17="","الإغلاق",""),IF(AC17="","الخصم",""),IF(AND(COUNTA($O17:$U17)&gt;0,O17=""),"مدير المشروع",""),IF(AND(COUNTA($O17:$U17)&gt;0,P17=""),"المستفيدين",""),IF(AND(COUNTA($O17:$U17)&gt;0,Q17=""),"المناطق",""),IF(AND(COUNTA($O17:$U17)&gt;0,R17=""),"الميزانية",""),IF(AND(COUNTA($O17:$U17)&gt;0,S17=""),"نسبة الجاهزية",""),IF(AND(COUNTA($O17:$U17)&gt;0,T17=""),"حالة الجاهزية",""),IF(AND(COUNTA($O17:$U17)&gt;0,U17=""),"التوصيات","")),"✓"),"✓"))))))))))</f>
        <v>✗ هرم</v>
      </c>
      <c r="E17" s="235">
        <v>46123</v>
      </c>
      <c r="F17" s="236">
        <v>0.875</v>
      </c>
      <c r="G17" s="90" t="s">
        <v>31</v>
      </c>
      <c r="H17" s="123" t="s">
        <v>100</v>
      </c>
      <c r="I17" s="89" t="s">
        <v>32</v>
      </c>
      <c r="J17" s="142"/>
      <c r="K17" s="90" t="s">
        <v>152</v>
      </c>
      <c r="L17" s="90"/>
      <c r="M17" s="90"/>
      <c r="N17" s="89"/>
      <c r="O17" s="200"/>
      <c r="P17" s="201"/>
      <c r="Q17" s="201"/>
      <c r="R17" s="237"/>
      <c r="S17" s="202"/>
      <c r="T17" s="200"/>
      <c r="U17" s="203"/>
      <c r="V17" s="89" t="s">
        <v>680</v>
      </c>
      <c r="W17" s="89" t="s">
        <v>681</v>
      </c>
      <c r="X17" s="145" t="s">
        <v>647</v>
      </c>
      <c r="Y17" s="89" t="s">
        <v>682</v>
      </c>
      <c r="Z17" s="90" t="s">
        <v>181</v>
      </c>
      <c r="AA17" s="90" t="s">
        <v>182</v>
      </c>
      <c r="AB17" s="90" t="s">
        <v>150</v>
      </c>
      <c r="AC17" s="90" t="s">
        <v>151</v>
      </c>
      <c r="AD17" s="92" t="s">
        <v>134</v>
      </c>
      <c r="AE17" s="149">
        <f>IFERROR(VLOOKUP(Z17,LISTS!$AL$2:$AM$1000,2,FALSE()),"")</f>
        <v>40</v>
      </c>
      <c r="AF17" s="151">
        <f>IFERROR(VLOOKUP(AA17,LISTS!$AO$2:$AP$1000,2,FALSE()),"")</f>
        <v>50</v>
      </c>
      <c r="AG17" s="152">
        <f>IFERROR(VLOOKUP(AB17,LISTS!$AR$2:$AS$1000,2,FALSE()),"")</f>
        <v>30</v>
      </c>
      <c r="AH17" s="154">
        <f>IFERROR(VLOOKUP(AC17,LISTS!$AU$2:$AV$1000,2,FALSE()),"")</f>
        <v>25</v>
      </c>
      <c r="AI17" s="238">
        <f t="shared" si="1"/>
        <v>15</v>
      </c>
      <c r="AJ17" s="190" t="str">
        <f t="shared" si="2"/>
        <v>🚨 خطر شديد</v>
      </c>
      <c r="AK17" s="157">
        <f t="shared" si="3"/>
        <v>4</v>
      </c>
      <c r="AL17" s="160">
        <f t="shared" si="4"/>
        <v>2026</v>
      </c>
      <c r="AM17" s="203"/>
      <c r="AN17" s="200"/>
    </row>
    <row r="18" spans="1:40" ht="27.95" customHeight="1">
      <c r="A18" s="134" t="s">
        <v>33</v>
      </c>
      <c r="B18" s="138" t="str">
        <f t="shared" si="0"/>
        <v>السبت</v>
      </c>
      <c r="C18" s="93" t="s">
        <v>20</v>
      </c>
      <c r="D18" s="141" t="str">
        <f>IF(AND(G18="",H18="",I18=""),"",IF(COUNTIFS(LISTS!$A$2:$A$67,G18,LISTS!$B$2:$B$67,H18,LISTS!$C$2:$C$67,I18)=0,"✗ هرم",IF(NOT(OR(Z18="ممتاز 100%",Z18="جيد 80%",Z18="مقبول 60%",Z18="خطر 40%",Z18="")),"✗ قائمة R",IF(NOT(OR(AA18="ممتاز 100%",AA18="جيد 85%",AA18="مقبول 70%",AA18="ضعيف 50%",AA18="")),"✗ قائمة S",IF(NOT(OR(AB18="مكتمل 100%",AB18="جزئي 60%",AB18="معلق 30%",AB18="مفتوح 0%",AB18="")),"✗ قائمة T",IF(NOT(OR(AC18="لا خصم 0",AC18="تأخير −5",AC18="عجز −10",AC18="جودة −15",AC18="امتثال −20",AC18="مخالفة −25",AC18="")),"✗ قائمة U",IF(AND(X18="لا",AC18&lt;&gt;"",AC18&lt;&gt;"لا خصم 0"),"✗ خصم",IF(AND(X18="نعم",AC18="لا خصم 0"),"✗ خصم",IF(AND(Z18="ممتاز 100%",AA18="ممتاز 100%",AB18&lt;&gt;"",AB18&lt;&gt;"مكتمل 100%"),"✗ إغلاق",IFERROR(IF(LEN(_xlfn.TEXTJOIN("، ",TRUE,IF(E18="","التاريخ",""),IF(F18="","الوقت",""),IF(G18="","المركز",""),IF(H18="","الدائرة",""),IF(I18="","القسم",""),IF(J18="","المسؤول",""),IF(K18="","نوع النشاط",""),IF(L18="","المشروع",""),IF(N18="","الممول",""),IF(V18="","الموضوع",""),IF(W18="","الملاحظة",""),IF(X18="","مشكلة",""),IF(Y18="","الإجراء",""),IF(Z18="","التنفيذ",""),IF(AA18="","الجودة",""),IF(AB18="","الإغلاق",""),IF(AC18="","الخصم",""),IF(AND(COUNTA($O18:$U18)&gt;0,O18=""),"مدير المشروع",""),IF(AND(COUNTA($O18:$U18)&gt;0,P18=""),"المستفيدين",""),IF(AND(COUNTA($O18:$U18)&gt;0,Q18=""),"المناطق",""),IF(AND(COUNTA($O18:$U18)&gt;0,R18=""),"الميزانية",""),IF(AND(COUNTA($O18:$U18)&gt;0,S18=""),"نسبة الجاهزية",""),IF(AND(COUNTA($O18:$U18)&gt;0,T18=""),"حالة الجاهزية",""),IF(AND(COUNTA($O18:$U18)&gt;0,U18=""),"التوصيات","")))&gt;0,"✗ ناقص: "&amp;_xlfn.TEXTJOIN("، ",TRUE,IF(E18="","التاريخ",""),IF(F18="","الوقت",""),IF(G18="","المركز",""),IF(H18="","الدائرة",""),IF(I18="","القسم",""),IF(J18="","المسؤول",""),IF(K18="","نوع النشاط",""),IF(L18="","المشروع",""),IF(N18="","الممول",""),IF(V18="","الموضوع",""),IF(W18="","الملاحظة",""),IF(X18="","مشكلة",""),IF(Y18="","الإجراء",""),IF(Z18="","التنفيذ",""),IF(AA18="","الجودة",""),IF(AB18="","الإغلاق",""),IF(AC18="","الخصم",""),IF(AND(COUNTA($O18:$U18)&gt;0,O18=""),"مدير المشروع",""),IF(AND(COUNTA($O18:$U18)&gt;0,P18=""),"المستفيدين",""),IF(AND(COUNTA($O18:$U18)&gt;0,Q18=""),"المناطق",""),IF(AND(COUNTA($O18:$U18)&gt;0,R18=""),"الميزانية",""),IF(AND(COUNTA($O18:$U18)&gt;0,S18=""),"نسبة الجاهزية",""),IF(AND(COUNTA($O18:$U18)&gt;0,T18=""),"حالة الجاهزية",""),IF(AND(COUNTA($O18:$U18)&gt;0,U18=""),"التوصيات","")),"✓"),"✓"))))))))))</f>
        <v>✗ هرم</v>
      </c>
      <c r="E18" s="235">
        <v>46123</v>
      </c>
      <c r="F18" s="236">
        <v>0.83333333333333337</v>
      </c>
      <c r="G18" s="90" t="s">
        <v>97</v>
      </c>
      <c r="H18" s="123" t="s">
        <v>104</v>
      </c>
      <c r="I18" s="89" t="s">
        <v>35</v>
      </c>
      <c r="J18" s="142" t="s">
        <v>223</v>
      </c>
      <c r="K18" s="90" t="s">
        <v>152</v>
      </c>
      <c r="L18" s="90"/>
      <c r="M18" s="90"/>
      <c r="N18" s="89"/>
      <c r="O18" s="200"/>
      <c r="P18" s="201"/>
      <c r="Q18" s="201"/>
      <c r="R18" s="237"/>
      <c r="S18" s="202"/>
      <c r="T18" s="200"/>
      <c r="U18" s="203"/>
      <c r="V18" s="89" t="s">
        <v>683</v>
      </c>
      <c r="W18" s="89" t="s">
        <v>684</v>
      </c>
      <c r="X18" s="145" t="s">
        <v>647</v>
      </c>
      <c r="Y18" s="89" t="s">
        <v>666</v>
      </c>
      <c r="Z18" s="90" t="s">
        <v>148</v>
      </c>
      <c r="AA18" s="90" t="s">
        <v>166</v>
      </c>
      <c r="AB18" s="90" t="s">
        <v>150</v>
      </c>
      <c r="AC18" s="90" t="s">
        <v>168</v>
      </c>
      <c r="AD18" s="91" t="s">
        <v>134</v>
      </c>
      <c r="AE18" s="149">
        <f>IFERROR(VLOOKUP(Z18,LISTS!$AL$2:$AM$1000,2,FALSE()),"")</f>
        <v>60</v>
      </c>
      <c r="AF18" s="151">
        <f>IFERROR(VLOOKUP(AA18,LISTS!$AO$2:$AP$1000,2,FALSE()),"")</f>
        <v>70</v>
      </c>
      <c r="AG18" s="152">
        <f>IFERROR(VLOOKUP(AB18,LISTS!$AR$2:$AS$1000,2,FALSE()),"")</f>
        <v>30</v>
      </c>
      <c r="AH18" s="154">
        <f>IFERROR(VLOOKUP(AC18,LISTS!$AU$2:$AV$1000,2,FALSE()),"")</f>
        <v>20</v>
      </c>
      <c r="AI18" s="238">
        <f t="shared" si="1"/>
        <v>34</v>
      </c>
      <c r="AJ18" s="190" t="str">
        <f t="shared" si="2"/>
        <v>🚨 خطر شديد</v>
      </c>
      <c r="AK18" s="157">
        <f t="shared" si="3"/>
        <v>4</v>
      </c>
      <c r="AL18" s="160">
        <f t="shared" si="4"/>
        <v>2026</v>
      </c>
      <c r="AM18" s="203"/>
      <c r="AN18" s="200"/>
    </row>
    <row r="19" spans="1:40" ht="27.95" customHeight="1">
      <c r="A19" s="134">
        <f>IF(I19&lt;&gt;"",COUNTA($I$2:I19),"")</f>
        <v>18</v>
      </c>
      <c r="B19" s="138" t="str">
        <f t="shared" si="0"/>
        <v>السبت</v>
      </c>
      <c r="C19" s="93" t="str">
        <f t="array" ref="C19">IF(E19="","",IF(M19&lt;&gt;"",
M19&amp;"/"&amp;SUMPRODUCT((M$2:M19=M19)*1)&amp;" - "&amp;(ROW()-2),
"إداري/"&amp;SUMPRODUCT((M$2:M19="")*1)&amp;" - "&amp;(ROW()-2)))</f>
        <v>إداري/18 - 17</v>
      </c>
      <c r="D19" s="141" t="str">
        <f>IF(AND(G19="",H19="",I19=""),"",IF(COUNTIFS(LISTS!$A$2:$A$67,G19,LISTS!$B$2:$B$67,H19,LISTS!$C$2:$C$67,I19)=0,"✗ هرم",IF(NOT(OR(Z19="ممتاز 100%",Z19="جيد 80%",Z19="مقبول 60%",Z19="خطر 40%",Z19="")),"✗ قائمة R",IF(NOT(OR(AA19="ممتاز 100%",AA19="جيد 85%",AA19="مقبول 70%",AA19="ضعيف 50%",AA19="")),"✗ قائمة S",IF(NOT(OR(AB19="مكتمل 100%",AB19="جزئي 60%",AB19="معلق 30%",AB19="مفتوح 0%",AB19="")),"✗ قائمة T",IF(NOT(OR(AC19="لا خصم 0",AC19="تأخير −5",AC19="عجز −10",AC19="جودة −15",AC19="امتثال −20",AC19="مخالفة −25",AC19="")),"✗ قائمة U",IF(AND(X19="لا",AC19&lt;&gt;"",AC19&lt;&gt;"لا خصم 0"),"✗ خصم",IF(AND(X19="نعم",AC19="لا خصم 0"),"✗ خصم",IF(AND(Z19="ممتاز 100%",AA19="ممتاز 100%",AB19&lt;&gt;"",AB19&lt;&gt;"مكتمل 100%"),"✗ إغلاق",IFERROR(IF(LEN(_xlfn.TEXTJOIN("، ",TRUE,IF(E19="","التاريخ",""),IF(F19="","الوقت",""),IF(G19="","المركز",""),IF(H19="","الدائرة",""),IF(I19="","القسم",""),IF(J19="","المسؤول",""),IF(K19="","نوع النشاط",""),IF(L19="","المشروع",""),IF(N19="","الممول",""),IF(V19="","الموضوع",""),IF(W19="","الملاحظة",""),IF(X19="","مشكلة",""),IF(Y19="","الإجراء",""),IF(Z19="","التنفيذ",""),IF(AA19="","الجودة",""),IF(AB19="","الإغلاق",""),IF(AC19="","الخصم",""),IF(AND(COUNTA($O19:$U19)&gt;0,O19=""),"مدير المشروع",""),IF(AND(COUNTA($O19:$U19)&gt;0,P19=""),"المستفيدين",""),IF(AND(COUNTA($O19:$U19)&gt;0,Q19=""),"المناطق",""),IF(AND(COUNTA($O19:$U19)&gt;0,R19=""),"الميزانية",""),IF(AND(COUNTA($O19:$U19)&gt;0,S19=""),"نسبة الجاهزية",""),IF(AND(COUNTA($O19:$U19)&gt;0,T19=""),"حالة الجاهزية",""),IF(AND(COUNTA($O19:$U19)&gt;0,U19=""),"التوصيات","")))&gt;0,"✗ ناقص: "&amp;_xlfn.TEXTJOIN("، ",TRUE,IF(E19="","التاريخ",""),IF(F19="","الوقت",""),IF(G19="","المركز",""),IF(H19="","الدائرة",""),IF(I19="","القسم",""),IF(J19="","المسؤول",""),IF(K19="","نوع النشاط",""),IF(L19="","المشروع",""),IF(N19="","الممول",""),IF(V19="","الموضوع",""),IF(W19="","الملاحظة",""),IF(X19="","مشكلة",""),IF(Y19="","الإجراء",""),IF(Z19="","التنفيذ",""),IF(AA19="","الجودة",""),IF(AB19="","الإغلاق",""),IF(AC19="","الخصم",""),IF(AND(COUNTA($O19:$U19)&gt;0,O19=""),"مدير المشروع",""),IF(AND(COUNTA($O19:$U19)&gt;0,P19=""),"المستفيدين",""),IF(AND(COUNTA($O19:$U19)&gt;0,Q19=""),"المناطق",""),IF(AND(COUNTA($O19:$U19)&gt;0,R19=""),"الميزانية",""),IF(AND(COUNTA($O19:$U19)&gt;0,S19=""),"نسبة الجاهزية",""),IF(AND(COUNTA($O19:$U19)&gt;0,T19=""),"حالة الجاهزية",""),IF(AND(COUNTA($O19:$U19)&gt;0,U19=""),"التوصيات","")),"✓"),"✓"))))))))))</f>
        <v>✗ هرم</v>
      </c>
      <c r="E19" s="235">
        <v>46123</v>
      </c>
      <c r="F19" s="236">
        <v>0.4375</v>
      </c>
      <c r="G19" s="90" t="s">
        <v>97</v>
      </c>
      <c r="H19" s="123" t="s">
        <v>102</v>
      </c>
      <c r="I19" s="89" t="s">
        <v>39</v>
      </c>
      <c r="J19" s="142" t="s">
        <v>154</v>
      </c>
      <c r="K19" s="90" t="s">
        <v>116</v>
      </c>
      <c r="L19" s="90" t="s">
        <v>351</v>
      </c>
      <c r="M19" s="90"/>
      <c r="N19" s="89"/>
      <c r="O19" s="200"/>
      <c r="P19" s="201"/>
      <c r="Q19" s="201"/>
      <c r="R19" s="237"/>
      <c r="S19" s="202"/>
      <c r="T19" s="200"/>
      <c r="U19" s="203"/>
      <c r="V19" s="89" t="s">
        <v>685</v>
      </c>
      <c r="W19" s="89" t="s">
        <v>686</v>
      </c>
      <c r="X19" s="145" t="s">
        <v>651</v>
      </c>
      <c r="Y19" s="89" t="s">
        <v>652</v>
      </c>
      <c r="Z19" s="90" t="s">
        <v>130</v>
      </c>
      <c r="AA19" s="90" t="s">
        <v>130</v>
      </c>
      <c r="AB19" s="90" t="s">
        <v>131</v>
      </c>
      <c r="AC19" s="90" t="s">
        <v>132</v>
      </c>
      <c r="AD19" s="92" t="s">
        <v>26</v>
      </c>
      <c r="AE19" s="149">
        <f>IFERROR(VLOOKUP(Z19,LISTS!$AL$2:$AM$1000,2,FALSE()),"")</f>
        <v>100</v>
      </c>
      <c r="AF19" s="151">
        <f>IFERROR(VLOOKUP(AA19,LISTS!$AO$2:$AP$1000,2,FALSE()),"")</f>
        <v>100</v>
      </c>
      <c r="AG19" s="152">
        <f>IFERROR(VLOOKUP(AB19,LISTS!$AR$2:$AS$1000,2,FALSE()),"")</f>
        <v>100</v>
      </c>
      <c r="AH19" s="154">
        <f>IFERROR(VLOOKUP(AC19,LISTS!$AU$2:$AV$1000,2,FALSE()),"")</f>
        <v>0</v>
      </c>
      <c r="AI19" s="238">
        <f t="shared" si="1"/>
        <v>100</v>
      </c>
      <c r="AJ19" s="190" t="str">
        <f t="shared" si="2"/>
        <v>🌟 ممتاز جدًا</v>
      </c>
      <c r="AK19" s="157">
        <f t="shared" si="3"/>
        <v>4</v>
      </c>
      <c r="AL19" s="160">
        <f t="shared" si="4"/>
        <v>2026</v>
      </c>
      <c r="AM19" s="203"/>
      <c r="AN19" s="200"/>
    </row>
    <row r="20" spans="1:40" ht="27.95" customHeight="1">
      <c r="A20" s="134">
        <f>IF(I20&lt;&gt;"",COUNTA($I$2:I20),"")</f>
        <v>19</v>
      </c>
      <c r="B20" s="138" t="str">
        <f t="shared" si="0"/>
        <v>السبت</v>
      </c>
      <c r="C20" s="93" t="str">
        <f t="array" ref="C20">IF(E20="","",IF(M20&lt;&gt;"",
M20&amp;"/"&amp;SUMPRODUCT((M$2:M20=M20)*1)&amp;" - "&amp;(ROW()-2),
"إداري/"&amp;SUMPRODUCT((M$2:M20="")*1)&amp;" - "&amp;(ROW()-2)))</f>
        <v>إداري/19 - 18</v>
      </c>
      <c r="D20" s="141" t="str">
        <f>IF(AND(G20="",H20="",I20=""),"",IF(COUNTIFS(LISTS!$A$2:$A$67,G20,LISTS!$B$2:$B$67,H20,LISTS!$C$2:$C$67,I20)=0,"✗ هرم",IF(NOT(OR(Z20="ممتاز 100%",Z20="جيد 80%",Z20="مقبول 60%",Z20="خطر 40%",Z20="")),"✗ قائمة R",IF(NOT(OR(AA20="ممتاز 100%",AA20="جيد 85%",AA20="مقبول 70%",AA20="ضعيف 50%",AA20="")),"✗ قائمة S",IF(NOT(OR(AB20="مكتمل 100%",AB20="جزئي 60%",AB20="معلق 30%",AB20="مفتوح 0%",AB20="")),"✗ قائمة T",IF(NOT(OR(AC20="لا خصم 0",AC20="تأخير −5",AC20="عجز −10",AC20="جودة −15",AC20="امتثال −20",AC20="مخالفة −25",AC20="")),"✗ قائمة U",IF(AND(X20="لا",AC20&lt;&gt;"",AC20&lt;&gt;"لا خصم 0"),"✗ خصم",IF(AND(X20="نعم",AC20="لا خصم 0"),"✗ خصم",IF(AND(Z20="ممتاز 100%",AA20="ممتاز 100%",AB20&lt;&gt;"",AB20&lt;&gt;"مكتمل 100%"),"✗ إغلاق",IFERROR(IF(LEN(_xlfn.TEXTJOIN("، ",TRUE,IF(E20="","التاريخ",""),IF(F20="","الوقت",""),IF(G20="","المركز",""),IF(H20="","الدائرة",""),IF(I20="","القسم",""),IF(J20="","المسؤول",""),IF(K20="","نوع النشاط",""),IF(L20="","المشروع",""),IF(N20="","الممول",""),IF(V20="","الموضوع",""),IF(W20="","الملاحظة",""),IF(X20="","مشكلة",""),IF(Y20="","الإجراء",""),IF(Z20="","التنفيذ",""),IF(AA20="","الجودة",""),IF(AB20="","الإغلاق",""),IF(AC20="","الخصم",""),IF(AND(COUNTA($O20:$U20)&gt;0,O20=""),"مدير المشروع",""),IF(AND(COUNTA($O20:$U20)&gt;0,P20=""),"المستفيدين",""),IF(AND(COUNTA($O20:$U20)&gt;0,Q20=""),"المناطق",""),IF(AND(COUNTA($O20:$U20)&gt;0,R20=""),"الميزانية",""),IF(AND(COUNTA($O20:$U20)&gt;0,S20=""),"نسبة الجاهزية",""),IF(AND(COUNTA($O20:$U20)&gt;0,T20=""),"حالة الجاهزية",""),IF(AND(COUNTA($O20:$U20)&gt;0,U20=""),"التوصيات","")))&gt;0,"✗ ناقص: "&amp;_xlfn.TEXTJOIN("، ",TRUE,IF(E20="","التاريخ",""),IF(F20="","الوقت",""),IF(G20="","المركز",""),IF(H20="","الدائرة",""),IF(I20="","القسم",""),IF(J20="","المسؤول",""),IF(K20="","نوع النشاط",""),IF(L20="","المشروع",""),IF(N20="","الممول",""),IF(V20="","الموضوع",""),IF(W20="","الملاحظة",""),IF(X20="","مشكلة",""),IF(Y20="","الإجراء",""),IF(Z20="","التنفيذ",""),IF(AA20="","الجودة",""),IF(AB20="","الإغلاق",""),IF(AC20="","الخصم",""),IF(AND(COUNTA($O20:$U20)&gt;0,O20=""),"مدير المشروع",""),IF(AND(COUNTA($O20:$U20)&gt;0,P20=""),"المستفيدين",""),IF(AND(COUNTA($O20:$U20)&gt;0,Q20=""),"المناطق",""),IF(AND(COUNTA($O20:$U20)&gt;0,R20=""),"الميزانية",""),IF(AND(COUNTA($O20:$U20)&gt;0,S20=""),"نسبة الجاهزية",""),IF(AND(COUNTA($O20:$U20)&gt;0,T20=""),"حالة الجاهزية",""),IF(AND(COUNTA($O20:$U20)&gt;0,U20=""),"التوصيات","")),"✓"),"✓"))))))))))</f>
        <v>✗ ناقص: المسؤول</v>
      </c>
      <c r="E20" s="235">
        <v>46123</v>
      </c>
      <c r="F20" s="236">
        <v>0.54166666666666663</v>
      </c>
      <c r="G20" s="90" t="s">
        <v>97</v>
      </c>
      <c r="H20" s="123" t="s">
        <v>102</v>
      </c>
      <c r="I20" s="89" t="s">
        <v>142</v>
      </c>
      <c r="J20" s="142"/>
      <c r="K20" s="90" t="s">
        <v>116</v>
      </c>
      <c r="L20" s="90" t="s">
        <v>118</v>
      </c>
      <c r="M20" s="90"/>
      <c r="N20" s="89" t="s">
        <v>120</v>
      </c>
      <c r="O20" s="200"/>
      <c r="P20" s="201"/>
      <c r="Q20" s="201"/>
      <c r="R20" s="237"/>
      <c r="S20" s="202"/>
      <c r="T20" s="200"/>
      <c r="U20" s="203"/>
      <c r="V20" s="89" t="s">
        <v>687</v>
      </c>
      <c r="W20" s="89" t="s">
        <v>688</v>
      </c>
      <c r="X20" s="145" t="s">
        <v>651</v>
      </c>
      <c r="Y20" s="89" t="s">
        <v>652</v>
      </c>
      <c r="Z20" s="90" t="s">
        <v>130</v>
      </c>
      <c r="AA20" s="90" t="s">
        <v>130</v>
      </c>
      <c r="AB20" s="90" t="s">
        <v>131</v>
      </c>
      <c r="AC20" s="90" t="s">
        <v>132</v>
      </c>
      <c r="AD20" s="91" t="s">
        <v>26</v>
      </c>
      <c r="AE20" s="149">
        <f>IFERROR(VLOOKUP(Z20,LISTS!$AL$2:$AM$1000,2,FALSE()),"")</f>
        <v>100</v>
      </c>
      <c r="AF20" s="151">
        <f>IFERROR(VLOOKUP(AA20,LISTS!$AO$2:$AP$1000,2,FALSE()),"")</f>
        <v>100</v>
      </c>
      <c r="AG20" s="152">
        <f>IFERROR(VLOOKUP(AB20,LISTS!$AR$2:$AS$1000,2,FALSE()),"")</f>
        <v>100</v>
      </c>
      <c r="AH20" s="154">
        <f>IFERROR(VLOOKUP(AC20,LISTS!$AU$2:$AV$1000,2,FALSE()),"")</f>
        <v>0</v>
      </c>
      <c r="AI20" s="238">
        <f t="shared" si="1"/>
        <v>100</v>
      </c>
      <c r="AJ20" s="190" t="str">
        <f t="shared" si="2"/>
        <v>🌟 ممتاز جدًا</v>
      </c>
      <c r="AK20" s="157">
        <f t="shared" si="3"/>
        <v>4</v>
      </c>
      <c r="AL20" s="160">
        <f t="shared" si="4"/>
        <v>2026</v>
      </c>
      <c r="AM20" s="203"/>
      <c r="AN20" s="200"/>
    </row>
    <row r="21" spans="1:40" ht="27.95" customHeight="1">
      <c r="A21" s="134">
        <f>IF(I21&lt;&gt;"",COUNTA($I$2:I21),"")</f>
        <v>20</v>
      </c>
      <c r="B21" s="138" t="str">
        <f t="shared" si="0"/>
        <v>السبت</v>
      </c>
      <c r="C21" s="93" t="str">
        <f t="array" ref="C21">IF(E21="","",IF(M21&lt;&gt;"",
M21&amp;"/"&amp;SUMPRODUCT((M$2:M21=M21)*1)&amp;" - "&amp;(ROW()-2),
"إداري/"&amp;SUMPRODUCT((M$2:M21="")*1)&amp;" - "&amp;(ROW()-2)))</f>
        <v>إداري/20 - 19</v>
      </c>
      <c r="D21" s="141" t="str">
        <f>IF(AND(G21="",H21="",I21=""),"",IF(COUNTIFS(LISTS!$A$2:$A$67,G21,LISTS!$B$2:$B$67,H21,LISTS!$C$2:$C$67,I21)=0,"✗ هرم",IF(NOT(OR(Z21="ممتاز 100%",Z21="جيد 80%",Z21="مقبول 60%",Z21="خطر 40%",Z21="")),"✗ قائمة R",IF(NOT(OR(AA21="ممتاز 100%",AA21="جيد 85%",AA21="مقبول 70%",AA21="ضعيف 50%",AA21="")),"✗ قائمة S",IF(NOT(OR(AB21="مكتمل 100%",AB21="جزئي 60%",AB21="معلق 30%",AB21="مفتوح 0%",AB21="")),"✗ قائمة T",IF(NOT(OR(AC21="لا خصم 0",AC21="تأخير −5",AC21="عجز −10",AC21="جودة −15",AC21="امتثال −20",AC21="مخالفة −25",AC21="")),"✗ قائمة U",IF(AND(X21="لا",AC21&lt;&gt;"",AC21&lt;&gt;"لا خصم 0"),"✗ خصم",IF(AND(X21="نعم",AC21="لا خصم 0"),"✗ خصم",IF(AND(Z21="ممتاز 100%",AA21="ممتاز 100%",AB21&lt;&gt;"",AB21&lt;&gt;"مكتمل 100%"),"✗ إغلاق",IFERROR(IF(LEN(_xlfn.TEXTJOIN("، ",TRUE,IF(E21="","التاريخ",""),IF(F21="","الوقت",""),IF(G21="","المركز",""),IF(H21="","الدائرة",""),IF(I21="","القسم",""),IF(J21="","المسؤول",""),IF(K21="","نوع النشاط",""),IF(L21="","المشروع",""),IF(N21="","الممول",""),IF(V21="","الموضوع",""),IF(W21="","الملاحظة",""),IF(X21="","مشكلة",""),IF(Y21="","الإجراء",""),IF(Z21="","التنفيذ",""),IF(AA21="","الجودة",""),IF(AB21="","الإغلاق",""),IF(AC21="","الخصم",""),IF(AND(COUNTA($O21:$U21)&gt;0,O21=""),"مدير المشروع",""),IF(AND(COUNTA($O21:$U21)&gt;0,P21=""),"المستفيدين",""),IF(AND(COUNTA($O21:$U21)&gt;0,Q21=""),"المناطق",""),IF(AND(COUNTA($O21:$U21)&gt;0,R21=""),"الميزانية",""),IF(AND(COUNTA($O21:$U21)&gt;0,S21=""),"نسبة الجاهزية",""),IF(AND(COUNTA($O21:$U21)&gt;0,T21=""),"حالة الجاهزية",""),IF(AND(COUNTA($O21:$U21)&gt;0,U21=""),"التوصيات","")))&gt;0,"✗ ناقص: "&amp;_xlfn.TEXTJOIN("، ",TRUE,IF(E21="","التاريخ",""),IF(F21="","الوقت",""),IF(G21="","المركز",""),IF(H21="","الدائرة",""),IF(I21="","القسم",""),IF(J21="","المسؤول",""),IF(K21="","نوع النشاط",""),IF(L21="","المشروع",""),IF(N21="","الممول",""),IF(V21="","الموضوع",""),IF(W21="","الملاحظة",""),IF(X21="","مشكلة",""),IF(Y21="","الإجراء",""),IF(Z21="","التنفيذ",""),IF(AA21="","الجودة",""),IF(AB21="","الإغلاق",""),IF(AC21="","الخصم",""),IF(AND(COUNTA($O21:$U21)&gt;0,O21=""),"مدير المشروع",""),IF(AND(COUNTA($O21:$U21)&gt;0,P21=""),"المستفيدين",""),IF(AND(COUNTA($O21:$U21)&gt;0,Q21=""),"المناطق",""),IF(AND(COUNTA($O21:$U21)&gt;0,R21=""),"الميزانية",""),IF(AND(COUNTA($O21:$U21)&gt;0,S21=""),"نسبة الجاهزية",""),IF(AND(COUNTA($O21:$U21)&gt;0,T21=""),"حالة الجاهزية",""),IF(AND(COUNTA($O21:$U21)&gt;0,U21=""),"التوصيات","")),"✓"),"✓"))))))))))</f>
        <v>✓</v>
      </c>
      <c r="E21" s="235">
        <v>46123</v>
      </c>
      <c r="F21" s="236">
        <v>0.43055555555555558</v>
      </c>
      <c r="G21" s="90" t="s">
        <v>97</v>
      </c>
      <c r="H21" s="123" t="s">
        <v>102</v>
      </c>
      <c r="I21" s="89" t="s">
        <v>124</v>
      </c>
      <c r="J21" s="142" t="s">
        <v>117</v>
      </c>
      <c r="K21" s="90" t="s">
        <v>116</v>
      </c>
      <c r="L21" s="90" t="s">
        <v>118</v>
      </c>
      <c r="M21" s="90"/>
      <c r="N21" s="89" t="s">
        <v>120</v>
      </c>
      <c r="O21" s="200"/>
      <c r="P21" s="201"/>
      <c r="Q21" s="201"/>
      <c r="R21" s="237"/>
      <c r="S21" s="202"/>
      <c r="T21" s="200"/>
      <c r="U21" s="203"/>
      <c r="V21" s="89" t="s">
        <v>689</v>
      </c>
      <c r="W21" s="89" t="s">
        <v>690</v>
      </c>
      <c r="X21" s="145" t="s">
        <v>651</v>
      </c>
      <c r="Y21" s="89" t="s">
        <v>652</v>
      </c>
      <c r="Z21" s="90" t="s">
        <v>130</v>
      </c>
      <c r="AA21" s="90" t="s">
        <v>130</v>
      </c>
      <c r="AB21" s="90" t="s">
        <v>131</v>
      </c>
      <c r="AC21" s="90" t="s">
        <v>132</v>
      </c>
      <c r="AD21" s="92" t="s">
        <v>26</v>
      </c>
      <c r="AE21" s="149">
        <f>IFERROR(VLOOKUP(Z21,LISTS!$AL$2:$AM$1000,2,FALSE()),"")</f>
        <v>100</v>
      </c>
      <c r="AF21" s="151">
        <f>IFERROR(VLOOKUP(AA21,LISTS!$AO$2:$AP$1000,2,FALSE()),"")</f>
        <v>100</v>
      </c>
      <c r="AG21" s="152">
        <f>IFERROR(VLOOKUP(AB21,LISTS!$AR$2:$AS$1000,2,FALSE()),"")</f>
        <v>100</v>
      </c>
      <c r="AH21" s="154">
        <f>IFERROR(VLOOKUP(AC21,LISTS!$AU$2:$AV$1000,2,FALSE()),"")</f>
        <v>0</v>
      </c>
      <c r="AI21" s="238">
        <f t="shared" si="1"/>
        <v>100</v>
      </c>
      <c r="AJ21" s="190" t="str">
        <f t="shared" si="2"/>
        <v>🌟 ممتاز جدًا</v>
      </c>
      <c r="AK21" s="157">
        <f t="shared" si="3"/>
        <v>4</v>
      </c>
      <c r="AL21" s="160">
        <f t="shared" si="4"/>
        <v>2026</v>
      </c>
      <c r="AM21" s="203"/>
      <c r="AN21" s="200"/>
    </row>
    <row r="22" spans="1:40" ht="27.95" customHeight="1">
      <c r="A22" s="134" t="s">
        <v>41</v>
      </c>
      <c r="B22" s="138" t="str">
        <f t="shared" si="0"/>
        <v>الأحد</v>
      </c>
      <c r="C22" s="93" t="str">
        <f t="array" ref="C22">IF(E22="","",IF(M22&lt;&gt;"",
M22&amp;"/"&amp;SUMPRODUCT((M$2:M22=M22)*1)&amp;" - "&amp;(ROW()-2),
"إداري/"&amp;SUMPRODUCT((M$2:M22="")*1)&amp;" - "&amp;(ROW()-2)))</f>
        <v>إداري/21 - 20</v>
      </c>
      <c r="D22" s="141" t="str">
        <f>IF(AND(G22="",H22="",I22=""),"",IF(COUNTIFS(LISTS!$A$2:$A$67,G22,LISTS!$B$2:$B$67,H22,LISTS!$C$2:$C$67,I22)=0,"✗ هرم",IF(NOT(OR(Z22="ممتاز 100%",Z22="جيد 80%",Z22="مقبول 60%",Z22="خطر 40%",Z22="")),"✗ قائمة R",IF(NOT(OR(AA22="ممتاز 100%",AA22="جيد 85%",AA22="مقبول 70%",AA22="ضعيف 50%",AA22="")),"✗ قائمة S",IF(NOT(OR(AB22="مكتمل 100%",AB22="جزئي 60%",AB22="معلق 30%",AB22="مفتوح 0%",AB22="")),"✗ قائمة T",IF(NOT(OR(AC22="لا خصم 0",AC22="تأخير −5",AC22="عجز −10",AC22="جودة −15",AC22="امتثال −20",AC22="مخالفة −25",AC22="")),"✗ قائمة U",IF(AND(X22="لا",AC22&lt;&gt;"",AC22&lt;&gt;"لا خصم 0"),"✗ خصم",IF(AND(X22="نعم",AC22="لا خصم 0"),"✗ خصم",IF(AND(Z22="ممتاز 100%",AA22="ممتاز 100%",AB22&lt;&gt;"",AB22&lt;&gt;"مكتمل 100%"),"✗ إغلاق",IFERROR(IF(LEN(_xlfn.TEXTJOIN("، ",TRUE,IF(E22="","التاريخ",""),IF(F22="","الوقت",""),IF(G22="","المركز",""),IF(H22="","الدائرة",""),IF(I22="","القسم",""),IF(J22="","المسؤول",""),IF(K22="","نوع النشاط",""),IF(L22="","المشروع",""),IF(N22="","الممول",""),IF(V22="","الموضوع",""),IF(W22="","الملاحظة",""),IF(X22="","مشكلة",""),IF(Y22="","الإجراء",""),IF(Z22="","التنفيذ",""),IF(AA22="","الجودة",""),IF(AB22="","الإغلاق",""),IF(AC22="","الخصم",""),IF(AND(COUNTA($O22:$U22)&gt;0,O22=""),"مدير المشروع",""),IF(AND(COUNTA($O22:$U22)&gt;0,P22=""),"المستفيدين",""),IF(AND(COUNTA($O22:$U22)&gt;0,Q22=""),"المناطق",""),IF(AND(COUNTA($O22:$U22)&gt;0,R22=""),"الميزانية",""),IF(AND(COUNTA($O22:$U22)&gt;0,S22=""),"نسبة الجاهزية",""),IF(AND(COUNTA($O22:$U22)&gt;0,T22=""),"حالة الجاهزية",""),IF(AND(COUNTA($O22:$U22)&gt;0,U22=""),"التوصيات","")))&gt;0,"✗ ناقص: "&amp;_xlfn.TEXTJOIN("، ",TRUE,IF(E22="","التاريخ",""),IF(F22="","الوقت",""),IF(G22="","المركز",""),IF(H22="","الدائرة",""),IF(I22="","القسم",""),IF(J22="","المسؤول",""),IF(K22="","نوع النشاط",""),IF(L22="","المشروع",""),IF(N22="","الممول",""),IF(V22="","الموضوع",""),IF(W22="","الملاحظة",""),IF(X22="","مشكلة",""),IF(Y22="","الإجراء",""),IF(Z22="","التنفيذ",""),IF(AA22="","الجودة",""),IF(AB22="","الإغلاق",""),IF(AC22="","الخصم",""),IF(AND(COUNTA($O22:$U22)&gt;0,O22=""),"مدير المشروع",""),IF(AND(COUNTA($O22:$U22)&gt;0,P22=""),"المستفيدين",""),IF(AND(COUNTA($O22:$U22)&gt;0,Q22=""),"المناطق",""),IF(AND(COUNTA($O22:$U22)&gt;0,R22=""),"الميزانية",""),IF(AND(COUNTA($O22:$U22)&gt;0,S22=""),"نسبة الجاهزية",""),IF(AND(COUNTA($O22:$U22)&gt;0,T22=""),"حالة الجاهزية",""),IF(AND(COUNTA($O22:$U22)&gt;0,U22=""),"التوصيات","")),"✓"),"✓"))))))))))</f>
        <v>✗ ناقص: المسؤول، المشروع، الممول</v>
      </c>
      <c r="E22" s="235">
        <v>46124</v>
      </c>
      <c r="F22" s="236">
        <v>0.4375</v>
      </c>
      <c r="G22" s="90" t="s">
        <v>97</v>
      </c>
      <c r="H22" s="123" t="s">
        <v>101</v>
      </c>
      <c r="I22" s="89" t="s">
        <v>123</v>
      </c>
      <c r="J22" s="142"/>
      <c r="K22" s="90" t="s">
        <v>169</v>
      </c>
      <c r="L22" s="90"/>
      <c r="M22" s="90"/>
      <c r="N22" s="89"/>
      <c r="O22" s="200"/>
      <c r="P22" s="201"/>
      <c r="Q22" s="201"/>
      <c r="R22" s="237"/>
      <c r="S22" s="202"/>
      <c r="T22" s="200"/>
      <c r="U22" s="203"/>
      <c r="V22" s="89" t="s">
        <v>691</v>
      </c>
      <c r="W22" s="89" t="s">
        <v>692</v>
      </c>
      <c r="X22" s="145" t="s">
        <v>651</v>
      </c>
      <c r="Y22" s="89" t="s">
        <v>652</v>
      </c>
      <c r="Z22" s="90" t="s">
        <v>165</v>
      </c>
      <c r="AA22" s="90" t="s">
        <v>166</v>
      </c>
      <c r="AB22" s="90" t="s">
        <v>131</v>
      </c>
      <c r="AC22" s="90" t="s">
        <v>132</v>
      </c>
      <c r="AD22" s="91" t="s">
        <v>134</v>
      </c>
      <c r="AE22" s="149">
        <f>IFERROR(VLOOKUP(Z22,LISTS!$AL$2:$AM$1000,2,FALSE()),"")</f>
        <v>80</v>
      </c>
      <c r="AF22" s="151">
        <f>IFERROR(VLOOKUP(AA22,LISTS!$AO$2:$AP$1000,2,FALSE()),"")</f>
        <v>70</v>
      </c>
      <c r="AG22" s="152">
        <f>IFERROR(VLOOKUP(AB22,LISTS!$AR$2:$AS$1000,2,FALSE()),"")</f>
        <v>100</v>
      </c>
      <c r="AH22" s="154">
        <f>IFERROR(VLOOKUP(AC22,LISTS!$AU$2:$AV$1000,2,FALSE()),"")</f>
        <v>0</v>
      </c>
      <c r="AI22" s="238">
        <f t="shared" si="1"/>
        <v>83</v>
      </c>
      <c r="AJ22" s="190" t="str">
        <f t="shared" si="2"/>
        <v>🟢 جيد</v>
      </c>
      <c r="AK22" s="157">
        <f t="shared" si="3"/>
        <v>4</v>
      </c>
      <c r="AL22" s="160">
        <f t="shared" si="4"/>
        <v>2026</v>
      </c>
      <c r="AM22" s="203"/>
      <c r="AN22" s="200"/>
    </row>
    <row r="23" spans="1:40" ht="27.95" customHeight="1">
      <c r="A23" s="134">
        <f>IF(I23&lt;&gt;"",COUNTA($I$2:I23),"")</f>
        <v>22</v>
      </c>
      <c r="B23" s="138" t="str">
        <f t="shared" si="0"/>
        <v>الأحد</v>
      </c>
      <c r="C23" s="93" t="str">
        <f t="array" ref="C23">IF(E23="","",IF(M23&lt;&gt;"",
M23&amp;"/"&amp;SUMPRODUCT((M$2:M23=M23)*1)&amp;" - "&amp;(ROW()-2),
"إداري/"&amp;SUMPRODUCT((M$2:M23="")*1)&amp;" - "&amp;(ROW()-2)))</f>
        <v>إداري/22 - 21</v>
      </c>
      <c r="D23" s="141" t="str">
        <f>IF(AND(G23="",H23="",I23=""),"",IF(COUNTIFS(LISTS!$A$2:$A$67,G23,LISTS!$B$2:$B$67,H23,LISTS!$C$2:$C$67,I23)=0,"✗ هرم",IF(NOT(OR(Z23="ممتاز 100%",Z23="جيد 80%",Z23="مقبول 60%",Z23="خطر 40%",Z23="")),"✗ قائمة R",IF(NOT(OR(AA23="ممتاز 100%",AA23="جيد 85%",AA23="مقبول 70%",AA23="ضعيف 50%",AA23="")),"✗ قائمة S",IF(NOT(OR(AB23="مكتمل 100%",AB23="جزئي 60%",AB23="معلق 30%",AB23="مفتوح 0%",AB23="")),"✗ قائمة T",IF(NOT(OR(AC23="لا خصم 0",AC23="تأخير −5",AC23="عجز −10",AC23="جودة −15",AC23="امتثال −20",AC23="مخالفة −25",AC23="")),"✗ قائمة U",IF(AND(X23="لا",AC23&lt;&gt;"",AC23&lt;&gt;"لا خصم 0"),"✗ خصم",IF(AND(X23="نعم",AC23="لا خصم 0"),"✗ خصم",IF(AND(Z23="ممتاز 100%",AA23="ممتاز 100%",AB23&lt;&gt;"",AB23&lt;&gt;"مكتمل 100%"),"✗ إغلاق",IFERROR(IF(LEN(_xlfn.TEXTJOIN("، ",TRUE,IF(E23="","التاريخ",""),IF(F23="","الوقت",""),IF(G23="","المركز",""),IF(H23="","الدائرة",""),IF(I23="","القسم",""),IF(J23="","المسؤول",""),IF(K23="","نوع النشاط",""),IF(L23="","المشروع",""),IF(N23="","الممول",""),IF(V23="","الموضوع",""),IF(W23="","الملاحظة",""),IF(X23="","مشكلة",""),IF(Y23="","الإجراء",""),IF(Z23="","التنفيذ",""),IF(AA23="","الجودة",""),IF(AB23="","الإغلاق",""),IF(AC23="","الخصم",""),IF(AND(COUNTA($O23:$U23)&gt;0,O23=""),"مدير المشروع",""),IF(AND(COUNTA($O23:$U23)&gt;0,P23=""),"المستفيدين",""),IF(AND(COUNTA($O23:$U23)&gt;0,Q23=""),"المناطق",""),IF(AND(COUNTA($O23:$U23)&gt;0,R23=""),"الميزانية",""),IF(AND(COUNTA($O23:$U23)&gt;0,S23=""),"نسبة الجاهزية",""),IF(AND(COUNTA($O23:$U23)&gt;0,T23=""),"حالة الجاهزية",""),IF(AND(COUNTA($O23:$U23)&gt;0,U23=""),"التوصيات","")))&gt;0,"✗ ناقص: "&amp;_xlfn.TEXTJOIN("، ",TRUE,IF(E23="","التاريخ",""),IF(F23="","الوقت",""),IF(G23="","المركز",""),IF(H23="","الدائرة",""),IF(I23="","القسم",""),IF(J23="","المسؤول",""),IF(K23="","نوع النشاط",""),IF(L23="","المشروع",""),IF(N23="","الممول",""),IF(V23="","الموضوع",""),IF(W23="","الملاحظة",""),IF(X23="","مشكلة",""),IF(Y23="","الإجراء",""),IF(Z23="","التنفيذ",""),IF(AA23="","الجودة",""),IF(AB23="","الإغلاق",""),IF(AC23="","الخصم",""),IF(AND(COUNTA($O23:$U23)&gt;0,O23=""),"مدير المشروع",""),IF(AND(COUNTA($O23:$U23)&gt;0,P23=""),"المستفيدين",""),IF(AND(COUNTA($O23:$U23)&gt;0,Q23=""),"المناطق",""),IF(AND(COUNTA($O23:$U23)&gt;0,R23=""),"الميزانية",""),IF(AND(COUNTA($O23:$U23)&gt;0,S23=""),"نسبة الجاهزية",""),IF(AND(COUNTA($O23:$U23)&gt;0,T23=""),"حالة الجاهزية",""),IF(AND(COUNTA($O23:$U23)&gt;0,U23=""),"التوصيات","")),"✓"),"✓"))))))))))</f>
        <v>✓</v>
      </c>
      <c r="E23" s="235">
        <v>46124</v>
      </c>
      <c r="F23" s="236">
        <v>0.45833333333333331</v>
      </c>
      <c r="G23" s="90" t="s">
        <v>97</v>
      </c>
      <c r="H23" s="123" t="s">
        <v>102</v>
      </c>
      <c r="I23" s="89" t="s">
        <v>175</v>
      </c>
      <c r="J23" s="142" t="s">
        <v>170</v>
      </c>
      <c r="K23" s="90" t="s">
        <v>116</v>
      </c>
      <c r="L23" s="90" t="s">
        <v>118</v>
      </c>
      <c r="M23" s="90"/>
      <c r="N23" s="89" t="s">
        <v>120</v>
      </c>
      <c r="O23" s="200"/>
      <c r="P23" s="201"/>
      <c r="Q23" s="201"/>
      <c r="R23" s="237"/>
      <c r="S23" s="202"/>
      <c r="T23" s="200"/>
      <c r="U23" s="203"/>
      <c r="V23" s="89" t="s">
        <v>693</v>
      </c>
      <c r="W23" s="89" t="s">
        <v>694</v>
      </c>
      <c r="X23" s="145" t="s">
        <v>651</v>
      </c>
      <c r="Y23" s="89" t="s">
        <v>652</v>
      </c>
      <c r="Z23" s="90" t="s">
        <v>130</v>
      </c>
      <c r="AA23" s="90" t="s">
        <v>149</v>
      </c>
      <c r="AB23" s="90" t="s">
        <v>131</v>
      </c>
      <c r="AC23" s="90" t="s">
        <v>132</v>
      </c>
      <c r="AD23" s="92" t="s">
        <v>26</v>
      </c>
      <c r="AE23" s="149">
        <f>IFERROR(VLOOKUP(Z23,LISTS!$AL$2:$AM$1000,2,FALSE()),"")</f>
        <v>100</v>
      </c>
      <c r="AF23" s="151">
        <f>IFERROR(VLOOKUP(AA23,LISTS!$AO$2:$AP$1000,2,FALSE()),"")</f>
        <v>85</v>
      </c>
      <c r="AG23" s="152">
        <f>IFERROR(VLOOKUP(AB23,LISTS!$AR$2:$AS$1000,2,FALSE()),"")</f>
        <v>100</v>
      </c>
      <c r="AH23" s="154">
        <f>IFERROR(VLOOKUP(AC23,LISTS!$AU$2:$AV$1000,2,FALSE()),"")</f>
        <v>0</v>
      </c>
      <c r="AI23" s="238">
        <f t="shared" si="1"/>
        <v>95.5</v>
      </c>
      <c r="AJ23" s="190" t="str">
        <f t="shared" si="2"/>
        <v>⭐ ممتاز</v>
      </c>
      <c r="AK23" s="157">
        <f t="shared" si="3"/>
        <v>4</v>
      </c>
      <c r="AL23" s="160">
        <f t="shared" si="4"/>
        <v>2026</v>
      </c>
      <c r="AM23" s="203"/>
      <c r="AN23" s="200"/>
    </row>
    <row r="24" spans="1:40" ht="27.95" customHeight="1">
      <c r="A24" s="134">
        <f>IF(I24&lt;&gt;"",COUNTA($I$2:I24),"")</f>
        <v>23</v>
      </c>
      <c r="B24" s="138" t="e">
        <f>IF(#REF!="","",CHOOSE(WEEKDAY(#REF!,2),"الاثنين","الثلاثاء","الأربعاء","الخميس","الجمعة","السبت","الأحد"))</f>
        <v>#REF!</v>
      </c>
      <c r="C24" s="93"/>
      <c r="D24" s="141"/>
      <c r="E24" s="235" t="s">
        <v>50</v>
      </c>
      <c r="F24" s="236">
        <v>0.47222222222222221</v>
      </c>
      <c r="G24" s="90"/>
      <c r="H24" s="123"/>
      <c r="I24" s="89" t="s">
        <v>51</v>
      </c>
      <c r="J24" s="142"/>
      <c r="K24" s="90"/>
      <c r="L24" s="90"/>
      <c r="M24" s="90"/>
      <c r="N24" s="89"/>
      <c r="O24" s="200"/>
      <c r="P24" s="201"/>
      <c r="Q24" s="201"/>
      <c r="R24" s="237"/>
      <c r="S24" s="202"/>
      <c r="T24" s="200"/>
      <c r="U24" s="203"/>
      <c r="V24" s="89" t="s">
        <v>695</v>
      </c>
      <c r="W24" s="89" t="s">
        <v>696</v>
      </c>
      <c r="X24" s="145" t="s">
        <v>651</v>
      </c>
      <c r="Y24" s="89" t="s">
        <v>652</v>
      </c>
      <c r="Z24" s="90" t="s">
        <v>130</v>
      </c>
      <c r="AA24" s="90" t="s">
        <v>130</v>
      </c>
      <c r="AB24" s="90" t="s">
        <v>167</v>
      </c>
      <c r="AC24" s="90" t="s">
        <v>132</v>
      </c>
      <c r="AD24" s="91" t="s">
        <v>134</v>
      </c>
      <c r="AE24" s="149">
        <f>IFERROR(VLOOKUP(Z24,LISTS!$AL$2:$AM$1000,2,FALSE()),"")</f>
        <v>100</v>
      </c>
      <c r="AF24" s="151">
        <f>IFERROR(VLOOKUP(AA24,LISTS!$AO$2:$AP$1000,2,FALSE()),"")</f>
        <v>100</v>
      </c>
      <c r="AG24" s="152">
        <f>IFERROR(VLOOKUP(AB24,LISTS!$AR$2:$AS$1000,2,FALSE()),"")</f>
        <v>60</v>
      </c>
      <c r="AH24" s="154">
        <f>IFERROR(VLOOKUP(AC24,LISTS!$AU$2:$AV$1000,2,FALSE()),"")</f>
        <v>0</v>
      </c>
      <c r="AI24" s="238">
        <f t="shared" si="1"/>
        <v>88</v>
      </c>
      <c r="AJ24" s="190" t="str">
        <f t="shared" si="2"/>
        <v>🟢 جيد</v>
      </c>
      <c r="AK24" s="157" t="e">
        <f>IF(#REF!="","",MONTH(#REF!))</f>
        <v>#REF!</v>
      </c>
      <c r="AL24" s="160" t="e">
        <f>IF(#REF!="","",YEAR(#REF!))</f>
        <v>#REF!</v>
      </c>
      <c r="AM24" s="203"/>
      <c r="AN24" s="200"/>
    </row>
    <row r="25" spans="1:40" ht="27.95" customHeight="1">
      <c r="A25" s="134">
        <f>IF(I25&lt;&gt;"",COUNTA($I$2:I25),"")</f>
        <v>24</v>
      </c>
      <c r="B25" s="138" t="e">
        <f>IF(E24="","",CHOOSE(WEEKDAY(E24,2),"الاثنين","الثلاثاء","الأربعاء","الخميس","الجمعة","السبت","الأحد"))</f>
        <v>#VALUE!</v>
      </c>
      <c r="C25" s="93"/>
      <c r="D25" s="141"/>
      <c r="E25" s="235" t="s">
        <v>53</v>
      </c>
      <c r="F25" s="236"/>
      <c r="G25" s="90"/>
      <c r="H25" s="123"/>
      <c r="I25" s="89" t="s">
        <v>54</v>
      </c>
      <c r="J25" s="142" t="s">
        <v>154</v>
      </c>
      <c r="K25" s="90"/>
      <c r="L25" s="90"/>
      <c r="M25" s="90"/>
      <c r="N25" s="89" t="s">
        <v>120</v>
      </c>
      <c r="O25" s="200"/>
      <c r="P25" s="201"/>
      <c r="Q25" s="201"/>
      <c r="R25" s="237"/>
      <c r="S25" s="202"/>
      <c r="T25" s="200"/>
      <c r="U25" s="203"/>
      <c r="V25" s="89" t="s">
        <v>697</v>
      </c>
      <c r="W25" s="89" t="s">
        <v>698</v>
      </c>
      <c r="X25" s="145" t="s">
        <v>651</v>
      </c>
      <c r="Y25" s="89" t="s">
        <v>652</v>
      </c>
      <c r="Z25" s="90" t="s">
        <v>130</v>
      </c>
      <c r="AA25" s="90" t="s">
        <v>130</v>
      </c>
      <c r="AB25" s="90" t="s">
        <v>131</v>
      </c>
      <c r="AC25" s="90" t="s">
        <v>132</v>
      </c>
      <c r="AD25" s="92" t="s">
        <v>26</v>
      </c>
      <c r="AE25" s="149">
        <f>IFERROR(VLOOKUP(Z25,LISTS!$AL$2:$AM$1000,2,FALSE()),"")</f>
        <v>100</v>
      </c>
      <c r="AF25" s="151">
        <f>IFERROR(VLOOKUP(AA25,LISTS!$AO$2:$AP$1000,2,FALSE()),"")</f>
        <v>100</v>
      </c>
      <c r="AG25" s="152">
        <f>IFERROR(VLOOKUP(AB25,LISTS!$AR$2:$AS$1000,2,FALSE()),"")</f>
        <v>100</v>
      </c>
      <c r="AH25" s="154">
        <f>IFERROR(VLOOKUP(AC25,LISTS!$AU$2:$AV$1000,2,FALSE()),"")</f>
        <v>0</v>
      </c>
      <c r="AI25" s="238">
        <f t="shared" si="1"/>
        <v>100</v>
      </c>
      <c r="AJ25" s="190" t="str">
        <f t="shared" si="2"/>
        <v>🌟 ممتاز جدًا</v>
      </c>
      <c r="AK25" s="157" t="e">
        <f>IF(E24="","",MONTH(E24))</f>
        <v>#VALUE!</v>
      </c>
      <c r="AL25" s="160" t="e">
        <f>IF(E24="","",YEAR(E24))</f>
        <v>#VALUE!</v>
      </c>
      <c r="AM25" s="203"/>
      <c r="AN25" s="200"/>
    </row>
    <row r="26" spans="1:40" ht="27.95" customHeight="1">
      <c r="A26" s="134" t="s">
        <v>55</v>
      </c>
      <c r="B26" s="138" t="e">
        <f>IF(E25="","",CHOOSE(WEEKDAY(E25,2),"الاثنين","الثلاثاء","الأربعاء","الخميس","الجمعة","السبت","الأحد"))</f>
        <v>#VALUE!</v>
      </c>
      <c r="C26" s="93"/>
      <c r="D26" s="141"/>
      <c r="E26" s="235" t="s">
        <v>56</v>
      </c>
      <c r="F26" s="236">
        <v>0.46875</v>
      </c>
      <c r="G26" s="90"/>
      <c r="H26" s="123"/>
      <c r="I26" s="89" t="s">
        <v>57</v>
      </c>
      <c r="J26" s="142" t="s">
        <v>117</v>
      </c>
      <c r="K26" s="90"/>
      <c r="L26" s="90"/>
      <c r="M26" s="90" t="s">
        <v>58</v>
      </c>
      <c r="N26" s="89" t="s">
        <v>120</v>
      </c>
      <c r="O26" s="200"/>
      <c r="P26" s="201"/>
      <c r="Q26" s="201"/>
      <c r="R26" s="237"/>
      <c r="S26" s="202"/>
      <c r="T26" s="200"/>
      <c r="U26" s="203"/>
      <c r="V26" s="89" t="s">
        <v>699</v>
      </c>
      <c r="W26" s="89" t="s">
        <v>700</v>
      </c>
      <c r="X26" s="145" t="s">
        <v>651</v>
      </c>
      <c r="Y26" s="89" t="s">
        <v>652</v>
      </c>
      <c r="Z26" s="90" t="s">
        <v>130</v>
      </c>
      <c r="AA26" s="90" t="s">
        <v>130</v>
      </c>
      <c r="AB26" s="90" t="s">
        <v>131</v>
      </c>
      <c r="AC26" s="90" t="s">
        <v>132</v>
      </c>
      <c r="AD26" s="91" t="s">
        <v>26</v>
      </c>
      <c r="AE26" s="149">
        <f>IFERROR(VLOOKUP(Z26,LISTS!$AL$2:$AM$1000,2,FALSE()),"")</f>
        <v>100</v>
      </c>
      <c r="AF26" s="151">
        <f>IFERROR(VLOOKUP(AA26,LISTS!$AO$2:$AP$1000,2,FALSE()),"")</f>
        <v>100</v>
      </c>
      <c r="AG26" s="152">
        <f>IFERROR(VLOOKUP(AB26,LISTS!$AR$2:$AS$1000,2,FALSE()),"")</f>
        <v>100</v>
      </c>
      <c r="AH26" s="154">
        <f>IFERROR(VLOOKUP(AC26,LISTS!$AU$2:$AV$1000,2,FALSE()),"")</f>
        <v>0</v>
      </c>
      <c r="AI26" s="238">
        <f t="shared" si="1"/>
        <v>100</v>
      </c>
      <c r="AJ26" s="190" t="str">
        <f t="shared" si="2"/>
        <v>🌟 ممتاز جدًا</v>
      </c>
      <c r="AK26" s="157" t="e">
        <f>IF(E25="","",MONTH(E25))</f>
        <v>#VALUE!</v>
      </c>
      <c r="AL26" s="160" t="e">
        <f>IF(E25="","",YEAR(E25))</f>
        <v>#VALUE!</v>
      </c>
      <c r="AM26" s="203"/>
      <c r="AN26" s="200"/>
    </row>
    <row r="27" spans="1:40" ht="27.95" customHeight="1">
      <c r="A27" s="134" t="s">
        <v>59</v>
      </c>
      <c r="B27" s="138" t="e">
        <f>IF(E26="","",CHOOSE(WEEKDAY(E26,2),"الاثنين","الثلاثاء","الأربعاء","الخميس","الجمعة","السبت","الأحد"))</f>
        <v>#VALUE!</v>
      </c>
      <c r="C27" s="93"/>
      <c r="D27" s="141"/>
      <c r="E27" s="235" t="s">
        <v>60</v>
      </c>
      <c r="F27" s="236"/>
      <c r="G27" s="90"/>
      <c r="H27" s="123"/>
      <c r="I27" s="89" t="s">
        <v>61</v>
      </c>
      <c r="J27" s="142" t="s">
        <v>135</v>
      </c>
      <c r="K27" s="90"/>
      <c r="L27" s="90"/>
      <c r="M27" s="90"/>
      <c r="N27" s="89"/>
      <c r="O27" s="200"/>
      <c r="P27" s="201"/>
      <c r="Q27" s="201"/>
      <c r="R27" s="237"/>
      <c r="S27" s="202"/>
      <c r="T27" s="200"/>
      <c r="U27" s="203"/>
      <c r="V27" s="89" t="s">
        <v>701</v>
      </c>
      <c r="W27" s="89" t="s">
        <v>702</v>
      </c>
      <c r="X27" s="145" t="s">
        <v>651</v>
      </c>
      <c r="Y27" s="89" t="s">
        <v>652</v>
      </c>
      <c r="Z27" s="90" t="s">
        <v>130</v>
      </c>
      <c r="AA27" s="90" t="s">
        <v>130</v>
      </c>
      <c r="AB27" s="90" t="s">
        <v>131</v>
      </c>
      <c r="AC27" s="90" t="s">
        <v>132</v>
      </c>
      <c r="AD27" s="92" t="s">
        <v>26</v>
      </c>
      <c r="AE27" s="149">
        <f>IFERROR(VLOOKUP(Z27,LISTS!$AL$2:$AM$1000,2,FALSE()),"")</f>
        <v>100</v>
      </c>
      <c r="AF27" s="151">
        <f>IFERROR(VLOOKUP(AA27,LISTS!$AO$2:$AP$1000,2,FALSE()),"")</f>
        <v>100</v>
      </c>
      <c r="AG27" s="152">
        <f>IFERROR(VLOOKUP(AB27,LISTS!$AR$2:$AS$1000,2,FALSE()),"")</f>
        <v>100</v>
      </c>
      <c r="AH27" s="154">
        <f>IFERROR(VLOOKUP(AC27,LISTS!$AU$2:$AV$1000,2,FALSE()),"")</f>
        <v>0</v>
      </c>
      <c r="AI27" s="238">
        <f t="shared" si="1"/>
        <v>100</v>
      </c>
      <c r="AJ27" s="190" t="str">
        <f t="shared" si="2"/>
        <v>🌟 ممتاز جدًا</v>
      </c>
      <c r="AK27" s="157" t="e">
        <f>IF(E26="","",MONTH(E26))</f>
        <v>#VALUE!</v>
      </c>
      <c r="AL27" s="160" t="e">
        <f>IF(E26="","",YEAR(E26))</f>
        <v>#VALUE!</v>
      </c>
      <c r="AM27" s="203"/>
      <c r="AN27" s="200"/>
    </row>
    <row r="28" spans="1:40" ht="27.95" customHeight="1">
      <c r="A28" s="134" t="s">
        <v>62</v>
      </c>
      <c r="B28" s="138" t="e">
        <f>IF(E27="","",CHOOSE(WEEKDAY(E27,2),"الاثنين","الثلاثاء","الأربعاء","الخميس","الجمعة","السبت","الأحد"))</f>
        <v>#VALUE!</v>
      </c>
      <c r="C28" s="93"/>
      <c r="D28" s="141"/>
      <c r="E28" s="235" t="s">
        <v>703</v>
      </c>
      <c r="F28" s="236">
        <v>0.58333333333333337</v>
      </c>
      <c r="G28" s="90"/>
      <c r="H28" s="123"/>
      <c r="I28" s="89" t="s">
        <v>64</v>
      </c>
      <c r="J28" s="142"/>
      <c r="K28" s="90"/>
      <c r="L28" s="90"/>
      <c r="M28" s="90"/>
      <c r="N28" s="89" t="s">
        <v>120</v>
      </c>
      <c r="O28" s="200"/>
      <c r="P28" s="201"/>
      <c r="Q28" s="201"/>
      <c r="R28" s="237"/>
      <c r="S28" s="202"/>
      <c r="T28" s="200"/>
      <c r="U28" s="203"/>
      <c r="V28" s="89" t="s">
        <v>704</v>
      </c>
      <c r="W28" s="89" t="s">
        <v>705</v>
      </c>
      <c r="X28" s="145" t="s">
        <v>651</v>
      </c>
      <c r="Y28" s="89" t="s">
        <v>652</v>
      </c>
      <c r="Z28" s="90" t="s">
        <v>130</v>
      </c>
      <c r="AA28" s="90" t="s">
        <v>130</v>
      </c>
      <c r="AB28" s="90" t="s">
        <v>131</v>
      </c>
      <c r="AC28" s="90" t="s">
        <v>132</v>
      </c>
      <c r="AD28" s="91" t="s">
        <v>26</v>
      </c>
      <c r="AE28" s="149">
        <f>IFERROR(VLOOKUP(Z28,LISTS!$AL$2:$AM$1000,2,FALSE()),"")</f>
        <v>100</v>
      </c>
      <c r="AF28" s="151">
        <f>IFERROR(VLOOKUP(AA28,LISTS!$AO$2:$AP$1000,2,FALSE()),"")</f>
        <v>100</v>
      </c>
      <c r="AG28" s="152">
        <f>IFERROR(VLOOKUP(AB28,LISTS!$AR$2:$AS$1000,2,FALSE()),"")</f>
        <v>100</v>
      </c>
      <c r="AH28" s="154">
        <f>IFERROR(VLOOKUP(AC28,LISTS!$AU$2:$AV$1000,2,FALSE()),"")</f>
        <v>0</v>
      </c>
      <c r="AI28" s="238">
        <f t="shared" si="1"/>
        <v>100</v>
      </c>
      <c r="AJ28" s="190" t="str">
        <f t="shared" si="2"/>
        <v>🌟 ممتاز جدًا</v>
      </c>
      <c r="AK28" s="157" t="e">
        <f>IF(E27="","",MONTH(E27))</f>
        <v>#VALUE!</v>
      </c>
      <c r="AL28" s="160" t="e">
        <f>IF(E27="","",YEAR(E27))</f>
        <v>#VALUE!</v>
      </c>
      <c r="AM28" s="203"/>
      <c r="AN28" s="200"/>
    </row>
    <row r="29" spans="1:40" ht="27.95" customHeight="1">
      <c r="A29" s="134" t="s">
        <v>65</v>
      </c>
      <c r="B29" s="138" t="e">
        <f>IF(E28="","",CHOOSE(WEEKDAY(E28,2),"الاثنين","الثلاثاء","الأربعاء","الخميس","الجمعة","السبت","الأحد"))</f>
        <v>#VALUE!</v>
      </c>
      <c r="C29" s="93"/>
      <c r="D29" s="141"/>
      <c r="G29" s="90"/>
      <c r="H29" s="123"/>
      <c r="I29" s="89" t="s">
        <v>66</v>
      </c>
      <c r="J29" s="142"/>
      <c r="K29" s="90"/>
      <c r="L29" s="90"/>
      <c r="M29" s="90"/>
      <c r="N29" s="89" t="s">
        <v>120</v>
      </c>
      <c r="O29" s="200"/>
      <c r="P29" s="201"/>
      <c r="Q29" s="201"/>
      <c r="R29" s="237"/>
      <c r="S29" s="202"/>
      <c r="T29" s="200"/>
      <c r="U29" s="203"/>
      <c r="V29" s="89" t="s">
        <v>706</v>
      </c>
      <c r="W29" s="89" t="s">
        <v>707</v>
      </c>
      <c r="X29" s="145" t="s">
        <v>651</v>
      </c>
      <c r="Y29" s="89" t="s">
        <v>652</v>
      </c>
      <c r="Z29" s="90" t="s">
        <v>130</v>
      </c>
      <c r="AA29" s="90" t="s">
        <v>130</v>
      </c>
      <c r="AB29" s="90" t="s">
        <v>131</v>
      </c>
      <c r="AC29" s="90" t="s">
        <v>132</v>
      </c>
      <c r="AD29" s="92" t="s">
        <v>134</v>
      </c>
      <c r="AE29" s="149">
        <f>IFERROR(VLOOKUP(Z29,LISTS!$AL$2:$AM$1000,2,FALSE()),"")</f>
        <v>100</v>
      </c>
      <c r="AF29" s="151">
        <f>IFERROR(VLOOKUP(AA29,LISTS!$AO$2:$AP$1000,2,FALSE()),"")</f>
        <v>100</v>
      </c>
      <c r="AG29" s="152">
        <f>IFERROR(VLOOKUP(AB29,LISTS!$AR$2:$AS$1000,2,FALSE()),"")</f>
        <v>100</v>
      </c>
      <c r="AH29" s="154">
        <f>IFERROR(VLOOKUP(AC29,LISTS!$AU$2:$AV$1000,2,FALSE()),"")</f>
        <v>0</v>
      </c>
      <c r="AI29" s="238">
        <f t="shared" si="1"/>
        <v>100</v>
      </c>
      <c r="AJ29" s="190" t="str">
        <f t="shared" si="2"/>
        <v>🌟 ممتاز جدًا</v>
      </c>
      <c r="AK29" s="157" t="e">
        <f>IF(E28="","",MONTH(E28))</f>
        <v>#VALUE!</v>
      </c>
      <c r="AL29" s="160" t="e">
        <f>IF(E28="","",YEAR(E28))</f>
        <v>#VALUE!</v>
      </c>
      <c r="AM29" s="203"/>
      <c r="AN29" s="200"/>
    </row>
    <row r="30" spans="1:40" ht="27.95" customHeight="1">
      <c r="A30" s="134" t="s">
        <v>67</v>
      </c>
      <c r="B30" s="138"/>
      <c r="C30" s="93"/>
      <c r="D30" s="141"/>
      <c r="E30" s="235">
        <v>46126</v>
      </c>
      <c r="F30" s="236">
        <v>0.5625</v>
      </c>
      <c r="G30" s="90"/>
      <c r="H30" s="123"/>
      <c r="I30" s="89" t="s">
        <v>68</v>
      </c>
      <c r="J30" s="142" t="s">
        <v>276</v>
      </c>
      <c r="K30" s="90"/>
      <c r="L30" s="90"/>
      <c r="M30" s="90"/>
      <c r="N30" s="89"/>
      <c r="O30" s="200"/>
      <c r="P30" s="201"/>
      <c r="Q30" s="201"/>
      <c r="R30" s="237"/>
      <c r="S30" s="202"/>
      <c r="T30" s="200"/>
      <c r="U30" s="203"/>
      <c r="V30" s="89" t="s">
        <v>708</v>
      </c>
      <c r="W30" s="89" t="s">
        <v>709</v>
      </c>
      <c r="X30" s="145" t="s">
        <v>647</v>
      </c>
      <c r="Y30" s="89" t="s">
        <v>682</v>
      </c>
      <c r="Z30" s="90" t="s">
        <v>181</v>
      </c>
      <c r="AA30" s="90" t="s">
        <v>182</v>
      </c>
      <c r="AB30" s="90" t="s">
        <v>150</v>
      </c>
      <c r="AC30" s="90" t="s">
        <v>151</v>
      </c>
      <c r="AD30" s="91" t="s">
        <v>134</v>
      </c>
      <c r="AE30" s="149">
        <f>IFERROR(VLOOKUP(Z30,LISTS!$AL$2:$AM$1000,2,FALSE()),"")</f>
        <v>40</v>
      </c>
      <c r="AF30" s="151">
        <f>IFERROR(VLOOKUP(AA30,LISTS!$AO$2:$AP$1000,2,FALSE()),"")</f>
        <v>50</v>
      </c>
      <c r="AG30" s="152">
        <f>IFERROR(VLOOKUP(AB30,LISTS!$AR$2:$AS$1000,2,FALSE()),"")</f>
        <v>30</v>
      </c>
      <c r="AH30" s="154">
        <f>IFERROR(VLOOKUP(AC30,LISTS!$AU$2:$AV$1000,2,FALSE()),"")</f>
        <v>25</v>
      </c>
      <c r="AI30" s="238">
        <f t="shared" si="1"/>
        <v>15</v>
      </c>
      <c r="AJ30" s="190" t="str">
        <f t="shared" si="2"/>
        <v>🚨 خطر شديد</v>
      </c>
      <c r="AK30" s="157">
        <f t="shared" ref="AK30:AK93" si="5">IF(E30="","",MONTH(E30))</f>
        <v>4</v>
      </c>
      <c r="AL30" s="160">
        <f t="shared" ref="AL30:AL93" si="6">IF(E30="","",YEAR(E30))</f>
        <v>2026</v>
      </c>
      <c r="AM30" s="203"/>
      <c r="AN30" s="200"/>
    </row>
    <row r="31" spans="1:40" ht="27.95" customHeight="1">
      <c r="A31" s="134">
        <f>IF(I31&lt;&gt;"",COUNTA($I$2:I31),"")</f>
        <v>30</v>
      </c>
      <c r="B31" s="138" t="str">
        <f t="shared" ref="B31:B94" si="7">IF(E31="","",CHOOSE(WEEKDAY(E31,2),"الاثنين","الثلاثاء","الأربعاء","الخميس","الجمعة","السبت","الأحد"))</f>
        <v>الثلاثاء</v>
      </c>
      <c r="C31" s="93" t="str">
        <f t="array" ref="C31">IF(E31="","",IF(M31&lt;&gt;"",
M31&amp;"/"&amp;SUMPRODUCT((M$2:M31=M31)*1)&amp;" - "&amp;(ROW()-2),
"إداري/"&amp;SUMPRODUCT((M$2:M31="")*1)&amp;" - "&amp;(ROW()-2)))</f>
        <v>إداري/29 - 29</v>
      </c>
      <c r="D31" s="141" t="str">
        <f>IF(AND(G31="",H31="",I31=""),"",IF(COUNTIFS(LISTS!$A$2:$A$67,G31,LISTS!$B$2:$B$67,H31,LISTS!$C$2:$C$67,I31)=0,"✗ هرم",IF(NOT(OR(Z31="ممتاز 100%",Z31="جيد 80%",Z31="مقبول 60%",Z31="خطر 40%",Z31="")),"✗ قائمة R",IF(NOT(OR(AA31="ممتاز 100%",AA31="جيد 85%",AA31="مقبول 70%",AA31="ضعيف 50%",AA31="")),"✗ قائمة S",IF(NOT(OR(AB31="مكتمل 100%",AB31="جزئي 60%",AB31="معلق 30%",AB31="مفتوح 0%",AB31="")),"✗ قائمة T",IF(NOT(OR(AC31="لا خصم 0",AC31="تأخير −5",AC31="عجز −10",AC31="جودة −15",AC31="امتثال −20",AC31="مخالفة −25",AC31="")),"✗ قائمة U",IF(AND(X31="لا",AC31&lt;&gt;"",AC31&lt;&gt;"لا خصم 0"),"✗ خصم",IF(AND(X31="نعم",AC31="لا خصم 0"),"✗ خصم",IF(AND(Z31="ممتاز 100%",AA31="ممتاز 100%",AB31&lt;&gt;"",AB31&lt;&gt;"مكتمل 100%"),"✗ إغلاق",IFERROR(IF(LEN(_xlfn.TEXTJOIN("، ",TRUE,IF(E31="","التاريخ",""),IF(F31="","الوقت",""),IF(G31="","المركز",""),IF(H31="","الدائرة",""),IF(I31="","القسم",""),IF(J31="","المسؤول",""),IF(K31="","نوع النشاط",""),IF(L31="","المشروع",""),IF(N31="","الممول",""),IF(V31="","الموضوع",""),IF(W31="","الملاحظة",""),IF(X31="","مشكلة",""),IF(Y31="","الإجراء",""),IF(Z31="","التنفيذ",""),IF(AA31="","الجودة",""),IF(AB31="","الإغلاق",""),IF(AC31="","الخصم",""),IF(AND(COUNTA($O31:$U31)&gt;0,O31=""),"مدير المشروع",""),IF(AND(COUNTA($O31:$U31)&gt;0,P31=""),"المستفيدين",""),IF(AND(COUNTA($O31:$U31)&gt;0,Q31=""),"المناطق",""),IF(AND(COUNTA($O31:$U31)&gt;0,R31=""),"الميزانية",""),IF(AND(COUNTA($O31:$U31)&gt;0,S31=""),"نسبة الجاهزية",""),IF(AND(COUNTA($O31:$U31)&gt;0,T31=""),"حالة الجاهزية",""),IF(AND(COUNTA($O31:$U31)&gt;0,U31=""),"التوصيات","")))&gt;0,"✗ ناقص: "&amp;_xlfn.TEXTJOIN("، ",TRUE,IF(E31="","التاريخ",""),IF(F31="","الوقت",""),IF(G31="","المركز",""),IF(H31="","الدائرة",""),IF(I31="","القسم",""),IF(J31="","المسؤول",""),IF(K31="","نوع النشاط",""),IF(L31="","المشروع",""),IF(N31="","الممول",""),IF(V31="","الموضوع",""),IF(W31="","الملاحظة",""),IF(X31="","مشكلة",""),IF(Y31="","الإجراء",""),IF(Z31="","التنفيذ",""),IF(AA31="","الجودة",""),IF(AB31="","الإغلاق",""),IF(AC31="","الخصم",""),IF(AND(COUNTA($O31:$U31)&gt;0,O31=""),"مدير المشروع",""),IF(AND(COUNTA($O31:$U31)&gt;0,P31=""),"المستفيدين",""),IF(AND(COUNTA($O31:$U31)&gt;0,Q31=""),"المناطق",""),IF(AND(COUNTA($O31:$U31)&gt;0,R31=""),"الميزانية",""),IF(AND(COUNTA($O31:$U31)&gt;0,S31=""),"نسبة الجاهزية",""),IF(AND(COUNTA($O31:$U31)&gt;0,T31=""),"حالة الجاهزية",""),IF(AND(COUNTA($O31:$U31)&gt;0,U31=""),"التوصيات","")),"✓"),"✓"))))))))))</f>
        <v>✗ ناقص: الممول</v>
      </c>
      <c r="E31" s="235">
        <v>46126</v>
      </c>
      <c r="F31" s="236">
        <v>0.5625</v>
      </c>
      <c r="G31" s="90" t="s">
        <v>97</v>
      </c>
      <c r="H31" s="123" t="s">
        <v>102</v>
      </c>
      <c r="I31" s="89" t="s">
        <v>136</v>
      </c>
      <c r="J31" s="142" t="s">
        <v>276</v>
      </c>
      <c r="K31" s="90" t="s">
        <v>152</v>
      </c>
      <c r="L31" s="90" t="s">
        <v>136</v>
      </c>
      <c r="M31" s="90"/>
      <c r="N31" s="89"/>
      <c r="O31" s="200"/>
      <c r="P31" s="201"/>
      <c r="Q31" s="201"/>
      <c r="R31" s="237"/>
      <c r="S31" s="202"/>
      <c r="T31" s="200"/>
      <c r="U31" s="203"/>
      <c r="V31" s="89" t="s">
        <v>710</v>
      </c>
      <c r="W31" s="89" t="s">
        <v>711</v>
      </c>
      <c r="X31" s="145" t="s">
        <v>647</v>
      </c>
      <c r="Y31" s="89" t="s">
        <v>666</v>
      </c>
      <c r="Z31" s="90" t="s">
        <v>148</v>
      </c>
      <c r="AA31" s="90" t="s">
        <v>166</v>
      </c>
      <c r="AB31" s="90" t="s">
        <v>150</v>
      </c>
      <c r="AC31" s="90" t="s">
        <v>168</v>
      </c>
      <c r="AD31" s="92" t="s">
        <v>134</v>
      </c>
      <c r="AE31" s="149">
        <f>IFERROR(VLOOKUP(Z31,LISTS!$AL$2:$AM$1000,2,FALSE()),"")</f>
        <v>60</v>
      </c>
      <c r="AF31" s="151">
        <f>IFERROR(VLOOKUP(AA31,LISTS!$AO$2:$AP$1000,2,FALSE()),"")</f>
        <v>70</v>
      </c>
      <c r="AG31" s="152">
        <f>IFERROR(VLOOKUP(AB31,LISTS!$AR$2:$AS$1000,2,FALSE()),"")</f>
        <v>30</v>
      </c>
      <c r="AH31" s="154">
        <f>IFERROR(VLOOKUP(AC31,LISTS!$AU$2:$AV$1000,2,FALSE()),"")</f>
        <v>20</v>
      </c>
      <c r="AI31" s="238">
        <f t="shared" si="1"/>
        <v>34</v>
      </c>
      <c r="AJ31" s="190" t="str">
        <f t="shared" si="2"/>
        <v>🚨 خطر شديد</v>
      </c>
      <c r="AK31" s="157">
        <f t="shared" si="5"/>
        <v>4</v>
      </c>
      <c r="AL31" s="160">
        <f t="shared" si="6"/>
        <v>2026</v>
      </c>
      <c r="AM31" s="203"/>
      <c r="AN31" s="200"/>
    </row>
    <row r="32" spans="1:40" ht="27.95" customHeight="1">
      <c r="A32" s="134">
        <f>IF(I32&lt;&gt;"",COUNTA($I$2:I32),"")</f>
        <v>31</v>
      </c>
      <c r="B32" s="138" t="str">
        <f t="shared" si="7"/>
        <v>الثلاثاء</v>
      </c>
      <c r="C32" s="93" t="str">
        <f t="array" ref="C32">IF(E32="","",IF(M32&lt;&gt;"",
M32&amp;"/"&amp;SUMPRODUCT((M$2:M32=M32)*1)&amp;" - "&amp;(ROW()-2),
"إداري/"&amp;SUMPRODUCT((M$2:M32="")*1)&amp;" - "&amp;(ROW()-2)))</f>
        <v>إداري/30 - 30</v>
      </c>
      <c r="D32" s="141" t="str">
        <f>IF(AND(G32="",H32="",I32=""),"",IF(COUNTIFS(LISTS!$A$2:$A$67,G32,LISTS!$B$2:$B$67,H32,LISTS!$C$2:$C$67,I32)=0,"✗ هرم",IF(NOT(OR(Z32="ممتاز 100%",Z32="جيد 80%",Z32="مقبول 60%",Z32="خطر 40%",Z32="")),"✗ قائمة R",IF(NOT(OR(AA32="ممتاز 100%",AA32="جيد 85%",AA32="مقبول 70%",AA32="ضعيف 50%",AA32="")),"✗ قائمة S",IF(NOT(OR(AB32="مكتمل 100%",AB32="جزئي 60%",AB32="معلق 30%",AB32="مفتوح 0%",AB32="")),"✗ قائمة T",IF(NOT(OR(AC32="لا خصم 0",AC32="تأخير −5",AC32="عجز −10",AC32="جودة −15",AC32="امتثال −20",AC32="مخالفة −25",AC32="")),"✗ قائمة U",IF(AND(X32="لا",AC32&lt;&gt;"",AC32&lt;&gt;"لا خصم 0"),"✗ خصم",IF(AND(X32="نعم",AC32="لا خصم 0"),"✗ خصم",IF(AND(Z32="ممتاز 100%",AA32="ممتاز 100%",AB32&lt;&gt;"",AB32&lt;&gt;"مكتمل 100%"),"✗ إغلاق",IFERROR(IF(LEN(_xlfn.TEXTJOIN("، ",TRUE,IF(E32="","التاريخ",""),IF(F32="","الوقت",""),IF(G32="","المركز",""),IF(H32="","الدائرة",""),IF(I32="","القسم",""),IF(J32="","المسؤول",""),IF(K32="","نوع النشاط",""),IF(L32="","المشروع",""),IF(N32="","الممول",""),IF(V32="","الموضوع",""),IF(W32="","الملاحظة",""),IF(X32="","مشكلة",""),IF(Y32="","الإجراء",""),IF(Z32="","التنفيذ",""),IF(AA32="","الجودة",""),IF(AB32="","الإغلاق",""),IF(AC32="","الخصم",""),IF(AND(COUNTA($O32:$U32)&gt;0,O32=""),"مدير المشروع",""),IF(AND(COUNTA($O32:$U32)&gt;0,P32=""),"المستفيدين",""),IF(AND(COUNTA($O32:$U32)&gt;0,Q32=""),"المناطق",""),IF(AND(COUNTA($O32:$U32)&gt;0,R32=""),"الميزانية",""),IF(AND(COUNTA($O32:$U32)&gt;0,S32=""),"نسبة الجاهزية",""),IF(AND(COUNTA($O32:$U32)&gt;0,T32=""),"حالة الجاهزية",""),IF(AND(COUNTA($O32:$U32)&gt;0,U32=""),"التوصيات","")))&gt;0,"✗ ناقص: "&amp;_xlfn.TEXTJOIN("، ",TRUE,IF(E32="","التاريخ",""),IF(F32="","الوقت",""),IF(G32="","المركز",""),IF(H32="","الدائرة",""),IF(I32="","القسم",""),IF(J32="","المسؤول",""),IF(K32="","نوع النشاط",""),IF(L32="","المشروع",""),IF(N32="","الممول",""),IF(V32="","الموضوع",""),IF(W32="","الملاحظة",""),IF(X32="","مشكلة",""),IF(Y32="","الإجراء",""),IF(Z32="","التنفيذ",""),IF(AA32="","الجودة",""),IF(AB32="","الإغلاق",""),IF(AC32="","الخصم",""),IF(AND(COUNTA($O32:$U32)&gt;0,O32=""),"مدير المشروع",""),IF(AND(COUNTA($O32:$U32)&gt;0,P32=""),"المستفيدين",""),IF(AND(COUNTA($O32:$U32)&gt;0,Q32=""),"المناطق",""),IF(AND(COUNTA($O32:$U32)&gt;0,R32=""),"الميزانية",""),IF(AND(COUNTA($O32:$U32)&gt;0,S32=""),"نسبة الجاهزية",""),IF(AND(COUNTA($O32:$U32)&gt;0,T32=""),"حالة الجاهزية",""),IF(AND(COUNTA($O32:$U32)&gt;0,U32=""),"التوصيات","")),"✓"),"✓"))))))))))</f>
        <v>✗ ناقص: الممول</v>
      </c>
      <c r="E32" s="235">
        <v>46126</v>
      </c>
      <c r="F32" s="236">
        <v>0.5625</v>
      </c>
      <c r="G32" s="90" t="s">
        <v>97</v>
      </c>
      <c r="H32" s="123" t="s">
        <v>102</v>
      </c>
      <c r="I32" s="89" t="s">
        <v>136</v>
      </c>
      <c r="J32" s="142" t="s">
        <v>276</v>
      </c>
      <c r="K32" s="90" t="s">
        <v>152</v>
      </c>
      <c r="L32" s="90" t="s">
        <v>136</v>
      </c>
      <c r="M32" s="90"/>
      <c r="N32" s="89"/>
      <c r="O32" s="200"/>
      <c r="P32" s="201"/>
      <c r="Q32" s="201"/>
      <c r="R32" s="237"/>
      <c r="S32" s="202"/>
      <c r="T32" s="200"/>
      <c r="U32" s="203"/>
      <c r="V32" s="89" t="s">
        <v>712</v>
      </c>
      <c r="W32" s="89" t="s">
        <v>713</v>
      </c>
      <c r="X32" s="145" t="s">
        <v>647</v>
      </c>
      <c r="Y32" s="89" t="s">
        <v>682</v>
      </c>
      <c r="Z32" s="90" t="s">
        <v>181</v>
      </c>
      <c r="AA32" s="90" t="s">
        <v>182</v>
      </c>
      <c r="AB32" s="90" t="s">
        <v>150</v>
      </c>
      <c r="AC32" s="90" t="s">
        <v>151</v>
      </c>
      <c r="AD32" s="91" t="s">
        <v>134</v>
      </c>
      <c r="AE32" s="149">
        <f>IFERROR(VLOOKUP(Z32,LISTS!$AL$2:$AM$1000,2,FALSE()),"")</f>
        <v>40</v>
      </c>
      <c r="AF32" s="151">
        <f>IFERROR(VLOOKUP(AA32,LISTS!$AO$2:$AP$1000,2,FALSE()),"")</f>
        <v>50</v>
      </c>
      <c r="AG32" s="152">
        <f>IFERROR(VLOOKUP(AB32,LISTS!$AR$2:$AS$1000,2,FALSE()),"")</f>
        <v>30</v>
      </c>
      <c r="AH32" s="154">
        <f>IFERROR(VLOOKUP(AC32,LISTS!$AU$2:$AV$1000,2,FALSE()),"")</f>
        <v>25</v>
      </c>
      <c r="AI32" s="238">
        <f t="shared" si="1"/>
        <v>15</v>
      </c>
      <c r="AJ32" s="190" t="str">
        <f t="shared" si="2"/>
        <v>🚨 خطر شديد</v>
      </c>
      <c r="AK32" s="157">
        <f t="shared" si="5"/>
        <v>4</v>
      </c>
      <c r="AL32" s="160">
        <f t="shared" si="6"/>
        <v>2026</v>
      </c>
      <c r="AM32" s="203"/>
      <c r="AN32" s="200"/>
    </row>
    <row r="33" spans="1:40" ht="27.95" customHeight="1">
      <c r="A33" s="134">
        <f>IF(I33&lt;&gt;"",COUNTA($I$2:I33),"")</f>
        <v>32</v>
      </c>
      <c r="B33" s="138" t="str">
        <f t="shared" si="7"/>
        <v>الثلاثاء</v>
      </c>
      <c r="C33" s="93" t="str">
        <f t="array" ref="C33">IF(E33="","",IF(M33&lt;&gt;"",
M33&amp;"/"&amp;SUMPRODUCT((M$2:M33=M33)*1)&amp;" - "&amp;(ROW()-2),
"إداري/"&amp;SUMPRODUCT((M$2:M33="")*1)&amp;" - "&amp;(ROW()-2)))</f>
        <v>إداري/31 - 31</v>
      </c>
      <c r="D33" s="141" t="str">
        <f>IF(AND(G33="",H33="",I33=""),"",IF(COUNTIFS(LISTS!$A$2:$A$67,G33,LISTS!$B$2:$B$67,H33,LISTS!$C$2:$C$67,I33)=0,"✗ هرم",IF(NOT(OR(Z33="ممتاز 100%",Z33="جيد 80%",Z33="مقبول 60%",Z33="خطر 40%",Z33="")),"✗ قائمة R",IF(NOT(OR(AA33="ممتاز 100%",AA33="جيد 85%",AA33="مقبول 70%",AA33="ضعيف 50%",AA33="")),"✗ قائمة S",IF(NOT(OR(AB33="مكتمل 100%",AB33="جزئي 60%",AB33="معلق 30%",AB33="مفتوح 0%",AB33="")),"✗ قائمة T",IF(NOT(OR(AC33="لا خصم 0",AC33="تأخير −5",AC33="عجز −10",AC33="جودة −15",AC33="امتثال −20",AC33="مخالفة −25",AC33="")),"✗ قائمة U",IF(AND(X33="لا",AC33&lt;&gt;"",AC33&lt;&gt;"لا خصم 0"),"✗ خصم",IF(AND(X33="نعم",AC33="لا خصم 0"),"✗ خصم",IF(AND(Z33="ممتاز 100%",AA33="ممتاز 100%",AB33&lt;&gt;"",AB33&lt;&gt;"مكتمل 100%"),"✗ إغلاق",IFERROR(IF(LEN(_xlfn.TEXTJOIN("، ",TRUE,IF(E33="","التاريخ",""),IF(F33="","الوقت",""),IF(G33="","المركز",""),IF(H33="","الدائرة",""),IF(I33="","القسم",""),IF(J33="","المسؤول",""),IF(K33="","نوع النشاط",""),IF(L33="","المشروع",""),IF(N33="","الممول",""),IF(V33="","الموضوع",""),IF(W33="","الملاحظة",""),IF(X33="","مشكلة",""),IF(Y33="","الإجراء",""),IF(Z33="","التنفيذ",""),IF(AA33="","الجودة",""),IF(AB33="","الإغلاق",""),IF(AC33="","الخصم",""),IF(AND(COUNTA($O33:$U33)&gt;0,O33=""),"مدير المشروع",""),IF(AND(COUNTA($O33:$U33)&gt;0,P33=""),"المستفيدين",""),IF(AND(COUNTA($O33:$U33)&gt;0,Q33=""),"المناطق",""),IF(AND(COUNTA($O33:$U33)&gt;0,R33=""),"الميزانية",""),IF(AND(COUNTA($O33:$U33)&gt;0,S33=""),"نسبة الجاهزية",""),IF(AND(COUNTA($O33:$U33)&gt;0,T33=""),"حالة الجاهزية",""),IF(AND(COUNTA($O33:$U33)&gt;0,U33=""),"التوصيات","")))&gt;0,"✗ ناقص: "&amp;_xlfn.TEXTJOIN("، ",TRUE,IF(E33="","التاريخ",""),IF(F33="","الوقت",""),IF(G33="","المركز",""),IF(H33="","الدائرة",""),IF(I33="","القسم",""),IF(J33="","المسؤول",""),IF(K33="","نوع النشاط",""),IF(L33="","المشروع",""),IF(N33="","الممول",""),IF(V33="","الموضوع",""),IF(W33="","الملاحظة",""),IF(X33="","مشكلة",""),IF(Y33="","الإجراء",""),IF(Z33="","التنفيذ",""),IF(AA33="","الجودة",""),IF(AB33="","الإغلاق",""),IF(AC33="","الخصم",""),IF(AND(COUNTA($O33:$U33)&gt;0,O33=""),"مدير المشروع",""),IF(AND(COUNTA($O33:$U33)&gt;0,P33=""),"المستفيدين",""),IF(AND(COUNTA($O33:$U33)&gt;0,Q33=""),"المناطق",""),IF(AND(COUNTA($O33:$U33)&gt;0,R33=""),"الميزانية",""),IF(AND(COUNTA($O33:$U33)&gt;0,S33=""),"نسبة الجاهزية",""),IF(AND(COUNTA($O33:$U33)&gt;0,T33=""),"حالة الجاهزية",""),IF(AND(COUNTA($O33:$U33)&gt;0,U33=""),"التوصيات","")),"✓"),"✓"))))))))))</f>
        <v>✗ ناقص: الممول</v>
      </c>
      <c r="E33" s="235">
        <v>46126</v>
      </c>
      <c r="F33" s="236">
        <v>0.5625</v>
      </c>
      <c r="G33" s="90" t="s">
        <v>97</v>
      </c>
      <c r="H33" s="123" t="s">
        <v>102</v>
      </c>
      <c r="I33" s="89" t="s">
        <v>136</v>
      </c>
      <c r="J33" s="142" t="s">
        <v>714</v>
      </c>
      <c r="K33" s="90" t="s">
        <v>152</v>
      </c>
      <c r="L33" s="90" t="s">
        <v>136</v>
      </c>
      <c r="M33" s="90"/>
      <c r="N33" s="89"/>
      <c r="O33" s="200"/>
      <c r="P33" s="201"/>
      <c r="Q33" s="201"/>
      <c r="R33" s="237"/>
      <c r="S33" s="202"/>
      <c r="T33" s="200"/>
      <c r="U33" s="203"/>
      <c r="V33" s="89" t="s">
        <v>715</v>
      </c>
      <c r="W33" s="89" t="s">
        <v>716</v>
      </c>
      <c r="X33" s="145" t="s">
        <v>647</v>
      </c>
      <c r="Y33" s="89" t="s">
        <v>682</v>
      </c>
      <c r="Z33" s="90" t="s">
        <v>181</v>
      </c>
      <c r="AA33" s="90" t="s">
        <v>182</v>
      </c>
      <c r="AB33" s="90" t="s">
        <v>150</v>
      </c>
      <c r="AC33" s="90" t="s">
        <v>151</v>
      </c>
      <c r="AD33" s="92" t="s">
        <v>26</v>
      </c>
      <c r="AE33" s="149">
        <f>IFERROR(VLOOKUP(Z33,LISTS!$AL$2:$AM$1000,2,FALSE()),"")</f>
        <v>40</v>
      </c>
      <c r="AF33" s="151">
        <f>IFERROR(VLOOKUP(AA33,LISTS!$AO$2:$AP$1000,2,FALSE()),"")</f>
        <v>50</v>
      </c>
      <c r="AG33" s="152">
        <f>IFERROR(VLOOKUP(AB33,LISTS!$AR$2:$AS$1000,2,FALSE()),"")</f>
        <v>30</v>
      </c>
      <c r="AH33" s="154">
        <f>IFERROR(VLOOKUP(AC33,LISTS!$AU$2:$AV$1000,2,FALSE()),"")</f>
        <v>25</v>
      </c>
      <c r="AI33" s="238">
        <f t="shared" si="1"/>
        <v>15</v>
      </c>
      <c r="AJ33" s="190" t="str">
        <f t="shared" si="2"/>
        <v>🚨 خطر شديد</v>
      </c>
      <c r="AK33" s="157">
        <f t="shared" si="5"/>
        <v>4</v>
      </c>
      <c r="AL33" s="160">
        <f t="shared" si="6"/>
        <v>2026</v>
      </c>
      <c r="AM33" s="203"/>
      <c r="AN33" s="200"/>
    </row>
    <row r="34" spans="1:40" ht="27.95" customHeight="1">
      <c r="A34" s="134">
        <f>IF(I34&lt;&gt;"",COUNTA($I$2:I34),"")</f>
        <v>33</v>
      </c>
      <c r="B34" s="138" t="str">
        <f t="shared" si="7"/>
        <v>الثلاثاء</v>
      </c>
      <c r="C34" s="93" t="str">
        <f t="array" ref="C34">IF(E34="","",IF(M34&lt;&gt;"",
M34&amp;"/"&amp;SUMPRODUCT((M$2:M34=M34)*1)&amp;" - "&amp;(ROW()-2),
"إداري/"&amp;SUMPRODUCT((M$2:M34="")*1)&amp;" - "&amp;(ROW()-2)))</f>
        <v>إداري/32 - 32</v>
      </c>
      <c r="D34" s="141" t="str">
        <f>IF(AND(G34="",H34="",I34=""),"",IF(COUNTIFS(LISTS!$A$2:$A$67,G34,LISTS!$B$2:$B$67,H34,LISTS!$C$2:$C$67,I34)=0,"✗ هرم",IF(NOT(OR(Z34="ممتاز 100%",Z34="جيد 80%",Z34="مقبول 60%",Z34="خطر 40%",Z34="")),"✗ قائمة R",IF(NOT(OR(AA34="ممتاز 100%",AA34="جيد 85%",AA34="مقبول 70%",AA34="ضعيف 50%",AA34="")),"✗ قائمة S",IF(NOT(OR(AB34="مكتمل 100%",AB34="جزئي 60%",AB34="معلق 30%",AB34="مفتوح 0%",AB34="")),"✗ قائمة T",IF(NOT(OR(AC34="لا خصم 0",AC34="تأخير −5",AC34="عجز −10",AC34="جودة −15",AC34="امتثال −20",AC34="مخالفة −25",AC34="")),"✗ قائمة U",IF(AND(X34="لا",AC34&lt;&gt;"",AC34&lt;&gt;"لا خصم 0"),"✗ خصم",IF(AND(X34="نعم",AC34="لا خصم 0"),"✗ خصم",IF(AND(Z34="ممتاز 100%",AA34="ممتاز 100%",AB34&lt;&gt;"",AB34&lt;&gt;"مكتمل 100%"),"✗ إغلاق",IFERROR(IF(LEN(_xlfn.TEXTJOIN("، ",TRUE,IF(E34="","التاريخ",""),IF(F34="","الوقت",""),IF(G34="","المركز",""),IF(H34="","الدائرة",""),IF(I34="","القسم",""),IF(J34="","المسؤول",""),IF(K34="","نوع النشاط",""),IF(L34="","المشروع",""),IF(N34="","الممول",""),IF(V34="","الموضوع",""),IF(W34="","الملاحظة",""),IF(X34="","مشكلة",""),IF(Y34="","الإجراء",""),IF(Z34="","التنفيذ",""),IF(AA34="","الجودة",""),IF(AB34="","الإغلاق",""),IF(AC34="","الخصم",""),IF(AND(COUNTA($O34:$U34)&gt;0,O34=""),"مدير المشروع",""),IF(AND(COUNTA($O34:$U34)&gt;0,P34=""),"المستفيدين",""),IF(AND(COUNTA($O34:$U34)&gt;0,Q34=""),"المناطق",""),IF(AND(COUNTA($O34:$U34)&gt;0,R34=""),"الميزانية",""),IF(AND(COUNTA($O34:$U34)&gt;0,S34=""),"نسبة الجاهزية",""),IF(AND(COUNTA($O34:$U34)&gt;0,T34=""),"حالة الجاهزية",""),IF(AND(COUNTA($O34:$U34)&gt;0,U34=""),"التوصيات","")))&gt;0,"✗ ناقص: "&amp;_xlfn.TEXTJOIN("، ",TRUE,IF(E34="","التاريخ",""),IF(F34="","الوقت",""),IF(G34="","المركز",""),IF(H34="","الدائرة",""),IF(I34="","القسم",""),IF(J34="","المسؤول",""),IF(K34="","نوع النشاط",""),IF(L34="","المشروع",""),IF(N34="","الممول",""),IF(V34="","الموضوع",""),IF(W34="","الملاحظة",""),IF(X34="","مشكلة",""),IF(Y34="","الإجراء",""),IF(Z34="","التنفيذ",""),IF(AA34="","الجودة",""),IF(AB34="","الإغلاق",""),IF(AC34="","الخصم",""),IF(AND(COUNTA($O34:$U34)&gt;0,O34=""),"مدير المشروع",""),IF(AND(COUNTA($O34:$U34)&gt;0,P34=""),"المستفيدين",""),IF(AND(COUNTA($O34:$U34)&gt;0,Q34=""),"المناطق",""),IF(AND(COUNTA($O34:$U34)&gt;0,R34=""),"الميزانية",""),IF(AND(COUNTA($O34:$U34)&gt;0,S34=""),"نسبة الجاهزية",""),IF(AND(COUNTA($O34:$U34)&gt;0,T34=""),"حالة الجاهزية",""),IF(AND(COUNTA($O34:$U34)&gt;0,U34=""),"التوصيات","")),"✓"),"✓"))))))))))</f>
        <v>✗ ناقص: الممول</v>
      </c>
      <c r="E34" s="235">
        <v>46126</v>
      </c>
      <c r="F34" s="236">
        <v>0.5625</v>
      </c>
      <c r="G34" s="90" t="s">
        <v>97</v>
      </c>
      <c r="H34" s="123" t="s">
        <v>102</v>
      </c>
      <c r="I34" s="89" t="s">
        <v>136</v>
      </c>
      <c r="J34" s="142" t="s">
        <v>230</v>
      </c>
      <c r="K34" s="90" t="s">
        <v>152</v>
      </c>
      <c r="L34" s="90" t="s">
        <v>136</v>
      </c>
      <c r="M34" s="90"/>
      <c r="N34" s="89"/>
      <c r="O34" s="200"/>
      <c r="P34" s="201"/>
      <c r="Q34" s="201"/>
      <c r="R34" s="237"/>
      <c r="S34" s="202"/>
      <c r="T34" s="200"/>
      <c r="U34" s="203"/>
      <c r="V34" s="89" t="s">
        <v>710</v>
      </c>
      <c r="W34" s="89" t="s">
        <v>711</v>
      </c>
      <c r="X34" s="145" t="s">
        <v>647</v>
      </c>
      <c r="Y34" s="89" t="s">
        <v>666</v>
      </c>
      <c r="Z34" s="90" t="s">
        <v>148</v>
      </c>
      <c r="AA34" s="90" t="s">
        <v>166</v>
      </c>
      <c r="AB34" s="90" t="s">
        <v>150</v>
      </c>
      <c r="AC34" s="90" t="s">
        <v>168</v>
      </c>
      <c r="AD34" s="91" t="s">
        <v>26</v>
      </c>
      <c r="AE34" s="149">
        <f>IFERROR(VLOOKUP(Z34,LISTS!$AL$2:$AM$1000,2,FALSE()),"")</f>
        <v>60</v>
      </c>
      <c r="AF34" s="151">
        <f>IFERROR(VLOOKUP(AA34,LISTS!$AO$2:$AP$1000,2,FALSE()),"")</f>
        <v>70</v>
      </c>
      <c r="AG34" s="152">
        <f>IFERROR(VLOOKUP(AB34,LISTS!$AR$2:$AS$1000,2,FALSE()),"")</f>
        <v>30</v>
      </c>
      <c r="AH34" s="154">
        <f>IFERROR(VLOOKUP(AC34,LISTS!$AU$2:$AV$1000,2,FALSE()),"")</f>
        <v>20</v>
      </c>
      <c r="AI34" s="238">
        <f t="shared" si="1"/>
        <v>34</v>
      </c>
      <c r="AJ34" s="190" t="str">
        <f t="shared" si="2"/>
        <v>🚨 خطر شديد</v>
      </c>
      <c r="AK34" s="157">
        <f t="shared" si="5"/>
        <v>4</v>
      </c>
      <c r="AL34" s="160">
        <f t="shared" si="6"/>
        <v>2026</v>
      </c>
      <c r="AM34" s="203"/>
      <c r="AN34" s="200"/>
    </row>
    <row r="35" spans="1:40" ht="27.95" customHeight="1">
      <c r="A35" s="134">
        <f>IF(I35&lt;&gt;"",COUNTA($I$2:I35),"")</f>
        <v>34</v>
      </c>
      <c r="B35" s="138" t="str">
        <f t="shared" si="7"/>
        <v>الثلاثاء</v>
      </c>
      <c r="C35" s="93" t="str">
        <f t="array" ref="C35">IF(E35="","",IF(M35&lt;&gt;"",
M35&amp;"/"&amp;SUMPRODUCT((M$2:M35=M35)*1)&amp;" - "&amp;(ROW()-2),
"إداري/"&amp;SUMPRODUCT((M$2:M35="")*1)&amp;" - "&amp;(ROW()-2)))</f>
        <v>100/1 - 33</v>
      </c>
      <c r="D35" s="141" t="str">
        <f>IF(AND(G35="",H35="",I35=""),"",IF(COUNTIFS(LISTS!$A$2:$A$67,G35,LISTS!$B$2:$B$67,H35,LISTS!$C$2:$C$67,I35)=0,"✗ هرم",IF(NOT(OR(Z35="ممتاز 100%",Z35="جيد 80%",Z35="مقبول 60%",Z35="خطر 40%",Z35="")),"✗ قائمة R",IF(NOT(OR(AA35="ممتاز 100%",AA35="جيد 85%",AA35="مقبول 70%",AA35="ضعيف 50%",AA35="")),"✗ قائمة S",IF(NOT(OR(AB35="مكتمل 100%",AB35="جزئي 60%",AB35="معلق 30%",AB35="مفتوح 0%",AB35="")),"✗ قائمة T",IF(NOT(OR(AC35="لا خصم 0",AC35="تأخير −5",AC35="عجز −10",AC35="جودة −15",AC35="امتثال −20",AC35="مخالفة −25",AC35="")),"✗ قائمة U",IF(AND(X35="لا",AC35&lt;&gt;"",AC35&lt;&gt;"لا خصم 0"),"✗ خصم",IF(AND(X35="نعم",AC35="لا خصم 0"),"✗ خصم",IF(AND(Z35="ممتاز 100%",AA35="ممتاز 100%",AB35&lt;&gt;"",AB35&lt;&gt;"مكتمل 100%"),"✗ إغلاق",IFERROR(IF(LEN(_xlfn.TEXTJOIN("، ",TRUE,IF(E35="","التاريخ",""),IF(F35="","الوقت",""),IF(G35="","المركز",""),IF(H35="","الدائرة",""),IF(I35="","القسم",""),IF(J35="","المسؤول",""),IF(K35="","نوع النشاط",""),IF(L35="","المشروع",""),IF(N35="","الممول",""),IF(V35="","الموضوع",""),IF(W35="","الملاحظة",""),IF(X35="","مشكلة",""),IF(Y35="","الإجراء",""),IF(Z35="","التنفيذ",""),IF(AA35="","الجودة",""),IF(AB35="","الإغلاق",""),IF(AC35="","الخصم",""),IF(AND(COUNTA($O35:$U35)&gt;0,O35=""),"مدير المشروع",""),IF(AND(COUNTA($O35:$U35)&gt;0,P35=""),"المستفيدين",""),IF(AND(COUNTA($O35:$U35)&gt;0,Q35=""),"المناطق",""),IF(AND(COUNTA($O35:$U35)&gt;0,R35=""),"الميزانية",""),IF(AND(COUNTA($O35:$U35)&gt;0,S35=""),"نسبة الجاهزية",""),IF(AND(COUNTA($O35:$U35)&gt;0,T35=""),"حالة الجاهزية",""),IF(AND(COUNTA($O35:$U35)&gt;0,U35=""),"التوصيات","")))&gt;0,"✗ ناقص: "&amp;_xlfn.TEXTJOIN("، ",TRUE,IF(E35="","التاريخ",""),IF(F35="","الوقت",""),IF(G35="","المركز",""),IF(H35="","الدائرة",""),IF(I35="","القسم",""),IF(J35="","المسؤول",""),IF(K35="","نوع النشاط",""),IF(L35="","المشروع",""),IF(N35="","الممول",""),IF(V35="","الموضوع",""),IF(W35="","الملاحظة",""),IF(X35="","مشكلة",""),IF(Y35="","الإجراء",""),IF(Z35="","التنفيذ",""),IF(AA35="","الجودة",""),IF(AB35="","الإغلاق",""),IF(AC35="","الخصم",""),IF(AND(COUNTA($O35:$U35)&gt;0,O35=""),"مدير المشروع",""),IF(AND(COUNTA($O35:$U35)&gt;0,P35=""),"المستفيدين",""),IF(AND(COUNTA($O35:$U35)&gt;0,Q35=""),"المناطق",""),IF(AND(COUNTA($O35:$U35)&gt;0,R35=""),"الميزانية",""),IF(AND(COUNTA($O35:$U35)&gt;0,S35=""),"نسبة الجاهزية",""),IF(AND(COUNTA($O35:$U35)&gt;0,T35=""),"حالة الجاهزية",""),IF(AND(COUNTA($O35:$U35)&gt;0,U35=""),"التوصيات","")),"✓"),"✓"))))))))))</f>
        <v>✗ ناقص: الممول</v>
      </c>
      <c r="E35" s="235">
        <v>46126</v>
      </c>
      <c r="F35" s="236">
        <v>0.5625</v>
      </c>
      <c r="G35" s="90" t="s">
        <v>97</v>
      </c>
      <c r="H35" s="123" t="s">
        <v>102</v>
      </c>
      <c r="I35" s="89" t="s">
        <v>136</v>
      </c>
      <c r="J35" s="142" t="s">
        <v>208</v>
      </c>
      <c r="K35" s="90" t="s">
        <v>152</v>
      </c>
      <c r="L35" s="90" t="s">
        <v>136</v>
      </c>
      <c r="M35" s="90">
        <v>100</v>
      </c>
      <c r="N35" s="89"/>
      <c r="O35" s="200"/>
      <c r="P35" s="201"/>
      <c r="Q35" s="201"/>
      <c r="R35" s="237"/>
      <c r="S35" s="202"/>
      <c r="T35" s="200"/>
      <c r="U35" s="203"/>
      <c r="V35" s="89" t="s">
        <v>712</v>
      </c>
      <c r="W35" s="89" t="s">
        <v>717</v>
      </c>
      <c r="X35" s="145" t="s">
        <v>647</v>
      </c>
      <c r="Y35" s="89" t="s">
        <v>682</v>
      </c>
      <c r="Z35" s="90" t="s">
        <v>181</v>
      </c>
      <c r="AA35" s="90" t="s">
        <v>182</v>
      </c>
      <c r="AB35" s="90" t="s">
        <v>150</v>
      </c>
      <c r="AC35" s="90" t="s">
        <v>151</v>
      </c>
      <c r="AD35" s="92" t="s">
        <v>26</v>
      </c>
      <c r="AE35" s="149">
        <f>IFERROR(VLOOKUP(Z35,LISTS!$AL$2:$AM$1000,2,FALSE()),"")</f>
        <v>40</v>
      </c>
      <c r="AF35" s="151">
        <f>IFERROR(VLOOKUP(AA35,LISTS!$AO$2:$AP$1000,2,FALSE()),"")</f>
        <v>50</v>
      </c>
      <c r="AG35" s="152">
        <f>IFERROR(VLOOKUP(AB35,LISTS!$AR$2:$AS$1000,2,FALSE()),"")</f>
        <v>30</v>
      </c>
      <c r="AH35" s="154">
        <f>IFERROR(VLOOKUP(AC35,LISTS!$AU$2:$AV$1000,2,FALSE()),"")</f>
        <v>25</v>
      </c>
      <c r="AI35" s="238">
        <f t="shared" si="1"/>
        <v>15</v>
      </c>
      <c r="AJ35" s="190" t="str">
        <f t="shared" si="2"/>
        <v>🚨 خطر شديد</v>
      </c>
      <c r="AK35" s="157">
        <f t="shared" si="5"/>
        <v>4</v>
      </c>
      <c r="AL35" s="160">
        <f t="shared" si="6"/>
        <v>2026</v>
      </c>
      <c r="AM35" s="203"/>
      <c r="AN35" s="200"/>
    </row>
    <row r="36" spans="1:40" ht="27.95" customHeight="1">
      <c r="A36" s="134">
        <f>IF(I36&lt;&gt;"",COUNTA($I$2:I36),"")</f>
        <v>35</v>
      </c>
      <c r="B36" s="138" t="str">
        <f t="shared" si="7"/>
        <v>الثلاثاء</v>
      </c>
      <c r="C36" s="93" t="str">
        <f t="array" ref="C36">IF(E36="","",IF(M36&lt;&gt;"",
M36&amp;"/"&amp;SUMPRODUCT((M$2:M36=M36)*1)&amp;" - "&amp;(ROW()-2),
"إداري/"&amp;SUMPRODUCT((M$2:M36="")*1)&amp;" - "&amp;(ROW()-2)))</f>
        <v>إداري/33 - 34</v>
      </c>
      <c r="D36" s="141" t="str">
        <f>IF(AND(G36="",H36="",I36=""),"",IF(COUNTIFS(LISTS!$A$2:$A$67,G36,LISTS!$B$2:$B$67,H36,LISTS!$C$2:$C$67,I36)=0,"✗ هرم",IF(NOT(OR(Z36="ممتاز 100%",Z36="جيد 80%",Z36="مقبول 60%",Z36="خطر 40%",Z36="")),"✗ قائمة R",IF(NOT(OR(AA36="ممتاز 100%",AA36="جيد 85%",AA36="مقبول 70%",AA36="ضعيف 50%",AA36="")),"✗ قائمة S",IF(NOT(OR(AB36="مكتمل 100%",AB36="جزئي 60%",AB36="معلق 30%",AB36="مفتوح 0%",AB36="")),"✗ قائمة T",IF(NOT(OR(AC36="لا خصم 0",AC36="تأخير −5",AC36="عجز −10",AC36="جودة −15",AC36="امتثال −20",AC36="مخالفة −25",AC36="")),"✗ قائمة U",IF(AND(X36="لا",AC36&lt;&gt;"",AC36&lt;&gt;"لا خصم 0"),"✗ خصم",IF(AND(X36="نعم",AC36="لا خصم 0"),"✗ خصم",IF(AND(Z36="ممتاز 100%",AA36="ممتاز 100%",AB36&lt;&gt;"",AB36&lt;&gt;"مكتمل 100%"),"✗ إغلاق",IFERROR(IF(LEN(_xlfn.TEXTJOIN("، ",TRUE,IF(E36="","التاريخ",""),IF(F36="","الوقت",""),IF(G36="","المركز",""),IF(H36="","الدائرة",""),IF(I36="","القسم",""),IF(J36="","المسؤول",""),IF(K36="","نوع النشاط",""),IF(L36="","المشروع",""),IF(N36="","الممول",""),IF(V36="","الموضوع",""),IF(W36="","الملاحظة",""),IF(X36="","مشكلة",""),IF(Y36="","الإجراء",""),IF(Z36="","التنفيذ",""),IF(AA36="","الجودة",""),IF(AB36="","الإغلاق",""),IF(AC36="","الخصم",""),IF(AND(COUNTA($O36:$U36)&gt;0,O36=""),"مدير المشروع",""),IF(AND(COUNTA($O36:$U36)&gt;0,P36=""),"المستفيدين",""),IF(AND(COUNTA($O36:$U36)&gt;0,Q36=""),"المناطق",""),IF(AND(COUNTA($O36:$U36)&gt;0,R36=""),"الميزانية",""),IF(AND(COUNTA($O36:$U36)&gt;0,S36=""),"نسبة الجاهزية",""),IF(AND(COUNTA($O36:$U36)&gt;0,T36=""),"حالة الجاهزية",""),IF(AND(COUNTA($O36:$U36)&gt;0,U36=""),"التوصيات","")))&gt;0,"✗ ناقص: "&amp;_xlfn.TEXTJOIN("، ",TRUE,IF(E36="","التاريخ",""),IF(F36="","الوقت",""),IF(G36="","المركز",""),IF(H36="","الدائرة",""),IF(I36="","القسم",""),IF(J36="","المسؤول",""),IF(K36="","نوع النشاط",""),IF(L36="","المشروع",""),IF(N36="","الممول",""),IF(V36="","الموضوع",""),IF(W36="","الملاحظة",""),IF(X36="","مشكلة",""),IF(Y36="","الإجراء",""),IF(Z36="","التنفيذ",""),IF(AA36="","الجودة",""),IF(AB36="","الإغلاق",""),IF(AC36="","الخصم",""),IF(AND(COUNTA($O36:$U36)&gt;0,O36=""),"مدير المشروع",""),IF(AND(COUNTA($O36:$U36)&gt;0,P36=""),"المستفيدين",""),IF(AND(COUNTA($O36:$U36)&gt;0,Q36=""),"المناطق",""),IF(AND(COUNTA($O36:$U36)&gt;0,R36=""),"الميزانية",""),IF(AND(COUNTA($O36:$U36)&gt;0,S36=""),"نسبة الجاهزية",""),IF(AND(COUNTA($O36:$U36)&gt;0,T36=""),"حالة الجاهزية",""),IF(AND(COUNTA($O36:$U36)&gt;0,U36=""),"التوصيات","")),"✓"),"✓"))))))))))</f>
        <v>✗ ناقص: الممول</v>
      </c>
      <c r="E36" s="235">
        <v>46126</v>
      </c>
      <c r="F36" s="236">
        <v>0.4548611111111111</v>
      </c>
      <c r="G36" s="90" t="s">
        <v>97</v>
      </c>
      <c r="H36" s="123" t="s">
        <v>102</v>
      </c>
      <c r="I36" s="89" t="s">
        <v>175</v>
      </c>
      <c r="J36" s="142" t="s">
        <v>170</v>
      </c>
      <c r="K36" s="90" t="s">
        <v>116</v>
      </c>
      <c r="L36" s="90" t="s">
        <v>339</v>
      </c>
      <c r="M36" s="90"/>
      <c r="N36" s="89"/>
      <c r="O36" s="200"/>
      <c r="P36" s="201"/>
      <c r="Q36" s="201"/>
      <c r="R36" s="237"/>
      <c r="S36" s="202"/>
      <c r="T36" s="200"/>
      <c r="U36" s="203"/>
      <c r="V36" s="89" t="s">
        <v>718</v>
      </c>
      <c r="W36" s="89" t="s">
        <v>719</v>
      </c>
      <c r="X36" s="145" t="s">
        <v>651</v>
      </c>
      <c r="Y36" s="89" t="s">
        <v>652</v>
      </c>
      <c r="Z36" s="90" t="s">
        <v>130</v>
      </c>
      <c r="AA36" s="90" t="s">
        <v>130</v>
      </c>
      <c r="AB36" s="90" t="s">
        <v>131</v>
      </c>
      <c r="AC36" s="90" t="s">
        <v>132</v>
      </c>
      <c r="AD36" s="91" t="s">
        <v>26</v>
      </c>
      <c r="AE36" s="149">
        <f>IFERROR(VLOOKUP(Z36,LISTS!$AL$2:$AM$1000,2,FALSE()),"")</f>
        <v>100</v>
      </c>
      <c r="AF36" s="151">
        <f>IFERROR(VLOOKUP(AA36,LISTS!$AO$2:$AP$1000,2,FALSE()),"")</f>
        <v>100</v>
      </c>
      <c r="AG36" s="152">
        <f>IFERROR(VLOOKUP(AB36,LISTS!$AR$2:$AS$1000,2,FALSE()),"")</f>
        <v>100</v>
      </c>
      <c r="AH36" s="154">
        <f>IFERROR(VLOOKUP(AC36,LISTS!$AU$2:$AV$1000,2,FALSE()),"")</f>
        <v>0</v>
      </c>
      <c r="AI36" s="238">
        <f t="shared" si="1"/>
        <v>100</v>
      </c>
      <c r="AJ36" s="190" t="str">
        <f t="shared" si="2"/>
        <v>🌟 ممتاز جدًا</v>
      </c>
      <c r="AK36" s="157">
        <f t="shared" si="5"/>
        <v>4</v>
      </c>
      <c r="AL36" s="160">
        <f t="shared" si="6"/>
        <v>2026</v>
      </c>
      <c r="AM36" s="203"/>
      <c r="AN36" s="200"/>
    </row>
    <row r="37" spans="1:40" ht="27.95" customHeight="1">
      <c r="A37" s="134">
        <f>IF(I37&lt;&gt;"",COUNTA($I$2:I37),"")</f>
        <v>36</v>
      </c>
      <c r="B37" s="138" t="str">
        <f t="shared" si="7"/>
        <v>الثلاثاء</v>
      </c>
      <c r="C37" s="93" t="str">
        <f t="array" ref="C37">IF(E37="","",IF(M37&lt;&gt;"",
M37&amp;"/"&amp;SUMPRODUCT((M$2:M37=M37)*1)&amp;" - "&amp;(ROW()-2),
"إداري/"&amp;SUMPRODUCT((M$2:M37="")*1)&amp;" - "&amp;(ROW()-2)))</f>
        <v>إداري/34 - 35</v>
      </c>
      <c r="D37" s="141" t="str">
        <f>IF(AND(G37="",H37="",I37=""),"",IF(COUNTIFS(LISTS!$A$2:$A$67,G37,LISTS!$B$2:$B$67,H37,LISTS!$C$2:$C$67,I37)=0,"✗ هرم",IF(NOT(OR(Z37="ممتاز 100%",Z37="جيد 80%",Z37="مقبول 60%",Z37="خطر 40%",Z37="")),"✗ قائمة R",IF(NOT(OR(AA37="ممتاز 100%",AA37="جيد 85%",AA37="مقبول 70%",AA37="ضعيف 50%",AA37="")),"✗ قائمة S",IF(NOT(OR(AB37="مكتمل 100%",AB37="جزئي 60%",AB37="معلق 30%",AB37="مفتوح 0%",AB37="")),"✗ قائمة T",IF(NOT(OR(AC37="لا خصم 0",AC37="تأخير −5",AC37="عجز −10",AC37="جودة −15",AC37="امتثال −20",AC37="مخالفة −25",AC37="")),"✗ قائمة U",IF(AND(X37="لا",AC37&lt;&gt;"",AC37&lt;&gt;"لا خصم 0"),"✗ خصم",IF(AND(X37="نعم",AC37="لا خصم 0"),"✗ خصم",IF(AND(Z37="ممتاز 100%",AA37="ممتاز 100%",AB37&lt;&gt;"",AB37&lt;&gt;"مكتمل 100%"),"✗ إغلاق",IFERROR(IF(LEN(_xlfn.TEXTJOIN("، ",TRUE,IF(E37="","التاريخ",""),IF(F37="","الوقت",""),IF(G37="","المركز",""),IF(H37="","الدائرة",""),IF(I37="","القسم",""),IF(J37="","المسؤول",""),IF(K37="","نوع النشاط",""),IF(L37="","المشروع",""),IF(N37="","الممول",""),IF(V37="","الموضوع",""),IF(W37="","الملاحظة",""),IF(X37="","مشكلة",""),IF(Y37="","الإجراء",""),IF(Z37="","التنفيذ",""),IF(AA37="","الجودة",""),IF(AB37="","الإغلاق",""),IF(AC37="","الخصم",""),IF(AND(COUNTA($O37:$U37)&gt;0,O37=""),"مدير المشروع",""),IF(AND(COUNTA($O37:$U37)&gt;0,P37=""),"المستفيدين",""),IF(AND(COUNTA($O37:$U37)&gt;0,Q37=""),"المناطق",""),IF(AND(COUNTA($O37:$U37)&gt;0,R37=""),"الميزانية",""),IF(AND(COUNTA($O37:$U37)&gt;0,S37=""),"نسبة الجاهزية",""),IF(AND(COUNTA($O37:$U37)&gt;0,T37=""),"حالة الجاهزية",""),IF(AND(COUNTA($O37:$U37)&gt;0,U37=""),"التوصيات","")))&gt;0,"✗ ناقص: "&amp;_xlfn.TEXTJOIN("، ",TRUE,IF(E37="","التاريخ",""),IF(F37="","الوقت",""),IF(G37="","المركز",""),IF(H37="","الدائرة",""),IF(I37="","القسم",""),IF(J37="","المسؤول",""),IF(K37="","نوع النشاط",""),IF(L37="","المشروع",""),IF(N37="","الممول",""),IF(V37="","الموضوع",""),IF(W37="","الملاحظة",""),IF(X37="","مشكلة",""),IF(Y37="","الإجراء",""),IF(Z37="","التنفيذ",""),IF(AA37="","الجودة",""),IF(AB37="","الإغلاق",""),IF(AC37="","الخصم",""),IF(AND(COUNTA($O37:$U37)&gt;0,O37=""),"مدير المشروع",""),IF(AND(COUNTA($O37:$U37)&gt;0,P37=""),"المستفيدين",""),IF(AND(COUNTA($O37:$U37)&gt;0,Q37=""),"المناطق",""),IF(AND(COUNTA($O37:$U37)&gt;0,R37=""),"الميزانية",""),IF(AND(COUNTA($O37:$U37)&gt;0,S37=""),"نسبة الجاهزية",""),IF(AND(COUNTA($O37:$U37)&gt;0,T37=""),"حالة الجاهزية",""),IF(AND(COUNTA($O37:$U37)&gt;0,U37=""),"التوصيات","")),"✓"),"✓"))))))))))</f>
        <v>✓</v>
      </c>
      <c r="E37" s="235">
        <v>46126</v>
      </c>
      <c r="F37" s="236">
        <v>0.50694444444444442</v>
      </c>
      <c r="G37" s="90" t="s">
        <v>97</v>
      </c>
      <c r="H37" s="123" t="s">
        <v>102</v>
      </c>
      <c r="I37" s="89" t="s">
        <v>202</v>
      </c>
      <c r="J37" s="142" t="s">
        <v>135</v>
      </c>
      <c r="K37" s="90" t="s">
        <v>116</v>
      </c>
      <c r="L37" s="90" t="s">
        <v>118</v>
      </c>
      <c r="M37" s="90"/>
      <c r="N37" s="89" t="s">
        <v>120</v>
      </c>
      <c r="O37" s="200"/>
      <c r="P37" s="201"/>
      <c r="Q37" s="201"/>
      <c r="R37" s="237"/>
      <c r="S37" s="202"/>
      <c r="T37" s="200"/>
      <c r="U37" s="203"/>
      <c r="V37" s="89" t="s">
        <v>720</v>
      </c>
      <c r="W37" s="89" t="s">
        <v>721</v>
      </c>
      <c r="X37" s="145" t="s">
        <v>651</v>
      </c>
      <c r="Y37" s="89" t="s">
        <v>652</v>
      </c>
      <c r="Z37" s="90" t="s">
        <v>130</v>
      </c>
      <c r="AA37" s="90" t="s">
        <v>130</v>
      </c>
      <c r="AB37" s="90" t="s">
        <v>131</v>
      </c>
      <c r="AC37" s="90" t="s">
        <v>132</v>
      </c>
      <c r="AD37" s="92" t="s">
        <v>26</v>
      </c>
      <c r="AE37" s="149">
        <f>IFERROR(VLOOKUP(Z37,LISTS!$AL$2:$AM$1000,2,FALSE()),"")</f>
        <v>100</v>
      </c>
      <c r="AF37" s="151">
        <f>IFERROR(VLOOKUP(AA37,LISTS!$AO$2:$AP$1000,2,FALSE()),"")</f>
        <v>100</v>
      </c>
      <c r="AG37" s="152">
        <f>IFERROR(VLOOKUP(AB37,LISTS!$AR$2:$AS$1000,2,FALSE()),"")</f>
        <v>100</v>
      </c>
      <c r="AH37" s="154">
        <f>IFERROR(VLOOKUP(AC37,LISTS!$AU$2:$AV$1000,2,FALSE()),"")</f>
        <v>0</v>
      </c>
      <c r="AI37" s="238">
        <f t="shared" si="1"/>
        <v>100</v>
      </c>
      <c r="AJ37" s="190" t="str">
        <f t="shared" si="2"/>
        <v>🌟 ممتاز جدًا</v>
      </c>
      <c r="AK37" s="157">
        <f t="shared" si="5"/>
        <v>4</v>
      </c>
      <c r="AL37" s="160">
        <f t="shared" si="6"/>
        <v>2026</v>
      </c>
      <c r="AM37" s="203"/>
      <c r="AN37" s="200"/>
    </row>
    <row r="38" spans="1:40" ht="27.95" customHeight="1">
      <c r="A38" s="134">
        <f>IF(I38&lt;&gt;"",COUNTA($I$2:I38),"")</f>
        <v>37</v>
      </c>
      <c r="B38" s="138" t="str">
        <f t="shared" si="7"/>
        <v>الثلاثاء</v>
      </c>
      <c r="C38" s="93" t="str">
        <f t="array" ref="C38">IF(E38="","",IF(M38&lt;&gt;"",
M38&amp;"/"&amp;SUMPRODUCT((M$2:M38=M38)*1)&amp;" - "&amp;(ROW()-2),
"إداري/"&amp;SUMPRODUCT((M$2:M38="")*1)&amp;" - "&amp;(ROW()-2)))</f>
        <v>إداري/35 - 36</v>
      </c>
      <c r="D38" s="141" t="str">
        <f>IF(AND(G38="",H38="",I38=""),"",IF(COUNTIFS(LISTS!$A$2:$A$67,G38,LISTS!$B$2:$B$67,H38,LISTS!$C$2:$C$67,I38)=0,"✗ هرم",IF(NOT(OR(Z38="ممتاز 100%",Z38="جيد 80%",Z38="مقبول 60%",Z38="خطر 40%",Z38="")),"✗ قائمة R",IF(NOT(OR(AA38="ممتاز 100%",AA38="جيد 85%",AA38="مقبول 70%",AA38="ضعيف 50%",AA38="")),"✗ قائمة S",IF(NOT(OR(AB38="مكتمل 100%",AB38="جزئي 60%",AB38="معلق 30%",AB38="مفتوح 0%",AB38="")),"✗ قائمة T",IF(NOT(OR(AC38="لا خصم 0",AC38="تأخير −5",AC38="عجز −10",AC38="جودة −15",AC38="امتثال −20",AC38="مخالفة −25",AC38="")),"✗ قائمة U",IF(AND(X38="لا",AC38&lt;&gt;"",AC38&lt;&gt;"لا خصم 0"),"✗ خصم",IF(AND(X38="نعم",AC38="لا خصم 0"),"✗ خصم",IF(AND(Z38="ممتاز 100%",AA38="ممتاز 100%",AB38&lt;&gt;"",AB38&lt;&gt;"مكتمل 100%"),"✗ إغلاق",IFERROR(IF(LEN(_xlfn.TEXTJOIN("، ",TRUE,IF(E38="","التاريخ",""),IF(F38="","الوقت",""),IF(G38="","المركز",""),IF(H38="","الدائرة",""),IF(I38="","القسم",""),IF(J38="","المسؤول",""),IF(K38="","نوع النشاط",""),IF(L38="","المشروع",""),IF(N38="","الممول",""),IF(V38="","الموضوع",""),IF(W38="","الملاحظة",""),IF(X38="","مشكلة",""),IF(Y38="","الإجراء",""),IF(Z38="","التنفيذ",""),IF(AA38="","الجودة",""),IF(AB38="","الإغلاق",""),IF(AC38="","الخصم",""),IF(AND(COUNTA($O38:$U38)&gt;0,O38=""),"مدير المشروع",""),IF(AND(COUNTA($O38:$U38)&gt;0,P38=""),"المستفيدين",""),IF(AND(COUNTA($O38:$U38)&gt;0,Q38=""),"المناطق",""),IF(AND(COUNTA($O38:$U38)&gt;0,R38=""),"الميزانية",""),IF(AND(COUNTA($O38:$U38)&gt;0,S38=""),"نسبة الجاهزية",""),IF(AND(COUNTA($O38:$U38)&gt;0,T38=""),"حالة الجاهزية",""),IF(AND(COUNTA($O38:$U38)&gt;0,U38=""),"التوصيات","")))&gt;0,"✗ ناقص: "&amp;_xlfn.TEXTJOIN("، ",TRUE,IF(E38="","التاريخ",""),IF(F38="","الوقت",""),IF(G38="","المركز",""),IF(H38="","الدائرة",""),IF(I38="","القسم",""),IF(J38="","المسؤول",""),IF(K38="","نوع النشاط",""),IF(L38="","المشروع",""),IF(N38="","الممول",""),IF(V38="","الموضوع",""),IF(W38="","الملاحظة",""),IF(X38="","مشكلة",""),IF(Y38="","الإجراء",""),IF(Z38="","التنفيذ",""),IF(AA38="","الجودة",""),IF(AB38="","الإغلاق",""),IF(AC38="","الخصم",""),IF(AND(COUNTA($O38:$U38)&gt;0,O38=""),"مدير المشروع",""),IF(AND(COUNTA($O38:$U38)&gt;0,P38=""),"المستفيدين",""),IF(AND(COUNTA($O38:$U38)&gt;0,Q38=""),"المناطق",""),IF(AND(COUNTA($O38:$U38)&gt;0,R38=""),"الميزانية",""),IF(AND(COUNTA($O38:$U38)&gt;0,S38=""),"نسبة الجاهزية",""),IF(AND(COUNTA($O38:$U38)&gt;0,T38=""),"حالة الجاهزية",""),IF(AND(COUNTA($O38:$U38)&gt;0,U38=""),"التوصيات","")),"✓"),"✓"))))))))))</f>
        <v>✗ ناقص: الممول</v>
      </c>
      <c r="E38" s="235">
        <v>46126</v>
      </c>
      <c r="F38" s="236">
        <v>0.55555555555555558</v>
      </c>
      <c r="G38" s="90" t="s">
        <v>97</v>
      </c>
      <c r="H38" s="123" t="s">
        <v>102</v>
      </c>
      <c r="I38" s="89" t="s">
        <v>191</v>
      </c>
      <c r="J38" s="142" t="s">
        <v>154</v>
      </c>
      <c r="K38" s="90" t="s">
        <v>116</v>
      </c>
      <c r="L38" s="90" t="s">
        <v>351</v>
      </c>
      <c r="M38" s="90"/>
      <c r="N38" s="89"/>
      <c r="O38" s="200"/>
      <c r="P38" s="201"/>
      <c r="Q38" s="201"/>
      <c r="R38" s="237"/>
      <c r="S38" s="202"/>
      <c r="T38" s="200"/>
      <c r="U38" s="203"/>
      <c r="V38" s="89" t="s">
        <v>722</v>
      </c>
      <c r="W38" s="89" t="s">
        <v>723</v>
      </c>
      <c r="X38" s="145" t="s">
        <v>651</v>
      </c>
      <c r="Y38" s="89" t="s">
        <v>652</v>
      </c>
      <c r="Z38" s="90" t="s">
        <v>130</v>
      </c>
      <c r="AA38" s="90" t="s">
        <v>130</v>
      </c>
      <c r="AB38" s="90" t="s">
        <v>131</v>
      </c>
      <c r="AC38" s="90" t="s">
        <v>132</v>
      </c>
      <c r="AD38" s="91" t="s">
        <v>26</v>
      </c>
      <c r="AE38" s="149">
        <f>IFERROR(VLOOKUP(Z38,LISTS!$AL$2:$AM$1000,2,FALSE()),"")</f>
        <v>100</v>
      </c>
      <c r="AF38" s="151">
        <f>IFERROR(VLOOKUP(AA38,LISTS!$AO$2:$AP$1000,2,FALSE()),"")</f>
        <v>100</v>
      </c>
      <c r="AG38" s="152">
        <f>IFERROR(VLOOKUP(AB38,LISTS!$AR$2:$AS$1000,2,FALSE()),"")</f>
        <v>100</v>
      </c>
      <c r="AH38" s="154">
        <f>IFERROR(VLOOKUP(AC38,LISTS!$AU$2:$AV$1000,2,FALSE()),"")</f>
        <v>0</v>
      </c>
      <c r="AI38" s="238">
        <f t="shared" si="1"/>
        <v>100</v>
      </c>
      <c r="AJ38" s="190" t="str">
        <f t="shared" si="2"/>
        <v>🌟 ممتاز جدًا</v>
      </c>
      <c r="AK38" s="157">
        <f t="shared" si="5"/>
        <v>4</v>
      </c>
      <c r="AL38" s="160">
        <f t="shared" si="6"/>
        <v>2026</v>
      </c>
      <c r="AM38" s="203"/>
      <c r="AN38" s="200"/>
    </row>
    <row r="39" spans="1:40" ht="27.95" customHeight="1">
      <c r="A39" s="134">
        <f>IF(I39&lt;&gt;"",COUNTA($I$2:I39),"")</f>
        <v>38</v>
      </c>
      <c r="B39" s="138" t="str">
        <f t="shared" si="7"/>
        <v>الأربعاء</v>
      </c>
      <c r="C39" s="93" t="str">
        <f t="array" ref="C39">IF(E39="","",IF(M39&lt;&gt;"",
M39&amp;"/"&amp;SUMPRODUCT((M$2:M39=M39)*1)&amp;" - "&amp;(ROW()-2),
"إداري/"&amp;SUMPRODUCT((M$2:M39="")*1)&amp;" - "&amp;(ROW()-2)))</f>
        <v>إداري/36 - 37</v>
      </c>
      <c r="D39" s="141" t="str">
        <f>IF(AND(G39="",H39="",I39=""),"",IF(COUNTIFS(LISTS!$A$2:$A$67,G39,LISTS!$B$2:$B$67,H39,LISTS!$C$2:$C$67,I39)=0,"✗ هرم",IF(NOT(OR(Z39="ممتاز 100%",Z39="جيد 80%",Z39="مقبول 60%",Z39="خطر 40%",Z39="")),"✗ قائمة R",IF(NOT(OR(AA39="ممتاز 100%",AA39="جيد 85%",AA39="مقبول 70%",AA39="ضعيف 50%",AA39="")),"✗ قائمة S",IF(NOT(OR(AB39="مكتمل 100%",AB39="جزئي 60%",AB39="معلق 30%",AB39="مفتوح 0%",AB39="")),"✗ قائمة T",IF(NOT(OR(AC39="لا خصم 0",AC39="تأخير −5",AC39="عجز −10",AC39="جودة −15",AC39="امتثال −20",AC39="مخالفة −25",AC39="")),"✗ قائمة U",IF(AND(X39="لا",AC39&lt;&gt;"",AC39&lt;&gt;"لا خصم 0"),"✗ خصم",IF(AND(X39="نعم",AC39="لا خصم 0"),"✗ خصم",IF(AND(Z39="ممتاز 100%",AA39="ممتاز 100%",AB39&lt;&gt;"",AB39&lt;&gt;"مكتمل 100%"),"✗ إغلاق",IFERROR(IF(LEN(_xlfn.TEXTJOIN("، ",TRUE,IF(E39="","التاريخ",""),IF(F39="","الوقت",""),IF(G39="","المركز",""),IF(H39="","الدائرة",""),IF(I39="","القسم",""),IF(J39="","المسؤول",""),IF(K39="","نوع النشاط",""),IF(L39="","المشروع",""),IF(N39="","الممول",""),IF(V39="","الموضوع",""),IF(W39="","الملاحظة",""),IF(X39="","مشكلة",""),IF(Y39="","الإجراء",""),IF(Z39="","التنفيذ",""),IF(AA39="","الجودة",""),IF(AB39="","الإغلاق",""),IF(AC39="","الخصم",""),IF(AND(COUNTA($O39:$U39)&gt;0,O39=""),"مدير المشروع",""),IF(AND(COUNTA($O39:$U39)&gt;0,P39=""),"المستفيدين",""),IF(AND(COUNTA($O39:$U39)&gt;0,Q39=""),"المناطق",""),IF(AND(COUNTA($O39:$U39)&gt;0,R39=""),"الميزانية",""),IF(AND(COUNTA($O39:$U39)&gt;0,S39=""),"نسبة الجاهزية",""),IF(AND(COUNTA($O39:$U39)&gt;0,T39=""),"حالة الجاهزية",""),IF(AND(COUNTA($O39:$U39)&gt;0,U39=""),"التوصيات","")))&gt;0,"✗ ناقص: "&amp;_xlfn.TEXTJOIN("، ",TRUE,IF(E39="","التاريخ",""),IF(F39="","الوقت",""),IF(G39="","المركز",""),IF(H39="","الدائرة",""),IF(I39="","القسم",""),IF(J39="","المسؤول",""),IF(K39="","نوع النشاط",""),IF(L39="","المشروع",""),IF(N39="","الممول",""),IF(V39="","الموضوع",""),IF(W39="","الملاحظة",""),IF(X39="","مشكلة",""),IF(Y39="","الإجراء",""),IF(Z39="","التنفيذ",""),IF(AA39="","الجودة",""),IF(AB39="","الإغلاق",""),IF(AC39="","الخصم",""),IF(AND(COUNTA($O39:$U39)&gt;0,O39=""),"مدير المشروع",""),IF(AND(COUNTA($O39:$U39)&gt;0,P39=""),"المستفيدين",""),IF(AND(COUNTA($O39:$U39)&gt;0,Q39=""),"المناطق",""),IF(AND(COUNTA($O39:$U39)&gt;0,R39=""),"الميزانية",""),IF(AND(COUNTA($O39:$U39)&gt;0,S39=""),"نسبة الجاهزية",""),IF(AND(COUNTA($O39:$U39)&gt;0,T39=""),"حالة الجاهزية",""),IF(AND(COUNTA($O39:$U39)&gt;0,U39=""),"التوصيات","")),"✓"),"✓"))))))))))</f>
        <v>✗ ناقص: الممول</v>
      </c>
      <c r="E39" s="235">
        <v>46127</v>
      </c>
      <c r="F39" s="236">
        <v>0.38194444444444442</v>
      </c>
      <c r="G39" s="90" t="s">
        <v>97</v>
      </c>
      <c r="H39" s="123" t="s">
        <v>102</v>
      </c>
      <c r="I39" s="89" t="s">
        <v>136</v>
      </c>
      <c r="J39" s="142" t="s">
        <v>724</v>
      </c>
      <c r="K39" s="90" t="s">
        <v>152</v>
      </c>
      <c r="L39" s="90" t="s">
        <v>136</v>
      </c>
      <c r="M39" s="90"/>
      <c r="N39" s="89"/>
      <c r="O39" s="200"/>
      <c r="P39" s="201"/>
      <c r="Q39" s="201"/>
      <c r="R39" s="237"/>
      <c r="S39" s="202"/>
      <c r="T39" s="200"/>
      <c r="U39" s="203"/>
      <c r="V39" s="89" t="s">
        <v>725</v>
      </c>
      <c r="W39" s="89" t="s">
        <v>726</v>
      </c>
      <c r="X39" s="145" t="s">
        <v>647</v>
      </c>
      <c r="Y39" s="89" t="s">
        <v>648</v>
      </c>
      <c r="Z39" s="90" t="s">
        <v>148</v>
      </c>
      <c r="AA39" s="90" t="s">
        <v>166</v>
      </c>
      <c r="AB39" s="90" t="s">
        <v>150</v>
      </c>
      <c r="AC39" s="90" t="s">
        <v>168</v>
      </c>
      <c r="AD39" s="92" t="s">
        <v>26</v>
      </c>
      <c r="AE39" s="149">
        <f>IFERROR(VLOOKUP(Z39,LISTS!$AL$2:$AM$1000,2,FALSE()),"")</f>
        <v>60</v>
      </c>
      <c r="AF39" s="151">
        <f>IFERROR(VLOOKUP(AA39,LISTS!$AO$2:$AP$1000,2,FALSE()),"")</f>
        <v>70</v>
      </c>
      <c r="AG39" s="152">
        <f>IFERROR(VLOOKUP(AB39,LISTS!$AR$2:$AS$1000,2,FALSE()),"")</f>
        <v>30</v>
      </c>
      <c r="AH39" s="154">
        <f>IFERROR(VLOOKUP(AC39,LISTS!$AU$2:$AV$1000,2,FALSE()),"")</f>
        <v>20</v>
      </c>
      <c r="AI39" s="238">
        <f t="shared" si="1"/>
        <v>34</v>
      </c>
      <c r="AJ39" s="190" t="str">
        <f t="shared" si="2"/>
        <v>🚨 خطر شديد</v>
      </c>
      <c r="AK39" s="157">
        <f t="shared" si="5"/>
        <v>4</v>
      </c>
      <c r="AL39" s="160">
        <f t="shared" si="6"/>
        <v>2026</v>
      </c>
      <c r="AM39" s="203"/>
      <c r="AN39" s="200"/>
    </row>
    <row r="40" spans="1:40" ht="27.95" customHeight="1">
      <c r="A40" s="134">
        <f>IF(I40&lt;&gt;"",COUNTA($I$2:I40),"")</f>
        <v>39</v>
      </c>
      <c r="B40" s="138" t="str">
        <f t="shared" si="7"/>
        <v>الأربعاء</v>
      </c>
      <c r="C40" s="93" t="str">
        <f t="array" ref="C40">IF(E40="","",IF(M40&lt;&gt;"",
M40&amp;"/"&amp;SUMPRODUCT((M$2:M40=M40)*1)&amp;" - "&amp;(ROW()-2),
"إداري/"&amp;SUMPRODUCT((M$2:M40="")*1)&amp;" - "&amp;(ROW()-2)))</f>
        <v>إداري/37 - 38</v>
      </c>
      <c r="D40" s="141" t="str">
        <f>IF(AND(G40="",H40="",I40=""),"",IF(COUNTIFS(LISTS!$A$2:$A$67,G40,LISTS!$B$2:$B$67,H40,LISTS!$C$2:$C$67,I40)=0,"✗ هرم",IF(NOT(OR(Z40="ممتاز 100%",Z40="جيد 80%",Z40="مقبول 60%",Z40="خطر 40%",Z40="")),"✗ قائمة R",IF(NOT(OR(AA40="ممتاز 100%",AA40="جيد 85%",AA40="مقبول 70%",AA40="ضعيف 50%",AA40="")),"✗ قائمة S",IF(NOT(OR(AB40="مكتمل 100%",AB40="جزئي 60%",AB40="معلق 30%",AB40="مفتوح 0%",AB40="")),"✗ قائمة T",IF(NOT(OR(AC40="لا خصم 0",AC40="تأخير −5",AC40="عجز −10",AC40="جودة −15",AC40="امتثال −20",AC40="مخالفة −25",AC40="")),"✗ قائمة U",IF(AND(X40="لا",AC40&lt;&gt;"",AC40&lt;&gt;"لا خصم 0"),"✗ خصم",IF(AND(X40="نعم",AC40="لا خصم 0"),"✗ خصم",IF(AND(Z40="ممتاز 100%",AA40="ممتاز 100%",AB40&lt;&gt;"",AB40&lt;&gt;"مكتمل 100%"),"✗ إغلاق",IFERROR(IF(LEN(_xlfn.TEXTJOIN("، ",TRUE,IF(E40="","التاريخ",""),IF(F40="","الوقت",""),IF(G40="","المركز",""),IF(H40="","الدائرة",""),IF(I40="","القسم",""),IF(J40="","المسؤول",""),IF(K40="","نوع النشاط",""),IF(L40="","المشروع",""),IF(N40="","الممول",""),IF(V40="","الموضوع",""),IF(W40="","الملاحظة",""),IF(X40="","مشكلة",""),IF(Y40="","الإجراء",""),IF(Z40="","التنفيذ",""),IF(AA40="","الجودة",""),IF(AB40="","الإغلاق",""),IF(AC40="","الخصم",""),IF(AND(COUNTA($O40:$U40)&gt;0,O40=""),"مدير المشروع",""),IF(AND(COUNTA($O40:$U40)&gt;0,P40=""),"المستفيدين",""),IF(AND(COUNTA($O40:$U40)&gt;0,Q40=""),"المناطق",""),IF(AND(COUNTA($O40:$U40)&gt;0,R40=""),"الميزانية",""),IF(AND(COUNTA($O40:$U40)&gt;0,S40=""),"نسبة الجاهزية",""),IF(AND(COUNTA($O40:$U40)&gt;0,T40=""),"حالة الجاهزية",""),IF(AND(COUNTA($O40:$U40)&gt;0,U40=""),"التوصيات","")))&gt;0,"✗ ناقص: "&amp;_xlfn.TEXTJOIN("، ",TRUE,IF(E40="","التاريخ",""),IF(F40="","الوقت",""),IF(G40="","المركز",""),IF(H40="","الدائرة",""),IF(I40="","القسم",""),IF(J40="","المسؤول",""),IF(K40="","نوع النشاط",""),IF(L40="","المشروع",""),IF(N40="","الممول",""),IF(V40="","الموضوع",""),IF(W40="","الملاحظة",""),IF(X40="","مشكلة",""),IF(Y40="","الإجراء",""),IF(Z40="","التنفيذ",""),IF(AA40="","الجودة",""),IF(AB40="","الإغلاق",""),IF(AC40="","الخصم",""),IF(AND(COUNTA($O40:$U40)&gt;0,O40=""),"مدير المشروع",""),IF(AND(COUNTA($O40:$U40)&gt;0,P40=""),"المستفيدين",""),IF(AND(COUNTA($O40:$U40)&gt;0,Q40=""),"المناطق",""),IF(AND(COUNTA($O40:$U40)&gt;0,R40=""),"الميزانية",""),IF(AND(COUNTA($O40:$U40)&gt;0,S40=""),"نسبة الجاهزية",""),IF(AND(COUNTA($O40:$U40)&gt;0,T40=""),"حالة الجاهزية",""),IF(AND(COUNTA($O40:$U40)&gt;0,U40=""),"التوصيات","")),"✓"),"✓"))))))))))</f>
        <v>✗ ناقص: الممول</v>
      </c>
      <c r="E40" s="235">
        <v>46127</v>
      </c>
      <c r="F40" s="236">
        <v>0.46527777777777779</v>
      </c>
      <c r="G40" s="90" t="s">
        <v>97</v>
      </c>
      <c r="H40" s="123" t="s">
        <v>102</v>
      </c>
      <c r="I40" s="89" t="s">
        <v>191</v>
      </c>
      <c r="J40" s="142" t="s">
        <v>154</v>
      </c>
      <c r="K40" s="90" t="s">
        <v>116</v>
      </c>
      <c r="L40" s="90" t="s">
        <v>339</v>
      </c>
      <c r="M40" s="90"/>
      <c r="N40" s="89"/>
      <c r="O40" s="200"/>
      <c r="P40" s="201"/>
      <c r="Q40" s="201"/>
      <c r="R40" s="237"/>
      <c r="S40" s="202"/>
      <c r="T40" s="200"/>
      <c r="U40" s="203"/>
      <c r="V40" s="89" t="s">
        <v>727</v>
      </c>
      <c r="W40" s="89" t="s">
        <v>728</v>
      </c>
      <c r="X40" s="145" t="s">
        <v>651</v>
      </c>
      <c r="Y40" s="89" t="s">
        <v>652</v>
      </c>
      <c r="Z40" s="90" t="s">
        <v>130</v>
      </c>
      <c r="AA40" s="90" t="s">
        <v>130</v>
      </c>
      <c r="AB40" s="90" t="s">
        <v>131</v>
      </c>
      <c r="AC40" s="90" t="s">
        <v>132</v>
      </c>
      <c r="AD40" s="91" t="s">
        <v>26</v>
      </c>
      <c r="AE40" s="149">
        <f>IFERROR(VLOOKUP(Z40,LISTS!$AL$2:$AM$1000,2,FALSE()),"")</f>
        <v>100</v>
      </c>
      <c r="AF40" s="151">
        <f>IFERROR(VLOOKUP(AA40,LISTS!$AO$2:$AP$1000,2,FALSE()),"")</f>
        <v>100</v>
      </c>
      <c r="AG40" s="152">
        <f>IFERROR(VLOOKUP(AB40,LISTS!$AR$2:$AS$1000,2,FALSE()),"")</f>
        <v>100</v>
      </c>
      <c r="AH40" s="154">
        <f>IFERROR(VLOOKUP(AC40,LISTS!$AU$2:$AV$1000,2,FALSE()),"")</f>
        <v>0</v>
      </c>
      <c r="AI40" s="238">
        <f t="shared" si="1"/>
        <v>100</v>
      </c>
      <c r="AJ40" s="190" t="str">
        <f t="shared" si="2"/>
        <v>🌟 ممتاز جدًا</v>
      </c>
      <c r="AK40" s="157">
        <f t="shared" si="5"/>
        <v>4</v>
      </c>
      <c r="AL40" s="160">
        <f t="shared" si="6"/>
        <v>2026</v>
      </c>
      <c r="AM40" s="203"/>
      <c r="AN40" s="200"/>
    </row>
    <row r="41" spans="1:40" ht="27.95" customHeight="1">
      <c r="A41" s="134">
        <f>IF(I41&lt;&gt;"",COUNTA($I$2:I41),"")</f>
        <v>40</v>
      </c>
      <c r="B41" s="138" t="str">
        <f t="shared" si="7"/>
        <v>الأربعاء</v>
      </c>
      <c r="C41" s="93" t="str">
        <f t="array" ref="C41">IF(E41="","",IF(M41&lt;&gt;"",
M41&amp;"/"&amp;SUMPRODUCT((M$2:M41=M41)*1)&amp;" - "&amp;(ROW()-2),
"إداري/"&amp;SUMPRODUCT((M$2:M41="")*1)&amp;" - "&amp;(ROW()-2)))</f>
        <v>إداري/38 - 39</v>
      </c>
      <c r="D41" s="141" t="str">
        <f>IF(AND(G41="",H41="",I41=""),"",IF(COUNTIFS(LISTS!$A$2:$A$67,G41,LISTS!$B$2:$B$67,H41,LISTS!$C$2:$C$67,I41)=0,"✗ هرم",IF(NOT(OR(Z41="ممتاز 100%",Z41="جيد 80%",Z41="مقبول 60%",Z41="خطر 40%",Z41="")),"✗ قائمة R",IF(NOT(OR(AA41="ممتاز 100%",AA41="جيد 85%",AA41="مقبول 70%",AA41="ضعيف 50%",AA41="")),"✗ قائمة S",IF(NOT(OR(AB41="مكتمل 100%",AB41="جزئي 60%",AB41="معلق 30%",AB41="مفتوح 0%",AB41="")),"✗ قائمة T",IF(NOT(OR(AC41="لا خصم 0",AC41="تأخير −5",AC41="عجز −10",AC41="جودة −15",AC41="امتثال −20",AC41="مخالفة −25",AC41="")),"✗ قائمة U",IF(AND(X41="لا",AC41&lt;&gt;"",AC41&lt;&gt;"لا خصم 0"),"✗ خصم",IF(AND(X41="نعم",AC41="لا خصم 0"),"✗ خصم",IF(AND(Z41="ممتاز 100%",AA41="ممتاز 100%",AB41&lt;&gt;"",AB41&lt;&gt;"مكتمل 100%"),"✗ إغلاق",IFERROR(IF(LEN(_xlfn.TEXTJOIN("، ",TRUE,IF(E41="","التاريخ",""),IF(F41="","الوقت",""),IF(G41="","المركز",""),IF(H41="","الدائرة",""),IF(I41="","القسم",""),IF(J41="","المسؤول",""),IF(K41="","نوع النشاط",""),IF(L41="","المشروع",""),IF(N41="","الممول",""),IF(V41="","الموضوع",""),IF(W41="","الملاحظة",""),IF(X41="","مشكلة",""),IF(Y41="","الإجراء",""),IF(Z41="","التنفيذ",""),IF(AA41="","الجودة",""),IF(AB41="","الإغلاق",""),IF(AC41="","الخصم",""),IF(AND(COUNTA($O41:$U41)&gt;0,O41=""),"مدير المشروع",""),IF(AND(COUNTA($O41:$U41)&gt;0,P41=""),"المستفيدين",""),IF(AND(COUNTA($O41:$U41)&gt;0,Q41=""),"المناطق",""),IF(AND(COUNTA($O41:$U41)&gt;0,R41=""),"الميزانية",""),IF(AND(COUNTA($O41:$U41)&gt;0,S41=""),"نسبة الجاهزية",""),IF(AND(COUNTA($O41:$U41)&gt;0,T41=""),"حالة الجاهزية",""),IF(AND(COUNTA($O41:$U41)&gt;0,U41=""),"التوصيات","")))&gt;0,"✗ ناقص: "&amp;_xlfn.TEXTJOIN("، ",TRUE,IF(E41="","التاريخ",""),IF(F41="","الوقت",""),IF(G41="","المركز",""),IF(H41="","الدائرة",""),IF(I41="","القسم",""),IF(J41="","المسؤول",""),IF(K41="","نوع النشاط",""),IF(L41="","المشروع",""),IF(N41="","الممول",""),IF(V41="","الموضوع",""),IF(W41="","الملاحظة",""),IF(X41="","مشكلة",""),IF(Y41="","الإجراء",""),IF(Z41="","التنفيذ",""),IF(AA41="","الجودة",""),IF(AB41="","الإغلاق",""),IF(AC41="","الخصم",""),IF(AND(COUNTA($O41:$U41)&gt;0,O41=""),"مدير المشروع",""),IF(AND(COUNTA($O41:$U41)&gt;0,P41=""),"المستفيدين",""),IF(AND(COUNTA($O41:$U41)&gt;0,Q41=""),"المناطق",""),IF(AND(COUNTA($O41:$U41)&gt;0,R41=""),"الميزانية",""),IF(AND(COUNTA($O41:$U41)&gt;0,S41=""),"نسبة الجاهزية",""),IF(AND(COUNTA($O41:$U41)&gt;0,T41=""),"حالة الجاهزية",""),IF(AND(COUNTA($O41:$U41)&gt;0,U41=""),"التوصيات","")),"✓"),"✓"))))))))))</f>
        <v>✓</v>
      </c>
      <c r="E41" s="235">
        <v>46127</v>
      </c>
      <c r="F41" s="236">
        <v>0.43055555555555558</v>
      </c>
      <c r="G41" s="90" t="s">
        <v>97</v>
      </c>
      <c r="H41" s="123" t="s">
        <v>102</v>
      </c>
      <c r="I41" s="89" t="s">
        <v>124</v>
      </c>
      <c r="J41" s="142" t="s">
        <v>117</v>
      </c>
      <c r="K41" s="90" t="s">
        <v>116</v>
      </c>
      <c r="L41" s="90" t="s">
        <v>118</v>
      </c>
      <c r="M41" s="90"/>
      <c r="N41" s="89" t="s">
        <v>120</v>
      </c>
      <c r="O41" s="200"/>
      <c r="P41" s="201"/>
      <c r="Q41" s="201"/>
      <c r="R41" s="237"/>
      <c r="S41" s="202"/>
      <c r="T41" s="200"/>
      <c r="U41" s="203"/>
      <c r="V41" s="89" t="s">
        <v>729</v>
      </c>
      <c r="W41" s="89" t="s">
        <v>730</v>
      </c>
      <c r="X41" s="145" t="s">
        <v>651</v>
      </c>
      <c r="Y41" s="89" t="s">
        <v>652</v>
      </c>
      <c r="Z41" s="90" t="s">
        <v>130</v>
      </c>
      <c r="AA41" s="90" t="s">
        <v>130</v>
      </c>
      <c r="AB41" s="90" t="s">
        <v>131</v>
      </c>
      <c r="AC41" s="90" t="s">
        <v>132</v>
      </c>
      <c r="AD41" s="92" t="s">
        <v>26</v>
      </c>
      <c r="AE41" s="149">
        <f>IFERROR(VLOOKUP(Z41,LISTS!$AL$2:$AM$1000,2,FALSE()),"")</f>
        <v>100</v>
      </c>
      <c r="AF41" s="151">
        <f>IFERROR(VLOOKUP(AA41,LISTS!$AO$2:$AP$1000,2,FALSE()),"")</f>
        <v>100</v>
      </c>
      <c r="AG41" s="152">
        <f>IFERROR(VLOOKUP(AB41,LISTS!$AR$2:$AS$1000,2,FALSE()),"")</f>
        <v>100</v>
      </c>
      <c r="AH41" s="154">
        <f>IFERROR(VLOOKUP(AC41,LISTS!$AU$2:$AV$1000,2,FALSE()),"")</f>
        <v>0</v>
      </c>
      <c r="AI41" s="238">
        <f t="shared" si="1"/>
        <v>100</v>
      </c>
      <c r="AJ41" s="190" t="str">
        <f t="shared" si="2"/>
        <v>🌟 ممتاز جدًا</v>
      </c>
      <c r="AK41" s="157">
        <f t="shared" si="5"/>
        <v>4</v>
      </c>
      <c r="AL41" s="160">
        <f t="shared" si="6"/>
        <v>2026</v>
      </c>
      <c r="AM41" s="203"/>
      <c r="AN41" s="200"/>
    </row>
    <row r="42" spans="1:40" ht="27.95" customHeight="1">
      <c r="A42" s="134">
        <f>IF(I42&lt;&gt;"",COUNTA($I$2:I42),"")</f>
        <v>41</v>
      </c>
      <c r="B42" s="138" t="str">
        <f t="shared" si="7"/>
        <v>الأربعاء</v>
      </c>
      <c r="C42" s="93" t="str">
        <f t="array" ref="C42">IF(E42="","",IF(M42&lt;&gt;"",
M42&amp;"/"&amp;SUMPRODUCT((M$2:M42=M42)*1)&amp;" - "&amp;(ROW()-2),
"إداري/"&amp;SUMPRODUCT((M$2:M42="")*1)&amp;" - "&amp;(ROW()-2)))</f>
        <v>101/1 - 40</v>
      </c>
      <c r="D42" s="141" t="str">
        <f>IF(AND(G42="",H42="",I42=""),"",IF(COUNTIFS(LISTS!$A$2:$A$67,G42,LISTS!$B$2:$B$67,H42,LISTS!$C$2:$C$67,I42)=0,"✗ هرم",IF(NOT(OR(Z42="ممتاز 100%",Z42="جيد 80%",Z42="مقبول 60%",Z42="خطر 40%",Z42="")),"✗ قائمة R",IF(NOT(OR(AA42="ممتاز 100%",AA42="جيد 85%",AA42="مقبول 70%",AA42="ضعيف 50%",AA42="")),"✗ قائمة S",IF(NOT(OR(AB42="مكتمل 100%",AB42="جزئي 60%",AB42="معلق 30%",AB42="مفتوح 0%",AB42="")),"✗ قائمة T",IF(NOT(OR(AC42="لا خصم 0",AC42="تأخير −5",AC42="عجز −10",AC42="جودة −15",AC42="امتثال −20",AC42="مخالفة −25",AC42="")),"✗ قائمة U",IF(AND(X42="لا",AC42&lt;&gt;"",AC42&lt;&gt;"لا خصم 0"),"✗ خصم",IF(AND(X42="نعم",AC42="لا خصم 0"),"✗ خصم",IF(AND(Z42="ممتاز 100%",AA42="ممتاز 100%",AB42&lt;&gt;"",AB42&lt;&gt;"مكتمل 100%"),"✗ إغلاق",IFERROR(IF(LEN(_xlfn.TEXTJOIN("، ",TRUE,IF(E42="","التاريخ",""),IF(F42="","الوقت",""),IF(G42="","المركز",""),IF(H42="","الدائرة",""),IF(I42="","القسم",""),IF(J42="","المسؤول",""),IF(K42="","نوع النشاط",""),IF(L42="","المشروع",""),IF(N42="","الممول",""),IF(V42="","الموضوع",""),IF(W42="","الملاحظة",""),IF(X42="","مشكلة",""),IF(Y42="","الإجراء",""),IF(Z42="","التنفيذ",""),IF(AA42="","الجودة",""),IF(AB42="","الإغلاق",""),IF(AC42="","الخصم",""),IF(AND(COUNTA($O42:$U42)&gt;0,O42=""),"مدير المشروع",""),IF(AND(COUNTA($O42:$U42)&gt;0,P42=""),"المستفيدين",""),IF(AND(COUNTA($O42:$U42)&gt;0,Q42=""),"المناطق",""),IF(AND(COUNTA($O42:$U42)&gt;0,R42=""),"الميزانية",""),IF(AND(COUNTA($O42:$U42)&gt;0,S42=""),"نسبة الجاهزية",""),IF(AND(COUNTA($O42:$U42)&gt;0,T42=""),"حالة الجاهزية",""),IF(AND(COUNTA($O42:$U42)&gt;0,U42=""),"التوصيات","")))&gt;0,"✗ ناقص: "&amp;_xlfn.TEXTJOIN("، ",TRUE,IF(E42="","التاريخ",""),IF(F42="","الوقت",""),IF(G42="","المركز",""),IF(H42="","الدائرة",""),IF(I42="","القسم",""),IF(J42="","المسؤول",""),IF(K42="","نوع النشاط",""),IF(L42="","المشروع",""),IF(N42="","الممول",""),IF(V42="","الموضوع",""),IF(W42="","الملاحظة",""),IF(X42="","مشكلة",""),IF(Y42="","الإجراء",""),IF(Z42="","التنفيذ",""),IF(AA42="","الجودة",""),IF(AB42="","الإغلاق",""),IF(AC42="","الخصم",""),IF(AND(COUNTA($O42:$U42)&gt;0,O42=""),"مدير المشروع",""),IF(AND(COUNTA($O42:$U42)&gt;0,P42=""),"المستفيدين",""),IF(AND(COUNTA($O42:$U42)&gt;0,Q42=""),"المناطق",""),IF(AND(COUNTA($O42:$U42)&gt;0,R42=""),"الميزانية",""),IF(AND(COUNTA($O42:$U42)&gt;0,S42=""),"نسبة الجاهزية",""),IF(AND(COUNTA($O42:$U42)&gt;0,T42=""),"حالة الجاهزية",""),IF(AND(COUNTA($O42:$U42)&gt;0,U42=""),"التوصيات","")),"✓"),"✓"))))))))))</f>
        <v>✗ ناقص: المسؤول</v>
      </c>
      <c r="E42" s="235">
        <v>46127</v>
      </c>
      <c r="F42" s="236">
        <v>0.47916666666666669</v>
      </c>
      <c r="G42" s="90" t="s">
        <v>97</v>
      </c>
      <c r="H42" s="123" t="s">
        <v>102</v>
      </c>
      <c r="I42" s="89" t="s">
        <v>142</v>
      </c>
      <c r="J42" s="142"/>
      <c r="K42" s="90" t="s">
        <v>116</v>
      </c>
      <c r="L42" s="90" t="s">
        <v>118</v>
      </c>
      <c r="M42" s="90">
        <v>101</v>
      </c>
      <c r="N42" s="89" t="s">
        <v>120</v>
      </c>
      <c r="O42" s="200"/>
      <c r="P42" s="201"/>
      <c r="Q42" s="201"/>
      <c r="R42" s="237"/>
      <c r="S42" s="202"/>
      <c r="T42" s="200"/>
      <c r="U42" s="203"/>
      <c r="V42" s="89" t="s">
        <v>731</v>
      </c>
      <c r="W42" s="89" t="s">
        <v>732</v>
      </c>
      <c r="X42" s="145" t="s">
        <v>651</v>
      </c>
      <c r="Y42" s="89" t="s">
        <v>652</v>
      </c>
      <c r="Z42" s="90" t="s">
        <v>130</v>
      </c>
      <c r="AA42" s="90" t="s">
        <v>130</v>
      </c>
      <c r="AB42" s="90" t="s">
        <v>131</v>
      </c>
      <c r="AC42" s="90" t="s">
        <v>132</v>
      </c>
      <c r="AD42" s="91" t="s">
        <v>26</v>
      </c>
      <c r="AE42" s="149">
        <f>IFERROR(VLOOKUP(Z42,LISTS!$AL$2:$AM$1000,2,FALSE()),"")</f>
        <v>100</v>
      </c>
      <c r="AF42" s="151">
        <f>IFERROR(VLOOKUP(AA42,LISTS!$AO$2:$AP$1000,2,FALSE()),"")</f>
        <v>100</v>
      </c>
      <c r="AG42" s="152">
        <f>IFERROR(VLOOKUP(AB42,LISTS!$AR$2:$AS$1000,2,FALSE()),"")</f>
        <v>100</v>
      </c>
      <c r="AH42" s="154">
        <f>IFERROR(VLOOKUP(AC42,LISTS!$AU$2:$AV$1000,2,FALSE()),"")</f>
        <v>0</v>
      </c>
      <c r="AI42" s="238">
        <f t="shared" si="1"/>
        <v>100</v>
      </c>
      <c r="AJ42" s="190" t="str">
        <f t="shared" si="2"/>
        <v>🌟 ممتاز جدًا</v>
      </c>
      <c r="AK42" s="157">
        <f t="shared" si="5"/>
        <v>4</v>
      </c>
      <c r="AL42" s="160">
        <f t="shared" si="6"/>
        <v>2026</v>
      </c>
      <c r="AM42" s="203"/>
      <c r="AN42" s="200"/>
    </row>
    <row r="43" spans="1:40" ht="27.95" customHeight="1">
      <c r="A43" s="134">
        <f>IF(I43&lt;&gt;"",COUNTA($I$2:I43),"")</f>
        <v>42</v>
      </c>
      <c r="B43" s="138" t="str">
        <f t="shared" si="7"/>
        <v>الخميس</v>
      </c>
      <c r="C43" s="93" t="str">
        <f t="array" ref="C43">IF(E43="","",IF(M43&lt;&gt;"",
M43&amp;"/"&amp;SUMPRODUCT((M$2:M43=M43)*1)&amp;" - "&amp;(ROW()-2),
"إداري/"&amp;SUMPRODUCT((M$2:M43="")*1)&amp;" - "&amp;(ROW()-2)))</f>
        <v>إداري/39 - 41</v>
      </c>
      <c r="D43" s="141" t="str">
        <f>IF(AND(G43="",H43="",I43=""),"",IF(COUNTIFS(LISTS!$A$2:$A$67,G43,LISTS!$B$2:$B$67,H43,LISTS!$C$2:$C$67,I43)=0,"✗ هرم",IF(NOT(OR(Z43="ممتاز 100%",Z43="جيد 80%",Z43="مقبول 60%",Z43="خطر 40%",Z43="")),"✗ قائمة R",IF(NOT(OR(AA43="ممتاز 100%",AA43="جيد 85%",AA43="مقبول 70%",AA43="ضعيف 50%",AA43="")),"✗ قائمة S",IF(NOT(OR(AB43="مكتمل 100%",AB43="جزئي 60%",AB43="معلق 30%",AB43="مفتوح 0%",AB43="")),"✗ قائمة T",IF(NOT(OR(AC43="لا خصم 0",AC43="تأخير −5",AC43="عجز −10",AC43="جودة −15",AC43="امتثال −20",AC43="مخالفة −25",AC43="")),"✗ قائمة U",IF(AND(X43="لا",AC43&lt;&gt;"",AC43&lt;&gt;"لا خصم 0"),"✗ خصم",IF(AND(X43="نعم",AC43="لا خصم 0"),"✗ خصم",IF(AND(Z43="ممتاز 100%",AA43="ممتاز 100%",AB43&lt;&gt;"",AB43&lt;&gt;"مكتمل 100%"),"✗ إغلاق",IFERROR(IF(LEN(_xlfn.TEXTJOIN("، ",TRUE,IF(E43="","التاريخ",""),IF(F43="","الوقت",""),IF(G43="","المركز",""),IF(H43="","الدائرة",""),IF(I43="","القسم",""),IF(J43="","المسؤول",""),IF(K43="","نوع النشاط",""),IF(L43="","المشروع",""),IF(N43="","الممول",""),IF(V43="","الموضوع",""),IF(W43="","الملاحظة",""),IF(X43="","مشكلة",""),IF(Y43="","الإجراء",""),IF(Z43="","التنفيذ",""),IF(AA43="","الجودة",""),IF(AB43="","الإغلاق",""),IF(AC43="","الخصم",""),IF(AND(COUNTA($O43:$U43)&gt;0,O43=""),"مدير المشروع",""),IF(AND(COUNTA($O43:$U43)&gt;0,P43=""),"المستفيدين",""),IF(AND(COUNTA($O43:$U43)&gt;0,Q43=""),"المناطق",""),IF(AND(COUNTA($O43:$U43)&gt;0,R43=""),"الميزانية",""),IF(AND(COUNTA($O43:$U43)&gt;0,S43=""),"نسبة الجاهزية",""),IF(AND(COUNTA($O43:$U43)&gt;0,T43=""),"حالة الجاهزية",""),IF(AND(COUNTA($O43:$U43)&gt;0,U43=""),"التوصيات","")))&gt;0,"✗ ناقص: "&amp;_xlfn.TEXTJOIN("، ",TRUE,IF(E43="","التاريخ",""),IF(F43="","الوقت",""),IF(G43="","المركز",""),IF(H43="","الدائرة",""),IF(I43="","القسم",""),IF(J43="","المسؤول",""),IF(K43="","نوع النشاط",""),IF(L43="","المشروع",""),IF(N43="","الممول",""),IF(V43="","الموضوع",""),IF(W43="","الملاحظة",""),IF(X43="","مشكلة",""),IF(Y43="","الإجراء",""),IF(Z43="","التنفيذ",""),IF(AA43="","الجودة",""),IF(AB43="","الإغلاق",""),IF(AC43="","الخصم",""),IF(AND(COUNTA($O43:$U43)&gt;0,O43=""),"مدير المشروع",""),IF(AND(COUNTA($O43:$U43)&gt;0,P43=""),"المستفيدين",""),IF(AND(COUNTA($O43:$U43)&gt;0,Q43=""),"المناطق",""),IF(AND(COUNTA($O43:$U43)&gt;0,R43=""),"الميزانية",""),IF(AND(COUNTA($O43:$U43)&gt;0,S43=""),"نسبة الجاهزية",""),IF(AND(COUNTA($O43:$U43)&gt;0,T43=""),"حالة الجاهزية",""),IF(AND(COUNTA($O43:$U43)&gt;0,U43=""),"التوصيات","")),"✓"),"✓"))))))))))</f>
        <v>✗ ناقص: الممول</v>
      </c>
      <c r="E43" s="235">
        <v>46128</v>
      </c>
      <c r="F43" s="236">
        <v>0.53125</v>
      </c>
      <c r="G43" s="90" t="s">
        <v>97</v>
      </c>
      <c r="H43" s="123" t="s">
        <v>102</v>
      </c>
      <c r="I43" s="89" t="s">
        <v>202</v>
      </c>
      <c r="J43" s="142" t="s">
        <v>135</v>
      </c>
      <c r="K43" s="90" t="s">
        <v>185</v>
      </c>
      <c r="L43" s="90" t="s">
        <v>292</v>
      </c>
      <c r="M43" s="90"/>
      <c r="N43" s="89"/>
      <c r="O43" s="200"/>
      <c r="P43" s="201"/>
      <c r="Q43" s="201"/>
      <c r="R43" s="237"/>
      <c r="S43" s="202"/>
      <c r="T43" s="200"/>
      <c r="U43" s="203"/>
      <c r="V43" s="89" t="s">
        <v>733</v>
      </c>
      <c r="W43" s="89" t="s">
        <v>734</v>
      </c>
      <c r="X43" s="145" t="s">
        <v>647</v>
      </c>
      <c r="Y43" s="89" t="s">
        <v>682</v>
      </c>
      <c r="Z43" s="90" t="s">
        <v>148</v>
      </c>
      <c r="AA43" s="90" t="s">
        <v>166</v>
      </c>
      <c r="AB43" s="90" t="s">
        <v>150</v>
      </c>
      <c r="AC43" s="90" t="s">
        <v>184</v>
      </c>
      <c r="AD43" s="92" t="s">
        <v>26</v>
      </c>
      <c r="AE43" s="149">
        <f>IFERROR(VLOOKUP(Z43,LISTS!$AL$2:$AM$1000,2,FALSE()),"")</f>
        <v>60</v>
      </c>
      <c r="AF43" s="151">
        <f>IFERROR(VLOOKUP(AA43,LISTS!$AO$2:$AP$1000,2,FALSE()),"")</f>
        <v>70</v>
      </c>
      <c r="AG43" s="152">
        <f>IFERROR(VLOOKUP(AB43,LISTS!$AR$2:$AS$1000,2,FALSE()),"")</f>
        <v>30</v>
      </c>
      <c r="AH43" s="154">
        <f>IFERROR(VLOOKUP(AC43,LISTS!$AU$2:$AV$1000,2,FALSE()),"")</f>
        <v>10</v>
      </c>
      <c r="AI43" s="238">
        <f t="shared" si="1"/>
        <v>44</v>
      </c>
      <c r="AJ43" s="190" t="str">
        <f t="shared" si="2"/>
        <v>🔴 ضعيف</v>
      </c>
      <c r="AK43" s="157">
        <f t="shared" si="5"/>
        <v>4</v>
      </c>
      <c r="AL43" s="160">
        <f t="shared" si="6"/>
        <v>2026</v>
      </c>
      <c r="AM43" s="203"/>
      <c r="AN43" s="200"/>
    </row>
    <row r="44" spans="1:40" ht="27.95" customHeight="1">
      <c r="A44" s="134">
        <f>IF(I44&lt;&gt;"",COUNTA($I$2:I44),"")</f>
        <v>43</v>
      </c>
      <c r="B44" s="138" t="str">
        <f t="shared" si="7"/>
        <v>السبت</v>
      </c>
      <c r="C44" s="93" t="str">
        <f t="array" ref="C44">IF(E44="","",IF(M44&lt;&gt;"",
M44&amp;"/"&amp;SUMPRODUCT((M$2:M44=M44)*1)&amp;" - "&amp;(ROW()-2),
"إداري/"&amp;SUMPRODUCT((M$2:M44="")*1)&amp;" - "&amp;(ROW()-2)))</f>
        <v>105/1 - 42</v>
      </c>
      <c r="D44" s="141" t="str">
        <f>IF(AND(G44="",H44="",I44=""),"",IF(COUNTIFS(LISTS!$A$2:$A$67,G44,LISTS!$B$2:$B$67,H44,LISTS!$C$2:$C$67,I44)=0,"✗ هرم",IF(NOT(OR(Z44="ممتاز 100%",Z44="جيد 80%",Z44="مقبول 60%",Z44="خطر 40%",Z44="")),"✗ قائمة R",IF(NOT(OR(AA44="ممتاز 100%",AA44="جيد 85%",AA44="مقبول 70%",AA44="ضعيف 50%",AA44="")),"✗ قائمة S",IF(NOT(OR(AB44="مكتمل 100%",AB44="جزئي 60%",AB44="معلق 30%",AB44="مفتوح 0%",AB44="")),"✗ قائمة T",IF(NOT(OR(AC44="لا خصم 0",AC44="تأخير −5",AC44="عجز −10",AC44="جودة −15",AC44="امتثال −20",AC44="مخالفة −25",AC44="")),"✗ قائمة U",IF(AND(X44="لا",AC44&lt;&gt;"",AC44&lt;&gt;"لا خصم 0"),"✗ خصم",IF(AND(X44="نعم",AC44="لا خصم 0"),"✗ خصم",IF(AND(Z44="ممتاز 100%",AA44="ممتاز 100%",AB44&lt;&gt;"",AB44&lt;&gt;"مكتمل 100%"),"✗ إغلاق",IFERROR(IF(LEN(_xlfn.TEXTJOIN("، ",TRUE,IF(E44="","التاريخ",""),IF(F44="","الوقت",""),IF(G44="","المركز",""),IF(H44="","الدائرة",""),IF(I44="","القسم",""),IF(J44="","المسؤول",""),IF(K44="","نوع النشاط",""),IF(L44="","المشروع",""),IF(N44="","الممول",""),IF(V44="","الموضوع",""),IF(W44="","الملاحظة",""),IF(X44="","مشكلة",""),IF(Y44="","الإجراء",""),IF(Z44="","التنفيذ",""),IF(AA44="","الجودة",""),IF(AB44="","الإغلاق",""),IF(AC44="","الخصم",""),IF(AND(COUNTA($O44:$U44)&gt;0,O44=""),"مدير المشروع",""),IF(AND(COUNTA($O44:$U44)&gt;0,P44=""),"المستفيدين",""),IF(AND(COUNTA($O44:$U44)&gt;0,Q44=""),"المناطق",""),IF(AND(COUNTA($O44:$U44)&gt;0,R44=""),"الميزانية",""),IF(AND(COUNTA($O44:$U44)&gt;0,S44=""),"نسبة الجاهزية",""),IF(AND(COUNTA($O44:$U44)&gt;0,T44=""),"حالة الجاهزية",""),IF(AND(COUNTA($O44:$U44)&gt;0,U44=""),"التوصيات","")))&gt;0,"✗ ناقص: "&amp;_xlfn.TEXTJOIN("، ",TRUE,IF(E44="","التاريخ",""),IF(F44="","الوقت",""),IF(G44="","المركز",""),IF(H44="","الدائرة",""),IF(I44="","القسم",""),IF(J44="","المسؤول",""),IF(K44="","نوع النشاط",""),IF(L44="","المشروع",""),IF(N44="","الممول",""),IF(V44="","الموضوع",""),IF(W44="","الملاحظة",""),IF(X44="","مشكلة",""),IF(Y44="","الإجراء",""),IF(Z44="","التنفيذ",""),IF(AA44="","الجودة",""),IF(AB44="","الإغلاق",""),IF(AC44="","الخصم",""),IF(AND(COUNTA($O44:$U44)&gt;0,O44=""),"مدير المشروع",""),IF(AND(COUNTA($O44:$U44)&gt;0,P44=""),"المستفيدين",""),IF(AND(COUNTA($O44:$U44)&gt;0,Q44=""),"المناطق",""),IF(AND(COUNTA($O44:$U44)&gt;0,R44=""),"الميزانية",""),IF(AND(COUNTA($O44:$U44)&gt;0,S44=""),"نسبة الجاهزية",""),IF(AND(COUNTA($O44:$U44)&gt;0,T44=""),"حالة الجاهزية",""),IF(AND(COUNTA($O44:$U44)&gt;0,U44=""),"التوصيات","")),"✓"),"✓"))))))))))</f>
        <v>✓</v>
      </c>
      <c r="E44" s="235">
        <v>46130</v>
      </c>
      <c r="F44" s="236">
        <v>0.4861111111111111</v>
      </c>
      <c r="G44" s="90" t="s">
        <v>97</v>
      </c>
      <c r="H44" s="123" t="s">
        <v>102</v>
      </c>
      <c r="I44" s="89" t="s">
        <v>124</v>
      </c>
      <c r="J44" s="142" t="s">
        <v>117</v>
      </c>
      <c r="K44" s="90" t="s">
        <v>116</v>
      </c>
      <c r="L44" s="90" t="s">
        <v>118</v>
      </c>
      <c r="M44" s="90">
        <v>105</v>
      </c>
      <c r="N44" s="89" t="s">
        <v>120</v>
      </c>
      <c r="O44" s="200"/>
      <c r="P44" s="201"/>
      <c r="Q44" s="201"/>
      <c r="R44" s="237"/>
      <c r="S44" s="202"/>
      <c r="T44" s="200"/>
      <c r="U44" s="203"/>
      <c r="V44" s="89" t="s">
        <v>735</v>
      </c>
      <c r="W44" s="89" t="s">
        <v>736</v>
      </c>
      <c r="X44" s="145" t="s">
        <v>651</v>
      </c>
      <c r="Y44" s="89" t="s">
        <v>652</v>
      </c>
      <c r="Z44" s="90" t="s">
        <v>130</v>
      </c>
      <c r="AA44" s="90" t="s">
        <v>130</v>
      </c>
      <c r="AB44" s="90" t="s">
        <v>131</v>
      </c>
      <c r="AC44" s="90" t="s">
        <v>132</v>
      </c>
      <c r="AD44" s="91" t="s">
        <v>26</v>
      </c>
      <c r="AE44" s="149">
        <f>IFERROR(VLOOKUP(Z44,LISTS!$AL$2:$AM$1000,2,FALSE()),"")</f>
        <v>100</v>
      </c>
      <c r="AF44" s="151">
        <f>IFERROR(VLOOKUP(AA44,LISTS!$AO$2:$AP$1000,2,FALSE()),"")</f>
        <v>100</v>
      </c>
      <c r="AG44" s="152">
        <f>IFERROR(VLOOKUP(AB44,LISTS!$AR$2:$AS$1000,2,FALSE()),"")</f>
        <v>100</v>
      </c>
      <c r="AH44" s="154">
        <f>IFERROR(VLOOKUP(AC44,LISTS!$AU$2:$AV$1000,2,FALSE()),"")</f>
        <v>0</v>
      </c>
      <c r="AI44" s="238">
        <f t="shared" si="1"/>
        <v>100</v>
      </c>
      <c r="AJ44" s="190" t="str">
        <f t="shared" si="2"/>
        <v>🌟 ممتاز جدًا</v>
      </c>
      <c r="AK44" s="157">
        <f t="shared" si="5"/>
        <v>4</v>
      </c>
      <c r="AL44" s="160">
        <f t="shared" si="6"/>
        <v>2026</v>
      </c>
      <c r="AM44" s="203"/>
      <c r="AN44" s="200"/>
    </row>
    <row r="45" spans="1:40" ht="27.95" customHeight="1">
      <c r="A45" s="134">
        <f>IF(I45&lt;&gt;"",COUNTA($I$2:I45),"")</f>
        <v>44</v>
      </c>
      <c r="B45" s="138" t="str">
        <f t="shared" si="7"/>
        <v>السبت</v>
      </c>
      <c r="C45" s="93" t="str">
        <f t="array" ref="C45">IF(E45="","",IF(M45&lt;&gt;"",
M45&amp;"/"&amp;SUMPRODUCT((M$2:M45=M45)*1)&amp;" - "&amp;(ROW()-2),
"إداري/"&amp;SUMPRODUCT((M$2:M45="")*1)&amp;" - "&amp;(ROW()-2)))</f>
        <v>إداري/40 - 43</v>
      </c>
      <c r="D45" s="141" t="str">
        <f>IF(AND(G45="",H45="",I45=""),"",IF(COUNTIFS(LISTS!$A$2:$A$67,G45,LISTS!$B$2:$B$67,H45,LISTS!$C$2:$C$67,I45)=0,"✗ هرم",IF(NOT(OR(Z45="ممتاز 100%",Z45="جيد 80%",Z45="مقبول 60%",Z45="خطر 40%",Z45="")),"✗ قائمة R",IF(NOT(OR(AA45="ممتاز 100%",AA45="جيد 85%",AA45="مقبول 70%",AA45="ضعيف 50%",AA45="")),"✗ قائمة S",IF(NOT(OR(AB45="مكتمل 100%",AB45="جزئي 60%",AB45="معلق 30%",AB45="مفتوح 0%",AB45="")),"✗ قائمة T",IF(NOT(OR(AC45="لا خصم 0",AC45="تأخير −5",AC45="عجز −10",AC45="جودة −15",AC45="امتثال −20",AC45="مخالفة −25",AC45="")),"✗ قائمة U",IF(AND(X45="لا",AC45&lt;&gt;"",AC45&lt;&gt;"لا خصم 0"),"✗ خصم",IF(AND(X45="نعم",AC45="لا خصم 0"),"✗ خصم",IF(AND(Z45="ممتاز 100%",AA45="ممتاز 100%",AB45&lt;&gt;"",AB45&lt;&gt;"مكتمل 100%"),"✗ إغلاق",IFERROR(IF(LEN(_xlfn.TEXTJOIN("، ",TRUE,IF(E45="","التاريخ",""),IF(F45="","الوقت",""),IF(G45="","المركز",""),IF(H45="","الدائرة",""),IF(I45="","القسم",""),IF(J45="","المسؤول",""),IF(K45="","نوع النشاط",""),IF(L45="","المشروع",""),IF(N45="","الممول",""),IF(V45="","الموضوع",""),IF(W45="","الملاحظة",""),IF(X45="","مشكلة",""),IF(Y45="","الإجراء",""),IF(Z45="","التنفيذ",""),IF(AA45="","الجودة",""),IF(AB45="","الإغلاق",""),IF(AC45="","الخصم",""),IF(AND(COUNTA($O45:$U45)&gt;0,O45=""),"مدير المشروع",""),IF(AND(COUNTA($O45:$U45)&gt;0,P45=""),"المستفيدين",""),IF(AND(COUNTA($O45:$U45)&gt;0,Q45=""),"المناطق",""),IF(AND(COUNTA($O45:$U45)&gt;0,R45=""),"الميزانية",""),IF(AND(COUNTA($O45:$U45)&gt;0,S45=""),"نسبة الجاهزية",""),IF(AND(COUNTA($O45:$U45)&gt;0,T45=""),"حالة الجاهزية",""),IF(AND(COUNTA($O45:$U45)&gt;0,U45=""),"التوصيات","")))&gt;0,"✗ ناقص: "&amp;_xlfn.TEXTJOIN("، ",TRUE,IF(E45="","التاريخ",""),IF(F45="","الوقت",""),IF(G45="","المركز",""),IF(H45="","الدائرة",""),IF(I45="","القسم",""),IF(J45="","المسؤول",""),IF(K45="","نوع النشاط",""),IF(L45="","المشروع",""),IF(N45="","الممول",""),IF(V45="","الموضوع",""),IF(W45="","الملاحظة",""),IF(X45="","مشكلة",""),IF(Y45="","الإجراء",""),IF(Z45="","التنفيذ",""),IF(AA45="","الجودة",""),IF(AB45="","الإغلاق",""),IF(AC45="","الخصم",""),IF(AND(COUNTA($O45:$U45)&gt;0,O45=""),"مدير المشروع",""),IF(AND(COUNTA($O45:$U45)&gt;0,P45=""),"المستفيدين",""),IF(AND(COUNTA($O45:$U45)&gt;0,Q45=""),"المناطق",""),IF(AND(COUNTA($O45:$U45)&gt;0,R45=""),"الميزانية",""),IF(AND(COUNTA($O45:$U45)&gt;0,S45=""),"نسبة الجاهزية",""),IF(AND(COUNTA($O45:$U45)&gt;0,T45=""),"حالة الجاهزية",""),IF(AND(COUNTA($O45:$U45)&gt;0,U45=""),"التوصيات","")),"✓"),"✓"))))))))))</f>
        <v>✗ ناقص: المسؤول</v>
      </c>
      <c r="E45" s="235">
        <v>46130</v>
      </c>
      <c r="F45" s="236">
        <v>0.47083333333333333</v>
      </c>
      <c r="G45" s="90" t="s">
        <v>97</v>
      </c>
      <c r="H45" s="123" t="s">
        <v>102</v>
      </c>
      <c r="I45" s="89" t="s">
        <v>142</v>
      </c>
      <c r="J45" s="142"/>
      <c r="K45" s="90" t="s">
        <v>116</v>
      </c>
      <c r="L45" s="90" t="s">
        <v>118</v>
      </c>
      <c r="M45" s="90"/>
      <c r="N45" s="89" t="s">
        <v>120</v>
      </c>
      <c r="O45" s="200"/>
      <c r="P45" s="201"/>
      <c r="Q45" s="201"/>
      <c r="R45" s="237"/>
      <c r="S45" s="202"/>
      <c r="T45" s="200"/>
      <c r="U45" s="203"/>
      <c r="V45" s="89" t="s">
        <v>737</v>
      </c>
      <c r="W45" s="89" t="s">
        <v>738</v>
      </c>
      <c r="X45" s="145" t="s">
        <v>651</v>
      </c>
      <c r="Y45" s="89" t="s">
        <v>652</v>
      </c>
      <c r="Z45" s="90" t="s">
        <v>130</v>
      </c>
      <c r="AA45" s="90" t="s">
        <v>130</v>
      </c>
      <c r="AB45" s="90" t="s">
        <v>131</v>
      </c>
      <c r="AC45" s="90" t="s">
        <v>132</v>
      </c>
      <c r="AD45" s="92" t="s">
        <v>26</v>
      </c>
      <c r="AE45" s="149">
        <f>IFERROR(VLOOKUP(Z45,LISTS!$AL$2:$AM$1000,2,FALSE()),"")</f>
        <v>100</v>
      </c>
      <c r="AF45" s="151">
        <f>IFERROR(VLOOKUP(AA45,LISTS!$AO$2:$AP$1000,2,FALSE()),"")</f>
        <v>100</v>
      </c>
      <c r="AG45" s="152">
        <f>IFERROR(VLOOKUP(AB45,LISTS!$AR$2:$AS$1000,2,FALSE()),"")</f>
        <v>100</v>
      </c>
      <c r="AH45" s="154">
        <f>IFERROR(VLOOKUP(AC45,LISTS!$AU$2:$AV$1000,2,FALSE()),"")</f>
        <v>0</v>
      </c>
      <c r="AI45" s="238">
        <f t="shared" si="1"/>
        <v>100</v>
      </c>
      <c r="AJ45" s="190" t="str">
        <f t="shared" si="2"/>
        <v>🌟 ممتاز جدًا</v>
      </c>
      <c r="AK45" s="157">
        <f t="shared" si="5"/>
        <v>4</v>
      </c>
      <c r="AL45" s="160">
        <f t="shared" si="6"/>
        <v>2026</v>
      </c>
      <c r="AM45" s="203"/>
      <c r="AN45" s="200"/>
    </row>
    <row r="46" spans="1:40" ht="27.95" customHeight="1">
      <c r="A46" s="134">
        <f>IF(I46&lt;&gt;"",COUNTA($I$2:I46),"")</f>
        <v>45</v>
      </c>
      <c r="B46" s="138" t="str">
        <f t="shared" si="7"/>
        <v>السبت</v>
      </c>
      <c r="C46" s="93" t="str">
        <f t="array" ref="C46">IF(E46="","",IF(M46&lt;&gt;"",
M46&amp;"/"&amp;SUMPRODUCT((M$2:M46=M46)*1)&amp;" - "&amp;(ROW()-2),
"إداري/"&amp;SUMPRODUCT((M$2:M46="")*1)&amp;" - "&amp;(ROW()-2)))</f>
        <v>إداري/41 - 44</v>
      </c>
      <c r="D46" s="141" t="str">
        <f>IF(AND(G46="",H46="",I46=""),"",IF(COUNTIFS(LISTS!$A$2:$A$67,G46,LISTS!$B$2:$B$67,H46,LISTS!$C$2:$C$67,I46)=0,"✗ هرم",IF(NOT(OR(Z46="ممتاز 100%",Z46="جيد 80%",Z46="مقبول 60%",Z46="خطر 40%",Z46="")),"✗ قائمة R",IF(NOT(OR(AA46="ممتاز 100%",AA46="جيد 85%",AA46="مقبول 70%",AA46="ضعيف 50%",AA46="")),"✗ قائمة S",IF(NOT(OR(AB46="مكتمل 100%",AB46="جزئي 60%",AB46="معلق 30%",AB46="مفتوح 0%",AB46="")),"✗ قائمة T",IF(NOT(OR(AC46="لا خصم 0",AC46="تأخير −5",AC46="عجز −10",AC46="جودة −15",AC46="امتثال −20",AC46="مخالفة −25",AC46="")),"✗ قائمة U",IF(AND(X46="لا",AC46&lt;&gt;"",AC46&lt;&gt;"لا خصم 0"),"✗ خصم",IF(AND(X46="نعم",AC46="لا خصم 0"),"✗ خصم",IF(AND(Z46="ممتاز 100%",AA46="ممتاز 100%",AB46&lt;&gt;"",AB46&lt;&gt;"مكتمل 100%"),"✗ إغلاق",IFERROR(IF(LEN(_xlfn.TEXTJOIN("، ",TRUE,IF(E46="","التاريخ",""),IF(F46="","الوقت",""),IF(G46="","المركز",""),IF(H46="","الدائرة",""),IF(I46="","القسم",""),IF(J46="","المسؤول",""),IF(K46="","نوع النشاط",""),IF(L46="","المشروع",""),IF(N46="","الممول",""),IF(V46="","الموضوع",""),IF(W46="","الملاحظة",""),IF(X46="","مشكلة",""),IF(Y46="","الإجراء",""),IF(Z46="","التنفيذ",""),IF(AA46="","الجودة",""),IF(AB46="","الإغلاق",""),IF(AC46="","الخصم",""),IF(AND(COUNTA($O46:$U46)&gt;0,O46=""),"مدير المشروع",""),IF(AND(COUNTA($O46:$U46)&gt;0,P46=""),"المستفيدين",""),IF(AND(COUNTA($O46:$U46)&gt;0,Q46=""),"المناطق",""),IF(AND(COUNTA($O46:$U46)&gt;0,R46=""),"الميزانية",""),IF(AND(COUNTA($O46:$U46)&gt;0,S46=""),"نسبة الجاهزية",""),IF(AND(COUNTA($O46:$U46)&gt;0,T46=""),"حالة الجاهزية",""),IF(AND(COUNTA($O46:$U46)&gt;0,U46=""),"التوصيات","")))&gt;0,"✗ ناقص: "&amp;_xlfn.TEXTJOIN("، ",TRUE,IF(E46="","التاريخ",""),IF(F46="","الوقت",""),IF(G46="","المركز",""),IF(H46="","الدائرة",""),IF(I46="","القسم",""),IF(J46="","المسؤول",""),IF(K46="","نوع النشاط",""),IF(L46="","المشروع",""),IF(N46="","الممول",""),IF(V46="","الموضوع",""),IF(W46="","الملاحظة",""),IF(X46="","مشكلة",""),IF(Y46="","الإجراء",""),IF(Z46="","التنفيذ",""),IF(AA46="","الجودة",""),IF(AB46="","الإغلاق",""),IF(AC46="","الخصم",""),IF(AND(COUNTA($O46:$U46)&gt;0,O46=""),"مدير المشروع",""),IF(AND(COUNTA($O46:$U46)&gt;0,P46=""),"المستفيدين",""),IF(AND(COUNTA($O46:$U46)&gt;0,Q46=""),"المناطق",""),IF(AND(COUNTA($O46:$U46)&gt;0,R46=""),"الميزانية",""),IF(AND(COUNTA($O46:$U46)&gt;0,S46=""),"نسبة الجاهزية",""),IF(AND(COUNTA($O46:$U46)&gt;0,T46=""),"حالة الجاهزية",""),IF(AND(COUNTA($O46:$U46)&gt;0,U46=""),"التوصيات","")),"✓"),"✓"))))))))))</f>
        <v>✓</v>
      </c>
      <c r="E46" s="235">
        <v>46130</v>
      </c>
      <c r="F46" s="236">
        <v>0.50694444444444442</v>
      </c>
      <c r="G46" s="90" t="s">
        <v>97</v>
      </c>
      <c r="H46" s="123" t="s">
        <v>102</v>
      </c>
      <c r="I46" s="89" t="s">
        <v>175</v>
      </c>
      <c r="J46" s="142" t="s">
        <v>170</v>
      </c>
      <c r="K46" s="90" t="s">
        <v>116</v>
      </c>
      <c r="L46" s="90" t="s">
        <v>118</v>
      </c>
      <c r="M46" s="90"/>
      <c r="N46" s="89" t="s">
        <v>120</v>
      </c>
      <c r="O46" s="200"/>
      <c r="P46" s="201"/>
      <c r="Q46" s="201"/>
      <c r="R46" s="237"/>
      <c r="S46" s="202"/>
      <c r="T46" s="200"/>
      <c r="U46" s="203"/>
      <c r="V46" s="89" t="s">
        <v>739</v>
      </c>
      <c r="W46" s="89" t="s">
        <v>740</v>
      </c>
      <c r="X46" s="145" t="s">
        <v>651</v>
      </c>
      <c r="Y46" s="89" t="s">
        <v>652</v>
      </c>
      <c r="Z46" s="90" t="s">
        <v>130</v>
      </c>
      <c r="AA46" s="90" t="s">
        <v>130</v>
      </c>
      <c r="AB46" s="90" t="s">
        <v>131</v>
      </c>
      <c r="AC46" s="90" t="s">
        <v>132</v>
      </c>
      <c r="AD46" s="91" t="s">
        <v>26</v>
      </c>
      <c r="AE46" s="149">
        <f>IFERROR(VLOOKUP(Z46,LISTS!$AL$2:$AM$1000,2,FALSE()),"")</f>
        <v>100</v>
      </c>
      <c r="AF46" s="151">
        <f>IFERROR(VLOOKUP(AA46,LISTS!$AO$2:$AP$1000,2,FALSE()),"")</f>
        <v>100</v>
      </c>
      <c r="AG46" s="152">
        <f>IFERROR(VLOOKUP(AB46,LISTS!$AR$2:$AS$1000,2,FALSE()),"")</f>
        <v>100</v>
      </c>
      <c r="AH46" s="154">
        <f>IFERROR(VLOOKUP(AC46,LISTS!$AU$2:$AV$1000,2,FALSE()),"")</f>
        <v>0</v>
      </c>
      <c r="AI46" s="238">
        <f t="shared" si="1"/>
        <v>100</v>
      </c>
      <c r="AJ46" s="190" t="str">
        <f t="shared" si="2"/>
        <v>🌟 ممتاز جدًا</v>
      </c>
      <c r="AK46" s="157">
        <f t="shared" si="5"/>
        <v>4</v>
      </c>
      <c r="AL46" s="160">
        <f t="shared" si="6"/>
        <v>2026</v>
      </c>
      <c r="AM46" s="203"/>
      <c r="AN46" s="200"/>
    </row>
    <row r="47" spans="1:40" ht="27.95" customHeight="1">
      <c r="A47" s="134">
        <f>IF(I47&lt;&gt;"",COUNTA($I$2:I47),"")</f>
        <v>46</v>
      </c>
      <c r="B47" s="138" t="str">
        <f t="shared" si="7"/>
        <v>الأحد</v>
      </c>
      <c r="C47" s="93" t="str">
        <f t="array" ref="C47">IF(E47="","",IF(M47&lt;&gt;"",
M47&amp;"/"&amp;SUMPRODUCT((M$2:M47=M47)*1)&amp;" - "&amp;(ROW()-2),
"إداري/"&amp;SUMPRODUCT((M$2:M47="")*1)&amp;" - "&amp;(ROW()-2)))</f>
        <v>إداري/42 - 45</v>
      </c>
      <c r="D47" s="141" t="str">
        <f>IF(AND(G47="",H47="",I47=""),"",IF(COUNTIFS(LISTS!$A$2:$A$67,G47,LISTS!$B$2:$B$67,H47,LISTS!$C$2:$C$67,I47)=0,"✗ هرم",IF(NOT(OR(Z47="ممتاز 100%",Z47="جيد 80%",Z47="مقبول 60%",Z47="خطر 40%",Z47="")),"✗ قائمة R",IF(NOT(OR(AA47="ممتاز 100%",AA47="جيد 85%",AA47="مقبول 70%",AA47="ضعيف 50%",AA47="")),"✗ قائمة S",IF(NOT(OR(AB47="مكتمل 100%",AB47="جزئي 60%",AB47="معلق 30%",AB47="مفتوح 0%",AB47="")),"✗ قائمة T",IF(NOT(OR(AC47="لا خصم 0",AC47="تأخير −5",AC47="عجز −10",AC47="جودة −15",AC47="امتثال −20",AC47="مخالفة −25",AC47="")),"✗ قائمة U",IF(AND(X47="لا",AC47&lt;&gt;"",AC47&lt;&gt;"لا خصم 0"),"✗ خصم",IF(AND(X47="نعم",AC47="لا خصم 0"),"✗ خصم",IF(AND(Z47="ممتاز 100%",AA47="ممتاز 100%",AB47&lt;&gt;"",AB47&lt;&gt;"مكتمل 100%"),"✗ إغلاق",IFERROR(IF(LEN(_xlfn.TEXTJOIN("، ",TRUE,IF(E47="","التاريخ",""),IF(F47="","الوقت",""),IF(G47="","المركز",""),IF(H47="","الدائرة",""),IF(I47="","القسم",""),IF(J47="","المسؤول",""),IF(K47="","نوع النشاط",""),IF(L47="","المشروع",""),IF(N47="","الممول",""),IF(V47="","الموضوع",""),IF(W47="","الملاحظة",""),IF(X47="","مشكلة",""),IF(Y47="","الإجراء",""),IF(Z47="","التنفيذ",""),IF(AA47="","الجودة",""),IF(AB47="","الإغلاق",""),IF(AC47="","الخصم",""),IF(AND(COUNTA($O47:$U47)&gt;0,O47=""),"مدير المشروع",""),IF(AND(COUNTA($O47:$U47)&gt;0,P47=""),"المستفيدين",""),IF(AND(COUNTA($O47:$U47)&gt;0,Q47=""),"المناطق",""),IF(AND(COUNTA($O47:$U47)&gt;0,R47=""),"الميزانية",""),IF(AND(COUNTA($O47:$U47)&gt;0,S47=""),"نسبة الجاهزية",""),IF(AND(COUNTA($O47:$U47)&gt;0,T47=""),"حالة الجاهزية",""),IF(AND(COUNTA($O47:$U47)&gt;0,U47=""),"التوصيات","")))&gt;0,"✗ ناقص: "&amp;_xlfn.TEXTJOIN("، ",TRUE,IF(E47="","التاريخ",""),IF(F47="","الوقت",""),IF(G47="","المركز",""),IF(H47="","الدائرة",""),IF(I47="","القسم",""),IF(J47="","المسؤول",""),IF(K47="","نوع النشاط",""),IF(L47="","المشروع",""),IF(N47="","الممول",""),IF(V47="","الموضوع",""),IF(W47="","الملاحظة",""),IF(X47="","مشكلة",""),IF(Y47="","الإجراء",""),IF(Z47="","التنفيذ",""),IF(AA47="","الجودة",""),IF(AB47="","الإغلاق",""),IF(AC47="","الخصم",""),IF(AND(COUNTA($O47:$U47)&gt;0,O47=""),"مدير المشروع",""),IF(AND(COUNTA($O47:$U47)&gt;0,P47=""),"المستفيدين",""),IF(AND(COUNTA($O47:$U47)&gt;0,Q47=""),"المناطق",""),IF(AND(COUNTA($O47:$U47)&gt;0,R47=""),"الميزانية",""),IF(AND(COUNTA($O47:$U47)&gt;0,S47=""),"نسبة الجاهزية",""),IF(AND(COUNTA($O47:$U47)&gt;0,T47=""),"حالة الجاهزية",""),IF(AND(COUNTA($O47:$U47)&gt;0,U47=""),"التوصيات","")),"✓"),"✓"))))))))))</f>
        <v>✗ ناقص: الممول</v>
      </c>
      <c r="E47" s="235">
        <v>46131</v>
      </c>
      <c r="F47" s="236">
        <v>0.49652777777777779</v>
      </c>
      <c r="G47" s="90" t="s">
        <v>97</v>
      </c>
      <c r="H47" s="123" t="s">
        <v>104</v>
      </c>
      <c r="I47" s="89" t="s">
        <v>177</v>
      </c>
      <c r="J47" s="142" t="s">
        <v>223</v>
      </c>
      <c r="K47" s="90" t="s">
        <v>133</v>
      </c>
      <c r="L47" s="90" t="s">
        <v>369</v>
      </c>
      <c r="M47" s="90"/>
      <c r="N47" s="89"/>
      <c r="O47" s="200"/>
      <c r="P47" s="201"/>
      <c r="Q47" s="201"/>
      <c r="R47" s="237"/>
      <c r="S47" s="202"/>
      <c r="T47" s="200"/>
      <c r="U47" s="203"/>
      <c r="V47" s="89" t="s">
        <v>741</v>
      </c>
      <c r="W47" s="89" t="s">
        <v>742</v>
      </c>
      <c r="X47" s="145" t="s">
        <v>651</v>
      </c>
      <c r="Y47" s="89" t="s">
        <v>652</v>
      </c>
      <c r="Z47" s="90" t="s">
        <v>130</v>
      </c>
      <c r="AA47" s="90" t="s">
        <v>130</v>
      </c>
      <c r="AB47" s="90" t="s">
        <v>131</v>
      </c>
      <c r="AC47" s="90" t="s">
        <v>132</v>
      </c>
      <c r="AD47" s="92" t="s">
        <v>26</v>
      </c>
      <c r="AE47" s="149">
        <f>IFERROR(VLOOKUP(Z47,LISTS!$AL$2:$AM$1000,2,FALSE()),"")</f>
        <v>100</v>
      </c>
      <c r="AF47" s="151">
        <f>IFERROR(VLOOKUP(AA47,LISTS!$AO$2:$AP$1000,2,FALSE()),"")</f>
        <v>100</v>
      </c>
      <c r="AG47" s="152">
        <f>IFERROR(VLOOKUP(AB47,LISTS!$AR$2:$AS$1000,2,FALSE()),"")</f>
        <v>100</v>
      </c>
      <c r="AH47" s="154">
        <f>IFERROR(VLOOKUP(AC47,LISTS!$AU$2:$AV$1000,2,FALSE()),"")</f>
        <v>0</v>
      </c>
      <c r="AI47" s="238">
        <f t="shared" si="1"/>
        <v>100</v>
      </c>
      <c r="AJ47" s="190" t="str">
        <f t="shared" si="2"/>
        <v>🌟 ممتاز جدًا</v>
      </c>
      <c r="AK47" s="157">
        <f t="shared" si="5"/>
        <v>4</v>
      </c>
      <c r="AL47" s="160">
        <f t="shared" si="6"/>
        <v>2026</v>
      </c>
      <c r="AM47" s="203"/>
      <c r="AN47" s="200"/>
    </row>
    <row r="48" spans="1:40" ht="27.95" customHeight="1">
      <c r="A48" s="134">
        <f>IF(I48&lt;&gt;"",COUNTA($I$2:I48),"")</f>
        <v>47</v>
      </c>
      <c r="B48" s="138" t="str">
        <f t="shared" si="7"/>
        <v>الأحد</v>
      </c>
      <c r="C48" s="93" t="str">
        <f t="array" ref="C48">IF(E48="","",IF(M48&lt;&gt;"",
M48&amp;"/"&amp;SUMPRODUCT((M$2:M48=M48)*1)&amp;" - "&amp;(ROW()-2),
"إداري/"&amp;SUMPRODUCT((M$2:M48="")*1)&amp;" - "&amp;(ROW()-2)))</f>
        <v>إداري/43 - 46</v>
      </c>
      <c r="D48" s="141" t="str">
        <f>IF(AND(G48="",H48="",I48=""),"",IF(COUNTIFS(LISTS!$A$2:$A$67,G48,LISTS!$B$2:$B$67,H48,LISTS!$C$2:$C$67,I48)=0,"✗ هرم",IF(NOT(OR(Z48="ممتاز 100%",Z48="جيد 80%",Z48="مقبول 60%",Z48="خطر 40%",Z48="")),"✗ قائمة R",IF(NOT(OR(AA48="ممتاز 100%",AA48="جيد 85%",AA48="مقبول 70%",AA48="ضعيف 50%",AA48="")),"✗ قائمة S",IF(NOT(OR(AB48="مكتمل 100%",AB48="جزئي 60%",AB48="معلق 30%",AB48="مفتوح 0%",AB48="")),"✗ قائمة T",IF(NOT(OR(AC48="لا خصم 0",AC48="تأخير −5",AC48="عجز −10",AC48="جودة −15",AC48="امتثال −20",AC48="مخالفة −25",AC48="")),"✗ قائمة U",IF(AND(X48="لا",AC48&lt;&gt;"",AC48&lt;&gt;"لا خصم 0"),"✗ خصم",IF(AND(X48="نعم",AC48="لا خصم 0"),"✗ خصم",IF(AND(Z48="ممتاز 100%",AA48="ممتاز 100%",AB48&lt;&gt;"",AB48&lt;&gt;"مكتمل 100%"),"✗ إغلاق",IFERROR(IF(LEN(_xlfn.TEXTJOIN("، ",TRUE,IF(E48="","التاريخ",""),IF(F48="","الوقت",""),IF(G48="","المركز",""),IF(H48="","الدائرة",""),IF(I48="","القسم",""),IF(J48="","المسؤول",""),IF(K48="","نوع النشاط",""),IF(L48="","المشروع",""),IF(N48="","الممول",""),IF(V48="","الموضوع",""),IF(W48="","الملاحظة",""),IF(X48="","مشكلة",""),IF(Y48="","الإجراء",""),IF(Z48="","التنفيذ",""),IF(AA48="","الجودة",""),IF(AB48="","الإغلاق",""),IF(AC48="","الخصم",""),IF(AND(COUNTA($O48:$U48)&gt;0,O48=""),"مدير المشروع",""),IF(AND(COUNTA($O48:$U48)&gt;0,P48=""),"المستفيدين",""),IF(AND(COUNTA($O48:$U48)&gt;0,Q48=""),"المناطق",""),IF(AND(COUNTA($O48:$U48)&gt;0,R48=""),"الميزانية",""),IF(AND(COUNTA($O48:$U48)&gt;0,S48=""),"نسبة الجاهزية",""),IF(AND(COUNTA($O48:$U48)&gt;0,T48=""),"حالة الجاهزية",""),IF(AND(COUNTA($O48:$U48)&gt;0,U48=""),"التوصيات","")))&gt;0,"✗ ناقص: "&amp;_xlfn.TEXTJOIN("، ",TRUE,IF(E48="","التاريخ",""),IF(F48="","الوقت",""),IF(G48="","المركز",""),IF(H48="","الدائرة",""),IF(I48="","القسم",""),IF(J48="","المسؤول",""),IF(K48="","نوع النشاط",""),IF(L48="","المشروع",""),IF(N48="","الممول",""),IF(V48="","الموضوع",""),IF(W48="","الملاحظة",""),IF(X48="","مشكلة",""),IF(Y48="","الإجراء",""),IF(Z48="","التنفيذ",""),IF(AA48="","الجودة",""),IF(AB48="","الإغلاق",""),IF(AC48="","الخصم",""),IF(AND(COUNTA($O48:$U48)&gt;0,O48=""),"مدير المشروع",""),IF(AND(COUNTA($O48:$U48)&gt;0,P48=""),"المستفيدين",""),IF(AND(COUNTA($O48:$U48)&gt;0,Q48=""),"المناطق",""),IF(AND(COUNTA($O48:$U48)&gt;0,R48=""),"الميزانية",""),IF(AND(COUNTA($O48:$U48)&gt;0,S48=""),"نسبة الجاهزية",""),IF(AND(COUNTA($O48:$U48)&gt;0,T48=""),"حالة الجاهزية",""),IF(AND(COUNTA($O48:$U48)&gt;0,U48=""),"التوصيات","")),"✓"),"✓"))))))))))</f>
        <v>✗ ناقص: الممول</v>
      </c>
      <c r="E48" s="235">
        <v>46131</v>
      </c>
      <c r="F48" s="236">
        <v>0.53125</v>
      </c>
      <c r="G48" s="90" t="s">
        <v>97</v>
      </c>
      <c r="H48" s="123" t="s">
        <v>102</v>
      </c>
      <c r="I48" s="89" t="s">
        <v>191</v>
      </c>
      <c r="J48" s="142" t="s">
        <v>154</v>
      </c>
      <c r="K48" s="90" t="s">
        <v>116</v>
      </c>
      <c r="L48" s="90" t="s">
        <v>118</v>
      </c>
      <c r="M48" s="90"/>
      <c r="N48" s="89"/>
      <c r="O48" s="200"/>
      <c r="P48" s="201"/>
      <c r="Q48" s="201"/>
      <c r="R48" s="237"/>
      <c r="S48" s="202"/>
      <c r="T48" s="200"/>
      <c r="U48" s="203"/>
      <c r="V48" s="89" t="s">
        <v>743</v>
      </c>
      <c r="W48" s="89" t="s">
        <v>744</v>
      </c>
      <c r="X48" s="145" t="s">
        <v>651</v>
      </c>
      <c r="Y48" s="89" t="s">
        <v>652</v>
      </c>
      <c r="Z48" s="90" t="s">
        <v>130</v>
      </c>
      <c r="AA48" s="90" t="s">
        <v>130</v>
      </c>
      <c r="AB48" s="90" t="s">
        <v>131</v>
      </c>
      <c r="AC48" s="90" t="s">
        <v>132</v>
      </c>
      <c r="AD48" s="91" t="s">
        <v>26</v>
      </c>
      <c r="AE48" s="149">
        <f>IFERROR(VLOOKUP(Z48,LISTS!$AL$2:$AM$1000,2,FALSE()),"")</f>
        <v>100</v>
      </c>
      <c r="AF48" s="151">
        <f>IFERROR(VLOOKUP(AA48,LISTS!$AO$2:$AP$1000,2,FALSE()),"")</f>
        <v>100</v>
      </c>
      <c r="AG48" s="152">
        <f>IFERROR(VLOOKUP(AB48,LISTS!$AR$2:$AS$1000,2,FALSE()),"")</f>
        <v>100</v>
      </c>
      <c r="AH48" s="154">
        <f>IFERROR(VLOOKUP(AC48,LISTS!$AU$2:$AV$1000,2,FALSE()),"")</f>
        <v>0</v>
      </c>
      <c r="AI48" s="238">
        <f t="shared" si="1"/>
        <v>100</v>
      </c>
      <c r="AJ48" s="190" t="str">
        <f t="shared" si="2"/>
        <v>🌟 ممتاز جدًا</v>
      </c>
      <c r="AK48" s="157">
        <f t="shared" si="5"/>
        <v>4</v>
      </c>
      <c r="AL48" s="160">
        <f t="shared" si="6"/>
        <v>2026</v>
      </c>
      <c r="AM48" s="203"/>
      <c r="AN48" s="200"/>
    </row>
    <row r="49" spans="1:40" ht="27.95" customHeight="1">
      <c r="A49" s="134">
        <f>IF(I49&lt;&gt;"",COUNTA($I$2:I49),"")</f>
        <v>48</v>
      </c>
      <c r="B49" s="138" t="str">
        <f t="shared" si="7"/>
        <v>الاثنين</v>
      </c>
      <c r="C49" s="93" t="str">
        <f t="array" ref="C49">IF(E49="","",IF(M49&lt;&gt;"",
M49&amp;"/"&amp;SUMPRODUCT((M$2:M49=M49)*1)&amp;" - "&amp;(ROW()-2),
"إداري/"&amp;SUMPRODUCT((M$2:M49="")*1)&amp;" - "&amp;(ROW()-2)))</f>
        <v>إداري/44 - 47</v>
      </c>
      <c r="D49" s="141" t="str">
        <f>IF(AND(G49="",H49="",I49=""),"",IF(COUNTIFS(LISTS!$A$2:$A$67,G49,LISTS!$B$2:$B$67,H49,LISTS!$C$2:$C$67,I49)=0,"✗ هرم",IF(NOT(OR(Z49="ممتاز 100%",Z49="جيد 80%",Z49="مقبول 60%",Z49="خطر 40%",Z49="")),"✗ قائمة R",IF(NOT(OR(AA49="ممتاز 100%",AA49="جيد 85%",AA49="مقبول 70%",AA49="ضعيف 50%",AA49="")),"✗ قائمة S",IF(NOT(OR(AB49="مكتمل 100%",AB49="جزئي 60%",AB49="معلق 30%",AB49="مفتوح 0%",AB49="")),"✗ قائمة T",IF(NOT(OR(AC49="لا خصم 0",AC49="تأخير −5",AC49="عجز −10",AC49="جودة −15",AC49="امتثال −20",AC49="مخالفة −25",AC49="")),"✗ قائمة U",IF(AND(X49="لا",AC49&lt;&gt;"",AC49&lt;&gt;"لا خصم 0"),"✗ خصم",IF(AND(X49="نعم",AC49="لا خصم 0"),"✗ خصم",IF(AND(Z49="ممتاز 100%",AA49="ممتاز 100%",AB49&lt;&gt;"",AB49&lt;&gt;"مكتمل 100%"),"✗ إغلاق",IFERROR(IF(LEN(_xlfn.TEXTJOIN("، ",TRUE,IF(E49="","التاريخ",""),IF(F49="","الوقت",""),IF(G49="","المركز",""),IF(H49="","الدائرة",""),IF(I49="","القسم",""),IF(J49="","المسؤول",""),IF(K49="","نوع النشاط",""),IF(L49="","المشروع",""),IF(N49="","الممول",""),IF(V49="","الموضوع",""),IF(W49="","الملاحظة",""),IF(X49="","مشكلة",""),IF(Y49="","الإجراء",""),IF(Z49="","التنفيذ",""),IF(AA49="","الجودة",""),IF(AB49="","الإغلاق",""),IF(AC49="","الخصم",""),IF(AND(COUNTA($O49:$U49)&gt;0,O49=""),"مدير المشروع",""),IF(AND(COUNTA($O49:$U49)&gt;0,P49=""),"المستفيدين",""),IF(AND(COUNTA($O49:$U49)&gt;0,Q49=""),"المناطق",""),IF(AND(COUNTA($O49:$U49)&gt;0,R49=""),"الميزانية",""),IF(AND(COUNTA($O49:$U49)&gt;0,S49=""),"نسبة الجاهزية",""),IF(AND(COUNTA($O49:$U49)&gt;0,T49=""),"حالة الجاهزية",""),IF(AND(COUNTA($O49:$U49)&gt;0,U49=""),"التوصيات","")))&gt;0,"✗ ناقص: "&amp;_xlfn.TEXTJOIN("، ",TRUE,IF(E49="","التاريخ",""),IF(F49="","الوقت",""),IF(G49="","المركز",""),IF(H49="","الدائرة",""),IF(I49="","القسم",""),IF(J49="","المسؤول",""),IF(K49="","نوع النشاط",""),IF(L49="","المشروع",""),IF(N49="","الممول",""),IF(V49="","الموضوع",""),IF(W49="","الملاحظة",""),IF(X49="","مشكلة",""),IF(Y49="","الإجراء",""),IF(Z49="","التنفيذ",""),IF(AA49="","الجودة",""),IF(AB49="","الإغلاق",""),IF(AC49="","الخصم",""),IF(AND(COUNTA($O49:$U49)&gt;0,O49=""),"مدير المشروع",""),IF(AND(COUNTA($O49:$U49)&gt;0,P49=""),"المستفيدين",""),IF(AND(COUNTA($O49:$U49)&gt;0,Q49=""),"المناطق",""),IF(AND(COUNTA($O49:$U49)&gt;0,R49=""),"الميزانية",""),IF(AND(COUNTA($O49:$U49)&gt;0,S49=""),"نسبة الجاهزية",""),IF(AND(COUNTA($O49:$U49)&gt;0,T49=""),"حالة الجاهزية",""),IF(AND(COUNTA($O49:$U49)&gt;0,U49=""),"التوصيات","")),"✓"),"✓"))))))))))</f>
        <v>✗ ناقص: الممول</v>
      </c>
      <c r="E49" s="235">
        <v>46132</v>
      </c>
      <c r="F49" s="236">
        <v>0.48958333333333331</v>
      </c>
      <c r="G49" s="90" t="s">
        <v>97</v>
      </c>
      <c r="H49" s="123" t="s">
        <v>102</v>
      </c>
      <c r="I49" s="89" t="s">
        <v>175</v>
      </c>
      <c r="J49" s="142" t="s">
        <v>170</v>
      </c>
      <c r="K49" s="90" t="s">
        <v>133</v>
      </c>
      <c r="L49" s="90" t="s">
        <v>369</v>
      </c>
      <c r="M49" s="90"/>
      <c r="N49" s="89"/>
      <c r="O49" s="200"/>
      <c r="P49" s="201"/>
      <c r="Q49" s="201"/>
      <c r="R49" s="237"/>
      <c r="S49" s="202"/>
      <c r="T49" s="200"/>
      <c r="U49" s="203"/>
      <c r="V49" s="89" t="s">
        <v>745</v>
      </c>
      <c r="W49" s="89" t="s">
        <v>746</v>
      </c>
      <c r="X49" s="145" t="s">
        <v>651</v>
      </c>
      <c r="Y49" s="89" t="s">
        <v>652</v>
      </c>
      <c r="Z49" s="90" t="s">
        <v>130</v>
      </c>
      <c r="AA49" s="90" t="s">
        <v>149</v>
      </c>
      <c r="AB49" s="90" t="s">
        <v>131</v>
      </c>
      <c r="AC49" s="90" t="s">
        <v>132</v>
      </c>
      <c r="AD49" s="92" t="s">
        <v>26</v>
      </c>
      <c r="AE49" s="149">
        <f>IFERROR(VLOOKUP(Z49,LISTS!$AL$2:$AM$1000,2,FALSE()),"")</f>
        <v>100</v>
      </c>
      <c r="AF49" s="151">
        <f>IFERROR(VLOOKUP(AA49,LISTS!$AO$2:$AP$1000,2,FALSE()),"")</f>
        <v>85</v>
      </c>
      <c r="AG49" s="152">
        <f>IFERROR(VLOOKUP(AB49,LISTS!$AR$2:$AS$1000,2,FALSE()),"")</f>
        <v>100</v>
      </c>
      <c r="AH49" s="154">
        <f>IFERROR(VLOOKUP(AC49,LISTS!$AU$2:$AV$1000,2,FALSE()),"")</f>
        <v>0</v>
      </c>
      <c r="AI49" s="238">
        <f t="shared" si="1"/>
        <v>95.5</v>
      </c>
      <c r="AJ49" s="190" t="str">
        <f t="shared" si="2"/>
        <v>⭐ ممتاز</v>
      </c>
      <c r="AK49" s="157">
        <f t="shared" si="5"/>
        <v>4</v>
      </c>
      <c r="AL49" s="160">
        <f t="shared" si="6"/>
        <v>2026</v>
      </c>
      <c r="AM49" s="203"/>
      <c r="AN49" s="200"/>
    </row>
    <row r="50" spans="1:40" ht="27.95" customHeight="1">
      <c r="A50" s="134">
        <f>IF(I50&lt;&gt;"",COUNTA($I$2:I50),"")</f>
        <v>49</v>
      </c>
      <c r="B50" s="138" t="str">
        <f t="shared" si="7"/>
        <v>الاثنين</v>
      </c>
      <c r="C50" s="93" t="str">
        <f t="array" ref="C50">IF(E50="","",IF(M50&lt;&gt;"",
M50&amp;"/"&amp;SUMPRODUCT((M$2:M50=M50)*1)&amp;" - "&amp;(ROW()-2),
"إداري/"&amp;SUMPRODUCT((M$2:M50="")*1)&amp;" - "&amp;(ROW()-2)))</f>
        <v>إداري/45 - 48</v>
      </c>
      <c r="D50" s="141" t="str">
        <f>IF(AND(G50="",H50="",I50=""),"",IF(COUNTIFS(LISTS!$A$2:$A$67,G50,LISTS!$B$2:$B$67,H50,LISTS!$C$2:$C$67,I50)=0,"✗ هرم",IF(NOT(OR(Z50="ممتاز 100%",Z50="جيد 80%",Z50="مقبول 60%",Z50="خطر 40%",Z50="")),"✗ قائمة R",IF(NOT(OR(AA50="ممتاز 100%",AA50="جيد 85%",AA50="مقبول 70%",AA50="ضعيف 50%",AA50="")),"✗ قائمة S",IF(NOT(OR(AB50="مكتمل 100%",AB50="جزئي 60%",AB50="معلق 30%",AB50="مفتوح 0%",AB50="")),"✗ قائمة T",IF(NOT(OR(AC50="لا خصم 0",AC50="تأخير −5",AC50="عجز −10",AC50="جودة −15",AC50="امتثال −20",AC50="مخالفة −25",AC50="")),"✗ قائمة U",IF(AND(X50="لا",AC50&lt;&gt;"",AC50&lt;&gt;"لا خصم 0"),"✗ خصم",IF(AND(X50="نعم",AC50="لا خصم 0"),"✗ خصم",IF(AND(Z50="ممتاز 100%",AA50="ممتاز 100%",AB50&lt;&gt;"",AB50&lt;&gt;"مكتمل 100%"),"✗ إغلاق",IFERROR(IF(LEN(_xlfn.TEXTJOIN("، ",TRUE,IF(E50="","التاريخ",""),IF(F50="","الوقت",""),IF(G50="","المركز",""),IF(H50="","الدائرة",""),IF(I50="","القسم",""),IF(J50="","المسؤول",""),IF(K50="","نوع النشاط",""),IF(L50="","المشروع",""),IF(N50="","الممول",""),IF(V50="","الموضوع",""),IF(W50="","الملاحظة",""),IF(X50="","مشكلة",""),IF(Y50="","الإجراء",""),IF(Z50="","التنفيذ",""),IF(AA50="","الجودة",""),IF(AB50="","الإغلاق",""),IF(AC50="","الخصم",""),IF(AND(COUNTA($O50:$U50)&gt;0,O50=""),"مدير المشروع",""),IF(AND(COUNTA($O50:$U50)&gt;0,P50=""),"المستفيدين",""),IF(AND(COUNTA($O50:$U50)&gt;0,Q50=""),"المناطق",""),IF(AND(COUNTA($O50:$U50)&gt;0,R50=""),"الميزانية",""),IF(AND(COUNTA($O50:$U50)&gt;0,S50=""),"نسبة الجاهزية",""),IF(AND(COUNTA($O50:$U50)&gt;0,T50=""),"حالة الجاهزية",""),IF(AND(COUNTA($O50:$U50)&gt;0,U50=""),"التوصيات","")))&gt;0,"✗ ناقص: "&amp;_xlfn.TEXTJOIN("، ",TRUE,IF(E50="","التاريخ",""),IF(F50="","الوقت",""),IF(G50="","المركز",""),IF(H50="","الدائرة",""),IF(I50="","القسم",""),IF(J50="","المسؤول",""),IF(K50="","نوع النشاط",""),IF(L50="","المشروع",""),IF(N50="","الممول",""),IF(V50="","الموضوع",""),IF(W50="","الملاحظة",""),IF(X50="","مشكلة",""),IF(Y50="","الإجراء",""),IF(Z50="","التنفيذ",""),IF(AA50="","الجودة",""),IF(AB50="","الإغلاق",""),IF(AC50="","الخصم",""),IF(AND(COUNTA($O50:$U50)&gt;0,O50=""),"مدير المشروع",""),IF(AND(COUNTA($O50:$U50)&gt;0,P50=""),"المستفيدين",""),IF(AND(COUNTA($O50:$U50)&gt;0,Q50=""),"المناطق",""),IF(AND(COUNTA($O50:$U50)&gt;0,R50=""),"الميزانية",""),IF(AND(COUNTA($O50:$U50)&gt;0,S50=""),"نسبة الجاهزية",""),IF(AND(COUNTA($O50:$U50)&gt;0,T50=""),"حالة الجاهزية",""),IF(AND(COUNTA($O50:$U50)&gt;0,U50=""),"التوصيات","")),"✓"),"✓"))))))))))</f>
        <v>✓</v>
      </c>
      <c r="E50" s="235">
        <v>46132</v>
      </c>
      <c r="F50" s="236">
        <v>0.50694444444444442</v>
      </c>
      <c r="G50" s="90" t="s">
        <v>97</v>
      </c>
      <c r="H50" s="123" t="s">
        <v>102</v>
      </c>
      <c r="I50" s="89" t="s">
        <v>202</v>
      </c>
      <c r="J50" s="142" t="s">
        <v>135</v>
      </c>
      <c r="K50" s="90" t="s">
        <v>116</v>
      </c>
      <c r="L50" s="90" t="s">
        <v>118</v>
      </c>
      <c r="M50" s="90"/>
      <c r="N50" s="89" t="s">
        <v>120</v>
      </c>
      <c r="O50" s="200"/>
      <c r="P50" s="201"/>
      <c r="Q50" s="201"/>
      <c r="R50" s="237"/>
      <c r="S50" s="202"/>
      <c r="T50" s="200"/>
      <c r="U50" s="203"/>
      <c r="V50" s="89" t="s">
        <v>747</v>
      </c>
      <c r="W50" s="89" t="s">
        <v>748</v>
      </c>
      <c r="X50" s="145" t="s">
        <v>651</v>
      </c>
      <c r="Y50" s="89" t="s">
        <v>652</v>
      </c>
      <c r="Z50" s="90" t="s">
        <v>130</v>
      </c>
      <c r="AA50" s="90" t="s">
        <v>130</v>
      </c>
      <c r="AB50" s="90" t="s">
        <v>131</v>
      </c>
      <c r="AC50" s="90" t="s">
        <v>132</v>
      </c>
      <c r="AD50" s="91" t="s">
        <v>26</v>
      </c>
      <c r="AE50" s="149">
        <f>IFERROR(VLOOKUP(Z50,LISTS!$AL$2:$AM$1000,2,FALSE()),"")</f>
        <v>100</v>
      </c>
      <c r="AF50" s="151">
        <f>IFERROR(VLOOKUP(AA50,LISTS!$AO$2:$AP$1000,2,FALSE()),"")</f>
        <v>100</v>
      </c>
      <c r="AG50" s="152">
        <f>IFERROR(VLOOKUP(AB50,LISTS!$AR$2:$AS$1000,2,FALSE()),"")</f>
        <v>100</v>
      </c>
      <c r="AH50" s="154">
        <f>IFERROR(VLOOKUP(AC50,LISTS!$AU$2:$AV$1000,2,FALSE()),"")</f>
        <v>0</v>
      </c>
      <c r="AI50" s="238">
        <f t="shared" si="1"/>
        <v>100</v>
      </c>
      <c r="AJ50" s="190" t="str">
        <f t="shared" si="2"/>
        <v>🌟 ممتاز جدًا</v>
      </c>
      <c r="AK50" s="157">
        <f t="shared" si="5"/>
        <v>4</v>
      </c>
      <c r="AL50" s="160">
        <f t="shared" si="6"/>
        <v>2026</v>
      </c>
      <c r="AM50" s="203"/>
      <c r="AN50" s="200"/>
    </row>
    <row r="51" spans="1:40" ht="27.95" customHeight="1">
      <c r="A51" s="134">
        <f>IF(I51&lt;&gt;"",COUNTA($I$2:I51),"")</f>
        <v>50</v>
      </c>
      <c r="B51" s="138" t="str">
        <f t="shared" si="7"/>
        <v>الاثنين</v>
      </c>
      <c r="C51" s="93" t="str">
        <f t="array" ref="C51">IF(E51="","",IF(M51&lt;&gt;"",
M51&amp;"/"&amp;SUMPRODUCT((M$2:M51=M51)*1)&amp;" - "&amp;(ROW()-2),
"إداري/"&amp;SUMPRODUCT((M$2:M51="")*1)&amp;" - "&amp;(ROW()-2)))</f>
        <v>إداري/46 - 49</v>
      </c>
      <c r="D51" s="141" t="str">
        <f>IF(AND(G51="",H51="",I51=""),"",IF(COUNTIFS(LISTS!$A$2:$A$67,G51,LISTS!$B$2:$B$67,H51,LISTS!$C$2:$C$67,I51)=0,"✗ هرم",IF(NOT(OR(Z51="ممتاز 100%",Z51="جيد 80%",Z51="مقبول 60%",Z51="خطر 40%",Z51="")),"✗ قائمة R",IF(NOT(OR(AA51="ممتاز 100%",AA51="جيد 85%",AA51="مقبول 70%",AA51="ضعيف 50%",AA51="")),"✗ قائمة S",IF(NOT(OR(AB51="مكتمل 100%",AB51="جزئي 60%",AB51="معلق 30%",AB51="مفتوح 0%",AB51="")),"✗ قائمة T",IF(NOT(OR(AC51="لا خصم 0",AC51="تأخير −5",AC51="عجز −10",AC51="جودة −15",AC51="امتثال −20",AC51="مخالفة −25",AC51="")),"✗ قائمة U",IF(AND(X51="لا",AC51&lt;&gt;"",AC51&lt;&gt;"لا خصم 0"),"✗ خصم",IF(AND(X51="نعم",AC51="لا خصم 0"),"✗ خصم",IF(AND(Z51="ممتاز 100%",AA51="ممتاز 100%",AB51&lt;&gt;"",AB51&lt;&gt;"مكتمل 100%"),"✗ إغلاق",IFERROR(IF(LEN(_xlfn.TEXTJOIN("، ",TRUE,IF(E51="","التاريخ",""),IF(F51="","الوقت",""),IF(G51="","المركز",""),IF(H51="","الدائرة",""),IF(I51="","القسم",""),IF(J51="","المسؤول",""),IF(K51="","نوع النشاط",""),IF(L51="","المشروع",""),IF(N51="","الممول",""),IF(V51="","الموضوع",""),IF(W51="","الملاحظة",""),IF(X51="","مشكلة",""),IF(Y51="","الإجراء",""),IF(Z51="","التنفيذ",""),IF(AA51="","الجودة",""),IF(AB51="","الإغلاق",""),IF(AC51="","الخصم",""),IF(AND(COUNTA($O51:$U51)&gt;0,O51=""),"مدير المشروع",""),IF(AND(COUNTA($O51:$U51)&gt;0,P51=""),"المستفيدين",""),IF(AND(COUNTA($O51:$U51)&gt;0,Q51=""),"المناطق",""),IF(AND(COUNTA($O51:$U51)&gt;0,R51=""),"الميزانية",""),IF(AND(COUNTA($O51:$U51)&gt;0,S51=""),"نسبة الجاهزية",""),IF(AND(COUNTA($O51:$U51)&gt;0,T51=""),"حالة الجاهزية",""),IF(AND(COUNTA($O51:$U51)&gt;0,U51=""),"التوصيات","")))&gt;0,"✗ ناقص: "&amp;_xlfn.TEXTJOIN("، ",TRUE,IF(E51="","التاريخ",""),IF(F51="","الوقت",""),IF(G51="","المركز",""),IF(H51="","الدائرة",""),IF(I51="","القسم",""),IF(J51="","المسؤول",""),IF(K51="","نوع النشاط",""),IF(L51="","المشروع",""),IF(N51="","الممول",""),IF(V51="","الموضوع",""),IF(W51="","الملاحظة",""),IF(X51="","مشكلة",""),IF(Y51="","الإجراء",""),IF(Z51="","التنفيذ",""),IF(AA51="","الجودة",""),IF(AB51="","الإغلاق",""),IF(AC51="","الخصم",""),IF(AND(COUNTA($O51:$U51)&gt;0,O51=""),"مدير المشروع",""),IF(AND(COUNTA($O51:$U51)&gt;0,P51=""),"المستفيدين",""),IF(AND(COUNTA($O51:$U51)&gt;0,Q51=""),"المناطق",""),IF(AND(COUNTA($O51:$U51)&gt;0,R51=""),"الميزانية",""),IF(AND(COUNTA($O51:$U51)&gt;0,S51=""),"نسبة الجاهزية",""),IF(AND(COUNTA($O51:$U51)&gt;0,T51=""),"حالة الجاهزية",""),IF(AND(COUNTA($O51:$U51)&gt;0,U51=""),"التوصيات","")),"✓"),"✓"))))))))))</f>
        <v>✓</v>
      </c>
      <c r="E51" s="235">
        <v>46132</v>
      </c>
      <c r="F51" s="236">
        <v>0.60416666666666663</v>
      </c>
      <c r="G51" s="90" t="s">
        <v>97</v>
      </c>
      <c r="H51" s="123" t="s">
        <v>102</v>
      </c>
      <c r="I51" s="89" t="s">
        <v>124</v>
      </c>
      <c r="J51" s="142" t="s">
        <v>117</v>
      </c>
      <c r="K51" s="90" t="s">
        <v>116</v>
      </c>
      <c r="L51" s="90" t="s">
        <v>118</v>
      </c>
      <c r="M51" s="90"/>
      <c r="N51" s="89" t="s">
        <v>120</v>
      </c>
      <c r="O51" s="200"/>
      <c r="P51" s="201"/>
      <c r="Q51" s="201"/>
      <c r="R51" s="237"/>
      <c r="S51" s="202"/>
      <c r="T51" s="200"/>
      <c r="U51" s="203"/>
      <c r="V51" s="89" t="s">
        <v>749</v>
      </c>
      <c r="W51" s="89" t="s">
        <v>750</v>
      </c>
      <c r="X51" s="145" t="s">
        <v>651</v>
      </c>
      <c r="Y51" s="89" t="s">
        <v>652</v>
      </c>
      <c r="Z51" s="90" t="s">
        <v>130</v>
      </c>
      <c r="AA51" s="90" t="s">
        <v>130</v>
      </c>
      <c r="AB51" s="90" t="s">
        <v>131</v>
      </c>
      <c r="AC51" s="90" t="s">
        <v>132</v>
      </c>
      <c r="AD51" s="92" t="s">
        <v>26</v>
      </c>
      <c r="AE51" s="149">
        <f>IFERROR(VLOOKUP(Z51,LISTS!$AL$2:$AM$1000,2,FALSE()),"")</f>
        <v>100</v>
      </c>
      <c r="AF51" s="151">
        <f>IFERROR(VLOOKUP(AA51,LISTS!$AO$2:$AP$1000,2,FALSE()),"")</f>
        <v>100</v>
      </c>
      <c r="AG51" s="152">
        <f>IFERROR(VLOOKUP(AB51,LISTS!$AR$2:$AS$1000,2,FALSE()),"")</f>
        <v>100</v>
      </c>
      <c r="AH51" s="154">
        <f>IFERROR(VLOOKUP(AC51,LISTS!$AU$2:$AV$1000,2,FALSE()),"")</f>
        <v>0</v>
      </c>
      <c r="AI51" s="238">
        <f t="shared" si="1"/>
        <v>100</v>
      </c>
      <c r="AJ51" s="190" t="str">
        <f t="shared" si="2"/>
        <v>🌟 ممتاز جدًا</v>
      </c>
      <c r="AK51" s="157">
        <f t="shared" si="5"/>
        <v>4</v>
      </c>
      <c r="AL51" s="160">
        <f t="shared" si="6"/>
        <v>2026</v>
      </c>
      <c r="AM51" s="203"/>
      <c r="AN51" s="200"/>
    </row>
    <row r="52" spans="1:40" ht="27.95" customHeight="1">
      <c r="A52" s="134">
        <f>IF(I52&lt;&gt;"",COUNTA($I$2:I52),"")</f>
        <v>51</v>
      </c>
      <c r="B52" s="138" t="str">
        <f t="shared" si="7"/>
        <v>الاثنين</v>
      </c>
      <c r="C52" s="93" t="str">
        <f t="array" ref="C52">IF(E52="","",IF(M52&lt;&gt;"",
M52&amp;"/"&amp;SUMPRODUCT((M$2:M52=M52)*1)&amp;" - "&amp;(ROW()-2),
"إداري/"&amp;SUMPRODUCT((M$2:M52="")*1)&amp;" - "&amp;(ROW()-2)))</f>
        <v>إداري/47 - 50</v>
      </c>
      <c r="D52" s="141" t="str">
        <f>IF(AND(G52="",H52="",I52=""),"",IF(COUNTIFS(LISTS!$A$2:$A$67,G52,LISTS!$B$2:$B$67,H52,LISTS!$C$2:$C$67,I52)=0,"✗ هرم",IF(NOT(OR(Z52="ممتاز 100%",Z52="جيد 80%",Z52="مقبول 60%",Z52="خطر 40%",Z52="")),"✗ قائمة R",IF(NOT(OR(AA52="ممتاز 100%",AA52="جيد 85%",AA52="مقبول 70%",AA52="ضعيف 50%",AA52="")),"✗ قائمة S",IF(NOT(OR(AB52="مكتمل 100%",AB52="جزئي 60%",AB52="معلق 30%",AB52="مفتوح 0%",AB52="")),"✗ قائمة T",IF(NOT(OR(AC52="لا خصم 0",AC52="تأخير −5",AC52="عجز −10",AC52="جودة −15",AC52="امتثال −20",AC52="مخالفة −25",AC52="")),"✗ قائمة U",IF(AND(X52="لا",AC52&lt;&gt;"",AC52&lt;&gt;"لا خصم 0"),"✗ خصم",IF(AND(X52="نعم",AC52="لا خصم 0"),"✗ خصم",IF(AND(Z52="ممتاز 100%",AA52="ممتاز 100%",AB52&lt;&gt;"",AB52&lt;&gt;"مكتمل 100%"),"✗ إغلاق",IFERROR(IF(LEN(_xlfn.TEXTJOIN("، ",TRUE,IF(E52="","التاريخ",""),IF(F52="","الوقت",""),IF(G52="","المركز",""),IF(H52="","الدائرة",""),IF(I52="","القسم",""),IF(J52="","المسؤول",""),IF(K52="","نوع النشاط",""),IF(L52="","المشروع",""),IF(N52="","الممول",""),IF(V52="","الموضوع",""),IF(W52="","الملاحظة",""),IF(X52="","مشكلة",""),IF(Y52="","الإجراء",""),IF(Z52="","التنفيذ",""),IF(AA52="","الجودة",""),IF(AB52="","الإغلاق",""),IF(AC52="","الخصم",""),IF(AND(COUNTA($O52:$U52)&gt;0,O52=""),"مدير المشروع",""),IF(AND(COUNTA($O52:$U52)&gt;0,P52=""),"المستفيدين",""),IF(AND(COUNTA($O52:$U52)&gt;0,Q52=""),"المناطق",""),IF(AND(COUNTA($O52:$U52)&gt;0,R52=""),"الميزانية",""),IF(AND(COUNTA($O52:$U52)&gt;0,S52=""),"نسبة الجاهزية",""),IF(AND(COUNTA($O52:$U52)&gt;0,T52=""),"حالة الجاهزية",""),IF(AND(COUNTA($O52:$U52)&gt;0,U52=""),"التوصيات","")))&gt;0,"✗ ناقص: "&amp;_xlfn.TEXTJOIN("، ",TRUE,IF(E52="","التاريخ",""),IF(F52="","الوقت",""),IF(G52="","المركز",""),IF(H52="","الدائرة",""),IF(I52="","القسم",""),IF(J52="","المسؤول",""),IF(K52="","نوع النشاط",""),IF(L52="","المشروع",""),IF(N52="","الممول",""),IF(V52="","الموضوع",""),IF(W52="","الملاحظة",""),IF(X52="","مشكلة",""),IF(Y52="","الإجراء",""),IF(Z52="","التنفيذ",""),IF(AA52="","الجودة",""),IF(AB52="","الإغلاق",""),IF(AC52="","الخصم",""),IF(AND(COUNTA($O52:$U52)&gt;0,O52=""),"مدير المشروع",""),IF(AND(COUNTA($O52:$U52)&gt;0,P52=""),"المستفيدين",""),IF(AND(COUNTA($O52:$U52)&gt;0,Q52=""),"المناطق",""),IF(AND(COUNTA($O52:$U52)&gt;0,R52=""),"الميزانية",""),IF(AND(COUNTA($O52:$U52)&gt;0,S52=""),"نسبة الجاهزية",""),IF(AND(COUNTA($O52:$U52)&gt;0,T52=""),"حالة الجاهزية",""),IF(AND(COUNTA($O52:$U52)&gt;0,U52=""),"التوصيات","")),"✓"),"✓"))))))))))</f>
        <v>✗ ناقص: المسؤول</v>
      </c>
      <c r="E52" s="235">
        <v>46132</v>
      </c>
      <c r="F52" s="236">
        <v>0.65555555555555556</v>
      </c>
      <c r="G52" s="90" t="s">
        <v>97</v>
      </c>
      <c r="H52" s="123" t="s">
        <v>102</v>
      </c>
      <c r="I52" s="89" t="s">
        <v>142</v>
      </c>
      <c r="J52" s="142"/>
      <c r="K52" s="90" t="s">
        <v>116</v>
      </c>
      <c r="L52" s="90" t="s">
        <v>118</v>
      </c>
      <c r="M52" s="90"/>
      <c r="N52" s="89" t="s">
        <v>120</v>
      </c>
      <c r="O52" s="200"/>
      <c r="P52" s="201"/>
      <c r="Q52" s="201"/>
      <c r="R52" s="237"/>
      <c r="S52" s="202"/>
      <c r="T52" s="200"/>
      <c r="U52" s="203"/>
      <c r="V52" s="89" t="s">
        <v>751</v>
      </c>
      <c r="W52" s="89" t="s">
        <v>752</v>
      </c>
      <c r="X52" s="145" t="s">
        <v>651</v>
      </c>
      <c r="Y52" s="89" t="s">
        <v>652</v>
      </c>
      <c r="Z52" s="90" t="s">
        <v>130</v>
      </c>
      <c r="AA52" s="90" t="s">
        <v>130</v>
      </c>
      <c r="AB52" s="90" t="s">
        <v>131</v>
      </c>
      <c r="AC52" s="90" t="s">
        <v>132</v>
      </c>
      <c r="AD52" s="91" t="s">
        <v>26</v>
      </c>
      <c r="AE52" s="149">
        <f>IFERROR(VLOOKUP(Z52,LISTS!$AL$2:$AM$1000,2,FALSE()),"")</f>
        <v>100</v>
      </c>
      <c r="AF52" s="151">
        <f>IFERROR(VLOOKUP(AA52,LISTS!$AO$2:$AP$1000,2,FALSE()),"")</f>
        <v>100</v>
      </c>
      <c r="AG52" s="152">
        <f>IFERROR(VLOOKUP(AB52,LISTS!$AR$2:$AS$1000,2,FALSE()),"")</f>
        <v>100</v>
      </c>
      <c r="AH52" s="154">
        <f>IFERROR(VLOOKUP(AC52,LISTS!$AU$2:$AV$1000,2,FALSE()),"")</f>
        <v>0</v>
      </c>
      <c r="AI52" s="238">
        <f t="shared" si="1"/>
        <v>100</v>
      </c>
      <c r="AJ52" s="190" t="str">
        <f t="shared" si="2"/>
        <v>🌟 ممتاز جدًا</v>
      </c>
      <c r="AK52" s="157">
        <f t="shared" si="5"/>
        <v>4</v>
      </c>
      <c r="AL52" s="160">
        <f t="shared" si="6"/>
        <v>2026</v>
      </c>
      <c r="AM52" s="203"/>
      <c r="AN52" s="200"/>
    </row>
    <row r="53" spans="1:40" ht="27.95" customHeight="1">
      <c r="A53" s="134">
        <f>IF(I53&lt;&gt;"",COUNTA($I$2:I53),"")</f>
        <v>52</v>
      </c>
      <c r="B53" s="138" t="str">
        <f t="shared" si="7"/>
        <v>الاثنين</v>
      </c>
      <c r="C53" s="93" t="str">
        <f t="array" ref="C53">IF(E53="","",IF(M53&lt;&gt;"",
M53&amp;"/"&amp;SUMPRODUCT((M$2:M53=M53)*1)&amp;" - "&amp;(ROW()-2),
"إداري/"&amp;SUMPRODUCT((M$2:M53="")*1)&amp;" - "&amp;(ROW()-2)))</f>
        <v>إداري/48 - 51</v>
      </c>
      <c r="D53" s="141" t="str">
        <f>IF(AND(G53="",H53="",I53=""),"",IF(COUNTIFS(LISTS!$A$2:$A$67,G53,LISTS!$B$2:$B$67,H53,LISTS!$C$2:$C$67,I53)=0,"✗ هرم",IF(NOT(OR(Z53="ممتاز 100%",Z53="جيد 80%",Z53="مقبول 60%",Z53="خطر 40%",Z53="")),"✗ قائمة R",IF(NOT(OR(AA53="ممتاز 100%",AA53="جيد 85%",AA53="مقبول 70%",AA53="ضعيف 50%",AA53="")),"✗ قائمة S",IF(NOT(OR(AB53="مكتمل 100%",AB53="جزئي 60%",AB53="معلق 30%",AB53="مفتوح 0%",AB53="")),"✗ قائمة T",IF(NOT(OR(AC53="لا خصم 0",AC53="تأخير −5",AC53="عجز −10",AC53="جودة −15",AC53="امتثال −20",AC53="مخالفة −25",AC53="")),"✗ قائمة U",IF(AND(X53="لا",AC53&lt;&gt;"",AC53&lt;&gt;"لا خصم 0"),"✗ خصم",IF(AND(X53="نعم",AC53="لا خصم 0"),"✗ خصم",IF(AND(Z53="ممتاز 100%",AA53="ممتاز 100%",AB53&lt;&gt;"",AB53&lt;&gt;"مكتمل 100%"),"✗ إغلاق",IFERROR(IF(LEN(_xlfn.TEXTJOIN("، ",TRUE,IF(E53="","التاريخ",""),IF(F53="","الوقت",""),IF(G53="","المركز",""),IF(H53="","الدائرة",""),IF(I53="","القسم",""),IF(J53="","المسؤول",""),IF(K53="","نوع النشاط",""),IF(L53="","المشروع",""),IF(N53="","الممول",""),IF(V53="","الموضوع",""),IF(W53="","الملاحظة",""),IF(X53="","مشكلة",""),IF(Y53="","الإجراء",""),IF(Z53="","التنفيذ",""),IF(AA53="","الجودة",""),IF(AB53="","الإغلاق",""),IF(AC53="","الخصم",""),IF(AND(COUNTA($O53:$U53)&gt;0,O53=""),"مدير المشروع",""),IF(AND(COUNTA($O53:$U53)&gt;0,P53=""),"المستفيدين",""),IF(AND(COUNTA($O53:$U53)&gt;0,Q53=""),"المناطق",""),IF(AND(COUNTA($O53:$U53)&gt;0,R53=""),"الميزانية",""),IF(AND(COUNTA($O53:$U53)&gt;0,S53=""),"نسبة الجاهزية",""),IF(AND(COUNTA($O53:$U53)&gt;0,T53=""),"حالة الجاهزية",""),IF(AND(COUNTA($O53:$U53)&gt;0,U53=""),"التوصيات","")))&gt;0,"✗ ناقص: "&amp;_xlfn.TEXTJOIN("، ",TRUE,IF(E53="","التاريخ",""),IF(F53="","الوقت",""),IF(G53="","المركز",""),IF(H53="","الدائرة",""),IF(I53="","القسم",""),IF(J53="","المسؤول",""),IF(K53="","نوع النشاط",""),IF(L53="","المشروع",""),IF(N53="","الممول",""),IF(V53="","الموضوع",""),IF(W53="","الملاحظة",""),IF(X53="","مشكلة",""),IF(Y53="","الإجراء",""),IF(Z53="","التنفيذ",""),IF(AA53="","الجودة",""),IF(AB53="","الإغلاق",""),IF(AC53="","الخصم",""),IF(AND(COUNTA($O53:$U53)&gt;0,O53=""),"مدير المشروع",""),IF(AND(COUNTA($O53:$U53)&gt;0,P53=""),"المستفيدين",""),IF(AND(COUNTA($O53:$U53)&gt;0,Q53=""),"المناطق",""),IF(AND(COUNTA($O53:$U53)&gt;0,R53=""),"الميزانية",""),IF(AND(COUNTA($O53:$U53)&gt;0,S53=""),"نسبة الجاهزية",""),IF(AND(COUNTA($O53:$U53)&gt;0,T53=""),"حالة الجاهزية",""),IF(AND(COUNTA($O53:$U53)&gt;0,U53=""),"التوصيات","")),"✓"),"✓"))))))))))</f>
        <v>✗ ناقص: الممول</v>
      </c>
      <c r="E53" s="235">
        <v>46132</v>
      </c>
      <c r="F53" s="236">
        <v>0.57291666666666663</v>
      </c>
      <c r="G53" s="90" t="s">
        <v>97</v>
      </c>
      <c r="H53" s="123" t="s">
        <v>102</v>
      </c>
      <c r="I53" s="89" t="s">
        <v>227</v>
      </c>
      <c r="J53" s="142" t="s">
        <v>753</v>
      </c>
      <c r="K53" s="90" t="s">
        <v>116</v>
      </c>
      <c r="L53" s="90" t="s">
        <v>171</v>
      </c>
      <c r="M53" s="90"/>
      <c r="N53" s="89"/>
      <c r="O53" s="200"/>
      <c r="P53" s="201"/>
      <c r="Q53" s="201"/>
      <c r="R53" s="237"/>
      <c r="S53" s="202"/>
      <c r="T53" s="200"/>
      <c r="U53" s="203"/>
      <c r="V53" s="89" t="s">
        <v>754</v>
      </c>
      <c r="W53" s="89" t="s">
        <v>755</v>
      </c>
      <c r="X53" s="145" t="s">
        <v>651</v>
      </c>
      <c r="Y53" s="89" t="s">
        <v>652</v>
      </c>
      <c r="Z53" s="90" t="s">
        <v>165</v>
      </c>
      <c r="AA53" s="90" t="s">
        <v>130</v>
      </c>
      <c r="AB53" s="90" t="s">
        <v>167</v>
      </c>
      <c r="AC53" s="90" t="s">
        <v>132</v>
      </c>
      <c r="AD53" s="92" t="s">
        <v>26</v>
      </c>
      <c r="AE53" s="149">
        <f>IFERROR(VLOOKUP(Z53,LISTS!$AL$2:$AM$1000,2,FALSE()),"")</f>
        <v>80</v>
      </c>
      <c r="AF53" s="151">
        <f>IFERROR(VLOOKUP(AA53,LISTS!$AO$2:$AP$1000,2,FALSE()),"")</f>
        <v>100</v>
      </c>
      <c r="AG53" s="152">
        <f>IFERROR(VLOOKUP(AB53,LISTS!$AR$2:$AS$1000,2,FALSE()),"")</f>
        <v>60</v>
      </c>
      <c r="AH53" s="154">
        <f>IFERROR(VLOOKUP(AC53,LISTS!$AU$2:$AV$1000,2,FALSE()),"")</f>
        <v>0</v>
      </c>
      <c r="AI53" s="238">
        <f t="shared" si="1"/>
        <v>80</v>
      </c>
      <c r="AJ53" s="190" t="str">
        <f t="shared" si="2"/>
        <v>🟢 جيد</v>
      </c>
      <c r="AK53" s="157">
        <f t="shared" si="5"/>
        <v>4</v>
      </c>
      <c r="AL53" s="160">
        <f t="shared" si="6"/>
        <v>2026</v>
      </c>
      <c r="AM53" s="203"/>
      <c r="AN53" s="200"/>
    </row>
    <row r="54" spans="1:40" ht="27.95" customHeight="1">
      <c r="A54" s="134">
        <f>IF(I54&lt;&gt;"",COUNTA($I$2:I54),"")</f>
        <v>53</v>
      </c>
      <c r="B54" s="138" t="str">
        <f t="shared" si="7"/>
        <v>الثلاثاء</v>
      </c>
      <c r="C54" s="93" t="str">
        <f t="array" ref="C54">IF(E54="","",IF(M54&lt;&gt;"",
M54&amp;"/"&amp;SUMPRODUCT((M$2:M54=M54)*1)&amp;" - "&amp;(ROW()-2),
"إداري/"&amp;SUMPRODUCT((M$2:M54="")*1)&amp;" - "&amp;(ROW()-2)))</f>
        <v>إداري/49 - 52</v>
      </c>
      <c r="D54" s="141" t="str">
        <f>IF(AND(G54="",H54="",I54=""),"",IF(COUNTIFS(LISTS!$A$2:$A$67,G54,LISTS!$B$2:$B$67,H54,LISTS!$C$2:$C$67,I54)=0,"✗ هرم",IF(NOT(OR(Z54="ممتاز 100%",Z54="جيد 80%",Z54="مقبول 60%",Z54="خطر 40%",Z54="")),"✗ قائمة R",IF(NOT(OR(AA54="ممتاز 100%",AA54="جيد 85%",AA54="مقبول 70%",AA54="ضعيف 50%",AA54="")),"✗ قائمة S",IF(NOT(OR(AB54="مكتمل 100%",AB54="جزئي 60%",AB54="معلق 30%",AB54="مفتوح 0%",AB54="")),"✗ قائمة T",IF(NOT(OR(AC54="لا خصم 0",AC54="تأخير −5",AC54="عجز −10",AC54="جودة −15",AC54="امتثال −20",AC54="مخالفة −25",AC54="")),"✗ قائمة U",IF(AND(X54="لا",AC54&lt;&gt;"",AC54&lt;&gt;"لا خصم 0"),"✗ خصم",IF(AND(X54="نعم",AC54="لا خصم 0"),"✗ خصم",IF(AND(Z54="ممتاز 100%",AA54="ممتاز 100%",AB54&lt;&gt;"",AB54&lt;&gt;"مكتمل 100%"),"✗ إغلاق",IFERROR(IF(LEN(_xlfn.TEXTJOIN("، ",TRUE,IF(E54="","التاريخ",""),IF(F54="","الوقت",""),IF(G54="","المركز",""),IF(H54="","الدائرة",""),IF(I54="","القسم",""),IF(J54="","المسؤول",""),IF(K54="","نوع النشاط",""),IF(L54="","المشروع",""),IF(N54="","الممول",""),IF(V54="","الموضوع",""),IF(W54="","الملاحظة",""),IF(X54="","مشكلة",""),IF(Y54="","الإجراء",""),IF(Z54="","التنفيذ",""),IF(AA54="","الجودة",""),IF(AB54="","الإغلاق",""),IF(AC54="","الخصم",""),IF(AND(COUNTA($O54:$U54)&gt;0,O54=""),"مدير المشروع",""),IF(AND(COUNTA($O54:$U54)&gt;0,P54=""),"المستفيدين",""),IF(AND(COUNTA($O54:$U54)&gt;0,Q54=""),"المناطق",""),IF(AND(COUNTA($O54:$U54)&gt;0,R54=""),"الميزانية",""),IF(AND(COUNTA($O54:$U54)&gt;0,S54=""),"نسبة الجاهزية",""),IF(AND(COUNTA($O54:$U54)&gt;0,T54=""),"حالة الجاهزية",""),IF(AND(COUNTA($O54:$U54)&gt;0,U54=""),"التوصيات","")))&gt;0,"✗ ناقص: "&amp;_xlfn.TEXTJOIN("، ",TRUE,IF(E54="","التاريخ",""),IF(F54="","الوقت",""),IF(G54="","المركز",""),IF(H54="","الدائرة",""),IF(I54="","القسم",""),IF(J54="","المسؤول",""),IF(K54="","نوع النشاط",""),IF(L54="","المشروع",""),IF(N54="","الممول",""),IF(V54="","الموضوع",""),IF(W54="","الملاحظة",""),IF(X54="","مشكلة",""),IF(Y54="","الإجراء",""),IF(Z54="","التنفيذ",""),IF(AA54="","الجودة",""),IF(AB54="","الإغلاق",""),IF(AC54="","الخصم",""),IF(AND(COUNTA($O54:$U54)&gt;0,O54=""),"مدير المشروع",""),IF(AND(COUNTA($O54:$U54)&gt;0,P54=""),"المستفيدين",""),IF(AND(COUNTA($O54:$U54)&gt;0,Q54=""),"المناطق",""),IF(AND(COUNTA($O54:$U54)&gt;0,R54=""),"الميزانية",""),IF(AND(COUNTA($O54:$U54)&gt;0,S54=""),"نسبة الجاهزية",""),IF(AND(COUNTA($O54:$U54)&gt;0,T54=""),"حالة الجاهزية",""),IF(AND(COUNTA($O54:$U54)&gt;0,U54=""),"التوصيات","")),"✓"),"✓"))))))))))</f>
        <v>✗ ناقص: المسؤول</v>
      </c>
      <c r="E54" s="235">
        <v>46133</v>
      </c>
      <c r="F54" s="236">
        <v>0.47916666666666669</v>
      </c>
      <c r="G54" s="90" t="s">
        <v>97</v>
      </c>
      <c r="H54" s="123" t="s">
        <v>102</v>
      </c>
      <c r="I54" s="89" t="s">
        <v>159</v>
      </c>
      <c r="J54" s="142"/>
      <c r="K54" s="90" t="s">
        <v>116</v>
      </c>
      <c r="L54" s="90" t="s">
        <v>118</v>
      </c>
      <c r="M54" s="90"/>
      <c r="N54" s="89" t="s">
        <v>120</v>
      </c>
      <c r="O54" s="200"/>
      <c r="P54" s="201"/>
      <c r="Q54" s="201"/>
      <c r="R54" s="237"/>
      <c r="S54" s="202"/>
      <c r="T54" s="200"/>
      <c r="U54" s="203"/>
      <c r="V54" s="89" t="s">
        <v>756</v>
      </c>
      <c r="W54" s="89" t="s">
        <v>757</v>
      </c>
      <c r="X54" s="145" t="s">
        <v>651</v>
      </c>
      <c r="Y54" s="89" t="s">
        <v>652</v>
      </c>
      <c r="Z54" s="90" t="s">
        <v>130</v>
      </c>
      <c r="AA54" s="90" t="s">
        <v>130</v>
      </c>
      <c r="AB54" s="90" t="s">
        <v>131</v>
      </c>
      <c r="AC54" s="90" t="s">
        <v>132</v>
      </c>
      <c r="AD54" s="91" t="s">
        <v>26</v>
      </c>
      <c r="AE54" s="149">
        <f>IFERROR(VLOOKUP(Z54,LISTS!$AL$2:$AM$1000,2,FALSE()),"")</f>
        <v>100</v>
      </c>
      <c r="AF54" s="151">
        <f>IFERROR(VLOOKUP(AA54,LISTS!$AO$2:$AP$1000,2,FALSE()),"")</f>
        <v>100</v>
      </c>
      <c r="AG54" s="152">
        <f>IFERROR(VLOOKUP(AB54,LISTS!$AR$2:$AS$1000,2,FALSE()),"")</f>
        <v>100</v>
      </c>
      <c r="AH54" s="154">
        <f>IFERROR(VLOOKUP(AC54,LISTS!$AU$2:$AV$1000,2,FALSE()),"")</f>
        <v>0</v>
      </c>
      <c r="AI54" s="238">
        <f t="shared" si="1"/>
        <v>100</v>
      </c>
      <c r="AJ54" s="190" t="str">
        <f t="shared" si="2"/>
        <v>🌟 ممتاز جدًا</v>
      </c>
      <c r="AK54" s="157">
        <f t="shared" si="5"/>
        <v>4</v>
      </c>
      <c r="AL54" s="160">
        <f t="shared" si="6"/>
        <v>2026</v>
      </c>
      <c r="AM54" s="203"/>
      <c r="AN54" s="200"/>
    </row>
    <row r="55" spans="1:40" ht="27.95" customHeight="1">
      <c r="A55" s="134">
        <f>IF(I55&lt;&gt;"",COUNTA($I$2:I55),"")</f>
        <v>54</v>
      </c>
      <c r="B55" s="138" t="str">
        <f t="shared" si="7"/>
        <v>الثلاثاء</v>
      </c>
      <c r="C55" s="93" t="str">
        <f t="array" ref="C55">IF(E55="","",IF(M55&lt;&gt;"",
M55&amp;"/"&amp;SUMPRODUCT((M$2:M55=M55)*1)&amp;" - "&amp;(ROW()-2),
"إداري/"&amp;SUMPRODUCT((M$2:M55="")*1)&amp;" - "&amp;(ROW()-2)))</f>
        <v>إداري/50 - 53</v>
      </c>
      <c r="D55" s="141" t="str">
        <f>IF(AND(G55="",H55="",I55=""),"",IF(COUNTIFS(LISTS!$A$2:$A$67,G55,LISTS!$B$2:$B$67,H55,LISTS!$C$2:$C$67,I55)=0,"✗ هرم",IF(NOT(OR(Z55="ممتاز 100%",Z55="جيد 80%",Z55="مقبول 60%",Z55="خطر 40%",Z55="")),"✗ قائمة R",IF(NOT(OR(AA55="ممتاز 100%",AA55="جيد 85%",AA55="مقبول 70%",AA55="ضعيف 50%",AA55="")),"✗ قائمة S",IF(NOT(OR(AB55="مكتمل 100%",AB55="جزئي 60%",AB55="معلق 30%",AB55="مفتوح 0%",AB55="")),"✗ قائمة T",IF(NOT(OR(AC55="لا خصم 0",AC55="تأخير −5",AC55="عجز −10",AC55="جودة −15",AC55="امتثال −20",AC55="مخالفة −25",AC55="")),"✗ قائمة U",IF(AND(X55="لا",AC55&lt;&gt;"",AC55&lt;&gt;"لا خصم 0"),"✗ خصم",IF(AND(X55="نعم",AC55="لا خصم 0"),"✗ خصم",IF(AND(Z55="ممتاز 100%",AA55="ممتاز 100%",AB55&lt;&gt;"",AB55&lt;&gt;"مكتمل 100%"),"✗ إغلاق",IFERROR(IF(LEN(_xlfn.TEXTJOIN("، ",TRUE,IF(E55="","التاريخ",""),IF(F55="","الوقت",""),IF(G55="","المركز",""),IF(H55="","الدائرة",""),IF(I55="","القسم",""),IF(J55="","المسؤول",""),IF(K55="","نوع النشاط",""),IF(L55="","المشروع",""),IF(N55="","الممول",""),IF(V55="","الموضوع",""),IF(W55="","الملاحظة",""),IF(X55="","مشكلة",""),IF(Y55="","الإجراء",""),IF(Z55="","التنفيذ",""),IF(AA55="","الجودة",""),IF(AB55="","الإغلاق",""),IF(AC55="","الخصم",""),IF(AND(COUNTA($O55:$U55)&gt;0,O55=""),"مدير المشروع",""),IF(AND(COUNTA($O55:$U55)&gt;0,P55=""),"المستفيدين",""),IF(AND(COUNTA($O55:$U55)&gt;0,Q55=""),"المناطق",""),IF(AND(COUNTA($O55:$U55)&gt;0,R55=""),"الميزانية",""),IF(AND(COUNTA($O55:$U55)&gt;0,S55=""),"نسبة الجاهزية",""),IF(AND(COUNTA($O55:$U55)&gt;0,T55=""),"حالة الجاهزية",""),IF(AND(COUNTA($O55:$U55)&gt;0,U55=""),"التوصيات","")))&gt;0,"✗ ناقص: "&amp;_xlfn.TEXTJOIN("، ",TRUE,IF(E55="","التاريخ",""),IF(F55="","الوقت",""),IF(G55="","المركز",""),IF(H55="","الدائرة",""),IF(I55="","القسم",""),IF(J55="","المسؤول",""),IF(K55="","نوع النشاط",""),IF(L55="","المشروع",""),IF(N55="","الممول",""),IF(V55="","الموضوع",""),IF(W55="","الملاحظة",""),IF(X55="","مشكلة",""),IF(Y55="","الإجراء",""),IF(Z55="","التنفيذ",""),IF(AA55="","الجودة",""),IF(AB55="","الإغلاق",""),IF(AC55="","الخصم",""),IF(AND(COUNTA($O55:$U55)&gt;0,O55=""),"مدير المشروع",""),IF(AND(COUNTA($O55:$U55)&gt;0,P55=""),"المستفيدين",""),IF(AND(COUNTA($O55:$U55)&gt;0,Q55=""),"المناطق",""),IF(AND(COUNTA($O55:$U55)&gt;0,R55=""),"الميزانية",""),IF(AND(COUNTA($O55:$U55)&gt;0,S55=""),"نسبة الجاهزية",""),IF(AND(COUNTA($O55:$U55)&gt;0,T55=""),"حالة الجاهزية",""),IF(AND(COUNTA($O55:$U55)&gt;0,U55=""),"التوصيات","")),"✓"),"✓"))))))))))</f>
        <v>✗ ناقص: الممول</v>
      </c>
      <c r="E55" s="235">
        <v>46133</v>
      </c>
      <c r="F55" s="236">
        <v>0.50694444444444442</v>
      </c>
      <c r="G55" s="90" t="s">
        <v>97</v>
      </c>
      <c r="H55" s="123" t="s">
        <v>102</v>
      </c>
      <c r="I55" s="89" t="s">
        <v>191</v>
      </c>
      <c r="J55" s="142" t="s">
        <v>154</v>
      </c>
      <c r="K55" s="90" t="s">
        <v>133</v>
      </c>
      <c r="L55" s="90" t="s">
        <v>369</v>
      </c>
      <c r="M55" s="90"/>
      <c r="N55" s="89"/>
      <c r="O55" s="200"/>
      <c r="P55" s="201"/>
      <c r="Q55" s="201"/>
      <c r="R55" s="237"/>
      <c r="S55" s="202"/>
      <c r="T55" s="200"/>
      <c r="U55" s="203"/>
      <c r="V55" s="89" t="s">
        <v>758</v>
      </c>
      <c r="W55" s="89" t="s">
        <v>759</v>
      </c>
      <c r="X55" s="145" t="s">
        <v>647</v>
      </c>
      <c r="Y55" s="89" t="s">
        <v>666</v>
      </c>
      <c r="Z55" s="90" t="s">
        <v>130</v>
      </c>
      <c r="AA55" s="90" t="s">
        <v>130</v>
      </c>
      <c r="AB55" s="90" t="s">
        <v>131</v>
      </c>
      <c r="AC55" s="90" t="s">
        <v>196</v>
      </c>
      <c r="AD55" s="92" t="s">
        <v>26</v>
      </c>
      <c r="AE55" s="149">
        <f>IFERROR(VLOOKUP(Z55,LISTS!$AL$2:$AM$1000,2,FALSE()),"")</f>
        <v>100</v>
      </c>
      <c r="AF55" s="151">
        <f>IFERROR(VLOOKUP(AA55,LISTS!$AO$2:$AP$1000,2,FALSE()),"")</f>
        <v>100</v>
      </c>
      <c r="AG55" s="152">
        <f>IFERROR(VLOOKUP(AB55,LISTS!$AR$2:$AS$1000,2,FALSE()),"")</f>
        <v>100</v>
      </c>
      <c r="AH55" s="154">
        <f>IFERROR(VLOOKUP(AC55,LISTS!$AU$2:$AV$1000,2,FALSE()),"")</f>
        <v>5</v>
      </c>
      <c r="AI55" s="238">
        <f t="shared" si="1"/>
        <v>95</v>
      </c>
      <c r="AJ55" s="190" t="str">
        <f t="shared" si="2"/>
        <v>⭐ ممتاز</v>
      </c>
      <c r="AK55" s="157">
        <f t="shared" si="5"/>
        <v>4</v>
      </c>
      <c r="AL55" s="160">
        <f t="shared" si="6"/>
        <v>2026</v>
      </c>
      <c r="AM55" s="203"/>
      <c r="AN55" s="200"/>
    </row>
    <row r="56" spans="1:40" ht="27.95" customHeight="1">
      <c r="A56" s="134">
        <f>IF(I56&lt;&gt;"",COUNTA($I$2:I56),"")</f>
        <v>55</v>
      </c>
      <c r="B56" s="138" t="str">
        <f t="shared" si="7"/>
        <v>الأربعاء</v>
      </c>
      <c r="C56" s="93" t="str">
        <f t="array" ref="C56">IF(E56="","",IF(M56&lt;&gt;"",
M56&amp;"/"&amp;SUMPRODUCT((M$2:M56=M56)*1)&amp;" - "&amp;(ROW()-2),
"إداري/"&amp;SUMPRODUCT((M$2:M56="")*1)&amp;" - "&amp;(ROW()-2)))</f>
        <v>إداري/51 - 54</v>
      </c>
      <c r="D56" s="141" t="str">
        <f>IF(AND(G56="",H56="",I56=""),"",IF(COUNTIFS(LISTS!$A$2:$A$67,G56,LISTS!$B$2:$B$67,H56,LISTS!$C$2:$C$67,I56)=0,"✗ هرم",IF(NOT(OR(Z56="ممتاز 100%",Z56="جيد 80%",Z56="مقبول 60%",Z56="خطر 40%",Z56="")),"✗ قائمة R",IF(NOT(OR(AA56="ممتاز 100%",AA56="جيد 85%",AA56="مقبول 70%",AA56="ضعيف 50%",AA56="")),"✗ قائمة S",IF(NOT(OR(AB56="مكتمل 100%",AB56="جزئي 60%",AB56="معلق 30%",AB56="مفتوح 0%",AB56="")),"✗ قائمة T",IF(NOT(OR(AC56="لا خصم 0",AC56="تأخير −5",AC56="عجز −10",AC56="جودة −15",AC56="امتثال −20",AC56="مخالفة −25",AC56="")),"✗ قائمة U",IF(AND(X56="لا",AC56&lt;&gt;"",AC56&lt;&gt;"لا خصم 0"),"✗ خصم",IF(AND(X56="نعم",AC56="لا خصم 0"),"✗ خصم",IF(AND(Z56="ممتاز 100%",AA56="ممتاز 100%",AB56&lt;&gt;"",AB56&lt;&gt;"مكتمل 100%"),"✗ إغلاق",IFERROR(IF(LEN(_xlfn.TEXTJOIN("، ",TRUE,IF(E56="","التاريخ",""),IF(F56="","الوقت",""),IF(G56="","المركز",""),IF(H56="","الدائرة",""),IF(I56="","القسم",""),IF(J56="","المسؤول",""),IF(K56="","نوع النشاط",""),IF(L56="","المشروع",""),IF(N56="","الممول",""),IF(V56="","الموضوع",""),IF(W56="","الملاحظة",""),IF(X56="","مشكلة",""),IF(Y56="","الإجراء",""),IF(Z56="","التنفيذ",""),IF(AA56="","الجودة",""),IF(AB56="","الإغلاق",""),IF(AC56="","الخصم",""),IF(AND(COUNTA($O56:$U56)&gt;0,O56=""),"مدير المشروع",""),IF(AND(COUNTA($O56:$U56)&gt;0,P56=""),"المستفيدين",""),IF(AND(COUNTA($O56:$U56)&gt;0,Q56=""),"المناطق",""),IF(AND(COUNTA($O56:$U56)&gt;0,R56=""),"الميزانية",""),IF(AND(COUNTA($O56:$U56)&gt;0,S56=""),"نسبة الجاهزية",""),IF(AND(COUNTA($O56:$U56)&gt;0,T56=""),"حالة الجاهزية",""),IF(AND(COUNTA($O56:$U56)&gt;0,U56=""),"التوصيات","")))&gt;0,"✗ ناقص: "&amp;_xlfn.TEXTJOIN("، ",TRUE,IF(E56="","التاريخ",""),IF(F56="","الوقت",""),IF(G56="","المركز",""),IF(H56="","الدائرة",""),IF(I56="","القسم",""),IF(J56="","المسؤول",""),IF(K56="","نوع النشاط",""),IF(L56="","المشروع",""),IF(N56="","الممول",""),IF(V56="","الموضوع",""),IF(W56="","الملاحظة",""),IF(X56="","مشكلة",""),IF(Y56="","الإجراء",""),IF(Z56="","التنفيذ",""),IF(AA56="","الجودة",""),IF(AB56="","الإغلاق",""),IF(AC56="","الخصم",""),IF(AND(COUNTA($O56:$U56)&gt;0,O56=""),"مدير المشروع",""),IF(AND(COUNTA($O56:$U56)&gt;0,P56=""),"المستفيدين",""),IF(AND(COUNTA($O56:$U56)&gt;0,Q56=""),"المناطق",""),IF(AND(COUNTA($O56:$U56)&gt;0,R56=""),"الميزانية",""),IF(AND(COUNTA($O56:$U56)&gt;0,S56=""),"نسبة الجاهزية",""),IF(AND(COUNTA($O56:$U56)&gt;0,T56=""),"حالة الجاهزية",""),IF(AND(COUNTA($O56:$U56)&gt;0,U56=""),"التوصيات","")),"✓"),"✓"))))))))))</f>
        <v>✓</v>
      </c>
      <c r="E56" s="235">
        <v>46134</v>
      </c>
      <c r="F56" s="236">
        <v>0.4861111111111111</v>
      </c>
      <c r="G56" s="90" t="s">
        <v>97</v>
      </c>
      <c r="H56" s="123" t="s">
        <v>102</v>
      </c>
      <c r="I56" s="89" t="s">
        <v>124</v>
      </c>
      <c r="J56" s="142" t="s">
        <v>117</v>
      </c>
      <c r="K56" s="90" t="s">
        <v>116</v>
      </c>
      <c r="L56" s="90" t="s">
        <v>369</v>
      </c>
      <c r="M56" s="90"/>
      <c r="N56" s="89" t="s">
        <v>655</v>
      </c>
      <c r="O56" s="200"/>
      <c r="P56" s="201"/>
      <c r="Q56" s="201"/>
      <c r="R56" s="237"/>
      <c r="S56" s="202"/>
      <c r="T56" s="200"/>
      <c r="U56" s="203"/>
      <c r="V56" s="89" t="s">
        <v>760</v>
      </c>
      <c r="W56" s="89" t="s">
        <v>761</v>
      </c>
      <c r="X56" s="145" t="s">
        <v>651</v>
      </c>
      <c r="Y56" s="89" t="s">
        <v>652</v>
      </c>
      <c r="Z56" s="90" t="s">
        <v>130</v>
      </c>
      <c r="AA56" s="90" t="s">
        <v>130</v>
      </c>
      <c r="AB56" s="90" t="s">
        <v>131</v>
      </c>
      <c r="AC56" s="90" t="s">
        <v>132</v>
      </c>
      <c r="AD56" s="91" t="s">
        <v>26</v>
      </c>
      <c r="AE56" s="149">
        <f>IFERROR(VLOOKUP(Z56,LISTS!$AL$2:$AM$1000,2,FALSE()),"")</f>
        <v>100</v>
      </c>
      <c r="AF56" s="151">
        <f>IFERROR(VLOOKUP(AA56,LISTS!$AO$2:$AP$1000,2,FALSE()),"")</f>
        <v>100</v>
      </c>
      <c r="AG56" s="152">
        <f>IFERROR(VLOOKUP(AB56,LISTS!$AR$2:$AS$1000,2,FALSE()),"")</f>
        <v>100</v>
      </c>
      <c r="AH56" s="154">
        <f>IFERROR(VLOOKUP(AC56,LISTS!$AU$2:$AV$1000,2,FALSE()),"")</f>
        <v>0</v>
      </c>
      <c r="AI56" s="238">
        <f t="shared" si="1"/>
        <v>100</v>
      </c>
      <c r="AJ56" s="190" t="str">
        <f t="shared" si="2"/>
        <v>🌟 ممتاز جدًا</v>
      </c>
      <c r="AK56" s="157">
        <f t="shared" si="5"/>
        <v>4</v>
      </c>
      <c r="AL56" s="160">
        <f t="shared" si="6"/>
        <v>2026</v>
      </c>
      <c r="AM56" s="203"/>
      <c r="AN56" s="200"/>
    </row>
    <row r="57" spans="1:40" ht="27.95" customHeight="1">
      <c r="A57" s="134">
        <f>IF(I57&lt;&gt;"",COUNTA($I$2:I57),"")</f>
        <v>56</v>
      </c>
      <c r="B57" s="138" t="str">
        <f t="shared" si="7"/>
        <v>الأربعاء</v>
      </c>
      <c r="C57" s="93" t="str">
        <f t="array" ref="C57">IF(E57="","",IF(M57&lt;&gt;"",
M57&amp;"/"&amp;SUMPRODUCT((M$2:M57=M57)*1)&amp;" - "&amp;(ROW()-2),
"إداري/"&amp;SUMPRODUCT((M$2:M57="")*1)&amp;" - "&amp;(ROW()-2)))</f>
        <v>إداري/52 - 55</v>
      </c>
      <c r="D57" s="141" t="str">
        <f>IF(AND(G57="",H57="",I57=""),"",IF(COUNTIFS(LISTS!$A$2:$A$67,G57,LISTS!$B$2:$B$67,H57,LISTS!$C$2:$C$67,I57)=0,"✗ هرم",IF(NOT(OR(Z57="ممتاز 100%",Z57="جيد 80%",Z57="مقبول 60%",Z57="خطر 40%",Z57="")),"✗ قائمة R",IF(NOT(OR(AA57="ممتاز 100%",AA57="جيد 85%",AA57="مقبول 70%",AA57="ضعيف 50%",AA57="")),"✗ قائمة S",IF(NOT(OR(AB57="مكتمل 100%",AB57="جزئي 60%",AB57="معلق 30%",AB57="مفتوح 0%",AB57="")),"✗ قائمة T",IF(NOT(OR(AC57="لا خصم 0",AC57="تأخير −5",AC57="عجز −10",AC57="جودة −15",AC57="امتثال −20",AC57="مخالفة −25",AC57="")),"✗ قائمة U",IF(AND(X57="لا",AC57&lt;&gt;"",AC57&lt;&gt;"لا خصم 0"),"✗ خصم",IF(AND(X57="نعم",AC57="لا خصم 0"),"✗ خصم",IF(AND(Z57="ممتاز 100%",AA57="ممتاز 100%",AB57&lt;&gt;"",AB57&lt;&gt;"مكتمل 100%"),"✗ إغلاق",IFERROR(IF(LEN(_xlfn.TEXTJOIN("، ",TRUE,IF(E57="","التاريخ",""),IF(F57="","الوقت",""),IF(G57="","المركز",""),IF(H57="","الدائرة",""),IF(I57="","القسم",""),IF(J57="","المسؤول",""),IF(K57="","نوع النشاط",""),IF(L57="","المشروع",""),IF(N57="","الممول",""),IF(V57="","الموضوع",""),IF(W57="","الملاحظة",""),IF(X57="","مشكلة",""),IF(Y57="","الإجراء",""),IF(Z57="","التنفيذ",""),IF(AA57="","الجودة",""),IF(AB57="","الإغلاق",""),IF(AC57="","الخصم",""),IF(AND(COUNTA($O57:$U57)&gt;0,O57=""),"مدير المشروع",""),IF(AND(COUNTA($O57:$U57)&gt;0,P57=""),"المستفيدين",""),IF(AND(COUNTA($O57:$U57)&gt;0,Q57=""),"المناطق",""),IF(AND(COUNTA($O57:$U57)&gt;0,R57=""),"الميزانية",""),IF(AND(COUNTA($O57:$U57)&gt;0,S57=""),"نسبة الجاهزية",""),IF(AND(COUNTA($O57:$U57)&gt;0,T57=""),"حالة الجاهزية",""),IF(AND(COUNTA($O57:$U57)&gt;0,U57=""),"التوصيات","")))&gt;0,"✗ ناقص: "&amp;_xlfn.TEXTJOIN("، ",TRUE,IF(E57="","التاريخ",""),IF(F57="","الوقت",""),IF(G57="","المركز",""),IF(H57="","الدائرة",""),IF(I57="","القسم",""),IF(J57="","المسؤول",""),IF(K57="","نوع النشاط",""),IF(L57="","المشروع",""),IF(N57="","الممول",""),IF(V57="","الموضوع",""),IF(W57="","الملاحظة",""),IF(X57="","مشكلة",""),IF(Y57="","الإجراء",""),IF(Z57="","التنفيذ",""),IF(AA57="","الجودة",""),IF(AB57="","الإغلاق",""),IF(AC57="","الخصم",""),IF(AND(COUNTA($O57:$U57)&gt;0,O57=""),"مدير المشروع",""),IF(AND(COUNTA($O57:$U57)&gt;0,P57=""),"المستفيدين",""),IF(AND(COUNTA($O57:$U57)&gt;0,Q57=""),"المناطق",""),IF(AND(COUNTA($O57:$U57)&gt;0,R57=""),"الميزانية",""),IF(AND(COUNTA($O57:$U57)&gt;0,S57=""),"نسبة الجاهزية",""),IF(AND(COUNTA($O57:$U57)&gt;0,T57=""),"حالة الجاهزية",""),IF(AND(COUNTA($O57:$U57)&gt;0,U57=""),"التوصيات","")),"✓"),"✓"))))))))))</f>
        <v>✓</v>
      </c>
      <c r="E57" s="235">
        <v>46134</v>
      </c>
      <c r="F57" s="236">
        <v>0.52083333333333337</v>
      </c>
      <c r="G57" s="90" t="s">
        <v>97</v>
      </c>
      <c r="H57" s="123" t="s">
        <v>102</v>
      </c>
      <c r="I57" s="89" t="s">
        <v>124</v>
      </c>
      <c r="J57" s="142" t="s">
        <v>117</v>
      </c>
      <c r="K57" s="90" t="s">
        <v>116</v>
      </c>
      <c r="L57" s="90" t="s">
        <v>118</v>
      </c>
      <c r="M57" s="90"/>
      <c r="N57" s="89" t="s">
        <v>120</v>
      </c>
      <c r="O57" s="200"/>
      <c r="P57" s="201"/>
      <c r="Q57" s="201"/>
      <c r="R57" s="237"/>
      <c r="S57" s="202"/>
      <c r="T57" s="200"/>
      <c r="U57" s="203"/>
      <c r="V57" s="89" t="s">
        <v>762</v>
      </c>
      <c r="W57" s="89" t="s">
        <v>763</v>
      </c>
      <c r="X57" s="145" t="s">
        <v>651</v>
      </c>
      <c r="Y57" s="89" t="s">
        <v>652</v>
      </c>
      <c r="Z57" s="90" t="s">
        <v>130</v>
      </c>
      <c r="AA57" s="90" t="s">
        <v>130</v>
      </c>
      <c r="AB57" s="90" t="s">
        <v>131</v>
      </c>
      <c r="AC57" s="90" t="s">
        <v>132</v>
      </c>
      <c r="AD57" s="92" t="s">
        <v>26</v>
      </c>
      <c r="AE57" s="149">
        <f>IFERROR(VLOOKUP(Z57,LISTS!$AL$2:$AM$1000,2,FALSE()),"")</f>
        <v>100</v>
      </c>
      <c r="AF57" s="151">
        <f>IFERROR(VLOOKUP(AA57,LISTS!$AO$2:$AP$1000,2,FALSE()),"")</f>
        <v>100</v>
      </c>
      <c r="AG57" s="152">
        <f>IFERROR(VLOOKUP(AB57,LISTS!$AR$2:$AS$1000,2,FALSE()),"")</f>
        <v>100</v>
      </c>
      <c r="AH57" s="154">
        <f>IFERROR(VLOOKUP(AC57,LISTS!$AU$2:$AV$1000,2,FALSE()),"")</f>
        <v>0</v>
      </c>
      <c r="AI57" s="238">
        <f t="shared" si="1"/>
        <v>100</v>
      </c>
      <c r="AJ57" s="190" t="str">
        <f t="shared" si="2"/>
        <v>🌟 ممتاز جدًا</v>
      </c>
      <c r="AK57" s="157">
        <f t="shared" si="5"/>
        <v>4</v>
      </c>
      <c r="AL57" s="160">
        <f t="shared" si="6"/>
        <v>2026</v>
      </c>
      <c r="AM57" s="203"/>
      <c r="AN57" s="200"/>
    </row>
    <row r="58" spans="1:40" ht="27.95" customHeight="1">
      <c r="A58" s="134">
        <f>IF(I58&lt;&gt;"",COUNTA($I$2:I58),"")</f>
        <v>57</v>
      </c>
      <c r="B58" s="138" t="str">
        <f t="shared" si="7"/>
        <v>الأربعاء</v>
      </c>
      <c r="C58" s="93" t="str">
        <f t="array" ref="C58">IF(E58="","",IF(M58&lt;&gt;"",
M58&amp;"/"&amp;SUMPRODUCT((M$2:M58=M58)*1)&amp;" - "&amp;(ROW()-2),
"إداري/"&amp;SUMPRODUCT((M$2:M58="")*1)&amp;" - "&amp;(ROW()-2)))</f>
        <v>إداري/53 - 56</v>
      </c>
      <c r="D58" s="141" t="str">
        <f>IF(AND(G58="",H58="",I58=""),"",IF(COUNTIFS(LISTS!$A$2:$A$67,G58,LISTS!$B$2:$B$67,H58,LISTS!$C$2:$C$67,I58)=0,"✗ هرم",IF(NOT(OR(Z58="ممتاز 100%",Z58="جيد 80%",Z58="مقبول 60%",Z58="خطر 40%",Z58="")),"✗ قائمة R",IF(NOT(OR(AA58="ممتاز 100%",AA58="جيد 85%",AA58="مقبول 70%",AA58="ضعيف 50%",AA58="")),"✗ قائمة S",IF(NOT(OR(AB58="مكتمل 100%",AB58="جزئي 60%",AB58="معلق 30%",AB58="مفتوح 0%",AB58="")),"✗ قائمة T",IF(NOT(OR(AC58="لا خصم 0",AC58="تأخير −5",AC58="عجز −10",AC58="جودة −15",AC58="امتثال −20",AC58="مخالفة −25",AC58="")),"✗ قائمة U",IF(AND(X58="لا",AC58&lt;&gt;"",AC58&lt;&gt;"لا خصم 0"),"✗ خصم",IF(AND(X58="نعم",AC58="لا خصم 0"),"✗ خصم",IF(AND(Z58="ممتاز 100%",AA58="ممتاز 100%",AB58&lt;&gt;"",AB58&lt;&gt;"مكتمل 100%"),"✗ إغلاق",IFERROR(IF(LEN(_xlfn.TEXTJOIN("، ",TRUE,IF(E58="","التاريخ",""),IF(F58="","الوقت",""),IF(G58="","المركز",""),IF(H58="","الدائرة",""),IF(I58="","القسم",""),IF(J58="","المسؤول",""),IF(K58="","نوع النشاط",""),IF(L58="","المشروع",""),IF(N58="","الممول",""),IF(V58="","الموضوع",""),IF(W58="","الملاحظة",""),IF(X58="","مشكلة",""),IF(Y58="","الإجراء",""),IF(Z58="","التنفيذ",""),IF(AA58="","الجودة",""),IF(AB58="","الإغلاق",""),IF(AC58="","الخصم",""),IF(AND(COUNTA($O58:$U58)&gt;0,O58=""),"مدير المشروع",""),IF(AND(COUNTA($O58:$U58)&gt;0,P58=""),"المستفيدين",""),IF(AND(COUNTA($O58:$U58)&gt;0,Q58=""),"المناطق",""),IF(AND(COUNTA($O58:$U58)&gt;0,R58=""),"الميزانية",""),IF(AND(COUNTA($O58:$U58)&gt;0,S58=""),"نسبة الجاهزية",""),IF(AND(COUNTA($O58:$U58)&gt;0,T58=""),"حالة الجاهزية",""),IF(AND(COUNTA($O58:$U58)&gt;0,U58=""),"التوصيات","")))&gt;0,"✗ ناقص: "&amp;_xlfn.TEXTJOIN("، ",TRUE,IF(E58="","التاريخ",""),IF(F58="","الوقت",""),IF(G58="","المركز",""),IF(H58="","الدائرة",""),IF(I58="","القسم",""),IF(J58="","المسؤول",""),IF(K58="","نوع النشاط",""),IF(L58="","المشروع",""),IF(N58="","الممول",""),IF(V58="","الموضوع",""),IF(W58="","الملاحظة",""),IF(X58="","مشكلة",""),IF(Y58="","الإجراء",""),IF(Z58="","التنفيذ",""),IF(AA58="","الجودة",""),IF(AB58="","الإغلاق",""),IF(AC58="","الخصم",""),IF(AND(COUNTA($O58:$U58)&gt;0,O58=""),"مدير المشروع",""),IF(AND(COUNTA($O58:$U58)&gt;0,P58=""),"المستفيدين",""),IF(AND(COUNTA($O58:$U58)&gt;0,Q58=""),"المناطق",""),IF(AND(COUNTA($O58:$U58)&gt;0,R58=""),"الميزانية",""),IF(AND(COUNTA($O58:$U58)&gt;0,S58=""),"نسبة الجاهزية",""),IF(AND(COUNTA($O58:$U58)&gt;0,T58=""),"حالة الجاهزية",""),IF(AND(COUNTA($O58:$U58)&gt;0,U58=""),"التوصيات","")),"✓"),"✓"))))))))))</f>
        <v>✓</v>
      </c>
      <c r="E58" s="235">
        <v>46134</v>
      </c>
      <c r="F58" s="236">
        <v>0.45833333333333331</v>
      </c>
      <c r="G58" s="90" t="s">
        <v>97</v>
      </c>
      <c r="H58" s="123" t="s">
        <v>102</v>
      </c>
      <c r="I58" s="89" t="s">
        <v>191</v>
      </c>
      <c r="J58" s="142" t="s">
        <v>154</v>
      </c>
      <c r="K58" s="90" t="s">
        <v>116</v>
      </c>
      <c r="L58" s="90" t="s">
        <v>118</v>
      </c>
      <c r="M58" s="90"/>
      <c r="N58" s="89" t="s">
        <v>120</v>
      </c>
      <c r="O58" s="200"/>
      <c r="P58" s="201"/>
      <c r="Q58" s="201"/>
      <c r="R58" s="237"/>
      <c r="S58" s="202"/>
      <c r="T58" s="200"/>
      <c r="U58" s="203"/>
      <c r="V58" s="89" t="s">
        <v>764</v>
      </c>
      <c r="W58" s="89" t="s">
        <v>765</v>
      </c>
      <c r="X58" s="145" t="s">
        <v>651</v>
      </c>
      <c r="Y58" s="89" t="s">
        <v>652</v>
      </c>
      <c r="Z58" s="90" t="s">
        <v>130</v>
      </c>
      <c r="AA58" s="90" t="s">
        <v>130</v>
      </c>
      <c r="AB58" s="90" t="s">
        <v>131</v>
      </c>
      <c r="AC58" s="90" t="s">
        <v>132</v>
      </c>
      <c r="AD58" s="91" t="s">
        <v>26</v>
      </c>
      <c r="AE58" s="149">
        <f>IFERROR(VLOOKUP(Z58,LISTS!$AL$2:$AM$1000,2,FALSE()),"")</f>
        <v>100</v>
      </c>
      <c r="AF58" s="151">
        <f>IFERROR(VLOOKUP(AA58,LISTS!$AO$2:$AP$1000,2,FALSE()),"")</f>
        <v>100</v>
      </c>
      <c r="AG58" s="152">
        <f>IFERROR(VLOOKUP(AB58,LISTS!$AR$2:$AS$1000,2,FALSE()),"")</f>
        <v>100</v>
      </c>
      <c r="AH58" s="154">
        <f>IFERROR(VLOOKUP(AC58,LISTS!$AU$2:$AV$1000,2,FALSE()),"")</f>
        <v>0</v>
      </c>
      <c r="AI58" s="238">
        <f t="shared" si="1"/>
        <v>100</v>
      </c>
      <c r="AJ58" s="190" t="str">
        <f t="shared" si="2"/>
        <v>🌟 ممتاز جدًا</v>
      </c>
      <c r="AK58" s="157">
        <f t="shared" si="5"/>
        <v>4</v>
      </c>
      <c r="AL58" s="160">
        <f t="shared" si="6"/>
        <v>2026</v>
      </c>
      <c r="AM58" s="203"/>
      <c r="AN58" s="200"/>
    </row>
    <row r="59" spans="1:40" ht="27.95" customHeight="1">
      <c r="A59" s="134">
        <f>IF(I59&lt;&gt;"",COUNTA($I$2:I59),"")</f>
        <v>58</v>
      </c>
      <c r="B59" s="138" t="str">
        <f t="shared" si="7"/>
        <v>الأربعاء</v>
      </c>
      <c r="C59" s="93" t="str">
        <f t="array" ref="C59">IF(E59="","",IF(M59&lt;&gt;"",
M59&amp;"/"&amp;SUMPRODUCT((M$2:M59=M59)*1)&amp;" - "&amp;(ROW()-2),
"إداري/"&amp;SUMPRODUCT((M$2:M59="")*1)&amp;" - "&amp;(ROW()-2)))</f>
        <v>إداري/54 - 57</v>
      </c>
      <c r="D59" s="141" t="str">
        <f>IF(AND(G59="",H59="",I59=""),"",IF(COUNTIFS(LISTS!$A$2:$A$67,G59,LISTS!$B$2:$B$67,H59,LISTS!$C$2:$C$67,I59)=0,"✗ هرم",IF(NOT(OR(Z59="ممتاز 100%",Z59="جيد 80%",Z59="مقبول 60%",Z59="خطر 40%",Z59="")),"✗ قائمة R",IF(NOT(OR(AA59="ممتاز 100%",AA59="جيد 85%",AA59="مقبول 70%",AA59="ضعيف 50%",AA59="")),"✗ قائمة S",IF(NOT(OR(AB59="مكتمل 100%",AB59="جزئي 60%",AB59="معلق 30%",AB59="مفتوح 0%",AB59="")),"✗ قائمة T",IF(NOT(OR(AC59="لا خصم 0",AC59="تأخير −5",AC59="عجز −10",AC59="جودة −15",AC59="امتثال −20",AC59="مخالفة −25",AC59="")),"✗ قائمة U",IF(AND(X59="لا",AC59&lt;&gt;"",AC59&lt;&gt;"لا خصم 0"),"✗ خصم",IF(AND(X59="نعم",AC59="لا خصم 0"),"✗ خصم",IF(AND(Z59="ممتاز 100%",AA59="ممتاز 100%",AB59&lt;&gt;"",AB59&lt;&gt;"مكتمل 100%"),"✗ إغلاق",IFERROR(IF(LEN(_xlfn.TEXTJOIN("، ",TRUE,IF(E59="","التاريخ",""),IF(F59="","الوقت",""),IF(G59="","المركز",""),IF(H59="","الدائرة",""),IF(I59="","القسم",""),IF(J59="","المسؤول",""),IF(K59="","نوع النشاط",""),IF(L59="","المشروع",""),IF(N59="","الممول",""),IF(V59="","الموضوع",""),IF(W59="","الملاحظة",""),IF(X59="","مشكلة",""),IF(Y59="","الإجراء",""),IF(Z59="","التنفيذ",""),IF(AA59="","الجودة",""),IF(AB59="","الإغلاق",""),IF(AC59="","الخصم",""),IF(AND(COUNTA($O59:$U59)&gt;0,O59=""),"مدير المشروع",""),IF(AND(COUNTA($O59:$U59)&gt;0,P59=""),"المستفيدين",""),IF(AND(COUNTA($O59:$U59)&gt;0,Q59=""),"المناطق",""),IF(AND(COUNTA($O59:$U59)&gt;0,R59=""),"الميزانية",""),IF(AND(COUNTA($O59:$U59)&gt;0,S59=""),"نسبة الجاهزية",""),IF(AND(COUNTA($O59:$U59)&gt;0,T59=""),"حالة الجاهزية",""),IF(AND(COUNTA($O59:$U59)&gt;0,U59=""),"التوصيات","")))&gt;0,"✗ ناقص: "&amp;_xlfn.TEXTJOIN("، ",TRUE,IF(E59="","التاريخ",""),IF(F59="","الوقت",""),IF(G59="","المركز",""),IF(H59="","الدائرة",""),IF(I59="","القسم",""),IF(J59="","المسؤول",""),IF(K59="","نوع النشاط",""),IF(L59="","المشروع",""),IF(N59="","الممول",""),IF(V59="","الموضوع",""),IF(W59="","الملاحظة",""),IF(X59="","مشكلة",""),IF(Y59="","الإجراء",""),IF(Z59="","التنفيذ",""),IF(AA59="","الجودة",""),IF(AB59="","الإغلاق",""),IF(AC59="","الخصم",""),IF(AND(COUNTA($O59:$U59)&gt;0,O59=""),"مدير المشروع",""),IF(AND(COUNTA($O59:$U59)&gt;0,P59=""),"المستفيدين",""),IF(AND(COUNTA($O59:$U59)&gt;0,Q59=""),"المناطق",""),IF(AND(COUNTA($O59:$U59)&gt;0,R59=""),"الميزانية",""),IF(AND(COUNTA($O59:$U59)&gt;0,S59=""),"نسبة الجاهزية",""),IF(AND(COUNTA($O59:$U59)&gt;0,T59=""),"حالة الجاهزية",""),IF(AND(COUNTA($O59:$U59)&gt;0,U59=""),"التوصيات","")),"✓"),"✓"))))))))))</f>
        <v>✗ ناقص: المسؤول</v>
      </c>
      <c r="E59" s="235">
        <v>46134</v>
      </c>
      <c r="F59" s="236">
        <v>0.58194444444444449</v>
      </c>
      <c r="G59" s="90" t="s">
        <v>97</v>
      </c>
      <c r="H59" s="123" t="s">
        <v>102</v>
      </c>
      <c r="I59" s="89" t="s">
        <v>142</v>
      </c>
      <c r="J59" s="142"/>
      <c r="K59" s="90" t="s">
        <v>116</v>
      </c>
      <c r="L59" s="90" t="s">
        <v>118</v>
      </c>
      <c r="M59" s="90"/>
      <c r="N59" s="89" t="s">
        <v>120</v>
      </c>
      <c r="O59" s="200"/>
      <c r="P59" s="201"/>
      <c r="Q59" s="201"/>
      <c r="R59" s="237"/>
      <c r="S59" s="202"/>
      <c r="T59" s="200"/>
      <c r="U59" s="203"/>
      <c r="V59" s="89" t="s">
        <v>766</v>
      </c>
      <c r="W59" s="89" t="s">
        <v>767</v>
      </c>
      <c r="X59" s="145" t="s">
        <v>651</v>
      </c>
      <c r="Y59" s="89" t="s">
        <v>652</v>
      </c>
      <c r="Z59" s="90" t="s">
        <v>130</v>
      </c>
      <c r="AA59" s="90" t="s">
        <v>130</v>
      </c>
      <c r="AB59" s="90" t="s">
        <v>131</v>
      </c>
      <c r="AC59" s="90" t="s">
        <v>132</v>
      </c>
      <c r="AD59" s="92" t="s">
        <v>26</v>
      </c>
      <c r="AE59" s="149">
        <f>IFERROR(VLOOKUP(Z59,LISTS!$AL$2:$AM$1000,2,FALSE()),"")</f>
        <v>100</v>
      </c>
      <c r="AF59" s="151">
        <f>IFERROR(VLOOKUP(AA59,LISTS!$AO$2:$AP$1000,2,FALSE()),"")</f>
        <v>100</v>
      </c>
      <c r="AG59" s="152">
        <f>IFERROR(VLOOKUP(AB59,LISTS!$AR$2:$AS$1000,2,FALSE()),"")</f>
        <v>100</v>
      </c>
      <c r="AH59" s="154">
        <f>IFERROR(VLOOKUP(AC59,LISTS!$AU$2:$AV$1000,2,FALSE()),"")</f>
        <v>0</v>
      </c>
      <c r="AI59" s="238">
        <f t="shared" si="1"/>
        <v>100</v>
      </c>
      <c r="AJ59" s="190" t="str">
        <f t="shared" si="2"/>
        <v>🌟 ممتاز جدًا</v>
      </c>
      <c r="AK59" s="157">
        <f t="shared" si="5"/>
        <v>4</v>
      </c>
      <c r="AL59" s="160">
        <f t="shared" si="6"/>
        <v>2026</v>
      </c>
      <c r="AM59" s="203"/>
      <c r="AN59" s="200"/>
    </row>
    <row r="60" spans="1:40" ht="27.95" customHeight="1">
      <c r="A60" s="134">
        <f>IF(I60&lt;&gt;"",COUNTA($I$2:I60),"")</f>
        <v>59</v>
      </c>
      <c r="B60" s="138" t="str">
        <f t="shared" si="7"/>
        <v>الأربعاء</v>
      </c>
      <c r="C60" s="93" t="str">
        <f t="array" ref="C60">IF(E60="","",IF(M60&lt;&gt;"",
M60&amp;"/"&amp;SUMPRODUCT((M$2:M60=M60)*1)&amp;" - "&amp;(ROW()-2),
"إداري/"&amp;SUMPRODUCT((M$2:M60="")*1)&amp;" - "&amp;(ROW()-2)))</f>
        <v>إداري/55 - 58</v>
      </c>
      <c r="D60" s="141" t="str">
        <f>IF(AND(G60="",H60="",I60=""),"",IF(COUNTIFS(LISTS!$A$2:$A$67,G60,LISTS!$B$2:$B$67,H60,LISTS!$C$2:$C$67,I60)=0,"✗ هرم",IF(NOT(OR(Z60="ممتاز 100%",Z60="جيد 80%",Z60="مقبول 60%",Z60="خطر 40%",Z60="")),"✗ قائمة R",IF(NOT(OR(AA60="ممتاز 100%",AA60="جيد 85%",AA60="مقبول 70%",AA60="ضعيف 50%",AA60="")),"✗ قائمة S",IF(NOT(OR(AB60="مكتمل 100%",AB60="جزئي 60%",AB60="معلق 30%",AB60="مفتوح 0%",AB60="")),"✗ قائمة T",IF(NOT(OR(AC60="لا خصم 0",AC60="تأخير −5",AC60="عجز −10",AC60="جودة −15",AC60="امتثال −20",AC60="مخالفة −25",AC60="")),"✗ قائمة U",IF(AND(X60="لا",AC60&lt;&gt;"",AC60&lt;&gt;"لا خصم 0"),"✗ خصم",IF(AND(X60="نعم",AC60="لا خصم 0"),"✗ خصم",IF(AND(Z60="ممتاز 100%",AA60="ممتاز 100%",AB60&lt;&gt;"",AB60&lt;&gt;"مكتمل 100%"),"✗ إغلاق",IFERROR(IF(LEN(_xlfn.TEXTJOIN("، ",TRUE,IF(E60="","التاريخ",""),IF(F60="","الوقت",""),IF(G60="","المركز",""),IF(H60="","الدائرة",""),IF(I60="","القسم",""),IF(J60="","المسؤول",""),IF(K60="","نوع النشاط",""),IF(L60="","المشروع",""),IF(N60="","الممول",""),IF(V60="","الموضوع",""),IF(W60="","الملاحظة",""),IF(X60="","مشكلة",""),IF(Y60="","الإجراء",""),IF(Z60="","التنفيذ",""),IF(AA60="","الجودة",""),IF(AB60="","الإغلاق",""),IF(AC60="","الخصم",""),IF(AND(COUNTA($O60:$U60)&gt;0,O60=""),"مدير المشروع",""),IF(AND(COUNTA($O60:$U60)&gt;0,P60=""),"المستفيدين",""),IF(AND(COUNTA($O60:$U60)&gt;0,Q60=""),"المناطق",""),IF(AND(COUNTA($O60:$U60)&gt;0,R60=""),"الميزانية",""),IF(AND(COUNTA($O60:$U60)&gt;0,S60=""),"نسبة الجاهزية",""),IF(AND(COUNTA($O60:$U60)&gt;0,T60=""),"حالة الجاهزية",""),IF(AND(COUNTA($O60:$U60)&gt;0,U60=""),"التوصيات","")))&gt;0,"✗ ناقص: "&amp;_xlfn.TEXTJOIN("، ",TRUE,IF(E60="","التاريخ",""),IF(F60="","الوقت",""),IF(G60="","المركز",""),IF(H60="","الدائرة",""),IF(I60="","القسم",""),IF(J60="","المسؤول",""),IF(K60="","نوع النشاط",""),IF(L60="","المشروع",""),IF(N60="","الممول",""),IF(V60="","الموضوع",""),IF(W60="","الملاحظة",""),IF(X60="","مشكلة",""),IF(Y60="","الإجراء",""),IF(Z60="","التنفيذ",""),IF(AA60="","الجودة",""),IF(AB60="","الإغلاق",""),IF(AC60="","الخصم",""),IF(AND(COUNTA($O60:$U60)&gt;0,O60=""),"مدير المشروع",""),IF(AND(COUNTA($O60:$U60)&gt;0,P60=""),"المستفيدين",""),IF(AND(COUNTA($O60:$U60)&gt;0,Q60=""),"المناطق",""),IF(AND(COUNTA($O60:$U60)&gt;0,R60=""),"الميزانية",""),IF(AND(COUNTA($O60:$U60)&gt;0,S60=""),"نسبة الجاهزية",""),IF(AND(COUNTA($O60:$U60)&gt;0,T60=""),"حالة الجاهزية",""),IF(AND(COUNTA($O60:$U60)&gt;0,U60=""),"التوصيات","")),"✓"),"✓"))))))))))</f>
        <v>✗ ناقص: الممول</v>
      </c>
      <c r="E60" s="235">
        <v>46134</v>
      </c>
      <c r="F60" s="236">
        <v>0.57291666666666663</v>
      </c>
      <c r="G60" s="90" t="s">
        <v>97</v>
      </c>
      <c r="H60" s="123" t="s">
        <v>102</v>
      </c>
      <c r="I60" s="89" t="s">
        <v>202</v>
      </c>
      <c r="J60" s="142" t="s">
        <v>135</v>
      </c>
      <c r="K60" s="90" t="s">
        <v>133</v>
      </c>
      <c r="L60" s="90" t="s">
        <v>369</v>
      </c>
      <c r="M60" s="90"/>
      <c r="N60" s="89"/>
      <c r="O60" s="200"/>
      <c r="P60" s="201"/>
      <c r="Q60" s="201"/>
      <c r="R60" s="237"/>
      <c r="S60" s="202"/>
      <c r="T60" s="200"/>
      <c r="U60" s="203"/>
      <c r="V60" s="89" t="s">
        <v>768</v>
      </c>
      <c r="W60" s="89" t="s">
        <v>769</v>
      </c>
      <c r="X60" s="145" t="s">
        <v>651</v>
      </c>
      <c r="Y60" s="89" t="s">
        <v>652</v>
      </c>
      <c r="Z60" s="90" t="s">
        <v>130</v>
      </c>
      <c r="AA60" s="90" t="s">
        <v>130</v>
      </c>
      <c r="AB60" s="90" t="s">
        <v>131</v>
      </c>
      <c r="AC60" s="90" t="s">
        <v>132</v>
      </c>
      <c r="AD60" s="91" t="s">
        <v>26</v>
      </c>
      <c r="AE60" s="149">
        <f>IFERROR(VLOOKUP(Z60,LISTS!$AL$2:$AM$1000,2,FALSE()),"")</f>
        <v>100</v>
      </c>
      <c r="AF60" s="151">
        <f>IFERROR(VLOOKUP(AA60,LISTS!$AO$2:$AP$1000,2,FALSE()),"")</f>
        <v>100</v>
      </c>
      <c r="AG60" s="152">
        <f>IFERROR(VLOOKUP(AB60,LISTS!$AR$2:$AS$1000,2,FALSE()),"")</f>
        <v>100</v>
      </c>
      <c r="AH60" s="154">
        <f>IFERROR(VLOOKUP(AC60,LISTS!$AU$2:$AV$1000,2,FALSE()),"")</f>
        <v>0</v>
      </c>
      <c r="AI60" s="238">
        <f t="shared" si="1"/>
        <v>100</v>
      </c>
      <c r="AJ60" s="190" t="str">
        <f t="shared" si="2"/>
        <v>🌟 ممتاز جدًا</v>
      </c>
      <c r="AK60" s="157">
        <f t="shared" si="5"/>
        <v>4</v>
      </c>
      <c r="AL60" s="160">
        <f t="shared" si="6"/>
        <v>2026</v>
      </c>
      <c r="AM60" s="203"/>
      <c r="AN60" s="200"/>
    </row>
    <row r="61" spans="1:40" ht="27.95" customHeight="1">
      <c r="A61" s="134">
        <f>IF(I61&lt;&gt;"",COUNTA($I$2:I61),"")</f>
        <v>60</v>
      </c>
      <c r="B61" s="138" t="str">
        <f t="shared" si="7"/>
        <v>الأربعاء</v>
      </c>
      <c r="C61" s="93" t="str">
        <f t="array" ref="C61">IF(E61="","",IF(M61&lt;&gt;"",
M61&amp;"/"&amp;SUMPRODUCT((M$2:M61=M61)*1)&amp;" - "&amp;(ROW()-2),
"إداري/"&amp;SUMPRODUCT((M$2:M61="")*1)&amp;" - "&amp;(ROW()-2)))</f>
        <v>إداري/56 - 59</v>
      </c>
      <c r="D61" s="141" t="str">
        <f>IF(AND(G61="",H61="",I61=""),"",IF(COUNTIFS(LISTS!$A$2:$A$67,G61,LISTS!$B$2:$B$67,H61,LISTS!$C$2:$C$67,I61)=0,"✗ هرم",IF(NOT(OR(Z61="ممتاز 100%",Z61="جيد 80%",Z61="مقبول 60%",Z61="خطر 40%",Z61="")),"✗ قائمة R",IF(NOT(OR(AA61="ممتاز 100%",AA61="جيد 85%",AA61="مقبول 70%",AA61="ضعيف 50%",AA61="")),"✗ قائمة S",IF(NOT(OR(AB61="مكتمل 100%",AB61="جزئي 60%",AB61="معلق 30%",AB61="مفتوح 0%",AB61="")),"✗ قائمة T",IF(NOT(OR(AC61="لا خصم 0",AC61="تأخير −5",AC61="عجز −10",AC61="جودة −15",AC61="امتثال −20",AC61="مخالفة −25",AC61="")),"✗ قائمة U",IF(AND(X61="لا",AC61&lt;&gt;"",AC61&lt;&gt;"لا خصم 0"),"✗ خصم",IF(AND(X61="نعم",AC61="لا خصم 0"),"✗ خصم",IF(AND(Z61="ممتاز 100%",AA61="ممتاز 100%",AB61&lt;&gt;"",AB61&lt;&gt;"مكتمل 100%"),"✗ إغلاق",IFERROR(IF(LEN(_xlfn.TEXTJOIN("، ",TRUE,IF(E61="","التاريخ",""),IF(F61="","الوقت",""),IF(G61="","المركز",""),IF(H61="","الدائرة",""),IF(I61="","القسم",""),IF(J61="","المسؤول",""),IF(K61="","نوع النشاط",""),IF(L61="","المشروع",""),IF(N61="","الممول",""),IF(V61="","الموضوع",""),IF(W61="","الملاحظة",""),IF(X61="","مشكلة",""),IF(Y61="","الإجراء",""),IF(Z61="","التنفيذ",""),IF(AA61="","الجودة",""),IF(AB61="","الإغلاق",""),IF(AC61="","الخصم",""),IF(AND(COUNTA($O61:$U61)&gt;0,O61=""),"مدير المشروع",""),IF(AND(COUNTA($O61:$U61)&gt;0,P61=""),"المستفيدين",""),IF(AND(COUNTA($O61:$U61)&gt;0,Q61=""),"المناطق",""),IF(AND(COUNTA($O61:$U61)&gt;0,R61=""),"الميزانية",""),IF(AND(COUNTA($O61:$U61)&gt;0,S61=""),"نسبة الجاهزية",""),IF(AND(COUNTA($O61:$U61)&gt;0,T61=""),"حالة الجاهزية",""),IF(AND(COUNTA($O61:$U61)&gt;0,U61=""),"التوصيات","")))&gt;0,"✗ ناقص: "&amp;_xlfn.TEXTJOIN("، ",TRUE,IF(E61="","التاريخ",""),IF(F61="","الوقت",""),IF(G61="","المركز",""),IF(H61="","الدائرة",""),IF(I61="","القسم",""),IF(J61="","المسؤول",""),IF(K61="","نوع النشاط",""),IF(L61="","المشروع",""),IF(N61="","الممول",""),IF(V61="","الموضوع",""),IF(W61="","الملاحظة",""),IF(X61="","مشكلة",""),IF(Y61="","الإجراء",""),IF(Z61="","التنفيذ",""),IF(AA61="","الجودة",""),IF(AB61="","الإغلاق",""),IF(AC61="","الخصم",""),IF(AND(COUNTA($O61:$U61)&gt;0,O61=""),"مدير المشروع",""),IF(AND(COUNTA($O61:$U61)&gt;0,P61=""),"المستفيدين",""),IF(AND(COUNTA($O61:$U61)&gt;0,Q61=""),"المناطق",""),IF(AND(COUNTA($O61:$U61)&gt;0,R61=""),"الميزانية",""),IF(AND(COUNTA($O61:$U61)&gt;0,S61=""),"نسبة الجاهزية",""),IF(AND(COUNTA($O61:$U61)&gt;0,T61=""),"حالة الجاهزية",""),IF(AND(COUNTA($O61:$U61)&gt;0,U61=""),"التوصيات","")),"✓"),"✓"))))))))))</f>
        <v>✗ ناقص: الممول</v>
      </c>
      <c r="E61" s="235">
        <v>46134</v>
      </c>
      <c r="F61" s="236">
        <v>0.57291666666666663</v>
      </c>
      <c r="G61" s="90" t="s">
        <v>97</v>
      </c>
      <c r="H61" s="123" t="s">
        <v>102</v>
      </c>
      <c r="I61" s="89" t="s">
        <v>175</v>
      </c>
      <c r="J61" s="142" t="s">
        <v>170</v>
      </c>
      <c r="K61" s="90" t="s">
        <v>133</v>
      </c>
      <c r="L61" s="90" t="s">
        <v>369</v>
      </c>
      <c r="M61" s="90"/>
      <c r="N61" s="89"/>
      <c r="O61" s="200"/>
      <c r="P61" s="201"/>
      <c r="Q61" s="201"/>
      <c r="R61" s="237"/>
      <c r="S61" s="202"/>
      <c r="T61" s="200"/>
      <c r="U61" s="203"/>
      <c r="V61" s="89" t="s">
        <v>770</v>
      </c>
      <c r="W61" s="89" t="s">
        <v>771</v>
      </c>
      <c r="X61" s="145" t="s">
        <v>651</v>
      </c>
      <c r="Y61" s="89" t="s">
        <v>652</v>
      </c>
      <c r="Z61" s="90" t="s">
        <v>130</v>
      </c>
      <c r="AA61" s="90" t="s">
        <v>130</v>
      </c>
      <c r="AB61" s="90" t="s">
        <v>131</v>
      </c>
      <c r="AC61" s="90" t="s">
        <v>132</v>
      </c>
      <c r="AD61" s="92" t="s">
        <v>26</v>
      </c>
      <c r="AE61" s="149">
        <f>IFERROR(VLOOKUP(Z61,LISTS!$AL$2:$AM$1000,2,FALSE()),"")</f>
        <v>100</v>
      </c>
      <c r="AF61" s="151">
        <f>IFERROR(VLOOKUP(AA61,LISTS!$AO$2:$AP$1000,2,FALSE()),"")</f>
        <v>100</v>
      </c>
      <c r="AG61" s="152">
        <f>IFERROR(VLOOKUP(AB61,LISTS!$AR$2:$AS$1000,2,FALSE()),"")</f>
        <v>100</v>
      </c>
      <c r="AH61" s="154">
        <f>IFERROR(VLOOKUP(AC61,LISTS!$AU$2:$AV$1000,2,FALSE()),"")</f>
        <v>0</v>
      </c>
      <c r="AI61" s="238">
        <f t="shared" si="1"/>
        <v>100</v>
      </c>
      <c r="AJ61" s="190" t="str">
        <f t="shared" si="2"/>
        <v>🌟 ممتاز جدًا</v>
      </c>
      <c r="AK61" s="157">
        <f t="shared" si="5"/>
        <v>4</v>
      </c>
      <c r="AL61" s="160">
        <f t="shared" si="6"/>
        <v>2026</v>
      </c>
      <c r="AM61" s="210"/>
      <c r="AN61" s="209"/>
    </row>
    <row r="62" spans="1:40" ht="27.95" customHeight="1">
      <c r="A62" s="134">
        <f>IF(I62&lt;&gt;"",COUNTA($I$2:I62),"")</f>
        <v>61</v>
      </c>
      <c r="B62" s="138" t="str">
        <f t="shared" si="7"/>
        <v>الخميس</v>
      </c>
      <c r="C62" s="93" t="str">
        <f t="array" ref="C62">IF(E62="","",IF(M62&lt;&gt;"",
M62&amp;"/"&amp;SUMPRODUCT((M$2:M62=M62)*1)&amp;" - "&amp;(ROW()-2),
"إداري/"&amp;SUMPRODUCT((M$2:M62="")*1)&amp;" - "&amp;(ROW()-2)))</f>
        <v>إداري/57 - 60</v>
      </c>
      <c r="D62" s="141" t="str">
        <f>IF(AND(G62="",H62="",I62=""),"",IF(COUNTIFS(LISTS!$A$2:$A$67,G62,LISTS!$B$2:$B$67,H62,LISTS!$C$2:$C$67,I62)=0,"✗ هرم",IF(NOT(OR(Z62="ممتاز 100%",Z62="جيد 80%",Z62="مقبول 60%",Z62="خطر 40%",Z62="")),"✗ قائمة R",IF(NOT(OR(AA62="ممتاز 100%",AA62="جيد 85%",AA62="مقبول 70%",AA62="ضعيف 50%",AA62="")),"✗ قائمة S",IF(NOT(OR(AB62="مكتمل 100%",AB62="جزئي 60%",AB62="معلق 30%",AB62="مفتوح 0%",AB62="")),"✗ قائمة T",IF(NOT(OR(AC62="لا خصم 0",AC62="تأخير −5",AC62="عجز −10",AC62="جودة −15",AC62="امتثال −20",AC62="مخالفة −25",AC62="")),"✗ قائمة U",IF(AND(X62="لا",AC62&lt;&gt;"",AC62&lt;&gt;"لا خصم 0"),"✗ خصم",IF(AND(X62="نعم",AC62="لا خصم 0"),"✗ خصم",IF(AND(Z62="ممتاز 100%",AA62="ممتاز 100%",AB62&lt;&gt;"",AB62&lt;&gt;"مكتمل 100%"),"✗ إغلاق",IFERROR(IF(LEN(_xlfn.TEXTJOIN("، ",TRUE,IF(E62="","التاريخ",""),IF(F62="","الوقت",""),IF(G62="","المركز",""),IF(H62="","الدائرة",""),IF(I62="","القسم",""),IF(J62="","المسؤول",""),IF(K62="","نوع النشاط",""),IF(L62="","المشروع",""),IF(N62="","الممول",""),IF(V62="","الموضوع",""),IF(W62="","الملاحظة",""),IF(X62="","مشكلة",""),IF(Y62="","الإجراء",""),IF(Z62="","التنفيذ",""),IF(AA62="","الجودة",""),IF(AB62="","الإغلاق",""),IF(AC62="","الخصم",""),IF(AND(COUNTA($O62:$U62)&gt;0,O62=""),"مدير المشروع",""),IF(AND(COUNTA($O62:$U62)&gt;0,P62=""),"المستفيدين",""),IF(AND(COUNTA($O62:$U62)&gt;0,Q62=""),"المناطق",""),IF(AND(COUNTA($O62:$U62)&gt;0,R62=""),"الميزانية",""),IF(AND(COUNTA($O62:$U62)&gt;0,S62=""),"نسبة الجاهزية",""),IF(AND(COUNTA($O62:$U62)&gt;0,T62=""),"حالة الجاهزية",""),IF(AND(COUNTA($O62:$U62)&gt;0,U62=""),"التوصيات","")))&gt;0,"✗ ناقص: "&amp;_xlfn.TEXTJOIN("، ",TRUE,IF(E62="","التاريخ",""),IF(F62="","الوقت",""),IF(G62="","المركز",""),IF(H62="","الدائرة",""),IF(I62="","القسم",""),IF(J62="","المسؤول",""),IF(K62="","نوع النشاط",""),IF(L62="","المشروع",""),IF(N62="","الممول",""),IF(V62="","الموضوع",""),IF(W62="","الملاحظة",""),IF(X62="","مشكلة",""),IF(Y62="","الإجراء",""),IF(Z62="","التنفيذ",""),IF(AA62="","الجودة",""),IF(AB62="","الإغلاق",""),IF(AC62="","الخصم",""),IF(AND(COUNTA($O62:$U62)&gt;0,O62=""),"مدير المشروع",""),IF(AND(COUNTA($O62:$U62)&gt;0,P62=""),"المستفيدين",""),IF(AND(COUNTA($O62:$U62)&gt;0,Q62=""),"المناطق",""),IF(AND(COUNTA($O62:$U62)&gt;0,R62=""),"الميزانية",""),IF(AND(COUNTA($O62:$U62)&gt;0,S62=""),"نسبة الجاهزية",""),IF(AND(COUNTA($O62:$U62)&gt;0,T62=""),"حالة الجاهزية",""),IF(AND(COUNTA($O62:$U62)&gt;0,U62=""),"التوصيات","")),"✓"),"✓"))))))))))</f>
        <v>✓</v>
      </c>
      <c r="E62" s="235">
        <v>46135</v>
      </c>
      <c r="F62" s="236">
        <v>0.50694444444444442</v>
      </c>
      <c r="G62" s="90" t="s">
        <v>97</v>
      </c>
      <c r="H62" s="123" t="s">
        <v>102</v>
      </c>
      <c r="I62" s="89" t="s">
        <v>175</v>
      </c>
      <c r="J62" s="142" t="s">
        <v>170</v>
      </c>
      <c r="K62" s="90" t="s">
        <v>116</v>
      </c>
      <c r="L62" s="90" t="s">
        <v>118</v>
      </c>
      <c r="M62" s="90"/>
      <c r="N62" s="89" t="s">
        <v>120</v>
      </c>
      <c r="O62" s="200"/>
      <c r="P62" s="201"/>
      <c r="Q62" s="201"/>
      <c r="R62" s="237"/>
      <c r="S62" s="202"/>
      <c r="T62" s="200"/>
      <c r="U62" s="203"/>
      <c r="V62" s="89" t="s">
        <v>772</v>
      </c>
      <c r="W62" s="89" t="s">
        <v>773</v>
      </c>
      <c r="X62" s="145" t="s">
        <v>651</v>
      </c>
      <c r="Y62" s="89" t="s">
        <v>652</v>
      </c>
      <c r="Z62" s="90" t="s">
        <v>130</v>
      </c>
      <c r="AA62" s="90" t="s">
        <v>130</v>
      </c>
      <c r="AB62" s="90" t="s">
        <v>131</v>
      </c>
      <c r="AC62" s="90" t="s">
        <v>132</v>
      </c>
      <c r="AD62" s="91" t="s">
        <v>26</v>
      </c>
      <c r="AE62" s="149">
        <f>IFERROR(VLOOKUP(Z62,LISTS!$AL$2:$AM$1000,2,FALSE()),"")</f>
        <v>100</v>
      </c>
      <c r="AF62" s="151">
        <f>IFERROR(VLOOKUP(AA62,LISTS!$AO$2:$AP$1000,2,FALSE()),"")</f>
        <v>100</v>
      </c>
      <c r="AG62" s="152">
        <f>IFERROR(VLOOKUP(AB62,LISTS!$AR$2:$AS$1000,2,FALSE()),"")</f>
        <v>100</v>
      </c>
      <c r="AH62" s="154">
        <f>IFERROR(VLOOKUP(AC62,LISTS!$AU$2:$AV$1000,2,FALSE()),"")</f>
        <v>0</v>
      </c>
      <c r="AI62" s="238">
        <f t="shared" si="1"/>
        <v>100</v>
      </c>
      <c r="AJ62" s="190" t="str">
        <f t="shared" si="2"/>
        <v>🌟 ممتاز جدًا</v>
      </c>
      <c r="AK62" s="157">
        <f t="shared" si="5"/>
        <v>4</v>
      </c>
      <c r="AL62" s="160">
        <f t="shared" si="6"/>
        <v>2026</v>
      </c>
      <c r="AM62" s="210"/>
      <c r="AN62" s="209"/>
    </row>
    <row r="63" spans="1:40" ht="27.95" customHeight="1">
      <c r="A63" s="134">
        <f>IF(I63&lt;&gt;"",COUNTA($I$2:I63),"")</f>
        <v>62</v>
      </c>
      <c r="B63" s="138" t="str">
        <f t="shared" si="7"/>
        <v>الخميس</v>
      </c>
      <c r="C63" s="93" t="str">
        <f t="array" ref="C63">IF(E63="","",IF(M63&lt;&gt;"",
M63&amp;"/"&amp;SUMPRODUCT((M$2:M63=M63)*1)&amp;" - "&amp;(ROW()-2),
"إداري/"&amp;SUMPRODUCT((M$2:M63="")*1)&amp;" - "&amp;(ROW()-2)))</f>
        <v>إداري/58 - 61</v>
      </c>
      <c r="D63" s="141" t="str">
        <f>IF(AND(G63="",H63="",I63=""),"",IF(COUNTIFS(LISTS!$A$2:$A$67,G63,LISTS!$B$2:$B$67,H63,LISTS!$C$2:$C$67,I63)=0,"✗ هرم",IF(NOT(OR(Z63="ممتاز 100%",Z63="جيد 80%",Z63="مقبول 60%",Z63="خطر 40%",Z63="")),"✗ قائمة R",IF(NOT(OR(AA63="ممتاز 100%",AA63="جيد 85%",AA63="مقبول 70%",AA63="ضعيف 50%",AA63="")),"✗ قائمة S",IF(NOT(OR(AB63="مكتمل 100%",AB63="جزئي 60%",AB63="معلق 30%",AB63="مفتوح 0%",AB63="")),"✗ قائمة T",IF(NOT(OR(AC63="لا خصم 0",AC63="تأخير −5",AC63="عجز −10",AC63="جودة −15",AC63="امتثال −20",AC63="مخالفة −25",AC63="")),"✗ قائمة U",IF(AND(X63="لا",AC63&lt;&gt;"",AC63&lt;&gt;"لا خصم 0"),"✗ خصم",IF(AND(X63="نعم",AC63="لا خصم 0"),"✗ خصم",IF(AND(Z63="ممتاز 100%",AA63="ممتاز 100%",AB63&lt;&gt;"",AB63&lt;&gt;"مكتمل 100%"),"✗ إغلاق",IFERROR(IF(LEN(_xlfn.TEXTJOIN("، ",TRUE,IF(E63="","التاريخ",""),IF(F63="","الوقت",""),IF(G63="","المركز",""),IF(H63="","الدائرة",""),IF(I63="","القسم",""),IF(J63="","المسؤول",""),IF(K63="","نوع النشاط",""),IF(L63="","المشروع",""),IF(N63="","الممول",""),IF(V63="","الموضوع",""),IF(W63="","الملاحظة",""),IF(X63="","مشكلة",""),IF(Y63="","الإجراء",""),IF(Z63="","التنفيذ",""),IF(AA63="","الجودة",""),IF(AB63="","الإغلاق",""),IF(AC63="","الخصم",""),IF(AND(COUNTA($O63:$U63)&gt;0,O63=""),"مدير المشروع",""),IF(AND(COUNTA($O63:$U63)&gt;0,P63=""),"المستفيدين",""),IF(AND(COUNTA($O63:$U63)&gt;0,Q63=""),"المناطق",""),IF(AND(COUNTA($O63:$U63)&gt;0,R63=""),"الميزانية",""),IF(AND(COUNTA($O63:$U63)&gt;0,S63=""),"نسبة الجاهزية",""),IF(AND(COUNTA($O63:$U63)&gt;0,T63=""),"حالة الجاهزية",""),IF(AND(COUNTA($O63:$U63)&gt;0,U63=""),"التوصيات","")))&gt;0,"✗ ناقص: "&amp;_xlfn.TEXTJOIN("، ",TRUE,IF(E63="","التاريخ",""),IF(F63="","الوقت",""),IF(G63="","المركز",""),IF(H63="","الدائرة",""),IF(I63="","القسم",""),IF(J63="","المسؤول",""),IF(K63="","نوع النشاط",""),IF(L63="","المشروع",""),IF(N63="","الممول",""),IF(V63="","الموضوع",""),IF(W63="","الملاحظة",""),IF(X63="","مشكلة",""),IF(Y63="","الإجراء",""),IF(Z63="","التنفيذ",""),IF(AA63="","الجودة",""),IF(AB63="","الإغلاق",""),IF(AC63="","الخصم",""),IF(AND(COUNTA($O63:$U63)&gt;0,O63=""),"مدير المشروع",""),IF(AND(COUNTA($O63:$U63)&gt;0,P63=""),"المستفيدين",""),IF(AND(COUNTA($O63:$U63)&gt;0,Q63=""),"المناطق",""),IF(AND(COUNTA($O63:$U63)&gt;0,R63=""),"الميزانية",""),IF(AND(COUNTA($O63:$U63)&gt;0,S63=""),"نسبة الجاهزية",""),IF(AND(COUNTA($O63:$U63)&gt;0,T63=""),"حالة الجاهزية",""),IF(AND(COUNTA($O63:$U63)&gt;0,U63=""),"التوصيات","")),"✓"),"✓"))))))))))</f>
        <v>✓</v>
      </c>
      <c r="E63" s="235">
        <v>46135</v>
      </c>
      <c r="F63" s="236">
        <v>0.47916666666666669</v>
      </c>
      <c r="G63" s="90" t="s">
        <v>97</v>
      </c>
      <c r="H63" s="123" t="s">
        <v>102</v>
      </c>
      <c r="I63" s="89" t="s">
        <v>124</v>
      </c>
      <c r="J63" s="142" t="s">
        <v>117</v>
      </c>
      <c r="K63" s="90" t="s">
        <v>116</v>
      </c>
      <c r="L63" s="90" t="s">
        <v>369</v>
      </c>
      <c r="M63" s="90"/>
      <c r="N63" s="89" t="s">
        <v>655</v>
      </c>
      <c r="O63" s="200"/>
      <c r="P63" s="201"/>
      <c r="Q63" s="201"/>
      <c r="R63" s="237"/>
      <c r="S63" s="202"/>
      <c r="T63" s="200"/>
      <c r="U63" s="203"/>
      <c r="V63" s="89" t="s">
        <v>774</v>
      </c>
      <c r="W63" s="89" t="s">
        <v>775</v>
      </c>
      <c r="X63" s="145" t="s">
        <v>651</v>
      </c>
      <c r="Y63" s="89" t="s">
        <v>652</v>
      </c>
      <c r="Z63" s="90" t="s">
        <v>130</v>
      </c>
      <c r="AA63" s="90" t="s">
        <v>130</v>
      </c>
      <c r="AB63" s="90" t="s">
        <v>131</v>
      </c>
      <c r="AC63" s="90" t="s">
        <v>132</v>
      </c>
      <c r="AD63" s="92" t="s">
        <v>26</v>
      </c>
      <c r="AE63" s="149">
        <f>IFERROR(VLOOKUP(Z63,LISTS!$AL$2:$AM$1000,2,FALSE()),"")</f>
        <v>100</v>
      </c>
      <c r="AF63" s="151">
        <f>IFERROR(VLOOKUP(AA63,LISTS!$AO$2:$AP$1000,2,FALSE()),"")</f>
        <v>100</v>
      </c>
      <c r="AG63" s="152">
        <f>IFERROR(VLOOKUP(AB63,LISTS!$AR$2:$AS$1000,2,FALSE()),"")</f>
        <v>100</v>
      </c>
      <c r="AH63" s="154">
        <f>IFERROR(VLOOKUP(AC63,LISTS!$AU$2:$AV$1000,2,FALSE()),"")</f>
        <v>0</v>
      </c>
      <c r="AI63" s="238">
        <f t="shared" si="1"/>
        <v>100</v>
      </c>
      <c r="AJ63" s="190" t="str">
        <f t="shared" si="2"/>
        <v>🌟 ممتاز جدًا</v>
      </c>
      <c r="AK63" s="157">
        <f t="shared" si="5"/>
        <v>4</v>
      </c>
      <c r="AL63" s="160">
        <f t="shared" si="6"/>
        <v>2026</v>
      </c>
      <c r="AM63" s="210"/>
      <c r="AN63" s="209"/>
    </row>
    <row r="64" spans="1:40" ht="27.95" customHeight="1">
      <c r="A64" s="134">
        <f>IF(I64&lt;&gt;"",COUNTA($I$2:I64),"")</f>
        <v>63</v>
      </c>
      <c r="B64" s="138" t="str">
        <f t="shared" si="7"/>
        <v>السبت</v>
      </c>
      <c r="C64" s="93" t="str">
        <f t="array" ref="C64">IF(E64="","",IF(M64&lt;&gt;"",
M64&amp;"/"&amp;SUMPRODUCT((M$2:M64=M64)*1)&amp;" - "&amp;(ROW()-2),
"إداري/"&amp;SUMPRODUCT((M$2:M64="")*1)&amp;" - "&amp;(ROW()-2)))</f>
        <v>إداري/59 - 62</v>
      </c>
      <c r="D64" s="141" t="str">
        <f>IF(AND(G64="",H64="",I64=""),"",IF(COUNTIFS(LISTS!$A$2:$A$67,G64,LISTS!$B$2:$B$67,H64,LISTS!$C$2:$C$67,I64)=0,"✗ هرم",IF(NOT(OR(Z64="ممتاز 100%",Z64="جيد 80%",Z64="مقبول 60%",Z64="خطر 40%",Z64="")),"✗ قائمة R",IF(NOT(OR(AA64="ممتاز 100%",AA64="جيد 85%",AA64="مقبول 70%",AA64="ضعيف 50%",AA64="")),"✗ قائمة S",IF(NOT(OR(AB64="مكتمل 100%",AB64="جزئي 60%",AB64="معلق 30%",AB64="مفتوح 0%",AB64="")),"✗ قائمة T",IF(NOT(OR(AC64="لا خصم 0",AC64="تأخير −5",AC64="عجز −10",AC64="جودة −15",AC64="امتثال −20",AC64="مخالفة −25",AC64="")),"✗ قائمة U",IF(AND(X64="لا",AC64&lt;&gt;"",AC64&lt;&gt;"لا خصم 0"),"✗ خصم",IF(AND(X64="نعم",AC64="لا خصم 0"),"✗ خصم",IF(AND(Z64="ممتاز 100%",AA64="ممتاز 100%",AB64&lt;&gt;"",AB64&lt;&gt;"مكتمل 100%"),"✗ إغلاق",IFERROR(IF(LEN(_xlfn.TEXTJOIN("، ",TRUE,IF(E64="","التاريخ",""),IF(F64="","الوقت",""),IF(G64="","المركز",""),IF(H64="","الدائرة",""),IF(I64="","القسم",""),IF(J64="","المسؤول",""),IF(K64="","نوع النشاط",""),IF(L64="","المشروع",""),IF(N64="","الممول",""),IF(V64="","الموضوع",""),IF(W64="","الملاحظة",""),IF(X64="","مشكلة",""),IF(Y64="","الإجراء",""),IF(Z64="","التنفيذ",""),IF(AA64="","الجودة",""),IF(AB64="","الإغلاق",""),IF(AC64="","الخصم",""),IF(AND(COUNTA($O64:$U64)&gt;0,O64=""),"مدير المشروع",""),IF(AND(COUNTA($O64:$U64)&gt;0,P64=""),"المستفيدين",""),IF(AND(COUNTA($O64:$U64)&gt;0,Q64=""),"المناطق",""),IF(AND(COUNTA($O64:$U64)&gt;0,R64=""),"الميزانية",""),IF(AND(COUNTA($O64:$U64)&gt;0,S64=""),"نسبة الجاهزية",""),IF(AND(COUNTA($O64:$U64)&gt;0,T64=""),"حالة الجاهزية",""),IF(AND(COUNTA($O64:$U64)&gt;0,U64=""),"التوصيات","")))&gt;0,"✗ ناقص: "&amp;_xlfn.TEXTJOIN("، ",TRUE,IF(E64="","التاريخ",""),IF(F64="","الوقت",""),IF(G64="","المركز",""),IF(H64="","الدائرة",""),IF(I64="","القسم",""),IF(J64="","المسؤول",""),IF(K64="","نوع النشاط",""),IF(L64="","المشروع",""),IF(N64="","الممول",""),IF(V64="","الموضوع",""),IF(W64="","الملاحظة",""),IF(X64="","مشكلة",""),IF(Y64="","الإجراء",""),IF(Z64="","التنفيذ",""),IF(AA64="","الجودة",""),IF(AB64="","الإغلاق",""),IF(AC64="","الخصم",""),IF(AND(COUNTA($O64:$U64)&gt;0,O64=""),"مدير المشروع",""),IF(AND(COUNTA($O64:$U64)&gt;0,P64=""),"المستفيدين",""),IF(AND(COUNTA($O64:$U64)&gt;0,Q64=""),"المناطق",""),IF(AND(COUNTA($O64:$U64)&gt;0,R64=""),"الميزانية",""),IF(AND(COUNTA($O64:$U64)&gt;0,S64=""),"نسبة الجاهزية",""),IF(AND(COUNTA($O64:$U64)&gt;0,T64=""),"حالة الجاهزية",""),IF(AND(COUNTA($O64:$U64)&gt;0,U64=""),"التوصيات","")),"✓"),"✓"))))))))))</f>
        <v>✗ ناقص: المسؤول</v>
      </c>
      <c r="E64" s="235">
        <v>46137</v>
      </c>
      <c r="F64" s="236">
        <v>0.58333333333333337</v>
      </c>
      <c r="G64" s="90" t="s">
        <v>97</v>
      </c>
      <c r="H64" s="123" t="s">
        <v>102</v>
      </c>
      <c r="I64" s="89" t="s">
        <v>142</v>
      </c>
      <c r="J64" s="142"/>
      <c r="K64" s="90" t="s">
        <v>116</v>
      </c>
      <c r="L64" s="90" t="s">
        <v>118</v>
      </c>
      <c r="M64" s="90"/>
      <c r="N64" s="89" t="s">
        <v>120</v>
      </c>
      <c r="O64" s="200"/>
      <c r="P64" s="201"/>
      <c r="Q64" s="201"/>
      <c r="R64" s="237"/>
      <c r="S64" s="202"/>
      <c r="T64" s="200"/>
      <c r="U64" s="203"/>
      <c r="V64" s="89" t="s">
        <v>776</v>
      </c>
      <c r="W64" s="89" t="s">
        <v>777</v>
      </c>
      <c r="X64" s="145" t="s">
        <v>651</v>
      </c>
      <c r="Y64" s="89" t="s">
        <v>652</v>
      </c>
      <c r="Z64" s="90" t="s">
        <v>130</v>
      </c>
      <c r="AA64" s="90" t="s">
        <v>130</v>
      </c>
      <c r="AB64" s="90" t="s">
        <v>131</v>
      </c>
      <c r="AC64" s="90" t="s">
        <v>132</v>
      </c>
      <c r="AD64" s="91" t="s">
        <v>26</v>
      </c>
      <c r="AE64" s="149">
        <f>IFERROR(VLOOKUP(Z64,LISTS!$AL$2:$AM$1000,2,FALSE()),"")</f>
        <v>100</v>
      </c>
      <c r="AF64" s="151">
        <f>IFERROR(VLOOKUP(AA64,LISTS!$AO$2:$AP$1000,2,FALSE()),"")</f>
        <v>100</v>
      </c>
      <c r="AG64" s="152">
        <f>IFERROR(VLOOKUP(AB64,LISTS!$AR$2:$AS$1000,2,FALSE()),"")</f>
        <v>100</v>
      </c>
      <c r="AH64" s="154">
        <f>IFERROR(VLOOKUP(AC64,LISTS!$AU$2:$AV$1000,2,FALSE()),"")</f>
        <v>0</v>
      </c>
      <c r="AI64" s="238">
        <f t="shared" si="1"/>
        <v>100</v>
      </c>
      <c r="AJ64" s="190" t="str">
        <f t="shared" si="2"/>
        <v>🌟 ممتاز جدًا</v>
      </c>
      <c r="AK64" s="157">
        <f t="shared" si="5"/>
        <v>4</v>
      </c>
      <c r="AL64" s="160">
        <f t="shared" si="6"/>
        <v>2026</v>
      </c>
      <c r="AM64" s="210"/>
      <c r="AN64" s="209"/>
    </row>
    <row r="65" spans="1:40" ht="27.95" customHeight="1">
      <c r="A65" s="134">
        <f>IF(I65&lt;&gt;"",COUNTA($I$2:I65),"")</f>
        <v>64</v>
      </c>
      <c r="B65" s="138" t="str">
        <f t="shared" si="7"/>
        <v>السبت</v>
      </c>
      <c r="C65" s="93" t="str">
        <f t="array" ref="C65">IF(E65="","",IF(M65&lt;&gt;"",
M65&amp;"/"&amp;SUMPRODUCT((M$2:M65=M65)*1)&amp;" - "&amp;(ROW()-2),
"إداري/"&amp;SUMPRODUCT((M$2:M65="")*1)&amp;" - "&amp;(ROW()-2)))</f>
        <v>إداري/60 - 63</v>
      </c>
      <c r="D65" s="141" t="str">
        <f>IF(AND(G65="",H65="",I65=""),"",IF(COUNTIFS(LISTS!$A$2:$A$67,G65,LISTS!$B$2:$B$67,H65,LISTS!$C$2:$C$67,I65)=0,"✗ هرم",IF(NOT(OR(Z65="ممتاز 100%",Z65="جيد 80%",Z65="مقبول 60%",Z65="خطر 40%",Z65="")),"✗ قائمة R",IF(NOT(OR(AA65="ممتاز 100%",AA65="جيد 85%",AA65="مقبول 70%",AA65="ضعيف 50%",AA65="")),"✗ قائمة S",IF(NOT(OR(AB65="مكتمل 100%",AB65="جزئي 60%",AB65="معلق 30%",AB65="مفتوح 0%",AB65="")),"✗ قائمة T",IF(NOT(OR(AC65="لا خصم 0",AC65="تأخير −5",AC65="عجز −10",AC65="جودة −15",AC65="امتثال −20",AC65="مخالفة −25",AC65="")),"✗ قائمة U",IF(AND(X65="لا",AC65&lt;&gt;"",AC65&lt;&gt;"لا خصم 0"),"✗ خصم",IF(AND(X65="نعم",AC65="لا خصم 0"),"✗ خصم",IF(AND(Z65="ممتاز 100%",AA65="ممتاز 100%",AB65&lt;&gt;"",AB65&lt;&gt;"مكتمل 100%"),"✗ إغلاق",IFERROR(IF(LEN(_xlfn.TEXTJOIN("، ",TRUE,IF(E65="","التاريخ",""),IF(F65="","الوقت",""),IF(G65="","المركز",""),IF(H65="","الدائرة",""),IF(I65="","القسم",""),IF(J65="","المسؤول",""),IF(K65="","نوع النشاط",""),IF(L65="","المشروع",""),IF(N65="","الممول",""),IF(V65="","الموضوع",""),IF(W65="","الملاحظة",""),IF(X65="","مشكلة",""),IF(Y65="","الإجراء",""),IF(Z65="","التنفيذ",""),IF(AA65="","الجودة",""),IF(AB65="","الإغلاق",""),IF(AC65="","الخصم",""),IF(AND(COUNTA($O65:$U65)&gt;0,O65=""),"مدير المشروع",""),IF(AND(COUNTA($O65:$U65)&gt;0,P65=""),"المستفيدين",""),IF(AND(COUNTA($O65:$U65)&gt;0,Q65=""),"المناطق",""),IF(AND(COUNTA($O65:$U65)&gt;0,R65=""),"الميزانية",""),IF(AND(COUNTA($O65:$U65)&gt;0,S65=""),"نسبة الجاهزية",""),IF(AND(COUNTA($O65:$U65)&gt;0,T65=""),"حالة الجاهزية",""),IF(AND(COUNTA($O65:$U65)&gt;0,U65=""),"التوصيات","")))&gt;0,"✗ ناقص: "&amp;_xlfn.TEXTJOIN("، ",TRUE,IF(E65="","التاريخ",""),IF(F65="","الوقت",""),IF(G65="","المركز",""),IF(H65="","الدائرة",""),IF(I65="","القسم",""),IF(J65="","المسؤول",""),IF(K65="","نوع النشاط",""),IF(L65="","المشروع",""),IF(N65="","الممول",""),IF(V65="","الموضوع",""),IF(W65="","الملاحظة",""),IF(X65="","مشكلة",""),IF(Y65="","الإجراء",""),IF(Z65="","التنفيذ",""),IF(AA65="","الجودة",""),IF(AB65="","الإغلاق",""),IF(AC65="","الخصم",""),IF(AND(COUNTA($O65:$U65)&gt;0,O65=""),"مدير المشروع",""),IF(AND(COUNTA($O65:$U65)&gt;0,P65=""),"المستفيدين",""),IF(AND(COUNTA($O65:$U65)&gt;0,Q65=""),"المناطق",""),IF(AND(COUNTA($O65:$U65)&gt;0,R65=""),"الميزانية",""),IF(AND(COUNTA($O65:$U65)&gt;0,S65=""),"نسبة الجاهزية",""),IF(AND(COUNTA($O65:$U65)&gt;0,T65=""),"حالة الجاهزية",""),IF(AND(COUNTA($O65:$U65)&gt;0,U65=""),"التوصيات","")),"✓"),"✓"))))))))))</f>
        <v>✓</v>
      </c>
      <c r="E65" s="235">
        <v>46137</v>
      </c>
      <c r="F65" s="236">
        <v>0.47916666666666669</v>
      </c>
      <c r="G65" s="90" t="s">
        <v>97</v>
      </c>
      <c r="H65" s="123" t="s">
        <v>102</v>
      </c>
      <c r="I65" s="89" t="s">
        <v>124</v>
      </c>
      <c r="J65" s="142" t="s">
        <v>117</v>
      </c>
      <c r="K65" s="90" t="s">
        <v>116</v>
      </c>
      <c r="L65" s="90" t="s">
        <v>369</v>
      </c>
      <c r="M65" s="90"/>
      <c r="N65" s="89" t="s">
        <v>655</v>
      </c>
      <c r="O65" s="200"/>
      <c r="P65" s="201"/>
      <c r="Q65" s="201"/>
      <c r="R65" s="237"/>
      <c r="S65" s="202"/>
      <c r="T65" s="200"/>
      <c r="U65" s="203"/>
      <c r="V65" s="89" t="s">
        <v>778</v>
      </c>
      <c r="W65" s="89" t="s">
        <v>779</v>
      </c>
      <c r="X65" s="145" t="s">
        <v>647</v>
      </c>
      <c r="Y65" s="89" t="s">
        <v>666</v>
      </c>
      <c r="Z65" s="90" t="s">
        <v>165</v>
      </c>
      <c r="AA65" s="90" t="s">
        <v>130</v>
      </c>
      <c r="AB65" s="90" t="s">
        <v>167</v>
      </c>
      <c r="AC65" s="90" t="s">
        <v>184</v>
      </c>
      <c r="AD65" s="92" t="s">
        <v>26</v>
      </c>
      <c r="AE65" s="149">
        <f>IFERROR(VLOOKUP(Z65,LISTS!$AL$2:$AM$1000,2,FALSE()),"")</f>
        <v>80</v>
      </c>
      <c r="AF65" s="151">
        <f>IFERROR(VLOOKUP(AA65,LISTS!$AO$2:$AP$1000,2,FALSE()),"")</f>
        <v>100</v>
      </c>
      <c r="AG65" s="152">
        <f>IFERROR(VLOOKUP(AB65,LISTS!$AR$2:$AS$1000,2,FALSE()),"")</f>
        <v>60</v>
      </c>
      <c r="AH65" s="154">
        <f>IFERROR(VLOOKUP(AC65,LISTS!$AU$2:$AV$1000,2,FALSE()),"")</f>
        <v>10</v>
      </c>
      <c r="AI65" s="238">
        <f t="shared" si="1"/>
        <v>70</v>
      </c>
      <c r="AJ65" s="190" t="str">
        <f t="shared" si="2"/>
        <v>🟡 مقبول</v>
      </c>
      <c r="AK65" s="157">
        <f t="shared" si="5"/>
        <v>4</v>
      </c>
      <c r="AL65" s="160">
        <f t="shared" si="6"/>
        <v>2026</v>
      </c>
      <c r="AM65" s="210"/>
      <c r="AN65" s="209"/>
    </row>
    <row r="66" spans="1:40" ht="27.95" customHeight="1">
      <c r="A66" s="134">
        <f>IF(I66&lt;&gt;"",COUNTA($I$2:I66),"")</f>
        <v>65</v>
      </c>
      <c r="B66" s="138" t="str">
        <f t="shared" si="7"/>
        <v>السبت</v>
      </c>
      <c r="C66" s="93" t="str">
        <f t="array" ref="C66">IF(E66="","",IF(M66&lt;&gt;"",
M66&amp;"/"&amp;SUMPRODUCT((M$2:M66=M66)*1)&amp;" - "&amp;(ROW()-2),
"إداري/"&amp;SUMPRODUCT((M$2:M66="")*1)&amp;" - "&amp;(ROW()-2)))</f>
        <v>إداري/61 - 64</v>
      </c>
      <c r="D66" s="141" t="str">
        <f>IF(AND(G66="",H66="",I66=""),"",IF(COUNTIFS(LISTS!$A$2:$A$67,G66,LISTS!$B$2:$B$67,H66,LISTS!$C$2:$C$67,I66)=0,"✗ هرم",IF(NOT(OR(Z66="ممتاز 100%",Z66="جيد 80%",Z66="مقبول 60%",Z66="خطر 40%",Z66="")),"✗ قائمة R",IF(NOT(OR(AA66="ممتاز 100%",AA66="جيد 85%",AA66="مقبول 70%",AA66="ضعيف 50%",AA66="")),"✗ قائمة S",IF(NOT(OR(AB66="مكتمل 100%",AB66="جزئي 60%",AB66="معلق 30%",AB66="مفتوح 0%",AB66="")),"✗ قائمة T",IF(NOT(OR(AC66="لا خصم 0",AC66="تأخير −5",AC66="عجز −10",AC66="جودة −15",AC66="امتثال −20",AC66="مخالفة −25",AC66="")),"✗ قائمة U",IF(AND(X66="لا",AC66&lt;&gt;"",AC66&lt;&gt;"لا خصم 0"),"✗ خصم",IF(AND(X66="نعم",AC66="لا خصم 0"),"✗ خصم",IF(AND(Z66="ممتاز 100%",AA66="ممتاز 100%",AB66&lt;&gt;"",AB66&lt;&gt;"مكتمل 100%"),"✗ إغلاق",IFERROR(IF(LEN(_xlfn.TEXTJOIN("، ",TRUE,IF(E66="","التاريخ",""),IF(F66="","الوقت",""),IF(G66="","المركز",""),IF(H66="","الدائرة",""),IF(I66="","القسم",""),IF(J66="","المسؤول",""),IF(K66="","نوع النشاط",""),IF(L66="","المشروع",""),IF(N66="","الممول",""),IF(V66="","الموضوع",""),IF(W66="","الملاحظة",""),IF(X66="","مشكلة",""),IF(Y66="","الإجراء",""),IF(Z66="","التنفيذ",""),IF(AA66="","الجودة",""),IF(AB66="","الإغلاق",""),IF(AC66="","الخصم",""),IF(AND(COUNTA($O66:$U66)&gt;0,O66=""),"مدير المشروع",""),IF(AND(COUNTA($O66:$U66)&gt;0,P66=""),"المستفيدين",""),IF(AND(COUNTA($O66:$U66)&gt;0,Q66=""),"المناطق",""),IF(AND(COUNTA($O66:$U66)&gt;0,R66=""),"الميزانية",""),IF(AND(COUNTA($O66:$U66)&gt;0,S66=""),"نسبة الجاهزية",""),IF(AND(COUNTA($O66:$U66)&gt;0,T66=""),"حالة الجاهزية",""),IF(AND(COUNTA($O66:$U66)&gt;0,U66=""),"التوصيات","")))&gt;0,"✗ ناقص: "&amp;_xlfn.TEXTJOIN("، ",TRUE,IF(E66="","التاريخ",""),IF(F66="","الوقت",""),IF(G66="","المركز",""),IF(H66="","الدائرة",""),IF(I66="","القسم",""),IF(J66="","المسؤول",""),IF(K66="","نوع النشاط",""),IF(L66="","المشروع",""),IF(N66="","الممول",""),IF(V66="","الموضوع",""),IF(W66="","الملاحظة",""),IF(X66="","مشكلة",""),IF(Y66="","الإجراء",""),IF(Z66="","التنفيذ",""),IF(AA66="","الجودة",""),IF(AB66="","الإغلاق",""),IF(AC66="","الخصم",""),IF(AND(COUNTA($O66:$U66)&gt;0,O66=""),"مدير المشروع",""),IF(AND(COUNTA($O66:$U66)&gt;0,P66=""),"المستفيدين",""),IF(AND(COUNTA($O66:$U66)&gt;0,Q66=""),"المناطق",""),IF(AND(COUNTA($O66:$U66)&gt;0,R66=""),"الميزانية",""),IF(AND(COUNTA($O66:$U66)&gt;0,S66=""),"نسبة الجاهزية",""),IF(AND(COUNTA($O66:$U66)&gt;0,T66=""),"حالة الجاهزية",""),IF(AND(COUNTA($O66:$U66)&gt;0,U66=""),"التوصيات","")),"✓"),"✓"))))))))))</f>
        <v>✓</v>
      </c>
      <c r="E66" s="235">
        <v>46137</v>
      </c>
      <c r="F66" s="236">
        <v>0.52083333333333337</v>
      </c>
      <c r="G66" s="90" t="s">
        <v>97</v>
      </c>
      <c r="H66" s="123" t="s">
        <v>102</v>
      </c>
      <c r="I66" s="89" t="s">
        <v>124</v>
      </c>
      <c r="J66" s="142" t="s">
        <v>117</v>
      </c>
      <c r="K66" s="90" t="s">
        <v>116</v>
      </c>
      <c r="L66" s="90" t="s">
        <v>118</v>
      </c>
      <c r="M66" s="90"/>
      <c r="N66" s="89" t="s">
        <v>120</v>
      </c>
      <c r="O66" s="200"/>
      <c r="P66" s="201"/>
      <c r="Q66" s="201"/>
      <c r="R66" s="237"/>
      <c r="S66" s="202"/>
      <c r="T66" s="200"/>
      <c r="U66" s="203"/>
      <c r="V66" s="89" t="s">
        <v>780</v>
      </c>
      <c r="W66" s="89" t="s">
        <v>781</v>
      </c>
      <c r="X66" s="145" t="s">
        <v>651</v>
      </c>
      <c r="Y66" s="89" t="s">
        <v>652</v>
      </c>
      <c r="Z66" s="90" t="s">
        <v>130</v>
      </c>
      <c r="AA66" s="90" t="s">
        <v>130</v>
      </c>
      <c r="AB66" s="90" t="s">
        <v>131</v>
      </c>
      <c r="AC66" s="90" t="s">
        <v>132</v>
      </c>
      <c r="AD66" s="91" t="s">
        <v>26</v>
      </c>
      <c r="AE66" s="149">
        <f>IFERROR(VLOOKUP(Z66,LISTS!$AL$2:$AM$1000,2,FALSE()),"")</f>
        <v>100</v>
      </c>
      <c r="AF66" s="151">
        <f>IFERROR(VLOOKUP(AA66,LISTS!$AO$2:$AP$1000,2,FALSE()),"")</f>
        <v>100</v>
      </c>
      <c r="AG66" s="152">
        <f>IFERROR(VLOOKUP(AB66,LISTS!$AR$2:$AS$1000,2,FALSE()),"")</f>
        <v>100</v>
      </c>
      <c r="AH66" s="154">
        <f>IFERROR(VLOOKUP(AC66,LISTS!$AU$2:$AV$1000,2,FALSE()),"")</f>
        <v>0</v>
      </c>
      <c r="AI66" s="238">
        <f t="shared" ref="AI66:AI129" si="8">IF(OR(AE66="",AF66="",AG66=""),"—",IFERROR(ROUND(AE66*0.4+AF66*0.3+AG66*0.3-IF(ISNUMBER(AH66),AH66,0),1),"⚠️"))</f>
        <v>100</v>
      </c>
      <c r="AJ66" s="190" t="str">
        <f t="shared" ref="AJ66:AJ129" si="9">IF(AI66="—","—",IF(NOT(ISNUMBER(AI66)),"⚠️",IF(AI66&gt;=98,"🌟 ممتاز جدًا",IF(AI66&gt;=90,"⭐ ممتاز",IF(AI66&gt;=75,"🟢 جيد",IF(AI66&gt;=60,"🟡 مقبول",IF(AI66&gt;=40,"🔴 ضعيف","🚨 خطر شديد")))))))</f>
        <v>🌟 ممتاز جدًا</v>
      </c>
      <c r="AK66" s="157">
        <f t="shared" si="5"/>
        <v>4</v>
      </c>
      <c r="AL66" s="160">
        <f t="shared" si="6"/>
        <v>2026</v>
      </c>
      <c r="AM66" s="210"/>
      <c r="AN66" s="209"/>
    </row>
    <row r="67" spans="1:40" ht="27.95" customHeight="1">
      <c r="A67" s="134">
        <f>IF(I67&lt;&gt;"",COUNTA($I$2:I67),"")</f>
        <v>66</v>
      </c>
      <c r="B67" s="138" t="str">
        <f t="shared" si="7"/>
        <v>السبت</v>
      </c>
      <c r="C67" s="93" t="str">
        <f t="array" ref="C67">IF(E67="","",IF(M67&lt;&gt;"",
M67&amp;"/"&amp;SUMPRODUCT((M$2:M67=M67)*1)&amp;" - "&amp;(ROW()-2),
"إداري/"&amp;SUMPRODUCT((M$2:M67="")*1)&amp;" - "&amp;(ROW()-2)))</f>
        <v>إداري/62 - 65</v>
      </c>
      <c r="D67" s="141" t="str">
        <f>IF(AND(G67="",H67="",I67=""),"",IF(COUNTIFS(LISTS!$A$2:$A$67,G67,LISTS!$B$2:$B$67,H67,LISTS!$C$2:$C$67,I67)=0,"✗ هرم",IF(NOT(OR(Z67="ممتاز 100%",Z67="جيد 80%",Z67="مقبول 60%",Z67="خطر 40%",Z67="")),"✗ قائمة R",IF(NOT(OR(AA67="ممتاز 100%",AA67="جيد 85%",AA67="مقبول 70%",AA67="ضعيف 50%",AA67="")),"✗ قائمة S",IF(NOT(OR(AB67="مكتمل 100%",AB67="جزئي 60%",AB67="معلق 30%",AB67="مفتوح 0%",AB67="")),"✗ قائمة T",IF(NOT(OR(AC67="لا خصم 0",AC67="تأخير −5",AC67="عجز −10",AC67="جودة −15",AC67="امتثال −20",AC67="مخالفة −25",AC67="")),"✗ قائمة U",IF(AND(X67="لا",AC67&lt;&gt;"",AC67&lt;&gt;"لا خصم 0"),"✗ خصم",IF(AND(X67="نعم",AC67="لا خصم 0"),"✗ خصم",IF(AND(Z67="ممتاز 100%",AA67="ممتاز 100%",AB67&lt;&gt;"",AB67&lt;&gt;"مكتمل 100%"),"✗ إغلاق",IFERROR(IF(LEN(_xlfn.TEXTJOIN("، ",TRUE,IF(E67="","التاريخ",""),IF(F67="","الوقت",""),IF(G67="","المركز",""),IF(H67="","الدائرة",""),IF(I67="","القسم",""),IF(J67="","المسؤول",""),IF(K67="","نوع النشاط",""),IF(L67="","المشروع",""),IF(N67="","الممول",""),IF(V67="","الموضوع",""),IF(W67="","الملاحظة",""),IF(X67="","مشكلة",""),IF(Y67="","الإجراء",""),IF(Z67="","التنفيذ",""),IF(AA67="","الجودة",""),IF(AB67="","الإغلاق",""),IF(AC67="","الخصم",""),IF(AND(COUNTA($O67:$U67)&gt;0,O67=""),"مدير المشروع",""),IF(AND(COUNTA($O67:$U67)&gt;0,P67=""),"المستفيدين",""),IF(AND(COUNTA($O67:$U67)&gt;0,Q67=""),"المناطق",""),IF(AND(COUNTA($O67:$U67)&gt;0,R67=""),"الميزانية",""),IF(AND(COUNTA($O67:$U67)&gt;0,S67=""),"نسبة الجاهزية",""),IF(AND(COUNTA($O67:$U67)&gt;0,T67=""),"حالة الجاهزية",""),IF(AND(COUNTA($O67:$U67)&gt;0,U67=""),"التوصيات","")))&gt;0,"✗ ناقص: "&amp;_xlfn.TEXTJOIN("، ",TRUE,IF(E67="","التاريخ",""),IF(F67="","الوقت",""),IF(G67="","المركز",""),IF(H67="","الدائرة",""),IF(I67="","القسم",""),IF(J67="","المسؤول",""),IF(K67="","نوع النشاط",""),IF(L67="","المشروع",""),IF(N67="","الممول",""),IF(V67="","الموضوع",""),IF(W67="","الملاحظة",""),IF(X67="","مشكلة",""),IF(Y67="","الإجراء",""),IF(Z67="","التنفيذ",""),IF(AA67="","الجودة",""),IF(AB67="","الإغلاق",""),IF(AC67="","الخصم",""),IF(AND(COUNTA($O67:$U67)&gt;0,O67=""),"مدير المشروع",""),IF(AND(COUNTA($O67:$U67)&gt;0,P67=""),"المستفيدين",""),IF(AND(COUNTA($O67:$U67)&gt;0,Q67=""),"المناطق",""),IF(AND(COUNTA($O67:$U67)&gt;0,R67=""),"الميزانية",""),IF(AND(COUNTA($O67:$U67)&gt;0,S67=""),"نسبة الجاهزية",""),IF(AND(COUNTA($O67:$U67)&gt;0,T67=""),"حالة الجاهزية",""),IF(AND(COUNTA($O67:$U67)&gt;0,U67=""),"التوصيات","")),"✓"),"✓"))))))))))</f>
        <v>✗ ناقص: المسؤول</v>
      </c>
      <c r="E67" s="235">
        <v>46137</v>
      </c>
      <c r="F67" s="236">
        <v>0.47916666666666669</v>
      </c>
      <c r="G67" s="90" t="s">
        <v>97</v>
      </c>
      <c r="H67" s="123" t="s">
        <v>102</v>
      </c>
      <c r="I67" s="89" t="s">
        <v>159</v>
      </c>
      <c r="J67" s="142"/>
      <c r="K67" s="90" t="s">
        <v>116</v>
      </c>
      <c r="L67" s="90" t="s">
        <v>118</v>
      </c>
      <c r="M67" s="90"/>
      <c r="N67" s="89" t="s">
        <v>120</v>
      </c>
      <c r="O67" s="200"/>
      <c r="P67" s="201"/>
      <c r="Q67" s="201"/>
      <c r="R67" s="237"/>
      <c r="S67" s="202"/>
      <c r="T67" s="200"/>
      <c r="U67" s="203"/>
      <c r="V67" s="89" t="s">
        <v>782</v>
      </c>
      <c r="W67" s="89" t="s">
        <v>783</v>
      </c>
      <c r="X67" s="145" t="s">
        <v>651</v>
      </c>
      <c r="Y67" s="89" t="s">
        <v>652</v>
      </c>
      <c r="Z67" s="90" t="s">
        <v>130</v>
      </c>
      <c r="AA67" s="90" t="s">
        <v>130</v>
      </c>
      <c r="AB67" s="90" t="s">
        <v>131</v>
      </c>
      <c r="AC67" s="90" t="s">
        <v>132</v>
      </c>
      <c r="AD67" s="92" t="s">
        <v>26</v>
      </c>
      <c r="AE67" s="149">
        <f>IFERROR(VLOOKUP(Z67,LISTS!$AL$2:$AM$1000,2,FALSE()),"")</f>
        <v>100</v>
      </c>
      <c r="AF67" s="151">
        <f>IFERROR(VLOOKUP(AA67,LISTS!$AO$2:$AP$1000,2,FALSE()),"")</f>
        <v>100</v>
      </c>
      <c r="AG67" s="152">
        <f>IFERROR(VLOOKUP(AB67,LISTS!$AR$2:$AS$1000,2,FALSE()),"")</f>
        <v>100</v>
      </c>
      <c r="AH67" s="154">
        <f>IFERROR(VLOOKUP(AC67,LISTS!$AU$2:$AV$1000,2,FALSE()),"")</f>
        <v>0</v>
      </c>
      <c r="AI67" s="238">
        <f t="shared" si="8"/>
        <v>100</v>
      </c>
      <c r="AJ67" s="190" t="str">
        <f t="shared" si="9"/>
        <v>🌟 ممتاز جدًا</v>
      </c>
      <c r="AK67" s="157">
        <f t="shared" si="5"/>
        <v>4</v>
      </c>
      <c r="AL67" s="160">
        <f t="shared" si="6"/>
        <v>2026</v>
      </c>
      <c r="AM67" s="210"/>
      <c r="AN67" s="209"/>
    </row>
    <row r="68" spans="1:40" ht="27.95" customHeight="1">
      <c r="A68" s="134">
        <f>IF(I68&lt;&gt;"",COUNTA($I$2:I68),"")</f>
        <v>67</v>
      </c>
      <c r="B68" s="138" t="str">
        <f t="shared" si="7"/>
        <v>الأحد</v>
      </c>
      <c r="C68" s="93" t="str">
        <f t="array" ref="C68">IF(E68="","",IF(M68&lt;&gt;"",
M68&amp;"/"&amp;SUMPRODUCT((M$2:M68=M68)*1)&amp;" - "&amp;(ROW()-2),
"إداري/"&amp;SUMPRODUCT((M$2:M68="")*1)&amp;" - "&amp;(ROW()-2)))</f>
        <v>إداري/63 - 66</v>
      </c>
      <c r="D68" s="141" t="str">
        <f>IF(AND(G68="",H68="",I68=""),"",IF(COUNTIFS(LISTS!$A$2:$A$67,G68,LISTS!$B$2:$B$67,H68,LISTS!$C$2:$C$67,I68)=0,"✗ هرم",IF(NOT(OR(Z68="ممتاز 100%",Z68="جيد 80%",Z68="مقبول 60%",Z68="خطر 40%",Z68="")),"✗ قائمة R",IF(NOT(OR(AA68="ممتاز 100%",AA68="جيد 85%",AA68="مقبول 70%",AA68="ضعيف 50%",AA68="")),"✗ قائمة S",IF(NOT(OR(AB68="مكتمل 100%",AB68="جزئي 60%",AB68="معلق 30%",AB68="مفتوح 0%",AB68="")),"✗ قائمة T",IF(NOT(OR(AC68="لا خصم 0",AC68="تأخير −5",AC68="عجز −10",AC68="جودة −15",AC68="امتثال −20",AC68="مخالفة −25",AC68="")),"✗ قائمة U",IF(AND(X68="لا",AC68&lt;&gt;"",AC68&lt;&gt;"لا خصم 0"),"✗ خصم",IF(AND(X68="نعم",AC68="لا خصم 0"),"✗ خصم",IF(AND(Z68="ممتاز 100%",AA68="ممتاز 100%",AB68&lt;&gt;"",AB68&lt;&gt;"مكتمل 100%"),"✗ إغلاق",IFERROR(IF(LEN(_xlfn.TEXTJOIN("، ",TRUE,IF(E68="","التاريخ",""),IF(F68="","الوقت",""),IF(G68="","المركز",""),IF(H68="","الدائرة",""),IF(I68="","القسم",""),IF(J68="","المسؤول",""),IF(K68="","نوع النشاط",""),IF(L68="","المشروع",""),IF(N68="","الممول",""),IF(V68="","الموضوع",""),IF(W68="","الملاحظة",""),IF(X68="","مشكلة",""),IF(Y68="","الإجراء",""),IF(Z68="","التنفيذ",""),IF(AA68="","الجودة",""),IF(AB68="","الإغلاق",""),IF(AC68="","الخصم",""),IF(AND(COUNTA($O68:$U68)&gt;0,O68=""),"مدير المشروع",""),IF(AND(COUNTA($O68:$U68)&gt;0,P68=""),"المستفيدين",""),IF(AND(COUNTA($O68:$U68)&gt;0,Q68=""),"المناطق",""),IF(AND(COUNTA($O68:$U68)&gt;0,R68=""),"الميزانية",""),IF(AND(COUNTA($O68:$U68)&gt;0,S68=""),"نسبة الجاهزية",""),IF(AND(COUNTA($O68:$U68)&gt;0,T68=""),"حالة الجاهزية",""),IF(AND(COUNTA($O68:$U68)&gt;0,U68=""),"التوصيات","")))&gt;0,"✗ ناقص: "&amp;_xlfn.TEXTJOIN("، ",TRUE,IF(E68="","التاريخ",""),IF(F68="","الوقت",""),IF(G68="","المركز",""),IF(H68="","الدائرة",""),IF(I68="","القسم",""),IF(J68="","المسؤول",""),IF(K68="","نوع النشاط",""),IF(L68="","المشروع",""),IF(N68="","الممول",""),IF(V68="","الموضوع",""),IF(W68="","الملاحظة",""),IF(X68="","مشكلة",""),IF(Y68="","الإجراء",""),IF(Z68="","التنفيذ",""),IF(AA68="","الجودة",""),IF(AB68="","الإغلاق",""),IF(AC68="","الخصم",""),IF(AND(COUNTA($O68:$U68)&gt;0,O68=""),"مدير المشروع",""),IF(AND(COUNTA($O68:$U68)&gt;0,P68=""),"المستفيدين",""),IF(AND(COUNTA($O68:$U68)&gt;0,Q68=""),"المناطق",""),IF(AND(COUNTA($O68:$U68)&gt;0,R68=""),"الميزانية",""),IF(AND(COUNTA($O68:$U68)&gt;0,S68=""),"نسبة الجاهزية",""),IF(AND(COUNTA($O68:$U68)&gt;0,T68=""),"حالة الجاهزية",""),IF(AND(COUNTA($O68:$U68)&gt;0,U68=""),"التوصيات","")),"✓"),"✓"))))))))))</f>
        <v>✗ ناقص: الممول</v>
      </c>
      <c r="E68" s="235">
        <v>46138</v>
      </c>
      <c r="F68" s="236">
        <v>0.46527777777777779</v>
      </c>
      <c r="G68" s="90" t="s">
        <v>97</v>
      </c>
      <c r="H68" s="123" t="s">
        <v>101</v>
      </c>
      <c r="I68" s="89" t="s">
        <v>123</v>
      </c>
      <c r="J68" s="142" t="s">
        <v>216</v>
      </c>
      <c r="K68" s="90" t="s">
        <v>116</v>
      </c>
      <c r="L68" s="90" t="s">
        <v>199</v>
      </c>
      <c r="M68" s="90"/>
      <c r="N68" s="89"/>
      <c r="O68" s="200"/>
      <c r="P68" s="201"/>
      <c r="Q68" s="201"/>
      <c r="R68" s="237"/>
      <c r="S68" s="202"/>
      <c r="T68" s="200"/>
      <c r="U68" s="203"/>
      <c r="V68" s="89" t="s">
        <v>784</v>
      </c>
      <c r="W68" s="89" t="s">
        <v>785</v>
      </c>
      <c r="X68" s="145" t="s">
        <v>651</v>
      </c>
      <c r="Y68" s="89" t="s">
        <v>652</v>
      </c>
      <c r="Z68" s="90" t="s">
        <v>130</v>
      </c>
      <c r="AA68" s="90" t="s">
        <v>130</v>
      </c>
      <c r="AB68" s="90" t="s">
        <v>131</v>
      </c>
      <c r="AC68" s="90" t="s">
        <v>132</v>
      </c>
      <c r="AD68" s="91" t="s">
        <v>26</v>
      </c>
      <c r="AE68" s="149">
        <f>IFERROR(VLOOKUP(Z68,LISTS!$AL$2:$AM$1000,2,FALSE()),"")</f>
        <v>100</v>
      </c>
      <c r="AF68" s="151">
        <f>IFERROR(VLOOKUP(AA68,LISTS!$AO$2:$AP$1000,2,FALSE()),"")</f>
        <v>100</v>
      </c>
      <c r="AG68" s="152">
        <f>IFERROR(VLOOKUP(AB68,LISTS!$AR$2:$AS$1000,2,FALSE()),"")</f>
        <v>100</v>
      </c>
      <c r="AH68" s="154">
        <f>IFERROR(VLOOKUP(AC68,LISTS!$AU$2:$AV$1000,2,FALSE()),"")</f>
        <v>0</v>
      </c>
      <c r="AI68" s="238">
        <f t="shared" si="8"/>
        <v>100</v>
      </c>
      <c r="AJ68" s="190" t="str">
        <f t="shared" si="9"/>
        <v>🌟 ممتاز جدًا</v>
      </c>
      <c r="AK68" s="157">
        <f t="shared" si="5"/>
        <v>4</v>
      </c>
      <c r="AL68" s="160">
        <f t="shared" si="6"/>
        <v>2026</v>
      </c>
      <c r="AM68" s="210"/>
      <c r="AN68" s="209"/>
    </row>
    <row r="69" spans="1:40" ht="27.95" customHeight="1">
      <c r="A69" s="134">
        <f>IF(I69&lt;&gt;"",COUNTA($I$2:I69),"")</f>
        <v>68</v>
      </c>
      <c r="B69" s="138" t="str">
        <f t="shared" si="7"/>
        <v>الأحد</v>
      </c>
      <c r="C69" s="93" t="str">
        <f t="array" ref="C69">IF(E69="","",IF(M69&lt;&gt;"",
M69&amp;"/"&amp;SUMPRODUCT((M$2:M69=M69)*1)&amp;" - "&amp;(ROW()-2),
"إداري/"&amp;SUMPRODUCT((M$2:M69="")*1)&amp;" - "&amp;(ROW()-2)))</f>
        <v>إداري/64 - 67</v>
      </c>
      <c r="D69" s="141" t="str">
        <f>IF(AND(G69="",H69="",I69=""),"",IF(COUNTIFS(LISTS!$A$2:$A$67,G69,LISTS!$B$2:$B$67,H69,LISTS!$C$2:$C$67,I69)=0,"✗ هرم",IF(NOT(OR(Z69="ممتاز 100%",Z69="جيد 80%",Z69="مقبول 60%",Z69="خطر 40%",Z69="")),"✗ قائمة R",IF(NOT(OR(AA69="ممتاز 100%",AA69="جيد 85%",AA69="مقبول 70%",AA69="ضعيف 50%",AA69="")),"✗ قائمة S",IF(NOT(OR(AB69="مكتمل 100%",AB69="جزئي 60%",AB69="معلق 30%",AB69="مفتوح 0%",AB69="")),"✗ قائمة T",IF(NOT(OR(AC69="لا خصم 0",AC69="تأخير −5",AC69="عجز −10",AC69="جودة −15",AC69="امتثال −20",AC69="مخالفة −25",AC69="")),"✗ قائمة U",IF(AND(X69="لا",AC69&lt;&gt;"",AC69&lt;&gt;"لا خصم 0"),"✗ خصم",IF(AND(X69="نعم",AC69="لا خصم 0"),"✗ خصم",IF(AND(Z69="ممتاز 100%",AA69="ممتاز 100%",AB69&lt;&gt;"",AB69&lt;&gt;"مكتمل 100%"),"✗ إغلاق",IFERROR(IF(LEN(_xlfn.TEXTJOIN("، ",TRUE,IF(E69="","التاريخ",""),IF(F69="","الوقت",""),IF(G69="","المركز",""),IF(H69="","الدائرة",""),IF(I69="","القسم",""),IF(J69="","المسؤول",""),IF(K69="","نوع النشاط",""),IF(L69="","المشروع",""),IF(N69="","الممول",""),IF(V69="","الموضوع",""),IF(W69="","الملاحظة",""),IF(X69="","مشكلة",""),IF(Y69="","الإجراء",""),IF(Z69="","التنفيذ",""),IF(AA69="","الجودة",""),IF(AB69="","الإغلاق",""),IF(AC69="","الخصم",""),IF(AND(COUNTA($O69:$U69)&gt;0,O69=""),"مدير المشروع",""),IF(AND(COUNTA($O69:$U69)&gt;0,P69=""),"المستفيدين",""),IF(AND(COUNTA($O69:$U69)&gt;0,Q69=""),"المناطق",""),IF(AND(COUNTA($O69:$U69)&gt;0,R69=""),"الميزانية",""),IF(AND(COUNTA($O69:$U69)&gt;0,S69=""),"نسبة الجاهزية",""),IF(AND(COUNTA($O69:$U69)&gt;0,T69=""),"حالة الجاهزية",""),IF(AND(COUNTA($O69:$U69)&gt;0,U69=""),"التوصيات","")))&gt;0,"✗ ناقص: "&amp;_xlfn.TEXTJOIN("، ",TRUE,IF(E69="","التاريخ",""),IF(F69="","الوقت",""),IF(G69="","المركز",""),IF(H69="","الدائرة",""),IF(I69="","القسم",""),IF(J69="","المسؤول",""),IF(K69="","نوع النشاط",""),IF(L69="","المشروع",""),IF(N69="","الممول",""),IF(V69="","الموضوع",""),IF(W69="","الملاحظة",""),IF(X69="","مشكلة",""),IF(Y69="","الإجراء",""),IF(Z69="","التنفيذ",""),IF(AA69="","الجودة",""),IF(AB69="","الإغلاق",""),IF(AC69="","الخصم",""),IF(AND(COUNTA($O69:$U69)&gt;0,O69=""),"مدير المشروع",""),IF(AND(COUNTA($O69:$U69)&gt;0,P69=""),"المستفيدين",""),IF(AND(COUNTA($O69:$U69)&gt;0,Q69=""),"المناطق",""),IF(AND(COUNTA($O69:$U69)&gt;0,R69=""),"الميزانية",""),IF(AND(COUNTA($O69:$U69)&gt;0,S69=""),"نسبة الجاهزية",""),IF(AND(COUNTA($O69:$U69)&gt;0,T69=""),"حالة الجاهزية",""),IF(AND(COUNTA($O69:$U69)&gt;0,U69=""),"التوصيات","")),"✓"),"✓"))))))))))</f>
        <v>✗ ناقص: الممول</v>
      </c>
      <c r="E69" s="235">
        <v>46138</v>
      </c>
      <c r="F69" s="236">
        <v>0.57291666666666663</v>
      </c>
      <c r="G69" s="90" t="s">
        <v>97</v>
      </c>
      <c r="H69" s="123" t="s">
        <v>102</v>
      </c>
      <c r="I69" s="89" t="s">
        <v>124</v>
      </c>
      <c r="J69" s="142" t="s">
        <v>117</v>
      </c>
      <c r="K69" s="90" t="s">
        <v>116</v>
      </c>
      <c r="L69" s="90" t="s">
        <v>324</v>
      </c>
      <c r="M69" s="90"/>
      <c r="N69" s="89"/>
      <c r="O69" s="200"/>
      <c r="P69" s="201"/>
      <c r="Q69" s="201"/>
      <c r="R69" s="237"/>
      <c r="S69" s="202"/>
      <c r="T69" s="200"/>
      <c r="U69" s="203"/>
      <c r="V69" s="89" t="s">
        <v>786</v>
      </c>
      <c r="W69" s="89" t="s">
        <v>787</v>
      </c>
      <c r="X69" s="145" t="s">
        <v>651</v>
      </c>
      <c r="Y69" s="89" t="s">
        <v>652</v>
      </c>
      <c r="Z69" s="90" t="s">
        <v>130</v>
      </c>
      <c r="AA69" s="90" t="s">
        <v>130</v>
      </c>
      <c r="AB69" s="90" t="s">
        <v>131</v>
      </c>
      <c r="AC69" s="90" t="s">
        <v>132</v>
      </c>
      <c r="AD69" s="92" t="s">
        <v>26</v>
      </c>
      <c r="AE69" s="149">
        <f>IFERROR(VLOOKUP(Z69,LISTS!$AL$2:$AM$1000,2,FALSE()),"")</f>
        <v>100</v>
      </c>
      <c r="AF69" s="151">
        <f>IFERROR(VLOOKUP(AA69,LISTS!$AO$2:$AP$1000,2,FALSE()),"")</f>
        <v>100</v>
      </c>
      <c r="AG69" s="152">
        <f>IFERROR(VLOOKUP(AB69,LISTS!$AR$2:$AS$1000,2,FALSE()),"")</f>
        <v>100</v>
      </c>
      <c r="AH69" s="154">
        <f>IFERROR(VLOOKUP(AC69,LISTS!$AU$2:$AV$1000,2,FALSE()),"")</f>
        <v>0</v>
      </c>
      <c r="AI69" s="238">
        <f t="shared" si="8"/>
        <v>100</v>
      </c>
      <c r="AJ69" s="190" t="str">
        <f t="shared" si="9"/>
        <v>🌟 ممتاز جدًا</v>
      </c>
      <c r="AK69" s="157">
        <f t="shared" si="5"/>
        <v>4</v>
      </c>
      <c r="AL69" s="160">
        <f t="shared" si="6"/>
        <v>2026</v>
      </c>
      <c r="AM69" s="210"/>
      <c r="AN69" s="209"/>
    </row>
    <row r="70" spans="1:40" ht="27.95" customHeight="1">
      <c r="A70" s="134">
        <f>IF(I70&lt;&gt;"",COUNTA($I$2:I70),"")</f>
        <v>69</v>
      </c>
      <c r="B70" s="138" t="str">
        <f t="shared" si="7"/>
        <v>الأحد</v>
      </c>
      <c r="C70" s="93" t="str">
        <f t="array" ref="C70">IF(E70="","",IF(M70&lt;&gt;"",
M70&amp;"/"&amp;SUMPRODUCT((M$2:M70=M70)*1)&amp;" - "&amp;(ROW()-2),
"إداري/"&amp;SUMPRODUCT((M$2:M70="")*1)&amp;" - "&amp;(ROW()-2)))</f>
        <v>إداري/65 - 68</v>
      </c>
      <c r="D70" s="141" t="str">
        <f>IF(AND(G70="",H70="",I70=""),"",IF(COUNTIFS(LISTS!$A$2:$A$67,G70,LISTS!$B$2:$B$67,H70,LISTS!$C$2:$C$67,I70)=0,"✗ هرم",IF(NOT(OR(Z70="ممتاز 100%",Z70="جيد 80%",Z70="مقبول 60%",Z70="خطر 40%",Z70="")),"✗ قائمة R",IF(NOT(OR(AA70="ممتاز 100%",AA70="جيد 85%",AA70="مقبول 70%",AA70="ضعيف 50%",AA70="")),"✗ قائمة S",IF(NOT(OR(AB70="مكتمل 100%",AB70="جزئي 60%",AB70="معلق 30%",AB70="مفتوح 0%",AB70="")),"✗ قائمة T",IF(NOT(OR(AC70="لا خصم 0",AC70="تأخير −5",AC70="عجز −10",AC70="جودة −15",AC70="امتثال −20",AC70="مخالفة −25",AC70="")),"✗ قائمة U",IF(AND(X70="لا",AC70&lt;&gt;"",AC70&lt;&gt;"لا خصم 0"),"✗ خصم",IF(AND(X70="نعم",AC70="لا خصم 0"),"✗ خصم",IF(AND(Z70="ممتاز 100%",AA70="ممتاز 100%",AB70&lt;&gt;"",AB70&lt;&gt;"مكتمل 100%"),"✗ إغلاق",IFERROR(IF(LEN(_xlfn.TEXTJOIN("، ",TRUE,IF(E70="","التاريخ",""),IF(F70="","الوقت",""),IF(G70="","المركز",""),IF(H70="","الدائرة",""),IF(I70="","القسم",""),IF(J70="","المسؤول",""),IF(K70="","نوع النشاط",""),IF(L70="","المشروع",""),IF(N70="","الممول",""),IF(V70="","الموضوع",""),IF(W70="","الملاحظة",""),IF(X70="","مشكلة",""),IF(Y70="","الإجراء",""),IF(Z70="","التنفيذ",""),IF(AA70="","الجودة",""),IF(AB70="","الإغلاق",""),IF(AC70="","الخصم",""),IF(AND(COUNTA($O70:$U70)&gt;0,O70=""),"مدير المشروع",""),IF(AND(COUNTA($O70:$U70)&gt;0,P70=""),"المستفيدين",""),IF(AND(COUNTA($O70:$U70)&gt;0,Q70=""),"المناطق",""),IF(AND(COUNTA($O70:$U70)&gt;0,R70=""),"الميزانية",""),IF(AND(COUNTA($O70:$U70)&gt;0,S70=""),"نسبة الجاهزية",""),IF(AND(COUNTA($O70:$U70)&gt;0,T70=""),"حالة الجاهزية",""),IF(AND(COUNTA($O70:$U70)&gt;0,U70=""),"التوصيات","")))&gt;0,"✗ ناقص: "&amp;_xlfn.TEXTJOIN("، ",TRUE,IF(E70="","التاريخ",""),IF(F70="","الوقت",""),IF(G70="","المركز",""),IF(H70="","الدائرة",""),IF(I70="","القسم",""),IF(J70="","المسؤول",""),IF(K70="","نوع النشاط",""),IF(L70="","المشروع",""),IF(N70="","الممول",""),IF(V70="","الموضوع",""),IF(W70="","الملاحظة",""),IF(X70="","مشكلة",""),IF(Y70="","الإجراء",""),IF(Z70="","التنفيذ",""),IF(AA70="","الجودة",""),IF(AB70="","الإغلاق",""),IF(AC70="","الخصم",""),IF(AND(COUNTA($O70:$U70)&gt;0,O70=""),"مدير المشروع",""),IF(AND(COUNTA($O70:$U70)&gt;0,P70=""),"المستفيدين",""),IF(AND(COUNTA($O70:$U70)&gt;0,Q70=""),"المناطق",""),IF(AND(COUNTA($O70:$U70)&gt;0,R70=""),"الميزانية",""),IF(AND(COUNTA($O70:$U70)&gt;0,S70=""),"نسبة الجاهزية",""),IF(AND(COUNTA($O70:$U70)&gt;0,T70=""),"حالة الجاهزية",""),IF(AND(COUNTA($O70:$U70)&gt;0,U70=""),"التوصيات","")),"✓"),"✓"))))))))))</f>
        <v>✓</v>
      </c>
      <c r="E70" s="235">
        <v>46138</v>
      </c>
      <c r="F70" s="236">
        <v>0.47916666666666669</v>
      </c>
      <c r="G70" s="90" t="s">
        <v>97</v>
      </c>
      <c r="H70" s="123" t="s">
        <v>102</v>
      </c>
      <c r="I70" s="89" t="s">
        <v>124</v>
      </c>
      <c r="J70" s="142" t="s">
        <v>117</v>
      </c>
      <c r="K70" s="90" t="s">
        <v>116</v>
      </c>
      <c r="L70" s="90" t="s">
        <v>369</v>
      </c>
      <c r="M70" s="90"/>
      <c r="N70" s="89" t="s">
        <v>655</v>
      </c>
      <c r="O70" s="200"/>
      <c r="P70" s="201"/>
      <c r="Q70" s="201"/>
      <c r="R70" s="237"/>
      <c r="S70" s="202"/>
      <c r="T70" s="200"/>
      <c r="U70" s="203"/>
      <c r="V70" s="89" t="s">
        <v>788</v>
      </c>
      <c r="W70" s="89" t="s">
        <v>789</v>
      </c>
      <c r="X70" s="145" t="s">
        <v>651</v>
      </c>
      <c r="Y70" s="89" t="s">
        <v>652</v>
      </c>
      <c r="Z70" s="90" t="s">
        <v>130</v>
      </c>
      <c r="AA70" s="90" t="s">
        <v>130</v>
      </c>
      <c r="AB70" s="90" t="s">
        <v>131</v>
      </c>
      <c r="AC70" s="90" t="s">
        <v>132</v>
      </c>
      <c r="AD70" s="91" t="s">
        <v>26</v>
      </c>
      <c r="AE70" s="149">
        <f>IFERROR(VLOOKUP(Z70,LISTS!$AL$2:$AM$1000,2,FALSE()),"")</f>
        <v>100</v>
      </c>
      <c r="AF70" s="151">
        <f>IFERROR(VLOOKUP(AA70,LISTS!$AO$2:$AP$1000,2,FALSE()),"")</f>
        <v>100</v>
      </c>
      <c r="AG70" s="152">
        <f>IFERROR(VLOOKUP(AB70,LISTS!$AR$2:$AS$1000,2,FALSE()),"")</f>
        <v>100</v>
      </c>
      <c r="AH70" s="154">
        <f>IFERROR(VLOOKUP(AC70,LISTS!$AU$2:$AV$1000,2,FALSE()),"")</f>
        <v>0</v>
      </c>
      <c r="AI70" s="238">
        <f t="shared" si="8"/>
        <v>100</v>
      </c>
      <c r="AJ70" s="190" t="str">
        <f t="shared" si="9"/>
        <v>🌟 ممتاز جدًا</v>
      </c>
      <c r="AK70" s="157">
        <f t="shared" si="5"/>
        <v>4</v>
      </c>
      <c r="AL70" s="160">
        <f t="shared" si="6"/>
        <v>2026</v>
      </c>
      <c r="AM70" s="210"/>
      <c r="AN70" s="209"/>
    </row>
    <row r="71" spans="1:40" ht="27.95" customHeight="1">
      <c r="A71" s="134">
        <f>IF(I71&lt;&gt;"",COUNTA($I$2:I71),"")</f>
        <v>70</v>
      </c>
      <c r="B71" s="138" t="str">
        <f t="shared" si="7"/>
        <v>الاثنين</v>
      </c>
      <c r="C71" s="93" t="str">
        <f t="array" ref="C71">IF(E71="","",IF(M71&lt;&gt;"",
M71&amp;"/"&amp;SUMPRODUCT((M$2:M71=M71)*1)&amp;" - "&amp;(ROW()-2),
"إداري/"&amp;SUMPRODUCT((M$2:M71="")*1)&amp;" - "&amp;(ROW()-2)))</f>
        <v>إداري/66 - 69</v>
      </c>
      <c r="D71" s="141" t="str">
        <f>IF(AND(G71="",H71="",I71=""),"",IF(COUNTIFS(LISTS!$A$2:$A$67,G71,LISTS!$B$2:$B$67,H71,LISTS!$C$2:$C$67,I71)=0,"✗ هرم",IF(NOT(OR(Z71="ممتاز 100%",Z71="جيد 80%",Z71="مقبول 60%",Z71="خطر 40%",Z71="")),"✗ قائمة R",IF(NOT(OR(AA71="ممتاز 100%",AA71="جيد 85%",AA71="مقبول 70%",AA71="ضعيف 50%",AA71="")),"✗ قائمة S",IF(NOT(OR(AB71="مكتمل 100%",AB71="جزئي 60%",AB71="معلق 30%",AB71="مفتوح 0%",AB71="")),"✗ قائمة T",IF(NOT(OR(AC71="لا خصم 0",AC71="تأخير −5",AC71="عجز −10",AC71="جودة −15",AC71="امتثال −20",AC71="مخالفة −25",AC71="")),"✗ قائمة U",IF(AND(X71="لا",AC71&lt;&gt;"",AC71&lt;&gt;"لا خصم 0"),"✗ خصم",IF(AND(X71="نعم",AC71="لا خصم 0"),"✗ خصم",IF(AND(Z71="ممتاز 100%",AA71="ممتاز 100%",AB71&lt;&gt;"",AB71&lt;&gt;"مكتمل 100%"),"✗ إغلاق",IFERROR(IF(LEN(_xlfn.TEXTJOIN("، ",TRUE,IF(E71="","التاريخ",""),IF(F71="","الوقت",""),IF(G71="","المركز",""),IF(H71="","الدائرة",""),IF(I71="","القسم",""),IF(J71="","المسؤول",""),IF(K71="","نوع النشاط",""),IF(L71="","المشروع",""),IF(N71="","الممول",""),IF(V71="","الموضوع",""),IF(W71="","الملاحظة",""),IF(X71="","مشكلة",""),IF(Y71="","الإجراء",""),IF(Z71="","التنفيذ",""),IF(AA71="","الجودة",""),IF(AB71="","الإغلاق",""),IF(AC71="","الخصم",""),IF(AND(COUNTA($O71:$U71)&gt;0,O71=""),"مدير المشروع",""),IF(AND(COUNTA($O71:$U71)&gt;0,P71=""),"المستفيدين",""),IF(AND(COUNTA($O71:$U71)&gt;0,Q71=""),"المناطق",""),IF(AND(COUNTA($O71:$U71)&gt;0,R71=""),"الميزانية",""),IF(AND(COUNTA($O71:$U71)&gt;0,S71=""),"نسبة الجاهزية",""),IF(AND(COUNTA($O71:$U71)&gt;0,T71=""),"حالة الجاهزية",""),IF(AND(COUNTA($O71:$U71)&gt;0,U71=""),"التوصيات","")))&gt;0,"✗ ناقص: "&amp;_xlfn.TEXTJOIN("، ",TRUE,IF(E71="","التاريخ",""),IF(F71="","الوقت",""),IF(G71="","المركز",""),IF(H71="","الدائرة",""),IF(I71="","القسم",""),IF(J71="","المسؤول",""),IF(K71="","نوع النشاط",""),IF(L71="","المشروع",""),IF(N71="","الممول",""),IF(V71="","الموضوع",""),IF(W71="","الملاحظة",""),IF(X71="","مشكلة",""),IF(Y71="","الإجراء",""),IF(Z71="","التنفيذ",""),IF(AA71="","الجودة",""),IF(AB71="","الإغلاق",""),IF(AC71="","الخصم",""),IF(AND(COUNTA($O71:$U71)&gt;0,O71=""),"مدير المشروع",""),IF(AND(COUNTA($O71:$U71)&gt;0,P71=""),"المستفيدين",""),IF(AND(COUNTA($O71:$U71)&gt;0,Q71=""),"المناطق",""),IF(AND(COUNTA($O71:$U71)&gt;0,R71=""),"الميزانية",""),IF(AND(COUNTA($O71:$U71)&gt;0,S71=""),"نسبة الجاهزية",""),IF(AND(COUNTA($O71:$U71)&gt;0,T71=""),"حالة الجاهزية",""),IF(AND(COUNTA($O71:$U71)&gt;0,U71=""),"التوصيات","")),"✓"),"✓"))))))))))</f>
        <v>✓</v>
      </c>
      <c r="E71" s="235">
        <v>46139</v>
      </c>
      <c r="F71" s="236">
        <v>0.4513888888888889</v>
      </c>
      <c r="G71" s="90" t="s">
        <v>97</v>
      </c>
      <c r="H71" s="123" t="s">
        <v>102</v>
      </c>
      <c r="I71" s="89" t="s">
        <v>124</v>
      </c>
      <c r="J71" s="142" t="s">
        <v>117</v>
      </c>
      <c r="K71" s="90" t="s">
        <v>116</v>
      </c>
      <c r="L71" s="90" t="s">
        <v>369</v>
      </c>
      <c r="M71" s="90"/>
      <c r="N71" s="89" t="s">
        <v>655</v>
      </c>
      <c r="O71" s="200"/>
      <c r="P71" s="201"/>
      <c r="Q71" s="201"/>
      <c r="R71" s="237"/>
      <c r="S71" s="202"/>
      <c r="T71" s="200"/>
      <c r="U71" s="203"/>
      <c r="V71" s="89" t="s">
        <v>790</v>
      </c>
      <c r="W71" s="89" t="s">
        <v>791</v>
      </c>
      <c r="X71" s="145" t="s">
        <v>651</v>
      </c>
      <c r="Y71" s="89" t="s">
        <v>652</v>
      </c>
      <c r="Z71" s="90" t="s">
        <v>130</v>
      </c>
      <c r="AA71" s="90" t="s">
        <v>130</v>
      </c>
      <c r="AB71" s="90" t="s">
        <v>131</v>
      </c>
      <c r="AC71" s="90" t="s">
        <v>132</v>
      </c>
      <c r="AD71" s="92" t="s">
        <v>26</v>
      </c>
      <c r="AE71" s="149">
        <f>IFERROR(VLOOKUP(Z71,LISTS!$AL$2:$AM$1000,2,FALSE()),"")</f>
        <v>100</v>
      </c>
      <c r="AF71" s="151">
        <f>IFERROR(VLOOKUP(AA71,LISTS!$AO$2:$AP$1000,2,FALSE()),"")</f>
        <v>100</v>
      </c>
      <c r="AG71" s="152">
        <f>IFERROR(VLOOKUP(AB71,LISTS!$AR$2:$AS$1000,2,FALSE()),"")</f>
        <v>100</v>
      </c>
      <c r="AH71" s="154">
        <f>IFERROR(VLOOKUP(AC71,LISTS!$AU$2:$AV$1000,2,FALSE()),"")</f>
        <v>0</v>
      </c>
      <c r="AI71" s="238">
        <f t="shared" si="8"/>
        <v>100</v>
      </c>
      <c r="AJ71" s="190" t="str">
        <f t="shared" si="9"/>
        <v>🌟 ممتاز جدًا</v>
      </c>
      <c r="AK71" s="157">
        <f t="shared" si="5"/>
        <v>4</v>
      </c>
      <c r="AL71" s="160">
        <f t="shared" si="6"/>
        <v>2026</v>
      </c>
      <c r="AM71" s="210"/>
      <c r="AN71" s="209"/>
    </row>
    <row r="72" spans="1:40" ht="27.95" customHeight="1">
      <c r="A72" s="134">
        <f>IF(I72&lt;&gt;"",COUNTA($I$2:I72),"")</f>
        <v>71</v>
      </c>
      <c r="B72" s="138" t="str">
        <f t="shared" si="7"/>
        <v>الاثنين</v>
      </c>
      <c r="C72" s="93" t="str">
        <f t="array" ref="C72">IF(E72="","",IF(M72&lt;&gt;"",
M72&amp;"/"&amp;SUMPRODUCT((M$2:M72=M72)*1)&amp;" - "&amp;(ROW()-2),
"إداري/"&amp;SUMPRODUCT((M$2:M72="")*1)&amp;" - "&amp;(ROW()-2)))</f>
        <v>إداري/67 - 70</v>
      </c>
      <c r="D72" s="141" t="str">
        <f>IF(AND(G72="",H72="",I72=""),"",IF(COUNTIFS(LISTS!$A$2:$A$67,G72,LISTS!$B$2:$B$67,H72,LISTS!$C$2:$C$67,I72)=0,"✗ هرم",IF(NOT(OR(Z72="ممتاز 100%",Z72="جيد 80%",Z72="مقبول 60%",Z72="خطر 40%",Z72="")),"✗ قائمة R",IF(NOT(OR(AA72="ممتاز 100%",AA72="جيد 85%",AA72="مقبول 70%",AA72="ضعيف 50%",AA72="")),"✗ قائمة S",IF(NOT(OR(AB72="مكتمل 100%",AB72="جزئي 60%",AB72="معلق 30%",AB72="مفتوح 0%",AB72="")),"✗ قائمة T",IF(NOT(OR(AC72="لا خصم 0",AC72="تأخير −5",AC72="عجز −10",AC72="جودة −15",AC72="امتثال −20",AC72="مخالفة −25",AC72="")),"✗ قائمة U",IF(AND(X72="لا",AC72&lt;&gt;"",AC72&lt;&gt;"لا خصم 0"),"✗ خصم",IF(AND(X72="نعم",AC72="لا خصم 0"),"✗ خصم",IF(AND(Z72="ممتاز 100%",AA72="ممتاز 100%",AB72&lt;&gt;"",AB72&lt;&gt;"مكتمل 100%"),"✗ إغلاق",IFERROR(IF(LEN(_xlfn.TEXTJOIN("، ",TRUE,IF(E72="","التاريخ",""),IF(F72="","الوقت",""),IF(G72="","المركز",""),IF(H72="","الدائرة",""),IF(I72="","القسم",""),IF(J72="","المسؤول",""),IF(K72="","نوع النشاط",""),IF(L72="","المشروع",""),IF(N72="","الممول",""),IF(V72="","الموضوع",""),IF(W72="","الملاحظة",""),IF(X72="","مشكلة",""),IF(Y72="","الإجراء",""),IF(Z72="","التنفيذ",""),IF(AA72="","الجودة",""),IF(AB72="","الإغلاق",""),IF(AC72="","الخصم",""),IF(AND(COUNTA($O72:$U72)&gt;0,O72=""),"مدير المشروع",""),IF(AND(COUNTA($O72:$U72)&gt;0,P72=""),"المستفيدين",""),IF(AND(COUNTA($O72:$U72)&gt;0,Q72=""),"المناطق",""),IF(AND(COUNTA($O72:$U72)&gt;0,R72=""),"الميزانية",""),IF(AND(COUNTA($O72:$U72)&gt;0,S72=""),"نسبة الجاهزية",""),IF(AND(COUNTA($O72:$U72)&gt;0,T72=""),"حالة الجاهزية",""),IF(AND(COUNTA($O72:$U72)&gt;0,U72=""),"التوصيات","")))&gt;0,"✗ ناقص: "&amp;_xlfn.TEXTJOIN("، ",TRUE,IF(E72="","التاريخ",""),IF(F72="","الوقت",""),IF(G72="","المركز",""),IF(H72="","الدائرة",""),IF(I72="","القسم",""),IF(J72="","المسؤول",""),IF(K72="","نوع النشاط",""),IF(L72="","المشروع",""),IF(N72="","الممول",""),IF(V72="","الموضوع",""),IF(W72="","الملاحظة",""),IF(X72="","مشكلة",""),IF(Y72="","الإجراء",""),IF(Z72="","التنفيذ",""),IF(AA72="","الجودة",""),IF(AB72="","الإغلاق",""),IF(AC72="","الخصم",""),IF(AND(COUNTA($O72:$U72)&gt;0,O72=""),"مدير المشروع",""),IF(AND(COUNTA($O72:$U72)&gt;0,P72=""),"المستفيدين",""),IF(AND(COUNTA($O72:$U72)&gt;0,Q72=""),"المناطق",""),IF(AND(COUNTA($O72:$U72)&gt;0,R72=""),"الميزانية",""),IF(AND(COUNTA($O72:$U72)&gt;0,S72=""),"نسبة الجاهزية",""),IF(AND(COUNTA($O72:$U72)&gt;0,T72=""),"حالة الجاهزية",""),IF(AND(COUNTA($O72:$U72)&gt;0,U72=""),"التوصيات","")),"✓"),"✓"))))))))))</f>
        <v>✗ ناقص: المسؤول</v>
      </c>
      <c r="E72" s="235">
        <v>46139</v>
      </c>
      <c r="F72" s="236">
        <v>0.5625</v>
      </c>
      <c r="G72" s="90" t="s">
        <v>97</v>
      </c>
      <c r="H72" s="123" t="s">
        <v>102</v>
      </c>
      <c r="I72" s="89" t="s">
        <v>142</v>
      </c>
      <c r="J72" s="142"/>
      <c r="K72" s="90" t="s">
        <v>116</v>
      </c>
      <c r="L72" s="90" t="s">
        <v>118</v>
      </c>
      <c r="M72" s="90"/>
      <c r="N72" s="89" t="s">
        <v>120</v>
      </c>
      <c r="O72" s="200"/>
      <c r="P72" s="201"/>
      <c r="Q72" s="201"/>
      <c r="R72" s="237"/>
      <c r="S72" s="202"/>
      <c r="T72" s="200"/>
      <c r="U72" s="203"/>
      <c r="V72" s="89" t="s">
        <v>792</v>
      </c>
      <c r="W72" s="89" t="s">
        <v>793</v>
      </c>
      <c r="X72" s="145" t="s">
        <v>651</v>
      </c>
      <c r="Y72" s="89" t="s">
        <v>652</v>
      </c>
      <c r="Z72" s="90" t="s">
        <v>130</v>
      </c>
      <c r="AA72" s="90" t="s">
        <v>130</v>
      </c>
      <c r="AB72" s="90" t="s">
        <v>131</v>
      </c>
      <c r="AC72" s="90" t="s">
        <v>132</v>
      </c>
      <c r="AD72" s="91" t="s">
        <v>26</v>
      </c>
      <c r="AE72" s="149">
        <f>IFERROR(VLOOKUP(Z72,LISTS!$AL$2:$AM$1000,2,FALSE()),"")</f>
        <v>100</v>
      </c>
      <c r="AF72" s="151">
        <f>IFERROR(VLOOKUP(AA72,LISTS!$AO$2:$AP$1000,2,FALSE()),"")</f>
        <v>100</v>
      </c>
      <c r="AG72" s="152">
        <f>IFERROR(VLOOKUP(AB72,LISTS!$AR$2:$AS$1000,2,FALSE()),"")</f>
        <v>100</v>
      </c>
      <c r="AH72" s="154">
        <f>IFERROR(VLOOKUP(AC72,LISTS!$AU$2:$AV$1000,2,FALSE()),"")</f>
        <v>0</v>
      </c>
      <c r="AI72" s="238">
        <f t="shared" si="8"/>
        <v>100</v>
      </c>
      <c r="AJ72" s="190" t="str">
        <f t="shared" si="9"/>
        <v>🌟 ممتاز جدًا</v>
      </c>
      <c r="AK72" s="157">
        <f t="shared" si="5"/>
        <v>4</v>
      </c>
      <c r="AL72" s="160">
        <f t="shared" si="6"/>
        <v>2026</v>
      </c>
      <c r="AM72" s="210"/>
      <c r="AN72" s="209"/>
    </row>
    <row r="73" spans="1:40" ht="27.95" customHeight="1">
      <c r="A73" s="134">
        <f>IF(I73&lt;&gt;"",COUNTA($I$2:I73),"")</f>
        <v>72</v>
      </c>
      <c r="B73" s="138" t="str">
        <f t="shared" si="7"/>
        <v>الاثنين</v>
      </c>
      <c r="C73" s="93" t="str">
        <f t="array" ref="C73">IF(E73="","",IF(M73&lt;&gt;"",
M73&amp;"/"&amp;SUMPRODUCT((M$2:M73=M73)*1)&amp;" - "&amp;(ROW()-2),
"إداري/"&amp;SUMPRODUCT((M$2:M73="")*1)&amp;" - "&amp;(ROW()-2)))</f>
        <v>إداري/68 - 71</v>
      </c>
      <c r="D73" s="141" t="str">
        <f>IF(AND(G73="",H73="",I73=""),"",IF(COUNTIFS(LISTS!$A$2:$A$67,G73,LISTS!$B$2:$B$67,H73,LISTS!$C$2:$C$67,I73)=0,"✗ هرم",IF(NOT(OR(Z73="ممتاز 100%",Z73="جيد 80%",Z73="مقبول 60%",Z73="خطر 40%",Z73="")),"✗ قائمة R",IF(NOT(OR(AA73="ممتاز 100%",AA73="جيد 85%",AA73="مقبول 70%",AA73="ضعيف 50%",AA73="")),"✗ قائمة S",IF(NOT(OR(AB73="مكتمل 100%",AB73="جزئي 60%",AB73="معلق 30%",AB73="مفتوح 0%",AB73="")),"✗ قائمة T",IF(NOT(OR(AC73="لا خصم 0",AC73="تأخير −5",AC73="عجز −10",AC73="جودة −15",AC73="امتثال −20",AC73="مخالفة −25",AC73="")),"✗ قائمة U",IF(AND(X73="لا",AC73&lt;&gt;"",AC73&lt;&gt;"لا خصم 0"),"✗ خصم",IF(AND(X73="نعم",AC73="لا خصم 0"),"✗ خصم",IF(AND(Z73="ممتاز 100%",AA73="ممتاز 100%",AB73&lt;&gt;"",AB73&lt;&gt;"مكتمل 100%"),"✗ إغلاق",IFERROR(IF(LEN(_xlfn.TEXTJOIN("، ",TRUE,IF(E73="","التاريخ",""),IF(F73="","الوقت",""),IF(G73="","المركز",""),IF(H73="","الدائرة",""),IF(I73="","القسم",""),IF(J73="","المسؤول",""),IF(K73="","نوع النشاط",""),IF(L73="","المشروع",""),IF(N73="","الممول",""),IF(V73="","الموضوع",""),IF(W73="","الملاحظة",""),IF(X73="","مشكلة",""),IF(Y73="","الإجراء",""),IF(Z73="","التنفيذ",""),IF(AA73="","الجودة",""),IF(AB73="","الإغلاق",""),IF(AC73="","الخصم",""),IF(AND(COUNTA($O73:$U73)&gt;0,O73=""),"مدير المشروع",""),IF(AND(COUNTA($O73:$U73)&gt;0,P73=""),"المستفيدين",""),IF(AND(COUNTA($O73:$U73)&gt;0,Q73=""),"المناطق",""),IF(AND(COUNTA($O73:$U73)&gt;0,R73=""),"الميزانية",""),IF(AND(COUNTA($O73:$U73)&gt;0,S73=""),"نسبة الجاهزية",""),IF(AND(COUNTA($O73:$U73)&gt;0,T73=""),"حالة الجاهزية",""),IF(AND(COUNTA($O73:$U73)&gt;0,U73=""),"التوصيات","")))&gt;0,"✗ ناقص: "&amp;_xlfn.TEXTJOIN("، ",TRUE,IF(E73="","التاريخ",""),IF(F73="","الوقت",""),IF(G73="","المركز",""),IF(H73="","الدائرة",""),IF(I73="","القسم",""),IF(J73="","المسؤول",""),IF(K73="","نوع النشاط",""),IF(L73="","المشروع",""),IF(N73="","الممول",""),IF(V73="","الموضوع",""),IF(W73="","الملاحظة",""),IF(X73="","مشكلة",""),IF(Y73="","الإجراء",""),IF(Z73="","التنفيذ",""),IF(AA73="","الجودة",""),IF(AB73="","الإغلاق",""),IF(AC73="","الخصم",""),IF(AND(COUNTA($O73:$U73)&gt;0,O73=""),"مدير المشروع",""),IF(AND(COUNTA($O73:$U73)&gt;0,P73=""),"المستفيدين",""),IF(AND(COUNTA($O73:$U73)&gt;0,Q73=""),"المناطق",""),IF(AND(COUNTA($O73:$U73)&gt;0,R73=""),"الميزانية",""),IF(AND(COUNTA($O73:$U73)&gt;0,S73=""),"نسبة الجاهزية",""),IF(AND(COUNTA($O73:$U73)&gt;0,T73=""),"حالة الجاهزية",""),IF(AND(COUNTA($O73:$U73)&gt;0,U73=""),"التوصيات","")),"✓"),"✓"))))))))))</f>
        <v>✓</v>
      </c>
      <c r="E73" s="235">
        <v>46139</v>
      </c>
      <c r="F73" s="236">
        <v>0.52083333333333337</v>
      </c>
      <c r="G73" s="90" t="s">
        <v>97</v>
      </c>
      <c r="H73" s="123" t="s">
        <v>102</v>
      </c>
      <c r="I73" s="89" t="s">
        <v>124</v>
      </c>
      <c r="J73" s="142" t="s">
        <v>117</v>
      </c>
      <c r="K73" s="90" t="s">
        <v>116</v>
      </c>
      <c r="L73" s="90" t="s">
        <v>118</v>
      </c>
      <c r="M73" s="90"/>
      <c r="N73" s="89" t="s">
        <v>120</v>
      </c>
      <c r="O73" s="200"/>
      <c r="P73" s="201"/>
      <c r="Q73" s="201"/>
      <c r="R73" s="237"/>
      <c r="S73" s="202"/>
      <c r="T73" s="200"/>
      <c r="U73" s="203"/>
      <c r="V73" s="89" t="s">
        <v>794</v>
      </c>
      <c r="W73" s="89" t="s">
        <v>795</v>
      </c>
      <c r="X73" s="145" t="s">
        <v>651</v>
      </c>
      <c r="Y73" s="89" t="s">
        <v>652</v>
      </c>
      <c r="Z73" s="90" t="s">
        <v>130</v>
      </c>
      <c r="AA73" s="90" t="s">
        <v>130</v>
      </c>
      <c r="AB73" s="90" t="s">
        <v>131</v>
      </c>
      <c r="AC73" s="90" t="s">
        <v>132</v>
      </c>
      <c r="AD73" s="92" t="s">
        <v>26</v>
      </c>
      <c r="AE73" s="149">
        <f>IFERROR(VLOOKUP(Z73,LISTS!$AL$2:$AM$1000,2,FALSE()),"")</f>
        <v>100</v>
      </c>
      <c r="AF73" s="151">
        <f>IFERROR(VLOOKUP(AA73,LISTS!$AO$2:$AP$1000,2,FALSE()),"")</f>
        <v>100</v>
      </c>
      <c r="AG73" s="152">
        <f>IFERROR(VLOOKUP(AB73,LISTS!$AR$2:$AS$1000,2,FALSE()),"")</f>
        <v>100</v>
      </c>
      <c r="AH73" s="154">
        <f>IFERROR(VLOOKUP(AC73,LISTS!$AU$2:$AV$1000,2,FALSE()),"")</f>
        <v>0</v>
      </c>
      <c r="AI73" s="238">
        <f t="shared" si="8"/>
        <v>100</v>
      </c>
      <c r="AJ73" s="190" t="str">
        <f t="shared" si="9"/>
        <v>🌟 ممتاز جدًا</v>
      </c>
      <c r="AK73" s="157">
        <f t="shared" si="5"/>
        <v>4</v>
      </c>
      <c r="AL73" s="160">
        <f t="shared" si="6"/>
        <v>2026</v>
      </c>
      <c r="AM73" s="210"/>
      <c r="AN73" s="209"/>
    </row>
    <row r="74" spans="1:40" ht="27.95" customHeight="1">
      <c r="A74" s="134">
        <f>IF(I74&lt;&gt;"",COUNTA($I$2:I74),"")</f>
        <v>73</v>
      </c>
      <c r="B74" s="138" t="str">
        <f t="shared" si="7"/>
        <v>الاثنين</v>
      </c>
      <c r="C74" s="93" t="str">
        <f t="array" ref="C74">IF(E74="","",IF(M74&lt;&gt;"",
M74&amp;"/"&amp;SUMPRODUCT((M$2:M74=M74)*1)&amp;" - "&amp;(ROW()-2),
"إداري/"&amp;SUMPRODUCT((M$2:M74="")*1)&amp;" - "&amp;(ROW()-2)))</f>
        <v>إداري/69 - 72</v>
      </c>
      <c r="D74" s="141" t="str">
        <f>IF(AND(G74="",H74="",I74=""),"",IF(COUNTIFS(LISTS!$A$2:$A$67,G74,LISTS!$B$2:$B$67,H74,LISTS!$C$2:$C$67,I74)=0,"✗ هرم",IF(NOT(OR(Z74="ممتاز 100%",Z74="جيد 80%",Z74="مقبول 60%",Z74="خطر 40%",Z74="")),"✗ قائمة R",IF(NOT(OR(AA74="ممتاز 100%",AA74="جيد 85%",AA74="مقبول 70%",AA74="ضعيف 50%",AA74="")),"✗ قائمة S",IF(NOT(OR(AB74="مكتمل 100%",AB74="جزئي 60%",AB74="معلق 30%",AB74="مفتوح 0%",AB74="")),"✗ قائمة T",IF(NOT(OR(AC74="لا خصم 0",AC74="تأخير −5",AC74="عجز −10",AC74="جودة −15",AC74="امتثال −20",AC74="مخالفة −25",AC74="")),"✗ قائمة U",IF(AND(X74="لا",AC74&lt;&gt;"",AC74&lt;&gt;"لا خصم 0"),"✗ خصم",IF(AND(X74="نعم",AC74="لا خصم 0"),"✗ خصم",IF(AND(Z74="ممتاز 100%",AA74="ممتاز 100%",AB74&lt;&gt;"",AB74&lt;&gt;"مكتمل 100%"),"✗ إغلاق",IFERROR(IF(LEN(_xlfn.TEXTJOIN("، ",TRUE,IF(E74="","التاريخ",""),IF(F74="","الوقت",""),IF(G74="","المركز",""),IF(H74="","الدائرة",""),IF(I74="","القسم",""),IF(J74="","المسؤول",""),IF(K74="","نوع النشاط",""),IF(L74="","المشروع",""),IF(N74="","الممول",""),IF(V74="","الموضوع",""),IF(W74="","الملاحظة",""),IF(X74="","مشكلة",""),IF(Y74="","الإجراء",""),IF(Z74="","التنفيذ",""),IF(AA74="","الجودة",""),IF(AB74="","الإغلاق",""),IF(AC74="","الخصم",""),IF(AND(COUNTA($O74:$U74)&gt;0,O74=""),"مدير المشروع",""),IF(AND(COUNTA($O74:$U74)&gt;0,P74=""),"المستفيدين",""),IF(AND(COUNTA($O74:$U74)&gt;0,Q74=""),"المناطق",""),IF(AND(COUNTA($O74:$U74)&gt;0,R74=""),"الميزانية",""),IF(AND(COUNTA($O74:$U74)&gt;0,S74=""),"نسبة الجاهزية",""),IF(AND(COUNTA($O74:$U74)&gt;0,T74=""),"حالة الجاهزية",""),IF(AND(COUNTA($O74:$U74)&gt;0,U74=""),"التوصيات","")))&gt;0,"✗ ناقص: "&amp;_xlfn.TEXTJOIN("، ",TRUE,IF(E74="","التاريخ",""),IF(F74="","الوقت",""),IF(G74="","المركز",""),IF(H74="","الدائرة",""),IF(I74="","القسم",""),IF(J74="","المسؤول",""),IF(K74="","نوع النشاط",""),IF(L74="","المشروع",""),IF(N74="","الممول",""),IF(V74="","الموضوع",""),IF(W74="","الملاحظة",""),IF(X74="","مشكلة",""),IF(Y74="","الإجراء",""),IF(Z74="","التنفيذ",""),IF(AA74="","الجودة",""),IF(AB74="","الإغلاق",""),IF(AC74="","الخصم",""),IF(AND(COUNTA($O74:$U74)&gt;0,O74=""),"مدير المشروع",""),IF(AND(COUNTA($O74:$U74)&gt;0,P74=""),"المستفيدين",""),IF(AND(COUNTA($O74:$U74)&gt;0,Q74=""),"المناطق",""),IF(AND(COUNTA($O74:$U74)&gt;0,R74=""),"الميزانية",""),IF(AND(COUNTA($O74:$U74)&gt;0,S74=""),"نسبة الجاهزية",""),IF(AND(COUNTA($O74:$U74)&gt;0,T74=""),"حالة الجاهزية",""),IF(AND(COUNTA($O74:$U74)&gt;0,U74=""),"التوصيات","")),"✓"),"✓"))))))))))</f>
        <v>✗ ناقص: الممول</v>
      </c>
      <c r="E74" s="235">
        <v>46139</v>
      </c>
      <c r="F74" s="236">
        <v>0.55208333333333337</v>
      </c>
      <c r="G74" s="90" t="s">
        <v>97</v>
      </c>
      <c r="H74" s="123" t="s">
        <v>104</v>
      </c>
      <c r="I74" s="89" t="s">
        <v>192</v>
      </c>
      <c r="J74" s="142" t="s">
        <v>117</v>
      </c>
      <c r="K74" s="90" t="s">
        <v>133</v>
      </c>
      <c r="L74" s="90" t="s">
        <v>369</v>
      </c>
      <c r="M74" s="90"/>
      <c r="N74" s="89"/>
      <c r="O74" s="200"/>
      <c r="P74" s="201"/>
      <c r="Q74" s="201"/>
      <c r="R74" s="237"/>
      <c r="S74" s="202"/>
      <c r="T74" s="200"/>
      <c r="U74" s="203"/>
      <c r="V74" s="89" t="s">
        <v>796</v>
      </c>
      <c r="W74" s="89" t="s">
        <v>797</v>
      </c>
      <c r="X74" s="145" t="s">
        <v>651</v>
      </c>
      <c r="Y74" s="89" t="s">
        <v>652</v>
      </c>
      <c r="Z74" s="90" t="s">
        <v>130</v>
      </c>
      <c r="AA74" s="90" t="s">
        <v>130</v>
      </c>
      <c r="AB74" s="90" t="s">
        <v>131</v>
      </c>
      <c r="AC74" s="90" t="s">
        <v>132</v>
      </c>
      <c r="AD74" s="91" t="s">
        <v>26</v>
      </c>
      <c r="AE74" s="149">
        <f>IFERROR(VLOOKUP(Z74,LISTS!$AL$2:$AM$1000,2,FALSE()),"")</f>
        <v>100</v>
      </c>
      <c r="AF74" s="151">
        <f>IFERROR(VLOOKUP(AA74,LISTS!$AO$2:$AP$1000,2,FALSE()),"")</f>
        <v>100</v>
      </c>
      <c r="AG74" s="152">
        <f>IFERROR(VLOOKUP(AB74,LISTS!$AR$2:$AS$1000,2,FALSE()),"")</f>
        <v>100</v>
      </c>
      <c r="AH74" s="154">
        <f>IFERROR(VLOOKUP(AC74,LISTS!$AU$2:$AV$1000,2,FALSE()),"")</f>
        <v>0</v>
      </c>
      <c r="AI74" s="238">
        <f t="shared" si="8"/>
        <v>100</v>
      </c>
      <c r="AJ74" s="190" t="str">
        <f t="shared" si="9"/>
        <v>🌟 ممتاز جدًا</v>
      </c>
      <c r="AK74" s="157">
        <f t="shared" si="5"/>
        <v>4</v>
      </c>
      <c r="AL74" s="160">
        <f t="shared" si="6"/>
        <v>2026</v>
      </c>
      <c r="AM74" s="210"/>
      <c r="AN74" s="209"/>
    </row>
    <row r="75" spans="1:40" ht="27.95" customHeight="1">
      <c r="A75" s="134">
        <f>IF(I75&lt;&gt;"",COUNTA($I$2:I75),"")</f>
        <v>74</v>
      </c>
      <c r="B75" s="138" t="str">
        <f t="shared" si="7"/>
        <v>الثلاثاء</v>
      </c>
      <c r="C75" s="93" t="str">
        <f t="array" ref="C75">IF(E75="","",IF(M75&lt;&gt;"",
M75&amp;"/"&amp;SUMPRODUCT((M$2:M75=M75)*1)&amp;" - "&amp;(ROW()-2),
"إداري/"&amp;SUMPRODUCT((M$2:M75="")*1)&amp;" - "&amp;(ROW()-2)))</f>
        <v>إداري/70 - 73</v>
      </c>
      <c r="D75" s="141" t="str">
        <f>IF(AND(G75="",H75="",I75=""),"",IF(COUNTIFS(LISTS!$A$2:$A$67,G75,LISTS!$B$2:$B$67,H75,LISTS!$C$2:$C$67,I75)=0,"✗ هرم",IF(NOT(OR(Z75="ممتاز 100%",Z75="جيد 80%",Z75="مقبول 60%",Z75="خطر 40%",Z75="")),"✗ قائمة R",IF(NOT(OR(AA75="ممتاز 100%",AA75="جيد 85%",AA75="مقبول 70%",AA75="ضعيف 50%",AA75="")),"✗ قائمة S",IF(NOT(OR(AB75="مكتمل 100%",AB75="جزئي 60%",AB75="معلق 30%",AB75="مفتوح 0%",AB75="")),"✗ قائمة T",IF(NOT(OR(AC75="لا خصم 0",AC75="تأخير −5",AC75="عجز −10",AC75="جودة −15",AC75="امتثال −20",AC75="مخالفة −25",AC75="")),"✗ قائمة U",IF(AND(X75="لا",AC75&lt;&gt;"",AC75&lt;&gt;"لا خصم 0"),"✗ خصم",IF(AND(X75="نعم",AC75="لا خصم 0"),"✗ خصم",IF(AND(Z75="ممتاز 100%",AA75="ممتاز 100%",AB75&lt;&gt;"",AB75&lt;&gt;"مكتمل 100%"),"✗ إغلاق",IFERROR(IF(LEN(_xlfn.TEXTJOIN("، ",TRUE,IF(E75="","التاريخ",""),IF(F75="","الوقت",""),IF(G75="","المركز",""),IF(H75="","الدائرة",""),IF(I75="","القسم",""),IF(J75="","المسؤول",""),IF(K75="","نوع النشاط",""),IF(L75="","المشروع",""),IF(N75="","الممول",""),IF(V75="","الموضوع",""),IF(W75="","الملاحظة",""),IF(X75="","مشكلة",""),IF(Y75="","الإجراء",""),IF(Z75="","التنفيذ",""),IF(AA75="","الجودة",""),IF(AB75="","الإغلاق",""),IF(AC75="","الخصم",""),IF(AND(COUNTA($O75:$U75)&gt;0,O75=""),"مدير المشروع",""),IF(AND(COUNTA($O75:$U75)&gt;0,P75=""),"المستفيدين",""),IF(AND(COUNTA($O75:$U75)&gt;0,Q75=""),"المناطق",""),IF(AND(COUNTA($O75:$U75)&gt;0,R75=""),"الميزانية",""),IF(AND(COUNTA($O75:$U75)&gt;0,S75=""),"نسبة الجاهزية",""),IF(AND(COUNTA($O75:$U75)&gt;0,T75=""),"حالة الجاهزية",""),IF(AND(COUNTA($O75:$U75)&gt;0,U75=""),"التوصيات","")))&gt;0,"✗ ناقص: "&amp;_xlfn.TEXTJOIN("، ",TRUE,IF(E75="","التاريخ",""),IF(F75="","الوقت",""),IF(G75="","المركز",""),IF(H75="","الدائرة",""),IF(I75="","القسم",""),IF(J75="","المسؤول",""),IF(K75="","نوع النشاط",""),IF(L75="","المشروع",""),IF(N75="","الممول",""),IF(V75="","الموضوع",""),IF(W75="","الملاحظة",""),IF(X75="","مشكلة",""),IF(Y75="","الإجراء",""),IF(Z75="","التنفيذ",""),IF(AA75="","الجودة",""),IF(AB75="","الإغلاق",""),IF(AC75="","الخصم",""),IF(AND(COUNTA($O75:$U75)&gt;0,O75=""),"مدير المشروع",""),IF(AND(COUNTA($O75:$U75)&gt;0,P75=""),"المستفيدين",""),IF(AND(COUNTA($O75:$U75)&gt;0,Q75=""),"المناطق",""),IF(AND(COUNTA($O75:$U75)&gt;0,R75=""),"الميزانية",""),IF(AND(COUNTA($O75:$U75)&gt;0,S75=""),"نسبة الجاهزية",""),IF(AND(COUNTA($O75:$U75)&gt;0,T75=""),"حالة الجاهزية",""),IF(AND(COUNTA($O75:$U75)&gt;0,U75=""),"التوصيات","")),"✓"),"✓"))))))))))</f>
        <v>✗ ناقص: الممول</v>
      </c>
      <c r="E75" s="235">
        <v>46140</v>
      </c>
      <c r="F75" s="236">
        <v>0.55208333333333337</v>
      </c>
      <c r="G75" s="90" t="s">
        <v>97</v>
      </c>
      <c r="H75" s="123" t="s">
        <v>102</v>
      </c>
      <c r="I75" s="89" t="s">
        <v>202</v>
      </c>
      <c r="J75" s="142" t="s">
        <v>135</v>
      </c>
      <c r="K75" s="90" t="s">
        <v>133</v>
      </c>
      <c r="L75" s="90" t="s">
        <v>369</v>
      </c>
      <c r="M75" s="90"/>
      <c r="N75" s="89"/>
      <c r="O75" s="200"/>
      <c r="P75" s="201"/>
      <c r="Q75" s="201"/>
      <c r="R75" s="237"/>
      <c r="S75" s="202"/>
      <c r="T75" s="200"/>
      <c r="U75" s="203"/>
      <c r="V75" s="89" t="s">
        <v>798</v>
      </c>
      <c r="W75" s="89" t="s">
        <v>799</v>
      </c>
      <c r="X75" s="145" t="s">
        <v>651</v>
      </c>
      <c r="Y75" s="89" t="s">
        <v>652</v>
      </c>
      <c r="Z75" s="90" t="s">
        <v>130</v>
      </c>
      <c r="AA75" s="90" t="s">
        <v>130</v>
      </c>
      <c r="AB75" s="90" t="s">
        <v>131</v>
      </c>
      <c r="AC75" s="90" t="s">
        <v>132</v>
      </c>
      <c r="AD75" s="92" t="s">
        <v>26</v>
      </c>
      <c r="AE75" s="149">
        <f>IFERROR(VLOOKUP(Z75,LISTS!$AL$2:$AM$1000,2,FALSE()),"")</f>
        <v>100</v>
      </c>
      <c r="AF75" s="151">
        <f>IFERROR(VLOOKUP(AA75,LISTS!$AO$2:$AP$1000,2,FALSE()),"")</f>
        <v>100</v>
      </c>
      <c r="AG75" s="152">
        <f>IFERROR(VLOOKUP(AB75,LISTS!$AR$2:$AS$1000,2,FALSE()),"")</f>
        <v>100</v>
      </c>
      <c r="AH75" s="154">
        <f>IFERROR(VLOOKUP(AC75,LISTS!$AU$2:$AV$1000,2,FALSE()),"")</f>
        <v>0</v>
      </c>
      <c r="AI75" s="238">
        <f t="shared" si="8"/>
        <v>100</v>
      </c>
      <c r="AJ75" s="190" t="str">
        <f t="shared" si="9"/>
        <v>🌟 ممتاز جدًا</v>
      </c>
      <c r="AK75" s="157">
        <f t="shared" si="5"/>
        <v>4</v>
      </c>
      <c r="AL75" s="160">
        <f t="shared" si="6"/>
        <v>2026</v>
      </c>
      <c r="AM75" s="210"/>
      <c r="AN75" s="209"/>
    </row>
    <row r="76" spans="1:40" ht="27.95" customHeight="1">
      <c r="A76" s="134">
        <f>IF(I76&lt;&gt;"",COUNTA($I$2:I76),"")</f>
        <v>75</v>
      </c>
      <c r="B76" s="138" t="str">
        <f t="shared" si="7"/>
        <v>الثلاثاء</v>
      </c>
      <c r="C76" s="93" t="str">
        <f t="array" ref="C76">IF(E76="","",IF(M76&lt;&gt;"",
M76&amp;"/"&amp;SUMPRODUCT((M$2:M76=M76)*1)&amp;" - "&amp;(ROW()-2),
"إداري/"&amp;SUMPRODUCT((M$2:M76="")*1)&amp;" - "&amp;(ROW()-2)))</f>
        <v>إداري/71 - 74</v>
      </c>
      <c r="D76" s="141" t="str">
        <f>IF(AND(G76="",H76="",I76=""),"",IF(COUNTIFS(LISTS!$A$2:$A$67,G76,LISTS!$B$2:$B$67,H76,LISTS!$C$2:$C$67,I76)=0,"✗ هرم",IF(NOT(OR(Z76="ممتاز 100%",Z76="جيد 80%",Z76="مقبول 60%",Z76="خطر 40%",Z76="")),"✗ قائمة R",IF(NOT(OR(AA76="ممتاز 100%",AA76="جيد 85%",AA76="مقبول 70%",AA76="ضعيف 50%",AA76="")),"✗ قائمة S",IF(NOT(OR(AB76="مكتمل 100%",AB76="جزئي 60%",AB76="معلق 30%",AB76="مفتوح 0%",AB76="")),"✗ قائمة T",IF(NOT(OR(AC76="لا خصم 0",AC76="تأخير −5",AC76="عجز −10",AC76="جودة −15",AC76="امتثال −20",AC76="مخالفة −25",AC76="")),"✗ قائمة U",IF(AND(X76="لا",AC76&lt;&gt;"",AC76&lt;&gt;"لا خصم 0"),"✗ خصم",IF(AND(X76="نعم",AC76="لا خصم 0"),"✗ خصم",IF(AND(Z76="ممتاز 100%",AA76="ممتاز 100%",AB76&lt;&gt;"",AB76&lt;&gt;"مكتمل 100%"),"✗ إغلاق",IFERROR(IF(LEN(_xlfn.TEXTJOIN("، ",TRUE,IF(E76="","التاريخ",""),IF(F76="","الوقت",""),IF(G76="","المركز",""),IF(H76="","الدائرة",""),IF(I76="","القسم",""),IF(J76="","المسؤول",""),IF(K76="","نوع النشاط",""),IF(L76="","المشروع",""),IF(N76="","الممول",""),IF(V76="","الموضوع",""),IF(W76="","الملاحظة",""),IF(X76="","مشكلة",""),IF(Y76="","الإجراء",""),IF(Z76="","التنفيذ",""),IF(AA76="","الجودة",""),IF(AB76="","الإغلاق",""),IF(AC76="","الخصم",""),IF(AND(COUNTA($O76:$U76)&gt;0,O76=""),"مدير المشروع",""),IF(AND(COUNTA($O76:$U76)&gt;0,P76=""),"المستفيدين",""),IF(AND(COUNTA($O76:$U76)&gt;0,Q76=""),"المناطق",""),IF(AND(COUNTA($O76:$U76)&gt;0,R76=""),"الميزانية",""),IF(AND(COUNTA($O76:$U76)&gt;0,S76=""),"نسبة الجاهزية",""),IF(AND(COUNTA($O76:$U76)&gt;0,T76=""),"حالة الجاهزية",""),IF(AND(COUNTA($O76:$U76)&gt;0,U76=""),"التوصيات","")))&gt;0,"✗ ناقص: "&amp;_xlfn.TEXTJOIN("، ",TRUE,IF(E76="","التاريخ",""),IF(F76="","الوقت",""),IF(G76="","المركز",""),IF(H76="","الدائرة",""),IF(I76="","القسم",""),IF(J76="","المسؤول",""),IF(K76="","نوع النشاط",""),IF(L76="","المشروع",""),IF(N76="","الممول",""),IF(V76="","الموضوع",""),IF(W76="","الملاحظة",""),IF(X76="","مشكلة",""),IF(Y76="","الإجراء",""),IF(Z76="","التنفيذ",""),IF(AA76="","الجودة",""),IF(AB76="","الإغلاق",""),IF(AC76="","الخصم",""),IF(AND(COUNTA($O76:$U76)&gt;0,O76=""),"مدير المشروع",""),IF(AND(COUNTA($O76:$U76)&gt;0,P76=""),"المستفيدين",""),IF(AND(COUNTA($O76:$U76)&gt;0,Q76=""),"المناطق",""),IF(AND(COUNTA($O76:$U76)&gt;0,R76=""),"الميزانية",""),IF(AND(COUNTA($O76:$U76)&gt;0,S76=""),"نسبة الجاهزية",""),IF(AND(COUNTA($O76:$U76)&gt;0,T76=""),"حالة الجاهزية",""),IF(AND(COUNTA($O76:$U76)&gt;0,U76=""),"التوصيات","")),"✓"),"✓"))))))))))</f>
        <v>✗ ناقص: المسؤول، الممول</v>
      </c>
      <c r="E76" s="235">
        <v>46140</v>
      </c>
      <c r="F76" s="236">
        <v>0.39583333333333331</v>
      </c>
      <c r="G76" s="90" t="s">
        <v>97</v>
      </c>
      <c r="H76" s="123" t="s">
        <v>102</v>
      </c>
      <c r="I76" s="89" t="s">
        <v>159</v>
      </c>
      <c r="J76" s="142"/>
      <c r="K76" s="90" t="s">
        <v>133</v>
      </c>
      <c r="L76" s="90" t="s">
        <v>369</v>
      </c>
      <c r="M76" s="90"/>
      <c r="N76" s="89"/>
      <c r="O76" s="200"/>
      <c r="P76" s="201"/>
      <c r="Q76" s="201"/>
      <c r="R76" s="237"/>
      <c r="S76" s="202"/>
      <c r="T76" s="200"/>
      <c r="U76" s="203"/>
      <c r="V76" s="89" t="s">
        <v>800</v>
      </c>
      <c r="W76" s="89" t="s">
        <v>801</v>
      </c>
      <c r="X76" s="145" t="s">
        <v>651</v>
      </c>
      <c r="Y76" s="89" t="s">
        <v>652</v>
      </c>
      <c r="Z76" s="90" t="s">
        <v>130</v>
      </c>
      <c r="AA76" s="90" t="s">
        <v>149</v>
      </c>
      <c r="AB76" s="90" t="s">
        <v>131</v>
      </c>
      <c r="AC76" s="90" t="s">
        <v>132</v>
      </c>
      <c r="AD76" s="91" t="s">
        <v>26</v>
      </c>
      <c r="AE76" s="149">
        <f>IFERROR(VLOOKUP(Z76,LISTS!$AL$2:$AM$1000,2,FALSE()),"")</f>
        <v>100</v>
      </c>
      <c r="AF76" s="151">
        <f>IFERROR(VLOOKUP(AA76,LISTS!$AO$2:$AP$1000,2,FALSE()),"")</f>
        <v>85</v>
      </c>
      <c r="AG76" s="152">
        <f>IFERROR(VLOOKUP(AB76,LISTS!$AR$2:$AS$1000,2,FALSE()),"")</f>
        <v>100</v>
      </c>
      <c r="AH76" s="154">
        <f>IFERROR(VLOOKUP(AC76,LISTS!$AU$2:$AV$1000,2,FALSE()),"")</f>
        <v>0</v>
      </c>
      <c r="AI76" s="238">
        <f t="shared" si="8"/>
        <v>95.5</v>
      </c>
      <c r="AJ76" s="190" t="str">
        <f t="shared" si="9"/>
        <v>⭐ ممتاز</v>
      </c>
      <c r="AK76" s="157">
        <f t="shared" si="5"/>
        <v>4</v>
      </c>
      <c r="AL76" s="160">
        <f t="shared" si="6"/>
        <v>2026</v>
      </c>
      <c r="AM76" s="210"/>
      <c r="AN76" s="209"/>
    </row>
    <row r="77" spans="1:40" ht="27.95" customHeight="1">
      <c r="A77" s="134">
        <f>IF(I77&lt;&gt;"",COUNTA($I$2:I77),"")</f>
        <v>76</v>
      </c>
      <c r="B77" s="138" t="str">
        <f t="shared" si="7"/>
        <v>الثلاثاء</v>
      </c>
      <c r="C77" s="93" t="str">
        <f t="array" ref="C77">IF(E77="","",IF(M77&lt;&gt;"",
M77&amp;"/"&amp;SUMPRODUCT((M$2:M77=M77)*1)&amp;" - "&amp;(ROW()-2),
"إداري/"&amp;SUMPRODUCT((M$2:M77="")*1)&amp;" - "&amp;(ROW()-2)))</f>
        <v>إداري/72 - 75</v>
      </c>
      <c r="D77" s="141" t="str">
        <f>IF(AND(G77="",H77="",I77=""),"",IF(COUNTIFS(LISTS!$A$2:$A$67,G77,LISTS!$B$2:$B$67,H77,LISTS!$C$2:$C$67,I77)=0,"✗ هرم",IF(NOT(OR(Z77="ممتاز 100%",Z77="جيد 80%",Z77="مقبول 60%",Z77="خطر 40%",Z77="")),"✗ قائمة R",IF(NOT(OR(AA77="ممتاز 100%",AA77="جيد 85%",AA77="مقبول 70%",AA77="ضعيف 50%",AA77="")),"✗ قائمة S",IF(NOT(OR(AB77="مكتمل 100%",AB77="جزئي 60%",AB77="معلق 30%",AB77="مفتوح 0%",AB77="")),"✗ قائمة T",IF(NOT(OR(AC77="لا خصم 0",AC77="تأخير −5",AC77="عجز −10",AC77="جودة −15",AC77="امتثال −20",AC77="مخالفة −25",AC77="")),"✗ قائمة U",IF(AND(X77="لا",AC77&lt;&gt;"",AC77&lt;&gt;"لا خصم 0"),"✗ خصم",IF(AND(X77="نعم",AC77="لا خصم 0"),"✗ خصم",IF(AND(Z77="ممتاز 100%",AA77="ممتاز 100%",AB77&lt;&gt;"",AB77&lt;&gt;"مكتمل 100%"),"✗ إغلاق",IFERROR(IF(LEN(_xlfn.TEXTJOIN("، ",TRUE,IF(E77="","التاريخ",""),IF(F77="","الوقت",""),IF(G77="","المركز",""),IF(H77="","الدائرة",""),IF(I77="","القسم",""),IF(J77="","المسؤول",""),IF(K77="","نوع النشاط",""),IF(L77="","المشروع",""),IF(N77="","الممول",""),IF(V77="","الموضوع",""),IF(W77="","الملاحظة",""),IF(X77="","مشكلة",""),IF(Y77="","الإجراء",""),IF(Z77="","التنفيذ",""),IF(AA77="","الجودة",""),IF(AB77="","الإغلاق",""),IF(AC77="","الخصم",""),IF(AND(COUNTA($O77:$U77)&gt;0,O77=""),"مدير المشروع",""),IF(AND(COUNTA($O77:$U77)&gt;0,P77=""),"المستفيدين",""),IF(AND(COUNTA($O77:$U77)&gt;0,Q77=""),"المناطق",""),IF(AND(COUNTA($O77:$U77)&gt;0,R77=""),"الميزانية",""),IF(AND(COUNTA($O77:$U77)&gt;0,S77=""),"نسبة الجاهزية",""),IF(AND(COUNTA($O77:$U77)&gt;0,T77=""),"حالة الجاهزية",""),IF(AND(COUNTA($O77:$U77)&gt;0,U77=""),"التوصيات","")))&gt;0,"✗ ناقص: "&amp;_xlfn.TEXTJOIN("، ",TRUE,IF(E77="","التاريخ",""),IF(F77="","الوقت",""),IF(G77="","المركز",""),IF(H77="","الدائرة",""),IF(I77="","القسم",""),IF(J77="","المسؤول",""),IF(K77="","نوع النشاط",""),IF(L77="","المشروع",""),IF(N77="","الممول",""),IF(V77="","الموضوع",""),IF(W77="","الملاحظة",""),IF(X77="","مشكلة",""),IF(Y77="","الإجراء",""),IF(Z77="","التنفيذ",""),IF(AA77="","الجودة",""),IF(AB77="","الإغلاق",""),IF(AC77="","الخصم",""),IF(AND(COUNTA($O77:$U77)&gt;0,O77=""),"مدير المشروع",""),IF(AND(COUNTA($O77:$U77)&gt;0,P77=""),"المستفيدين",""),IF(AND(COUNTA($O77:$U77)&gt;0,Q77=""),"المناطق",""),IF(AND(COUNTA($O77:$U77)&gt;0,R77=""),"الميزانية",""),IF(AND(COUNTA($O77:$U77)&gt;0,S77=""),"نسبة الجاهزية",""),IF(AND(COUNTA($O77:$U77)&gt;0,T77=""),"حالة الجاهزية",""),IF(AND(COUNTA($O77:$U77)&gt;0,U77=""),"التوصيات","")),"✓"),"✓"))))))))))</f>
        <v>✓</v>
      </c>
      <c r="E77" s="235">
        <v>46140</v>
      </c>
      <c r="F77" s="236">
        <v>0.44791666666666669</v>
      </c>
      <c r="G77" s="90" t="s">
        <v>97</v>
      </c>
      <c r="H77" s="123" t="s">
        <v>102</v>
      </c>
      <c r="I77" s="89" t="s">
        <v>124</v>
      </c>
      <c r="J77" s="142" t="s">
        <v>117</v>
      </c>
      <c r="K77" s="90" t="s">
        <v>116</v>
      </c>
      <c r="L77" s="90" t="s">
        <v>369</v>
      </c>
      <c r="M77" s="90"/>
      <c r="N77" s="89" t="s">
        <v>655</v>
      </c>
      <c r="O77" s="200"/>
      <c r="P77" s="201"/>
      <c r="Q77" s="201"/>
      <c r="R77" s="237"/>
      <c r="S77" s="202"/>
      <c r="T77" s="200"/>
      <c r="U77" s="203"/>
      <c r="V77" s="89" t="s">
        <v>802</v>
      </c>
      <c r="W77" s="89" t="s">
        <v>803</v>
      </c>
      <c r="X77" s="145" t="s">
        <v>647</v>
      </c>
      <c r="Y77" s="89" t="s">
        <v>666</v>
      </c>
      <c r="Z77" s="90" t="s">
        <v>165</v>
      </c>
      <c r="AA77" s="90" t="s">
        <v>130</v>
      </c>
      <c r="AB77" s="90" t="s">
        <v>167</v>
      </c>
      <c r="AC77" s="90" t="s">
        <v>184</v>
      </c>
      <c r="AD77" s="92" t="s">
        <v>26</v>
      </c>
      <c r="AE77" s="149">
        <f>IFERROR(VLOOKUP(Z77,LISTS!$AL$2:$AM$1000,2,FALSE()),"")</f>
        <v>80</v>
      </c>
      <c r="AF77" s="151">
        <f>IFERROR(VLOOKUP(AA77,LISTS!$AO$2:$AP$1000,2,FALSE()),"")</f>
        <v>100</v>
      </c>
      <c r="AG77" s="152">
        <f>IFERROR(VLOOKUP(AB77,LISTS!$AR$2:$AS$1000,2,FALSE()),"")</f>
        <v>60</v>
      </c>
      <c r="AH77" s="154">
        <f>IFERROR(VLOOKUP(AC77,LISTS!$AU$2:$AV$1000,2,FALSE()),"")</f>
        <v>10</v>
      </c>
      <c r="AI77" s="238">
        <f t="shared" si="8"/>
        <v>70</v>
      </c>
      <c r="AJ77" s="190" t="str">
        <f t="shared" si="9"/>
        <v>🟡 مقبول</v>
      </c>
      <c r="AK77" s="157">
        <f t="shared" si="5"/>
        <v>4</v>
      </c>
      <c r="AL77" s="160">
        <f t="shared" si="6"/>
        <v>2026</v>
      </c>
      <c r="AM77" s="210"/>
      <c r="AN77" s="209"/>
    </row>
    <row r="78" spans="1:40" ht="27.95" customHeight="1">
      <c r="A78" s="134">
        <f>IF(I78&lt;&gt;"",COUNTA($I$2:I78),"")</f>
        <v>77</v>
      </c>
      <c r="B78" s="138" t="str">
        <f t="shared" si="7"/>
        <v>الثلاثاء</v>
      </c>
      <c r="C78" s="93" t="str">
        <f t="array" ref="C78">IF(E78="","",IF(M78&lt;&gt;"",
M78&amp;"/"&amp;SUMPRODUCT((M$2:M78=M78)*1)&amp;" - "&amp;(ROW()-2),
"إداري/"&amp;SUMPRODUCT((M$2:M78="")*1)&amp;" - "&amp;(ROW()-2)))</f>
        <v>إداري/73 - 76</v>
      </c>
      <c r="D78" s="141" t="str">
        <f>IF(AND(G78="",H78="",I78=""),"",IF(COUNTIFS(LISTS!$A$2:$A$67,G78,LISTS!$B$2:$B$67,H78,LISTS!$C$2:$C$67,I78)=0,"✗ هرم",IF(NOT(OR(Z78="ممتاز 100%",Z78="جيد 80%",Z78="مقبول 60%",Z78="خطر 40%",Z78="")),"✗ قائمة R",IF(NOT(OR(AA78="ممتاز 100%",AA78="جيد 85%",AA78="مقبول 70%",AA78="ضعيف 50%",AA78="")),"✗ قائمة S",IF(NOT(OR(AB78="مكتمل 100%",AB78="جزئي 60%",AB78="معلق 30%",AB78="مفتوح 0%",AB78="")),"✗ قائمة T",IF(NOT(OR(AC78="لا خصم 0",AC78="تأخير −5",AC78="عجز −10",AC78="جودة −15",AC78="امتثال −20",AC78="مخالفة −25",AC78="")),"✗ قائمة U",IF(AND(X78="لا",AC78&lt;&gt;"",AC78&lt;&gt;"لا خصم 0"),"✗ خصم",IF(AND(X78="نعم",AC78="لا خصم 0"),"✗ خصم",IF(AND(Z78="ممتاز 100%",AA78="ممتاز 100%",AB78&lt;&gt;"",AB78&lt;&gt;"مكتمل 100%"),"✗ إغلاق",IFERROR(IF(LEN(_xlfn.TEXTJOIN("، ",TRUE,IF(E78="","التاريخ",""),IF(F78="","الوقت",""),IF(G78="","المركز",""),IF(H78="","الدائرة",""),IF(I78="","القسم",""),IF(J78="","المسؤول",""),IF(K78="","نوع النشاط",""),IF(L78="","المشروع",""),IF(N78="","الممول",""),IF(V78="","الموضوع",""),IF(W78="","الملاحظة",""),IF(X78="","مشكلة",""),IF(Y78="","الإجراء",""),IF(Z78="","التنفيذ",""),IF(AA78="","الجودة",""),IF(AB78="","الإغلاق",""),IF(AC78="","الخصم",""),IF(AND(COUNTA($O78:$U78)&gt;0,O78=""),"مدير المشروع",""),IF(AND(COUNTA($O78:$U78)&gt;0,P78=""),"المستفيدين",""),IF(AND(COUNTA($O78:$U78)&gt;0,Q78=""),"المناطق",""),IF(AND(COUNTA($O78:$U78)&gt;0,R78=""),"الميزانية",""),IF(AND(COUNTA($O78:$U78)&gt;0,S78=""),"نسبة الجاهزية",""),IF(AND(COUNTA($O78:$U78)&gt;0,T78=""),"حالة الجاهزية",""),IF(AND(COUNTA($O78:$U78)&gt;0,U78=""),"التوصيات","")))&gt;0,"✗ ناقص: "&amp;_xlfn.TEXTJOIN("، ",TRUE,IF(E78="","التاريخ",""),IF(F78="","الوقت",""),IF(G78="","المركز",""),IF(H78="","الدائرة",""),IF(I78="","القسم",""),IF(J78="","المسؤول",""),IF(K78="","نوع النشاط",""),IF(L78="","المشروع",""),IF(N78="","الممول",""),IF(V78="","الموضوع",""),IF(W78="","الملاحظة",""),IF(X78="","مشكلة",""),IF(Y78="","الإجراء",""),IF(Z78="","التنفيذ",""),IF(AA78="","الجودة",""),IF(AB78="","الإغلاق",""),IF(AC78="","الخصم",""),IF(AND(COUNTA($O78:$U78)&gt;0,O78=""),"مدير المشروع",""),IF(AND(COUNTA($O78:$U78)&gt;0,P78=""),"المستفيدين",""),IF(AND(COUNTA($O78:$U78)&gt;0,Q78=""),"المناطق",""),IF(AND(COUNTA($O78:$U78)&gt;0,R78=""),"الميزانية",""),IF(AND(COUNTA($O78:$U78)&gt;0,S78=""),"نسبة الجاهزية",""),IF(AND(COUNTA($O78:$U78)&gt;0,T78=""),"حالة الجاهزية",""),IF(AND(COUNTA($O78:$U78)&gt;0,U78=""),"التوصيات","")),"✓"),"✓"))))))))))</f>
        <v>✗ ناقص: الممول</v>
      </c>
      <c r="E78" s="235">
        <v>46140</v>
      </c>
      <c r="F78" s="236">
        <v>0.47916666666666669</v>
      </c>
      <c r="G78" s="90" t="s">
        <v>97</v>
      </c>
      <c r="H78" s="123" t="s">
        <v>102</v>
      </c>
      <c r="I78" s="89" t="s">
        <v>124</v>
      </c>
      <c r="J78" s="142" t="s">
        <v>117</v>
      </c>
      <c r="K78" s="90" t="s">
        <v>116</v>
      </c>
      <c r="L78" s="90" t="s">
        <v>345</v>
      </c>
      <c r="M78" s="90"/>
      <c r="N78" s="89"/>
      <c r="O78" s="200"/>
      <c r="P78" s="201"/>
      <c r="Q78" s="201"/>
      <c r="R78" s="237"/>
      <c r="S78" s="202"/>
      <c r="T78" s="200"/>
      <c r="U78" s="203"/>
      <c r="V78" s="89" t="s">
        <v>804</v>
      </c>
      <c r="W78" s="89" t="s">
        <v>805</v>
      </c>
      <c r="X78" s="145" t="s">
        <v>651</v>
      </c>
      <c r="Y78" s="89" t="s">
        <v>652</v>
      </c>
      <c r="Z78" s="90" t="s">
        <v>130</v>
      </c>
      <c r="AA78" s="90" t="s">
        <v>130</v>
      </c>
      <c r="AB78" s="90" t="s">
        <v>131</v>
      </c>
      <c r="AC78" s="90" t="s">
        <v>132</v>
      </c>
      <c r="AD78" s="91" t="s">
        <v>26</v>
      </c>
      <c r="AE78" s="149">
        <f>IFERROR(VLOOKUP(Z78,LISTS!$AL$2:$AM$1000,2,FALSE()),"")</f>
        <v>100</v>
      </c>
      <c r="AF78" s="151">
        <f>IFERROR(VLOOKUP(AA78,LISTS!$AO$2:$AP$1000,2,FALSE()),"")</f>
        <v>100</v>
      </c>
      <c r="AG78" s="152">
        <f>IFERROR(VLOOKUP(AB78,LISTS!$AR$2:$AS$1000,2,FALSE()),"")</f>
        <v>100</v>
      </c>
      <c r="AH78" s="154">
        <f>IFERROR(VLOOKUP(AC78,LISTS!$AU$2:$AV$1000,2,FALSE()),"")</f>
        <v>0</v>
      </c>
      <c r="AI78" s="238">
        <f t="shared" si="8"/>
        <v>100</v>
      </c>
      <c r="AJ78" s="190" t="str">
        <f t="shared" si="9"/>
        <v>🌟 ممتاز جدًا</v>
      </c>
      <c r="AK78" s="157">
        <f t="shared" si="5"/>
        <v>4</v>
      </c>
      <c r="AL78" s="160">
        <f t="shared" si="6"/>
        <v>2026</v>
      </c>
      <c r="AM78" s="210"/>
      <c r="AN78" s="209"/>
    </row>
    <row r="79" spans="1:40" ht="27.95" customHeight="1">
      <c r="A79" s="134">
        <f>IF(I79&lt;&gt;"",COUNTA($I$2:I79),"")</f>
        <v>78</v>
      </c>
      <c r="B79" s="138" t="str">
        <f t="shared" si="7"/>
        <v>الثلاثاء</v>
      </c>
      <c r="C79" s="93" t="str">
        <f t="array" ref="C79">IF(E79="","",IF(M79&lt;&gt;"",
M79&amp;"/"&amp;SUMPRODUCT((M$2:M79=M79)*1)&amp;" - "&amp;(ROW()-2),
"إداري/"&amp;SUMPRODUCT((M$2:M79="")*1)&amp;" - "&amp;(ROW()-2)))</f>
        <v>إداري/74 - 77</v>
      </c>
      <c r="D79" s="141" t="str">
        <f>IF(AND(G79="",H79="",I79=""),"",IF(COUNTIFS(LISTS!$A$2:$A$67,G79,LISTS!$B$2:$B$67,H79,LISTS!$C$2:$C$67,I79)=0,"✗ هرم",IF(NOT(OR(Z79="ممتاز 100%",Z79="جيد 80%",Z79="مقبول 60%",Z79="خطر 40%",Z79="")),"✗ قائمة R",IF(NOT(OR(AA79="ممتاز 100%",AA79="جيد 85%",AA79="مقبول 70%",AA79="ضعيف 50%",AA79="")),"✗ قائمة S",IF(NOT(OR(AB79="مكتمل 100%",AB79="جزئي 60%",AB79="معلق 30%",AB79="مفتوح 0%",AB79="")),"✗ قائمة T",IF(NOT(OR(AC79="لا خصم 0",AC79="تأخير −5",AC79="عجز −10",AC79="جودة −15",AC79="امتثال −20",AC79="مخالفة −25",AC79="")),"✗ قائمة U",IF(AND(X79="لا",AC79&lt;&gt;"",AC79&lt;&gt;"لا خصم 0"),"✗ خصم",IF(AND(X79="نعم",AC79="لا خصم 0"),"✗ خصم",IF(AND(Z79="ممتاز 100%",AA79="ممتاز 100%",AB79&lt;&gt;"",AB79&lt;&gt;"مكتمل 100%"),"✗ إغلاق",IFERROR(IF(LEN(_xlfn.TEXTJOIN("، ",TRUE,IF(E79="","التاريخ",""),IF(F79="","الوقت",""),IF(G79="","المركز",""),IF(H79="","الدائرة",""),IF(I79="","القسم",""),IF(J79="","المسؤول",""),IF(K79="","نوع النشاط",""),IF(L79="","المشروع",""),IF(N79="","الممول",""),IF(V79="","الموضوع",""),IF(W79="","الملاحظة",""),IF(X79="","مشكلة",""),IF(Y79="","الإجراء",""),IF(Z79="","التنفيذ",""),IF(AA79="","الجودة",""),IF(AB79="","الإغلاق",""),IF(AC79="","الخصم",""),IF(AND(COUNTA($O79:$U79)&gt;0,O79=""),"مدير المشروع",""),IF(AND(COUNTA($O79:$U79)&gt;0,P79=""),"المستفيدين",""),IF(AND(COUNTA($O79:$U79)&gt;0,Q79=""),"المناطق",""),IF(AND(COUNTA($O79:$U79)&gt;0,R79=""),"الميزانية",""),IF(AND(COUNTA($O79:$U79)&gt;0,S79=""),"نسبة الجاهزية",""),IF(AND(COUNTA($O79:$U79)&gt;0,T79=""),"حالة الجاهزية",""),IF(AND(COUNTA($O79:$U79)&gt;0,U79=""),"التوصيات","")))&gt;0,"✗ ناقص: "&amp;_xlfn.TEXTJOIN("، ",TRUE,IF(E79="","التاريخ",""),IF(F79="","الوقت",""),IF(G79="","المركز",""),IF(H79="","الدائرة",""),IF(I79="","القسم",""),IF(J79="","المسؤول",""),IF(K79="","نوع النشاط",""),IF(L79="","المشروع",""),IF(N79="","الممول",""),IF(V79="","الموضوع",""),IF(W79="","الملاحظة",""),IF(X79="","مشكلة",""),IF(Y79="","الإجراء",""),IF(Z79="","التنفيذ",""),IF(AA79="","الجودة",""),IF(AB79="","الإغلاق",""),IF(AC79="","الخصم",""),IF(AND(COUNTA($O79:$U79)&gt;0,O79=""),"مدير المشروع",""),IF(AND(COUNTA($O79:$U79)&gt;0,P79=""),"المستفيدين",""),IF(AND(COUNTA($O79:$U79)&gt;0,Q79=""),"المناطق",""),IF(AND(COUNTA($O79:$U79)&gt;0,R79=""),"الميزانية",""),IF(AND(COUNTA($O79:$U79)&gt;0,S79=""),"نسبة الجاهزية",""),IF(AND(COUNTA($O79:$U79)&gt;0,T79=""),"حالة الجاهزية",""),IF(AND(COUNTA($O79:$U79)&gt;0,U79=""),"التوصيات","")),"✓"),"✓"))))))))))</f>
        <v>✗ ناقص: الممول</v>
      </c>
      <c r="E79" s="235">
        <v>46140</v>
      </c>
      <c r="F79" s="236">
        <v>0.57291666666666663</v>
      </c>
      <c r="G79" s="90" t="s">
        <v>97</v>
      </c>
      <c r="H79" s="123" t="s">
        <v>102</v>
      </c>
      <c r="I79" s="89" t="s">
        <v>124</v>
      </c>
      <c r="J79" s="142" t="s">
        <v>117</v>
      </c>
      <c r="K79" s="90" t="s">
        <v>806</v>
      </c>
      <c r="L79" s="90" t="s">
        <v>187</v>
      </c>
      <c r="M79" s="90"/>
      <c r="N79" s="89"/>
      <c r="O79" s="200"/>
      <c r="P79" s="201"/>
      <c r="Q79" s="201"/>
      <c r="R79" s="237"/>
      <c r="S79" s="202"/>
      <c r="T79" s="200"/>
      <c r="U79" s="203"/>
      <c r="V79" s="89" t="s">
        <v>807</v>
      </c>
      <c r="W79" s="89" t="s">
        <v>808</v>
      </c>
      <c r="X79" s="145" t="s">
        <v>651</v>
      </c>
      <c r="Y79" s="89" t="s">
        <v>652</v>
      </c>
      <c r="Z79" s="90" t="s">
        <v>130</v>
      </c>
      <c r="AA79" s="90" t="s">
        <v>130</v>
      </c>
      <c r="AB79" s="90" t="s">
        <v>131</v>
      </c>
      <c r="AC79" s="90" t="s">
        <v>132</v>
      </c>
      <c r="AD79" s="92" t="s">
        <v>26</v>
      </c>
      <c r="AE79" s="149">
        <f>IFERROR(VLOOKUP(Z79,LISTS!$AL$2:$AM$1000,2,FALSE()),"")</f>
        <v>100</v>
      </c>
      <c r="AF79" s="151">
        <f>IFERROR(VLOOKUP(AA79,LISTS!$AO$2:$AP$1000,2,FALSE()),"")</f>
        <v>100</v>
      </c>
      <c r="AG79" s="152">
        <f>IFERROR(VLOOKUP(AB79,LISTS!$AR$2:$AS$1000,2,FALSE()),"")</f>
        <v>100</v>
      </c>
      <c r="AH79" s="154">
        <f>IFERROR(VLOOKUP(AC79,LISTS!$AU$2:$AV$1000,2,FALSE()),"")</f>
        <v>0</v>
      </c>
      <c r="AI79" s="238">
        <f t="shared" si="8"/>
        <v>100</v>
      </c>
      <c r="AJ79" s="190" t="str">
        <f t="shared" si="9"/>
        <v>🌟 ممتاز جدًا</v>
      </c>
      <c r="AK79" s="157">
        <f t="shared" si="5"/>
        <v>4</v>
      </c>
      <c r="AL79" s="160">
        <f t="shared" si="6"/>
        <v>2026</v>
      </c>
      <c r="AM79" s="210"/>
      <c r="AN79" s="209"/>
    </row>
    <row r="80" spans="1:40" ht="27.95" customHeight="1">
      <c r="A80" s="134">
        <f>IF(I80&lt;&gt;"",COUNTA($I$2:I80),"")</f>
        <v>79</v>
      </c>
      <c r="B80" s="138" t="str">
        <f t="shared" si="7"/>
        <v>الأربعاء</v>
      </c>
      <c r="C80" s="93" t="str">
        <f t="array" ref="C80">IF(E80="","",IF(M80&lt;&gt;"",
M80&amp;"/"&amp;SUMPRODUCT((M$2:M80=M80)*1)&amp;" - "&amp;(ROW()-2),
"إداري/"&amp;SUMPRODUCT((M$2:M80="")*1)&amp;" - "&amp;(ROW()-2)))</f>
        <v>إداري/75 - 78</v>
      </c>
      <c r="D80" s="141" t="str">
        <f>IF(AND(G80="",H80="",I80=""),"",IF(COUNTIFS(LISTS!$A$2:$A$67,G80,LISTS!$B$2:$B$67,H80,LISTS!$C$2:$C$67,I80)=0,"✗ هرم",IF(NOT(OR(Z80="ممتاز 100%",Z80="جيد 80%",Z80="مقبول 60%",Z80="خطر 40%",Z80="")),"✗ قائمة R",IF(NOT(OR(AA80="ممتاز 100%",AA80="جيد 85%",AA80="مقبول 70%",AA80="ضعيف 50%",AA80="")),"✗ قائمة S",IF(NOT(OR(AB80="مكتمل 100%",AB80="جزئي 60%",AB80="معلق 30%",AB80="مفتوح 0%",AB80="")),"✗ قائمة T",IF(NOT(OR(AC80="لا خصم 0",AC80="تأخير −5",AC80="عجز −10",AC80="جودة −15",AC80="امتثال −20",AC80="مخالفة −25",AC80="")),"✗ قائمة U",IF(AND(X80="لا",AC80&lt;&gt;"",AC80&lt;&gt;"لا خصم 0"),"✗ خصم",IF(AND(X80="نعم",AC80="لا خصم 0"),"✗ خصم",IF(AND(Z80="ممتاز 100%",AA80="ممتاز 100%",AB80&lt;&gt;"",AB80&lt;&gt;"مكتمل 100%"),"✗ إغلاق",IFERROR(IF(LEN(_xlfn.TEXTJOIN("، ",TRUE,IF(E80="","التاريخ",""),IF(F80="","الوقت",""),IF(G80="","المركز",""),IF(H80="","الدائرة",""),IF(I80="","القسم",""),IF(J80="","المسؤول",""),IF(K80="","نوع النشاط",""),IF(L80="","المشروع",""),IF(N80="","الممول",""),IF(V80="","الموضوع",""),IF(W80="","الملاحظة",""),IF(X80="","مشكلة",""),IF(Y80="","الإجراء",""),IF(Z80="","التنفيذ",""),IF(AA80="","الجودة",""),IF(AB80="","الإغلاق",""),IF(AC80="","الخصم",""),IF(AND(COUNTA($O80:$U80)&gt;0,O80=""),"مدير المشروع",""),IF(AND(COUNTA($O80:$U80)&gt;0,P80=""),"المستفيدين",""),IF(AND(COUNTA($O80:$U80)&gt;0,Q80=""),"المناطق",""),IF(AND(COUNTA($O80:$U80)&gt;0,R80=""),"الميزانية",""),IF(AND(COUNTA($O80:$U80)&gt;0,S80=""),"نسبة الجاهزية",""),IF(AND(COUNTA($O80:$U80)&gt;0,T80=""),"حالة الجاهزية",""),IF(AND(COUNTA($O80:$U80)&gt;0,U80=""),"التوصيات","")))&gt;0,"✗ ناقص: "&amp;_xlfn.TEXTJOIN("، ",TRUE,IF(E80="","التاريخ",""),IF(F80="","الوقت",""),IF(G80="","المركز",""),IF(H80="","الدائرة",""),IF(I80="","القسم",""),IF(J80="","المسؤول",""),IF(K80="","نوع النشاط",""),IF(L80="","المشروع",""),IF(N80="","الممول",""),IF(V80="","الموضوع",""),IF(W80="","الملاحظة",""),IF(X80="","مشكلة",""),IF(Y80="","الإجراء",""),IF(Z80="","التنفيذ",""),IF(AA80="","الجودة",""),IF(AB80="","الإغلاق",""),IF(AC80="","الخصم",""),IF(AND(COUNTA($O80:$U80)&gt;0,O80=""),"مدير المشروع",""),IF(AND(COUNTA($O80:$U80)&gt;0,P80=""),"المستفيدين",""),IF(AND(COUNTA($O80:$U80)&gt;0,Q80=""),"المناطق",""),IF(AND(COUNTA($O80:$U80)&gt;0,R80=""),"الميزانية",""),IF(AND(COUNTA($O80:$U80)&gt;0,S80=""),"نسبة الجاهزية",""),IF(AND(COUNTA($O80:$U80)&gt;0,T80=""),"حالة الجاهزية",""),IF(AND(COUNTA($O80:$U80)&gt;0,U80=""),"التوصيات","")),"✓"),"✓"))))))))))</f>
        <v>✗ ناقص: الممول</v>
      </c>
      <c r="E80" s="235">
        <v>46141</v>
      </c>
      <c r="F80" s="236">
        <v>0.57291666666666663</v>
      </c>
      <c r="G80" s="90" t="s">
        <v>97</v>
      </c>
      <c r="H80" s="123" t="s">
        <v>102</v>
      </c>
      <c r="I80" s="89" t="s">
        <v>191</v>
      </c>
      <c r="J80" s="142" t="s">
        <v>154</v>
      </c>
      <c r="K80" s="90" t="s">
        <v>133</v>
      </c>
      <c r="L80" s="90" t="s">
        <v>369</v>
      </c>
      <c r="M80" s="90"/>
      <c r="N80" s="89"/>
      <c r="O80" s="200"/>
      <c r="P80" s="201"/>
      <c r="Q80" s="201"/>
      <c r="R80" s="237"/>
      <c r="S80" s="202"/>
      <c r="T80" s="200"/>
      <c r="U80" s="203"/>
      <c r="V80" s="89" t="s">
        <v>809</v>
      </c>
      <c r="W80" s="89" t="s">
        <v>810</v>
      </c>
      <c r="X80" s="145" t="s">
        <v>651</v>
      </c>
      <c r="Y80" s="89" t="s">
        <v>652</v>
      </c>
      <c r="Z80" s="90" t="s">
        <v>130</v>
      </c>
      <c r="AA80" s="90" t="s">
        <v>149</v>
      </c>
      <c r="AB80" s="90" t="s">
        <v>131</v>
      </c>
      <c r="AC80" s="90" t="s">
        <v>132</v>
      </c>
      <c r="AD80" s="91" t="s">
        <v>26</v>
      </c>
      <c r="AE80" s="149">
        <f>IFERROR(VLOOKUP(Z80,LISTS!$AL$2:$AM$1000,2,FALSE()),"")</f>
        <v>100</v>
      </c>
      <c r="AF80" s="151">
        <f>IFERROR(VLOOKUP(AA80,LISTS!$AO$2:$AP$1000,2,FALSE()),"")</f>
        <v>85</v>
      </c>
      <c r="AG80" s="152">
        <f>IFERROR(VLOOKUP(AB80,LISTS!$AR$2:$AS$1000,2,FALSE()),"")</f>
        <v>100</v>
      </c>
      <c r="AH80" s="154">
        <f>IFERROR(VLOOKUP(AC80,LISTS!$AU$2:$AV$1000,2,FALSE()),"")</f>
        <v>0</v>
      </c>
      <c r="AI80" s="238">
        <f t="shared" si="8"/>
        <v>95.5</v>
      </c>
      <c r="AJ80" s="190" t="str">
        <f t="shared" si="9"/>
        <v>⭐ ممتاز</v>
      </c>
      <c r="AK80" s="157">
        <f t="shared" si="5"/>
        <v>4</v>
      </c>
      <c r="AL80" s="160">
        <f t="shared" si="6"/>
        <v>2026</v>
      </c>
      <c r="AM80" s="210"/>
      <c r="AN80" s="209"/>
    </row>
    <row r="81" spans="1:40" ht="27.95" customHeight="1">
      <c r="A81" s="134">
        <f>IF(I81&lt;&gt;"",COUNTA($I$2:I81),"")</f>
        <v>80</v>
      </c>
      <c r="B81" s="138" t="str">
        <f t="shared" si="7"/>
        <v>الأربعاء</v>
      </c>
      <c r="C81" s="93" t="str">
        <f t="array" ref="C81">IF(E81="","",IF(M81&lt;&gt;"",
M81&amp;"/"&amp;SUMPRODUCT((M$2:M81=M81)*1)&amp;" - "&amp;(ROW()-2),
"إداري/"&amp;SUMPRODUCT((M$2:M81="")*1)&amp;" - "&amp;(ROW()-2)))</f>
        <v>إداري/76 - 79</v>
      </c>
      <c r="D81" s="141" t="str">
        <f>IF(AND(G81="",H81="",I81=""),"",IF(COUNTIFS(LISTS!$A$2:$A$67,G81,LISTS!$B$2:$B$67,H81,LISTS!$C$2:$C$67,I81)=0,"✗ هرم",IF(NOT(OR(Z81="ممتاز 100%",Z81="جيد 80%",Z81="مقبول 60%",Z81="خطر 40%",Z81="")),"✗ قائمة R",IF(NOT(OR(AA81="ممتاز 100%",AA81="جيد 85%",AA81="مقبول 70%",AA81="ضعيف 50%",AA81="")),"✗ قائمة S",IF(NOT(OR(AB81="مكتمل 100%",AB81="جزئي 60%",AB81="معلق 30%",AB81="مفتوح 0%",AB81="")),"✗ قائمة T",IF(NOT(OR(AC81="لا خصم 0",AC81="تأخير −5",AC81="عجز −10",AC81="جودة −15",AC81="امتثال −20",AC81="مخالفة −25",AC81="")),"✗ قائمة U",IF(AND(X81="لا",AC81&lt;&gt;"",AC81&lt;&gt;"لا خصم 0"),"✗ خصم",IF(AND(X81="نعم",AC81="لا خصم 0"),"✗ خصم",IF(AND(Z81="ممتاز 100%",AA81="ممتاز 100%",AB81&lt;&gt;"",AB81&lt;&gt;"مكتمل 100%"),"✗ إغلاق",IFERROR(IF(LEN(_xlfn.TEXTJOIN("، ",TRUE,IF(E81="","التاريخ",""),IF(F81="","الوقت",""),IF(G81="","المركز",""),IF(H81="","الدائرة",""),IF(I81="","القسم",""),IF(J81="","المسؤول",""),IF(K81="","نوع النشاط",""),IF(L81="","المشروع",""),IF(N81="","الممول",""),IF(V81="","الموضوع",""),IF(W81="","الملاحظة",""),IF(X81="","مشكلة",""),IF(Y81="","الإجراء",""),IF(Z81="","التنفيذ",""),IF(AA81="","الجودة",""),IF(AB81="","الإغلاق",""),IF(AC81="","الخصم",""),IF(AND(COUNTA($O81:$U81)&gt;0,O81=""),"مدير المشروع",""),IF(AND(COUNTA($O81:$U81)&gt;0,P81=""),"المستفيدين",""),IF(AND(COUNTA($O81:$U81)&gt;0,Q81=""),"المناطق",""),IF(AND(COUNTA($O81:$U81)&gt;0,R81=""),"الميزانية",""),IF(AND(COUNTA($O81:$U81)&gt;0,S81=""),"نسبة الجاهزية",""),IF(AND(COUNTA($O81:$U81)&gt;0,T81=""),"حالة الجاهزية",""),IF(AND(COUNTA($O81:$U81)&gt;0,U81=""),"التوصيات","")))&gt;0,"✗ ناقص: "&amp;_xlfn.TEXTJOIN("، ",TRUE,IF(E81="","التاريخ",""),IF(F81="","الوقت",""),IF(G81="","المركز",""),IF(H81="","الدائرة",""),IF(I81="","القسم",""),IF(J81="","المسؤول",""),IF(K81="","نوع النشاط",""),IF(L81="","المشروع",""),IF(N81="","الممول",""),IF(V81="","الموضوع",""),IF(W81="","الملاحظة",""),IF(X81="","مشكلة",""),IF(Y81="","الإجراء",""),IF(Z81="","التنفيذ",""),IF(AA81="","الجودة",""),IF(AB81="","الإغلاق",""),IF(AC81="","الخصم",""),IF(AND(COUNTA($O81:$U81)&gt;0,O81=""),"مدير المشروع",""),IF(AND(COUNTA($O81:$U81)&gt;0,P81=""),"المستفيدين",""),IF(AND(COUNTA($O81:$U81)&gt;0,Q81=""),"المناطق",""),IF(AND(COUNTA($O81:$U81)&gt;0,R81=""),"الميزانية",""),IF(AND(COUNTA($O81:$U81)&gt;0,S81=""),"نسبة الجاهزية",""),IF(AND(COUNTA($O81:$U81)&gt;0,T81=""),"حالة الجاهزية",""),IF(AND(COUNTA($O81:$U81)&gt;0,U81=""),"التوصيات","")),"✓"),"✓"))))))))))</f>
        <v>✓</v>
      </c>
      <c r="E81" s="235">
        <v>46141</v>
      </c>
      <c r="F81" s="236">
        <v>0.4513888888888889</v>
      </c>
      <c r="G81" s="90" t="s">
        <v>97</v>
      </c>
      <c r="H81" s="123" t="s">
        <v>102</v>
      </c>
      <c r="I81" s="89" t="s">
        <v>124</v>
      </c>
      <c r="J81" s="142" t="s">
        <v>117</v>
      </c>
      <c r="K81" s="90" t="s">
        <v>116</v>
      </c>
      <c r="L81" s="90" t="s">
        <v>369</v>
      </c>
      <c r="M81" s="90"/>
      <c r="N81" s="89" t="s">
        <v>655</v>
      </c>
      <c r="O81" s="200"/>
      <c r="P81" s="201"/>
      <c r="Q81" s="201"/>
      <c r="R81" s="237"/>
      <c r="S81" s="202"/>
      <c r="T81" s="200"/>
      <c r="U81" s="203"/>
      <c r="V81" s="89" t="s">
        <v>811</v>
      </c>
      <c r="W81" s="89" t="s">
        <v>812</v>
      </c>
      <c r="X81" s="145" t="s">
        <v>651</v>
      </c>
      <c r="Y81" s="89" t="s">
        <v>652</v>
      </c>
      <c r="Z81" s="90" t="s">
        <v>130</v>
      </c>
      <c r="AA81" s="90" t="s">
        <v>130</v>
      </c>
      <c r="AB81" s="90" t="s">
        <v>131</v>
      </c>
      <c r="AC81" s="90" t="s">
        <v>132</v>
      </c>
      <c r="AD81" s="92" t="s">
        <v>26</v>
      </c>
      <c r="AE81" s="149">
        <f>IFERROR(VLOOKUP(Z81,LISTS!$AL$2:$AM$1000,2,FALSE()),"")</f>
        <v>100</v>
      </c>
      <c r="AF81" s="151">
        <f>IFERROR(VLOOKUP(AA81,LISTS!$AO$2:$AP$1000,2,FALSE()),"")</f>
        <v>100</v>
      </c>
      <c r="AG81" s="152">
        <f>IFERROR(VLOOKUP(AB81,LISTS!$AR$2:$AS$1000,2,FALSE()),"")</f>
        <v>100</v>
      </c>
      <c r="AH81" s="154">
        <f>IFERROR(VLOOKUP(AC81,LISTS!$AU$2:$AV$1000,2,FALSE()),"")</f>
        <v>0</v>
      </c>
      <c r="AI81" s="238">
        <f t="shared" si="8"/>
        <v>100</v>
      </c>
      <c r="AJ81" s="190" t="str">
        <f t="shared" si="9"/>
        <v>🌟 ممتاز جدًا</v>
      </c>
      <c r="AK81" s="157">
        <f t="shared" si="5"/>
        <v>4</v>
      </c>
      <c r="AL81" s="160">
        <f t="shared" si="6"/>
        <v>2026</v>
      </c>
      <c r="AM81" s="210"/>
      <c r="AN81" s="209"/>
    </row>
    <row r="82" spans="1:40" ht="27.95" customHeight="1">
      <c r="A82" s="134">
        <f>IF(I82&lt;&gt;"",COUNTA($I$2:I82),"")</f>
        <v>81</v>
      </c>
      <c r="B82" s="138" t="str">
        <f t="shared" si="7"/>
        <v>الأربعاء</v>
      </c>
      <c r="C82" s="93" t="str">
        <f t="array" ref="C82">IF(E82="","",IF(M82&lt;&gt;"",
M82&amp;"/"&amp;SUMPRODUCT((M$2:M82=M82)*1)&amp;" - "&amp;(ROW()-2),
"إداري/"&amp;SUMPRODUCT((M$2:M82="")*1)&amp;" - "&amp;(ROW()-2)))</f>
        <v>إداري/77 - 80</v>
      </c>
      <c r="D82" s="141" t="str">
        <f>IF(AND(G82="",H82="",I82=""),"",IF(COUNTIFS(LISTS!$A$2:$A$67,G82,LISTS!$B$2:$B$67,H82,LISTS!$C$2:$C$67,I82)=0,"✗ هرم",IF(NOT(OR(Z82="ممتاز 100%",Z82="جيد 80%",Z82="مقبول 60%",Z82="خطر 40%",Z82="")),"✗ قائمة R",IF(NOT(OR(AA82="ممتاز 100%",AA82="جيد 85%",AA82="مقبول 70%",AA82="ضعيف 50%",AA82="")),"✗ قائمة S",IF(NOT(OR(AB82="مكتمل 100%",AB82="جزئي 60%",AB82="معلق 30%",AB82="مفتوح 0%",AB82="")),"✗ قائمة T",IF(NOT(OR(AC82="لا خصم 0",AC82="تأخير −5",AC82="عجز −10",AC82="جودة −15",AC82="امتثال −20",AC82="مخالفة −25",AC82="")),"✗ قائمة U",IF(AND(X82="لا",AC82&lt;&gt;"",AC82&lt;&gt;"لا خصم 0"),"✗ خصم",IF(AND(X82="نعم",AC82="لا خصم 0"),"✗ خصم",IF(AND(Z82="ممتاز 100%",AA82="ممتاز 100%",AB82&lt;&gt;"",AB82&lt;&gt;"مكتمل 100%"),"✗ إغلاق",IFERROR(IF(LEN(_xlfn.TEXTJOIN("، ",TRUE,IF(E82="","التاريخ",""),IF(F82="","الوقت",""),IF(G82="","المركز",""),IF(H82="","الدائرة",""),IF(I82="","القسم",""),IF(J82="","المسؤول",""),IF(K82="","نوع النشاط",""),IF(L82="","المشروع",""),IF(N82="","الممول",""),IF(V82="","الموضوع",""),IF(W82="","الملاحظة",""),IF(X82="","مشكلة",""),IF(Y82="","الإجراء",""),IF(Z82="","التنفيذ",""),IF(AA82="","الجودة",""),IF(AB82="","الإغلاق",""),IF(AC82="","الخصم",""),IF(AND(COUNTA($O82:$U82)&gt;0,O82=""),"مدير المشروع",""),IF(AND(COUNTA($O82:$U82)&gt;0,P82=""),"المستفيدين",""),IF(AND(COUNTA($O82:$U82)&gt;0,Q82=""),"المناطق",""),IF(AND(COUNTA($O82:$U82)&gt;0,R82=""),"الميزانية",""),IF(AND(COUNTA($O82:$U82)&gt;0,S82=""),"نسبة الجاهزية",""),IF(AND(COUNTA($O82:$U82)&gt;0,T82=""),"حالة الجاهزية",""),IF(AND(COUNTA($O82:$U82)&gt;0,U82=""),"التوصيات","")))&gt;0,"✗ ناقص: "&amp;_xlfn.TEXTJOIN("، ",TRUE,IF(E82="","التاريخ",""),IF(F82="","الوقت",""),IF(G82="","المركز",""),IF(H82="","الدائرة",""),IF(I82="","القسم",""),IF(J82="","المسؤول",""),IF(K82="","نوع النشاط",""),IF(L82="","المشروع",""),IF(N82="","الممول",""),IF(V82="","الموضوع",""),IF(W82="","الملاحظة",""),IF(X82="","مشكلة",""),IF(Y82="","الإجراء",""),IF(Z82="","التنفيذ",""),IF(AA82="","الجودة",""),IF(AB82="","الإغلاق",""),IF(AC82="","الخصم",""),IF(AND(COUNTA($O82:$U82)&gt;0,O82=""),"مدير المشروع",""),IF(AND(COUNTA($O82:$U82)&gt;0,P82=""),"المستفيدين",""),IF(AND(COUNTA($O82:$U82)&gt;0,Q82=""),"المناطق",""),IF(AND(COUNTA($O82:$U82)&gt;0,R82=""),"الميزانية",""),IF(AND(COUNTA($O82:$U82)&gt;0,S82=""),"نسبة الجاهزية",""),IF(AND(COUNTA($O82:$U82)&gt;0,T82=""),"حالة الجاهزية",""),IF(AND(COUNTA($O82:$U82)&gt;0,U82=""),"التوصيات","")),"✓"),"✓"))))))))))</f>
        <v>✗ ناقص: المسؤول، الممول</v>
      </c>
      <c r="E82" s="235">
        <v>46141</v>
      </c>
      <c r="F82" s="236">
        <v>0.4375</v>
      </c>
      <c r="G82" s="90" t="s">
        <v>97</v>
      </c>
      <c r="H82" s="123" t="s">
        <v>102</v>
      </c>
      <c r="I82" s="89" t="s">
        <v>142</v>
      </c>
      <c r="J82" s="142"/>
      <c r="K82" s="90" t="s">
        <v>116</v>
      </c>
      <c r="L82" s="90" t="s">
        <v>324</v>
      </c>
      <c r="M82" s="90"/>
      <c r="N82" s="89"/>
      <c r="O82" s="200"/>
      <c r="P82" s="201"/>
      <c r="Q82" s="201"/>
      <c r="R82" s="237"/>
      <c r="S82" s="202"/>
      <c r="T82" s="200"/>
      <c r="U82" s="203"/>
      <c r="V82" s="89" t="s">
        <v>813</v>
      </c>
      <c r="W82" s="89" t="s">
        <v>814</v>
      </c>
      <c r="X82" s="145" t="s">
        <v>651</v>
      </c>
      <c r="Y82" s="89" t="s">
        <v>652</v>
      </c>
      <c r="Z82" s="90" t="s">
        <v>130</v>
      </c>
      <c r="AA82" s="90" t="s">
        <v>130</v>
      </c>
      <c r="AB82" s="90" t="s">
        <v>131</v>
      </c>
      <c r="AC82" s="90" t="s">
        <v>132</v>
      </c>
      <c r="AD82" s="91" t="s">
        <v>26</v>
      </c>
      <c r="AE82" s="149">
        <f>IFERROR(VLOOKUP(Z82,LISTS!$AL$2:$AM$1000,2,FALSE()),"")</f>
        <v>100</v>
      </c>
      <c r="AF82" s="151">
        <f>IFERROR(VLOOKUP(AA82,LISTS!$AO$2:$AP$1000,2,FALSE()),"")</f>
        <v>100</v>
      </c>
      <c r="AG82" s="152">
        <f>IFERROR(VLOOKUP(AB82,LISTS!$AR$2:$AS$1000,2,FALSE()),"")</f>
        <v>100</v>
      </c>
      <c r="AH82" s="154">
        <f>IFERROR(VLOOKUP(AC82,LISTS!$AU$2:$AV$1000,2,FALSE()),"")</f>
        <v>0</v>
      </c>
      <c r="AI82" s="238">
        <f t="shared" si="8"/>
        <v>100</v>
      </c>
      <c r="AJ82" s="190" t="str">
        <f t="shared" si="9"/>
        <v>🌟 ممتاز جدًا</v>
      </c>
      <c r="AK82" s="157">
        <f t="shared" si="5"/>
        <v>4</v>
      </c>
      <c r="AL82" s="160">
        <f t="shared" si="6"/>
        <v>2026</v>
      </c>
      <c r="AM82" s="210"/>
      <c r="AN82" s="209"/>
    </row>
    <row r="83" spans="1:40" ht="27.95" customHeight="1">
      <c r="A83" s="134">
        <f>IF(I83&lt;&gt;"",COUNTA($I$2:I83),"")</f>
        <v>82</v>
      </c>
      <c r="B83" s="138" t="str">
        <f t="shared" si="7"/>
        <v>الأربعاء</v>
      </c>
      <c r="C83" s="93" t="str">
        <f t="array" ref="C83">IF(E83="","",IF(M83&lt;&gt;"",
M83&amp;"/"&amp;SUMPRODUCT((M$2:M83=M83)*1)&amp;" - "&amp;(ROW()-2),
"إداري/"&amp;SUMPRODUCT((M$2:M83="")*1)&amp;" - "&amp;(ROW()-2)))</f>
        <v>إداري/78 - 81</v>
      </c>
      <c r="D83" s="141" t="str">
        <f>IF(AND(G83="",H83="",I83=""),"",IF(COUNTIFS(LISTS!$A$2:$A$67,G83,LISTS!$B$2:$B$67,H83,LISTS!$C$2:$C$67,I83)=0,"✗ هرم",IF(NOT(OR(Z83="ممتاز 100%",Z83="جيد 80%",Z83="مقبول 60%",Z83="خطر 40%",Z83="")),"✗ قائمة R",IF(NOT(OR(AA83="ممتاز 100%",AA83="جيد 85%",AA83="مقبول 70%",AA83="ضعيف 50%",AA83="")),"✗ قائمة S",IF(NOT(OR(AB83="مكتمل 100%",AB83="جزئي 60%",AB83="معلق 30%",AB83="مفتوح 0%",AB83="")),"✗ قائمة T",IF(NOT(OR(AC83="لا خصم 0",AC83="تأخير −5",AC83="عجز −10",AC83="جودة −15",AC83="امتثال −20",AC83="مخالفة −25",AC83="")),"✗ قائمة U",IF(AND(X83="لا",AC83&lt;&gt;"",AC83&lt;&gt;"لا خصم 0"),"✗ خصم",IF(AND(X83="نعم",AC83="لا خصم 0"),"✗ خصم",IF(AND(Z83="ممتاز 100%",AA83="ممتاز 100%",AB83&lt;&gt;"",AB83&lt;&gt;"مكتمل 100%"),"✗ إغلاق",IFERROR(IF(LEN(_xlfn.TEXTJOIN("، ",TRUE,IF(E83="","التاريخ",""),IF(F83="","الوقت",""),IF(G83="","المركز",""),IF(H83="","الدائرة",""),IF(I83="","القسم",""),IF(J83="","المسؤول",""),IF(K83="","نوع النشاط",""),IF(L83="","المشروع",""),IF(N83="","الممول",""),IF(V83="","الموضوع",""),IF(W83="","الملاحظة",""),IF(X83="","مشكلة",""),IF(Y83="","الإجراء",""),IF(Z83="","التنفيذ",""),IF(AA83="","الجودة",""),IF(AB83="","الإغلاق",""),IF(AC83="","الخصم",""),IF(AND(COUNTA($O83:$U83)&gt;0,O83=""),"مدير المشروع",""),IF(AND(COUNTA($O83:$U83)&gt;0,P83=""),"المستفيدين",""),IF(AND(COUNTA($O83:$U83)&gt;0,Q83=""),"المناطق",""),IF(AND(COUNTA($O83:$U83)&gt;0,R83=""),"الميزانية",""),IF(AND(COUNTA($O83:$U83)&gt;0,S83=""),"نسبة الجاهزية",""),IF(AND(COUNTA($O83:$U83)&gt;0,T83=""),"حالة الجاهزية",""),IF(AND(COUNTA($O83:$U83)&gt;0,U83=""),"التوصيات","")))&gt;0,"✗ ناقص: "&amp;_xlfn.TEXTJOIN("، ",TRUE,IF(E83="","التاريخ",""),IF(F83="","الوقت",""),IF(G83="","المركز",""),IF(H83="","الدائرة",""),IF(I83="","القسم",""),IF(J83="","المسؤول",""),IF(K83="","نوع النشاط",""),IF(L83="","المشروع",""),IF(N83="","الممول",""),IF(V83="","الموضوع",""),IF(W83="","الملاحظة",""),IF(X83="","مشكلة",""),IF(Y83="","الإجراء",""),IF(Z83="","التنفيذ",""),IF(AA83="","الجودة",""),IF(AB83="","الإغلاق",""),IF(AC83="","الخصم",""),IF(AND(COUNTA($O83:$U83)&gt;0,O83=""),"مدير المشروع",""),IF(AND(COUNTA($O83:$U83)&gt;0,P83=""),"المستفيدين",""),IF(AND(COUNTA($O83:$U83)&gt;0,Q83=""),"المناطق",""),IF(AND(COUNTA($O83:$U83)&gt;0,R83=""),"الميزانية",""),IF(AND(COUNTA($O83:$U83)&gt;0,S83=""),"نسبة الجاهزية",""),IF(AND(COUNTA($O83:$U83)&gt;0,T83=""),"حالة الجاهزية",""),IF(AND(COUNTA($O83:$U83)&gt;0,U83=""),"التوصيات","")),"✓"),"✓"))))))))))</f>
        <v>✗ ناقص: الوقت، الممول</v>
      </c>
      <c r="E83" s="235">
        <v>46141</v>
      </c>
      <c r="F83" s="236"/>
      <c r="G83" s="90" t="s">
        <v>97</v>
      </c>
      <c r="H83" s="123" t="s">
        <v>102</v>
      </c>
      <c r="I83" s="89" t="s">
        <v>202</v>
      </c>
      <c r="J83" s="142" t="s">
        <v>135</v>
      </c>
      <c r="K83" s="90" t="s">
        <v>185</v>
      </c>
      <c r="L83" s="90" t="s">
        <v>292</v>
      </c>
      <c r="M83" s="90"/>
      <c r="N83" s="89"/>
      <c r="O83" s="200"/>
      <c r="P83" s="201"/>
      <c r="Q83" s="201"/>
      <c r="R83" s="237"/>
      <c r="S83" s="202"/>
      <c r="T83" s="200"/>
      <c r="U83" s="203"/>
      <c r="V83" s="89" t="s">
        <v>815</v>
      </c>
      <c r="W83" s="89" t="s">
        <v>816</v>
      </c>
      <c r="X83" s="145" t="s">
        <v>647</v>
      </c>
      <c r="Y83" s="89" t="s">
        <v>666</v>
      </c>
      <c r="Z83" s="90" t="s">
        <v>148</v>
      </c>
      <c r="AA83" s="90" t="s">
        <v>166</v>
      </c>
      <c r="AB83" s="90" t="s">
        <v>150</v>
      </c>
      <c r="AC83" s="90" t="s">
        <v>168</v>
      </c>
      <c r="AD83" s="92" t="s">
        <v>26</v>
      </c>
      <c r="AE83" s="149">
        <f>IFERROR(VLOOKUP(Z83,LISTS!$AL$2:$AM$1000,2,FALSE()),"")</f>
        <v>60</v>
      </c>
      <c r="AF83" s="151">
        <f>IFERROR(VLOOKUP(AA83,LISTS!$AO$2:$AP$1000,2,FALSE()),"")</f>
        <v>70</v>
      </c>
      <c r="AG83" s="152">
        <f>IFERROR(VLOOKUP(AB83,LISTS!$AR$2:$AS$1000,2,FALSE()),"")</f>
        <v>30</v>
      </c>
      <c r="AH83" s="154">
        <f>IFERROR(VLOOKUP(AC83,LISTS!$AU$2:$AV$1000,2,FALSE()),"")</f>
        <v>20</v>
      </c>
      <c r="AI83" s="238">
        <f t="shared" si="8"/>
        <v>34</v>
      </c>
      <c r="AJ83" s="190" t="str">
        <f t="shared" si="9"/>
        <v>🚨 خطر شديد</v>
      </c>
      <c r="AK83" s="157">
        <f t="shared" si="5"/>
        <v>4</v>
      </c>
      <c r="AL83" s="160">
        <f t="shared" si="6"/>
        <v>2026</v>
      </c>
      <c r="AM83" s="210"/>
      <c r="AN83" s="209"/>
    </row>
    <row r="84" spans="1:40" ht="27.95" customHeight="1">
      <c r="A84" s="134">
        <f>IF(I84&lt;&gt;"",COUNTA($I$2:I84),"")</f>
        <v>83</v>
      </c>
      <c r="B84" s="138" t="str">
        <f t="shared" si="7"/>
        <v>الخميس</v>
      </c>
      <c r="C84" s="93" t="str">
        <f t="array" ref="C84">IF(E84="","",IF(M84&lt;&gt;"",
M84&amp;"/"&amp;SUMPRODUCT((M$2:M84=M84)*1)&amp;" - "&amp;(ROW()-2),
"إداري/"&amp;SUMPRODUCT((M$2:M84="")*1)&amp;" - "&amp;(ROW()-2)))</f>
        <v>إداري/79 - 82</v>
      </c>
      <c r="D84" s="141" t="str">
        <f>IF(AND(G84="",H84="",I84=""),"",IF(COUNTIFS(LISTS!$A$2:$A$67,G84,LISTS!$B$2:$B$67,H84,LISTS!$C$2:$C$67,I84)=0,"✗ هرم",IF(NOT(OR(Z84="ممتاز 100%",Z84="جيد 80%",Z84="مقبول 60%",Z84="خطر 40%",Z84="")),"✗ قائمة R",IF(NOT(OR(AA84="ممتاز 100%",AA84="جيد 85%",AA84="مقبول 70%",AA84="ضعيف 50%",AA84="")),"✗ قائمة S",IF(NOT(OR(AB84="مكتمل 100%",AB84="جزئي 60%",AB84="معلق 30%",AB84="مفتوح 0%",AB84="")),"✗ قائمة T",IF(NOT(OR(AC84="لا خصم 0",AC84="تأخير −5",AC84="عجز −10",AC84="جودة −15",AC84="امتثال −20",AC84="مخالفة −25",AC84="")),"✗ قائمة U",IF(AND(X84="لا",AC84&lt;&gt;"",AC84&lt;&gt;"لا خصم 0"),"✗ خصم",IF(AND(X84="نعم",AC84="لا خصم 0"),"✗ خصم",IF(AND(Z84="ممتاز 100%",AA84="ممتاز 100%",AB84&lt;&gt;"",AB84&lt;&gt;"مكتمل 100%"),"✗ إغلاق",IFERROR(IF(LEN(_xlfn.TEXTJOIN("، ",TRUE,IF(E84="","التاريخ",""),IF(F84="","الوقت",""),IF(G84="","المركز",""),IF(H84="","الدائرة",""),IF(I84="","القسم",""),IF(J84="","المسؤول",""),IF(K84="","نوع النشاط",""),IF(L84="","المشروع",""),IF(N84="","الممول",""),IF(V84="","الموضوع",""),IF(W84="","الملاحظة",""),IF(X84="","مشكلة",""),IF(Y84="","الإجراء",""),IF(Z84="","التنفيذ",""),IF(AA84="","الجودة",""),IF(AB84="","الإغلاق",""),IF(AC84="","الخصم",""),IF(AND(COUNTA($O84:$U84)&gt;0,O84=""),"مدير المشروع",""),IF(AND(COUNTA($O84:$U84)&gt;0,P84=""),"المستفيدين",""),IF(AND(COUNTA($O84:$U84)&gt;0,Q84=""),"المناطق",""),IF(AND(COUNTA($O84:$U84)&gt;0,R84=""),"الميزانية",""),IF(AND(COUNTA($O84:$U84)&gt;0,S84=""),"نسبة الجاهزية",""),IF(AND(COUNTA($O84:$U84)&gt;0,T84=""),"حالة الجاهزية",""),IF(AND(COUNTA($O84:$U84)&gt;0,U84=""),"التوصيات","")))&gt;0,"✗ ناقص: "&amp;_xlfn.TEXTJOIN("، ",TRUE,IF(E84="","التاريخ",""),IF(F84="","الوقت",""),IF(G84="","المركز",""),IF(H84="","الدائرة",""),IF(I84="","القسم",""),IF(J84="","المسؤول",""),IF(K84="","نوع النشاط",""),IF(L84="","المشروع",""),IF(N84="","الممول",""),IF(V84="","الموضوع",""),IF(W84="","الملاحظة",""),IF(X84="","مشكلة",""),IF(Y84="","الإجراء",""),IF(Z84="","التنفيذ",""),IF(AA84="","الجودة",""),IF(AB84="","الإغلاق",""),IF(AC84="","الخصم",""),IF(AND(COUNTA($O84:$U84)&gt;0,O84=""),"مدير المشروع",""),IF(AND(COUNTA($O84:$U84)&gt;0,P84=""),"المستفيدين",""),IF(AND(COUNTA($O84:$U84)&gt;0,Q84=""),"المناطق",""),IF(AND(COUNTA($O84:$U84)&gt;0,R84=""),"الميزانية",""),IF(AND(COUNTA($O84:$U84)&gt;0,S84=""),"نسبة الجاهزية",""),IF(AND(COUNTA($O84:$U84)&gt;0,T84=""),"حالة الجاهزية",""),IF(AND(COUNTA($O84:$U84)&gt;0,U84=""),"التوصيات","")),"✓"),"✓"))))))))))</f>
        <v>✗ ناقص: المسؤول</v>
      </c>
      <c r="E84" s="235">
        <v>46142</v>
      </c>
      <c r="F84" s="236">
        <v>0.52083333333333337</v>
      </c>
      <c r="G84" s="90" t="s">
        <v>97</v>
      </c>
      <c r="H84" s="123" t="s">
        <v>102</v>
      </c>
      <c r="I84" s="89" t="s">
        <v>142</v>
      </c>
      <c r="J84" s="142"/>
      <c r="K84" s="90" t="s">
        <v>116</v>
      </c>
      <c r="L84" s="90" t="s">
        <v>118</v>
      </c>
      <c r="M84" s="90"/>
      <c r="N84" s="89" t="s">
        <v>655</v>
      </c>
      <c r="O84" s="200"/>
      <c r="P84" s="201"/>
      <c r="Q84" s="201"/>
      <c r="R84" s="237"/>
      <c r="S84" s="202"/>
      <c r="T84" s="200"/>
      <c r="U84" s="203"/>
      <c r="V84" s="89" t="s">
        <v>817</v>
      </c>
      <c r="W84" s="89" t="s">
        <v>818</v>
      </c>
      <c r="X84" s="145" t="s">
        <v>651</v>
      </c>
      <c r="Y84" s="89" t="s">
        <v>652</v>
      </c>
      <c r="Z84" s="90" t="s">
        <v>130</v>
      </c>
      <c r="AA84" s="90" t="s">
        <v>130</v>
      </c>
      <c r="AB84" s="90" t="s">
        <v>131</v>
      </c>
      <c r="AC84" s="90" t="s">
        <v>132</v>
      </c>
      <c r="AD84" s="91" t="s">
        <v>26</v>
      </c>
      <c r="AE84" s="149">
        <f>IFERROR(VLOOKUP(Z84,LISTS!$AL$2:$AM$1000,2,FALSE()),"")</f>
        <v>100</v>
      </c>
      <c r="AF84" s="151">
        <f>IFERROR(VLOOKUP(AA84,LISTS!$AO$2:$AP$1000,2,FALSE()),"")</f>
        <v>100</v>
      </c>
      <c r="AG84" s="152">
        <f>IFERROR(VLOOKUP(AB84,LISTS!$AR$2:$AS$1000,2,FALSE()),"")</f>
        <v>100</v>
      </c>
      <c r="AH84" s="154">
        <f>IFERROR(VLOOKUP(AC84,LISTS!$AU$2:$AV$1000,2,FALSE()),"")</f>
        <v>0</v>
      </c>
      <c r="AI84" s="238">
        <f t="shared" si="8"/>
        <v>100</v>
      </c>
      <c r="AJ84" s="190" t="str">
        <f t="shared" si="9"/>
        <v>🌟 ممتاز جدًا</v>
      </c>
      <c r="AK84" s="157">
        <f t="shared" si="5"/>
        <v>4</v>
      </c>
      <c r="AL84" s="160">
        <f t="shared" si="6"/>
        <v>2026</v>
      </c>
      <c r="AM84" s="210"/>
      <c r="AN84" s="209"/>
    </row>
    <row r="85" spans="1:40" ht="27.95" customHeight="1">
      <c r="A85" s="134">
        <f>IF(I85&lt;&gt;"",COUNTA($I$2:I85),"")</f>
        <v>84</v>
      </c>
      <c r="B85" s="138" t="str">
        <f t="shared" si="7"/>
        <v>الخميس</v>
      </c>
      <c r="C85" s="93" t="str">
        <f t="array" ref="C85">IF(E85="","",IF(M85&lt;&gt;"",
M85&amp;"/"&amp;SUMPRODUCT((M$2:M85=M85)*1)&amp;" - "&amp;(ROW()-2),
"إداري/"&amp;SUMPRODUCT((M$2:M85="")*1)&amp;" - "&amp;(ROW()-2)))</f>
        <v>إداري/80 - 83</v>
      </c>
      <c r="D85" s="141" t="str">
        <f>IF(AND(G85="",H85="",I85=""),"",IF(COUNTIFS(LISTS!$A$2:$A$67,G85,LISTS!$B$2:$B$67,H85,LISTS!$C$2:$C$67,I85)=0,"✗ هرم",IF(NOT(OR(Z85="ممتاز 100%",Z85="جيد 80%",Z85="مقبول 60%",Z85="خطر 40%",Z85="")),"✗ قائمة R",IF(NOT(OR(AA85="ممتاز 100%",AA85="جيد 85%",AA85="مقبول 70%",AA85="ضعيف 50%",AA85="")),"✗ قائمة S",IF(NOT(OR(AB85="مكتمل 100%",AB85="جزئي 60%",AB85="معلق 30%",AB85="مفتوح 0%",AB85="")),"✗ قائمة T",IF(NOT(OR(AC85="لا خصم 0",AC85="تأخير −5",AC85="عجز −10",AC85="جودة −15",AC85="امتثال −20",AC85="مخالفة −25",AC85="")),"✗ قائمة U",IF(AND(X85="لا",AC85&lt;&gt;"",AC85&lt;&gt;"لا خصم 0"),"✗ خصم",IF(AND(X85="نعم",AC85="لا خصم 0"),"✗ خصم",IF(AND(Z85="ممتاز 100%",AA85="ممتاز 100%",AB85&lt;&gt;"",AB85&lt;&gt;"مكتمل 100%"),"✗ إغلاق",IFERROR(IF(LEN(_xlfn.TEXTJOIN("، ",TRUE,IF(E85="","التاريخ",""),IF(F85="","الوقت",""),IF(G85="","المركز",""),IF(H85="","الدائرة",""),IF(I85="","القسم",""),IF(J85="","المسؤول",""),IF(K85="","نوع النشاط",""),IF(L85="","المشروع",""),IF(N85="","الممول",""),IF(V85="","الموضوع",""),IF(W85="","الملاحظة",""),IF(X85="","مشكلة",""),IF(Y85="","الإجراء",""),IF(Z85="","التنفيذ",""),IF(AA85="","الجودة",""),IF(AB85="","الإغلاق",""),IF(AC85="","الخصم",""),IF(AND(COUNTA($O85:$U85)&gt;0,O85=""),"مدير المشروع",""),IF(AND(COUNTA($O85:$U85)&gt;0,P85=""),"المستفيدين",""),IF(AND(COUNTA($O85:$U85)&gt;0,Q85=""),"المناطق",""),IF(AND(COUNTA($O85:$U85)&gt;0,R85=""),"الميزانية",""),IF(AND(COUNTA($O85:$U85)&gt;0,S85=""),"نسبة الجاهزية",""),IF(AND(COUNTA($O85:$U85)&gt;0,T85=""),"حالة الجاهزية",""),IF(AND(COUNTA($O85:$U85)&gt;0,U85=""),"التوصيات","")))&gt;0,"✗ ناقص: "&amp;_xlfn.TEXTJOIN("، ",TRUE,IF(E85="","التاريخ",""),IF(F85="","الوقت",""),IF(G85="","المركز",""),IF(H85="","الدائرة",""),IF(I85="","القسم",""),IF(J85="","المسؤول",""),IF(K85="","نوع النشاط",""),IF(L85="","المشروع",""),IF(N85="","الممول",""),IF(V85="","الموضوع",""),IF(W85="","الملاحظة",""),IF(X85="","مشكلة",""),IF(Y85="","الإجراء",""),IF(Z85="","التنفيذ",""),IF(AA85="","الجودة",""),IF(AB85="","الإغلاق",""),IF(AC85="","الخصم",""),IF(AND(COUNTA($O85:$U85)&gt;0,O85=""),"مدير المشروع",""),IF(AND(COUNTA($O85:$U85)&gt;0,P85=""),"المستفيدين",""),IF(AND(COUNTA($O85:$U85)&gt;0,Q85=""),"المناطق",""),IF(AND(COUNTA($O85:$U85)&gt;0,R85=""),"الميزانية",""),IF(AND(COUNTA($O85:$U85)&gt;0,S85=""),"نسبة الجاهزية",""),IF(AND(COUNTA($O85:$U85)&gt;0,T85=""),"حالة الجاهزية",""),IF(AND(COUNTA($O85:$U85)&gt;0,U85=""),"التوصيات","")),"✓"),"✓"))))))))))</f>
        <v>✗ ناقص: المسؤول</v>
      </c>
      <c r="E85" s="235">
        <v>46142</v>
      </c>
      <c r="F85" s="236">
        <v>0.52083333333333337</v>
      </c>
      <c r="G85" s="90" t="s">
        <v>97</v>
      </c>
      <c r="H85" s="123" t="s">
        <v>102</v>
      </c>
      <c r="I85" s="89" t="s">
        <v>142</v>
      </c>
      <c r="J85" s="142"/>
      <c r="K85" s="90" t="s">
        <v>116</v>
      </c>
      <c r="L85" s="90" t="s">
        <v>118</v>
      </c>
      <c r="M85" s="90"/>
      <c r="N85" s="89" t="s">
        <v>655</v>
      </c>
      <c r="O85" s="200"/>
      <c r="P85" s="201"/>
      <c r="Q85" s="201"/>
      <c r="R85" s="237"/>
      <c r="S85" s="202"/>
      <c r="T85" s="200"/>
      <c r="U85" s="203"/>
      <c r="V85" s="89" t="s">
        <v>819</v>
      </c>
      <c r="W85" s="89" t="s">
        <v>820</v>
      </c>
      <c r="X85" s="145" t="s">
        <v>651</v>
      </c>
      <c r="Y85" s="89" t="s">
        <v>652</v>
      </c>
      <c r="Z85" s="90" t="s">
        <v>130</v>
      </c>
      <c r="AA85" s="90" t="s">
        <v>130</v>
      </c>
      <c r="AB85" s="90" t="s">
        <v>131</v>
      </c>
      <c r="AC85" s="90" t="s">
        <v>132</v>
      </c>
      <c r="AD85" s="92" t="s">
        <v>26</v>
      </c>
      <c r="AE85" s="149">
        <f>IFERROR(VLOOKUP(Z85,LISTS!$AL$2:$AM$1000,2,FALSE()),"")</f>
        <v>100</v>
      </c>
      <c r="AF85" s="151">
        <f>IFERROR(VLOOKUP(AA85,LISTS!$AO$2:$AP$1000,2,FALSE()),"")</f>
        <v>100</v>
      </c>
      <c r="AG85" s="152">
        <f>IFERROR(VLOOKUP(AB85,LISTS!$AR$2:$AS$1000,2,FALSE()),"")</f>
        <v>100</v>
      </c>
      <c r="AH85" s="154">
        <f>IFERROR(VLOOKUP(AC85,LISTS!$AU$2:$AV$1000,2,FALSE()),"")</f>
        <v>0</v>
      </c>
      <c r="AI85" s="238">
        <f t="shared" si="8"/>
        <v>100</v>
      </c>
      <c r="AJ85" s="190" t="str">
        <f t="shared" si="9"/>
        <v>🌟 ممتاز جدًا</v>
      </c>
      <c r="AK85" s="157">
        <f t="shared" si="5"/>
        <v>4</v>
      </c>
      <c r="AL85" s="160">
        <f t="shared" si="6"/>
        <v>2026</v>
      </c>
      <c r="AM85" s="210"/>
      <c r="AN85" s="209"/>
    </row>
    <row r="86" spans="1:40" ht="27.95" customHeight="1">
      <c r="A86" s="134">
        <f>IF(I86&lt;&gt;"",COUNTA($I$2:I86),"")</f>
        <v>85</v>
      </c>
      <c r="B86" s="138" t="str">
        <f t="shared" si="7"/>
        <v>الخميس</v>
      </c>
      <c r="C86" s="93" t="str">
        <f t="array" ref="C86">IF(E86="","",IF(M86&lt;&gt;"",
M86&amp;"/"&amp;SUMPRODUCT((M$2:M86=M86)*1)&amp;" - "&amp;(ROW()-2),
"إداري/"&amp;SUMPRODUCT((M$2:M86="")*1)&amp;" - "&amp;(ROW()-2)))</f>
        <v>إداري/81 - 84</v>
      </c>
      <c r="D86" s="141" t="str">
        <f>IF(AND(G86="",H86="",I86=""),"",IF(COUNTIFS(LISTS!$A$2:$A$67,G86,LISTS!$B$2:$B$67,H86,LISTS!$C$2:$C$67,I86)=0,"✗ هرم",IF(NOT(OR(Z86="ممتاز 100%",Z86="جيد 80%",Z86="مقبول 60%",Z86="خطر 40%",Z86="")),"✗ قائمة R",IF(NOT(OR(AA86="ممتاز 100%",AA86="جيد 85%",AA86="مقبول 70%",AA86="ضعيف 50%",AA86="")),"✗ قائمة S",IF(NOT(OR(AB86="مكتمل 100%",AB86="جزئي 60%",AB86="معلق 30%",AB86="مفتوح 0%",AB86="")),"✗ قائمة T",IF(NOT(OR(AC86="لا خصم 0",AC86="تأخير −5",AC86="عجز −10",AC86="جودة −15",AC86="امتثال −20",AC86="مخالفة −25",AC86="")),"✗ قائمة U",IF(AND(X86="لا",AC86&lt;&gt;"",AC86&lt;&gt;"لا خصم 0"),"✗ خصم",IF(AND(X86="نعم",AC86="لا خصم 0"),"✗ خصم",IF(AND(Z86="ممتاز 100%",AA86="ممتاز 100%",AB86&lt;&gt;"",AB86&lt;&gt;"مكتمل 100%"),"✗ إغلاق",IFERROR(IF(LEN(_xlfn.TEXTJOIN("، ",TRUE,IF(E86="","التاريخ",""),IF(F86="","الوقت",""),IF(G86="","المركز",""),IF(H86="","الدائرة",""),IF(I86="","القسم",""),IF(J86="","المسؤول",""),IF(K86="","نوع النشاط",""),IF(L86="","المشروع",""),IF(N86="","الممول",""),IF(V86="","الموضوع",""),IF(W86="","الملاحظة",""),IF(X86="","مشكلة",""),IF(Y86="","الإجراء",""),IF(Z86="","التنفيذ",""),IF(AA86="","الجودة",""),IF(AB86="","الإغلاق",""),IF(AC86="","الخصم",""),IF(AND(COUNTA($O86:$U86)&gt;0,O86=""),"مدير المشروع",""),IF(AND(COUNTA($O86:$U86)&gt;0,P86=""),"المستفيدين",""),IF(AND(COUNTA($O86:$U86)&gt;0,Q86=""),"المناطق",""),IF(AND(COUNTA($O86:$U86)&gt;0,R86=""),"الميزانية",""),IF(AND(COUNTA($O86:$U86)&gt;0,S86=""),"نسبة الجاهزية",""),IF(AND(COUNTA($O86:$U86)&gt;0,T86=""),"حالة الجاهزية",""),IF(AND(COUNTA($O86:$U86)&gt;0,U86=""),"التوصيات","")))&gt;0,"✗ ناقص: "&amp;_xlfn.TEXTJOIN("، ",TRUE,IF(E86="","التاريخ",""),IF(F86="","الوقت",""),IF(G86="","المركز",""),IF(H86="","الدائرة",""),IF(I86="","القسم",""),IF(J86="","المسؤول",""),IF(K86="","نوع النشاط",""),IF(L86="","المشروع",""),IF(N86="","الممول",""),IF(V86="","الموضوع",""),IF(W86="","الملاحظة",""),IF(X86="","مشكلة",""),IF(Y86="","الإجراء",""),IF(Z86="","التنفيذ",""),IF(AA86="","الجودة",""),IF(AB86="","الإغلاق",""),IF(AC86="","الخصم",""),IF(AND(COUNTA($O86:$U86)&gt;0,O86=""),"مدير المشروع",""),IF(AND(COUNTA($O86:$U86)&gt;0,P86=""),"المستفيدين",""),IF(AND(COUNTA($O86:$U86)&gt;0,Q86=""),"المناطق",""),IF(AND(COUNTA($O86:$U86)&gt;0,R86=""),"الميزانية",""),IF(AND(COUNTA($O86:$U86)&gt;0,S86=""),"نسبة الجاهزية",""),IF(AND(COUNTA($O86:$U86)&gt;0,T86=""),"حالة الجاهزية",""),IF(AND(COUNTA($O86:$U86)&gt;0,U86=""),"التوصيات","")),"✓"),"✓"))))))))))</f>
        <v>✗ ناقص: المسؤول</v>
      </c>
      <c r="E86" s="235">
        <v>46142</v>
      </c>
      <c r="F86" s="236">
        <v>0.4513888888888889</v>
      </c>
      <c r="G86" s="90" t="s">
        <v>97</v>
      </c>
      <c r="H86" s="123" t="s">
        <v>102</v>
      </c>
      <c r="I86" s="89" t="s">
        <v>142</v>
      </c>
      <c r="J86" s="142"/>
      <c r="K86" s="90" t="s">
        <v>116</v>
      </c>
      <c r="L86" s="90" t="s">
        <v>369</v>
      </c>
      <c r="M86" s="90"/>
      <c r="N86" s="89" t="s">
        <v>655</v>
      </c>
      <c r="O86" s="200"/>
      <c r="P86" s="201"/>
      <c r="Q86" s="201"/>
      <c r="R86" s="237"/>
      <c r="S86" s="202"/>
      <c r="T86" s="200"/>
      <c r="U86" s="203"/>
      <c r="V86" s="89" t="s">
        <v>821</v>
      </c>
      <c r="W86" s="89" t="s">
        <v>822</v>
      </c>
      <c r="X86" s="145" t="s">
        <v>651</v>
      </c>
      <c r="Y86" s="89" t="s">
        <v>652</v>
      </c>
      <c r="Z86" s="90" t="s">
        <v>130</v>
      </c>
      <c r="AA86" s="90" t="s">
        <v>130</v>
      </c>
      <c r="AB86" s="90" t="s">
        <v>131</v>
      </c>
      <c r="AC86" s="90" t="s">
        <v>132</v>
      </c>
      <c r="AD86" s="91" t="s">
        <v>26</v>
      </c>
      <c r="AE86" s="149">
        <f>IFERROR(VLOOKUP(Z86,LISTS!$AL$2:$AM$1000,2,FALSE()),"")</f>
        <v>100</v>
      </c>
      <c r="AF86" s="151">
        <f>IFERROR(VLOOKUP(AA86,LISTS!$AO$2:$AP$1000,2,FALSE()),"")</f>
        <v>100</v>
      </c>
      <c r="AG86" s="152">
        <f>IFERROR(VLOOKUP(AB86,LISTS!$AR$2:$AS$1000,2,FALSE()),"")</f>
        <v>100</v>
      </c>
      <c r="AH86" s="154">
        <f>IFERROR(VLOOKUP(AC86,LISTS!$AU$2:$AV$1000,2,FALSE()),"")</f>
        <v>0</v>
      </c>
      <c r="AI86" s="238">
        <f t="shared" si="8"/>
        <v>100</v>
      </c>
      <c r="AJ86" s="190" t="str">
        <f t="shared" si="9"/>
        <v>🌟 ممتاز جدًا</v>
      </c>
      <c r="AK86" s="157">
        <f t="shared" si="5"/>
        <v>4</v>
      </c>
      <c r="AL86" s="160">
        <f t="shared" si="6"/>
        <v>2026</v>
      </c>
      <c r="AM86" s="210"/>
      <c r="AN86" s="209"/>
    </row>
    <row r="87" spans="1:40" ht="27.95" customHeight="1">
      <c r="A87" s="134">
        <f>IF(I87&lt;&gt;"",COUNTA($I$2:I87),"")</f>
        <v>86</v>
      </c>
      <c r="B87" s="138" t="str">
        <f t="shared" si="7"/>
        <v>السبت</v>
      </c>
      <c r="C87" s="93" t="str">
        <f t="array" ref="C87">IF(E87="","",IF(M87&lt;&gt;"",
M87&amp;"/"&amp;SUMPRODUCT((M$2:M87=M87)*1)&amp;" - "&amp;(ROW()-2),
"إداري/"&amp;SUMPRODUCT((M$2:M87="")*1)&amp;" - "&amp;(ROW()-2)))</f>
        <v>إداري/82 - 85</v>
      </c>
      <c r="D87" s="141" t="str">
        <f>IF(AND(G87="",H87="",I87=""),"",IF(COUNTIFS(LISTS!$A$2:$A$67,G87,LISTS!$B$2:$B$67,H87,LISTS!$C$2:$C$67,I87)=0,"✗ هرم",IF(NOT(OR(Z87="ممتاز 100%",Z87="جيد 80%",Z87="مقبول 60%",Z87="خطر 40%",Z87="")),"✗ قائمة R",IF(NOT(OR(AA87="ممتاز 100%",AA87="جيد 85%",AA87="مقبول 70%",AA87="ضعيف 50%",AA87="")),"✗ قائمة S",IF(NOT(OR(AB87="مكتمل 100%",AB87="جزئي 60%",AB87="معلق 30%",AB87="مفتوح 0%",AB87="")),"✗ قائمة T",IF(NOT(OR(AC87="لا خصم 0",AC87="تأخير −5",AC87="عجز −10",AC87="جودة −15",AC87="امتثال −20",AC87="مخالفة −25",AC87="")),"✗ قائمة U",IF(AND(X87="لا",AC87&lt;&gt;"",AC87&lt;&gt;"لا خصم 0"),"✗ خصم",IF(AND(X87="نعم",AC87="لا خصم 0"),"✗ خصم",IF(AND(Z87="ممتاز 100%",AA87="ممتاز 100%",AB87&lt;&gt;"",AB87&lt;&gt;"مكتمل 100%"),"✗ إغلاق",IFERROR(IF(LEN(_xlfn.TEXTJOIN("، ",TRUE,IF(E87="","التاريخ",""),IF(F87="","الوقت",""),IF(G87="","المركز",""),IF(H87="","الدائرة",""),IF(I87="","القسم",""),IF(J87="","المسؤول",""),IF(K87="","نوع النشاط",""),IF(L87="","المشروع",""),IF(N87="","الممول",""),IF(V87="","الموضوع",""),IF(W87="","الملاحظة",""),IF(X87="","مشكلة",""),IF(Y87="","الإجراء",""),IF(Z87="","التنفيذ",""),IF(AA87="","الجودة",""),IF(AB87="","الإغلاق",""),IF(AC87="","الخصم",""),IF(AND(COUNTA($O87:$U87)&gt;0,O87=""),"مدير المشروع",""),IF(AND(COUNTA($O87:$U87)&gt;0,P87=""),"المستفيدين",""),IF(AND(COUNTA($O87:$U87)&gt;0,Q87=""),"المناطق",""),IF(AND(COUNTA($O87:$U87)&gt;0,R87=""),"الميزانية",""),IF(AND(COUNTA($O87:$U87)&gt;0,S87=""),"نسبة الجاهزية",""),IF(AND(COUNTA($O87:$U87)&gt;0,T87=""),"حالة الجاهزية",""),IF(AND(COUNTA($O87:$U87)&gt;0,U87=""),"التوصيات","")))&gt;0,"✗ ناقص: "&amp;_xlfn.TEXTJOIN("، ",TRUE,IF(E87="","التاريخ",""),IF(F87="","الوقت",""),IF(G87="","المركز",""),IF(H87="","الدائرة",""),IF(I87="","القسم",""),IF(J87="","المسؤول",""),IF(K87="","نوع النشاط",""),IF(L87="","المشروع",""),IF(N87="","الممول",""),IF(V87="","الموضوع",""),IF(W87="","الملاحظة",""),IF(X87="","مشكلة",""),IF(Y87="","الإجراء",""),IF(Z87="","التنفيذ",""),IF(AA87="","الجودة",""),IF(AB87="","الإغلاق",""),IF(AC87="","الخصم",""),IF(AND(COUNTA($O87:$U87)&gt;0,O87=""),"مدير المشروع",""),IF(AND(COUNTA($O87:$U87)&gt;0,P87=""),"المستفيدين",""),IF(AND(COUNTA($O87:$U87)&gt;0,Q87=""),"المناطق",""),IF(AND(COUNTA($O87:$U87)&gt;0,R87=""),"الميزانية",""),IF(AND(COUNTA($O87:$U87)&gt;0,S87=""),"نسبة الجاهزية",""),IF(AND(COUNTA($O87:$U87)&gt;0,T87=""),"حالة الجاهزية",""),IF(AND(COUNTA($O87:$U87)&gt;0,U87=""),"التوصيات","")),"✓"),"✓"))))))))))</f>
        <v>✓</v>
      </c>
      <c r="E87" s="235">
        <v>46144</v>
      </c>
      <c r="F87" s="236">
        <v>0.56597222222222221</v>
      </c>
      <c r="G87" s="90" t="s">
        <v>97</v>
      </c>
      <c r="H87" s="123" t="s">
        <v>102</v>
      </c>
      <c r="I87" s="89" t="s">
        <v>124</v>
      </c>
      <c r="J87" s="142" t="s">
        <v>117</v>
      </c>
      <c r="K87" s="90" t="s">
        <v>116</v>
      </c>
      <c r="L87" s="90" t="s">
        <v>369</v>
      </c>
      <c r="M87" s="90"/>
      <c r="N87" s="89" t="s">
        <v>655</v>
      </c>
      <c r="O87" s="200"/>
      <c r="P87" s="201"/>
      <c r="Q87" s="201"/>
      <c r="R87" s="237"/>
      <c r="S87" s="202"/>
      <c r="T87" s="200"/>
      <c r="U87" s="203"/>
      <c r="V87" s="89" t="s">
        <v>823</v>
      </c>
      <c r="W87" s="89" t="s">
        <v>824</v>
      </c>
      <c r="X87" s="145" t="s">
        <v>647</v>
      </c>
      <c r="Y87" s="89" t="s">
        <v>666</v>
      </c>
      <c r="Z87" s="90" t="s">
        <v>165</v>
      </c>
      <c r="AA87" s="90" t="s">
        <v>130</v>
      </c>
      <c r="AB87" s="90" t="s">
        <v>167</v>
      </c>
      <c r="AC87" s="90" t="s">
        <v>184</v>
      </c>
      <c r="AD87" s="92" t="s">
        <v>26</v>
      </c>
      <c r="AE87" s="149">
        <f>IFERROR(VLOOKUP(Z87,LISTS!$AL$2:$AM$1000,2,FALSE()),"")</f>
        <v>80</v>
      </c>
      <c r="AF87" s="151">
        <f>IFERROR(VLOOKUP(AA87,LISTS!$AO$2:$AP$1000,2,FALSE()),"")</f>
        <v>100</v>
      </c>
      <c r="AG87" s="152">
        <f>IFERROR(VLOOKUP(AB87,LISTS!$AR$2:$AS$1000,2,FALSE()),"")</f>
        <v>60</v>
      </c>
      <c r="AH87" s="154">
        <f>IFERROR(VLOOKUP(AC87,LISTS!$AU$2:$AV$1000,2,FALSE()),"")</f>
        <v>10</v>
      </c>
      <c r="AI87" s="238">
        <f t="shared" si="8"/>
        <v>70</v>
      </c>
      <c r="AJ87" s="190" t="str">
        <f t="shared" si="9"/>
        <v>🟡 مقبول</v>
      </c>
      <c r="AK87" s="157">
        <f t="shared" si="5"/>
        <v>5</v>
      </c>
      <c r="AL87" s="160">
        <f t="shared" si="6"/>
        <v>2026</v>
      </c>
      <c r="AM87" s="210"/>
      <c r="AN87" s="209"/>
    </row>
    <row r="88" spans="1:40" ht="27.95" customHeight="1">
      <c r="A88" s="134">
        <f>IF(I88&lt;&gt;"",COUNTA($I$2:I88),"")</f>
        <v>87</v>
      </c>
      <c r="B88" s="138" t="str">
        <f t="shared" si="7"/>
        <v>السبت</v>
      </c>
      <c r="C88" s="93" t="str">
        <f t="array" ref="C88">IF(E88="","",IF(M88&lt;&gt;"",
M88&amp;"/"&amp;SUMPRODUCT((M$2:M88=M88)*1)&amp;" - "&amp;(ROW()-2),
"إداري/"&amp;SUMPRODUCT((M$2:M88="")*1)&amp;" - "&amp;(ROW()-2)))</f>
        <v>إداري/83 - 86</v>
      </c>
      <c r="D88" s="141" t="str">
        <f>IF(AND(G88="",H88="",I88=""),"",IF(COUNTIFS(LISTS!$A$2:$A$67,G88,LISTS!$B$2:$B$67,H88,LISTS!$C$2:$C$67,I88)=0,"✗ هرم",IF(NOT(OR(Z88="ممتاز 100%",Z88="جيد 80%",Z88="مقبول 60%",Z88="خطر 40%",Z88="")),"✗ قائمة R",IF(NOT(OR(AA88="ممتاز 100%",AA88="جيد 85%",AA88="مقبول 70%",AA88="ضعيف 50%",AA88="")),"✗ قائمة S",IF(NOT(OR(AB88="مكتمل 100%",AB88="جزئي 60%",AB88="معلق 30%",AB88="مفتوح 0%",AB88="")),"✗ قائمة T",IF(NOT(OR(AC88="لا خصم 0",AC88="تأخير −5",AC88="عجز −10",AC88="جودة −15",AC88="امتثال −20",AC88="مخالفة −25",AC88="")),"✗ قائمة U",IF(AND(X88="لا",AC88&lt;&gt;"",AC88&lt;&gt;"لا خصم 0"),"✗ خصم",IF(AND(X88="نعم",AC88="لا خصم 0"),"✗ خصم",IF(AND(Z88="ممتاز 100%",AA88="ممتاز 100%",AB88&lt;&gt;"",AB88&lt;&gt;"مكتمل 100%"),"✗ إغلاق",IFERROR(IF(LEN(_xlfn.TEXTJOIN("، ",TRUE,IF(E88="","التاريخ",""),IF(F88="","الوقت",""),IF(G88="","المركز",""),IF(H88="","الدائرة",""),IF(I88="","القسم",""),IF(J88="","المسؤول",""),IF(K88="","نوع النشاط",""),IF(L88="","المشروع",""),IF(N88="","الممول",""),IF(V88="","الموضوع",""),IF(W88="","الملاحظة",""),IF(X88="","مشكلة",""),IF(Y88="","الإجراء",""),IF(Z88="","التنفيذ",""),IF(AA88="","الجودة",""),IF(AB88="","الإغلاق",""),IF(AC88="","الخصم",""),IF(AND(COUNTA($O88:$U88)&gt;0,O88=""),"مدير المشروع",""),IF(AND(COUNTA($O88:$U88)&gt;0,P88=""),"المستفيدين",""),IF(AND(COUNTA($O88:$U88)&gt;0,Q88=""),"المناطق",""),IF(AND(COUNTA($O88:$U88)&gt;0,R88=""),"الميزانية",""),IF(AND(COUNTA($O88:$U88)&gt;0,S88=""),"نسبة الجاهزية",""),IF(AND(COUNTA($O88:$U88)&gt;0,T88=""),"حالة الجاهزية",""),IF(AND(COUNTA($O88:$U88)&gt;0,U88=""),"التوصيات","")))&gt;0,"✗ ناقص: "&amp;_xlfn.TEXTJOIN("، ",TRUE,IF(E88="","التاريخ",""),IF(F88="","الوقت",""),IF(G88="","المركز",""),IF(H88="","الدائرة",""),IF(I88="","القسم",""),IF(J88="","المسؤول",""),IF(K88="","نوع النشاط",""),IF(L88="","المشروع",""),IF(N88="","الممول",""),IF(V88="","الموضوع",""),IF(W88="","الملاحظة",""),IF(X88="","مشكلة",""),IF(Y88="","الإجراء",""),IF(Z88="","التنفيذ",""),IF(AA88="","الجودة",""),IF(AB88="","الإغلاق",""),IF(AC88="","الخصم",""),IF(AND(COUNTA($O88:$U88)&gt;0,O88=""),"مدير المشروع",""),IF(AND(COUNTA($O88:$U88)&gt;0,P88=""),"المستفيدين",""),IF(AND(COUNTA($O88:$U88)&gt;0,Q88=""),"المناطق",""),IF(AND(COUNTA($O88:$U88)&gt;0,R88=""),"الميزانية",""),IF(AND(COUNTA($O88:$U88)&gt;0,S88=""),"نسبة الجاهزية",""),IF(AND(COUNTA($O88:$U88)&gt;0,T88=""),"حالة الجاهزية",""),IF(AND(COUNTA($O88:$U88)&gt;0,U88=""),"التوصيات","")),"✓"),"✓"))))))))))</f>
        <v>✗ ناقص: الوقت، الممول</v>
      </c>
      <c r="E88" s="235">
        <v>46144</v>
      </c>
      <c r="F88" s="236"/>
      <c r="G88" s="90" t="s">
        <v>97</v>
      </c>
      <c r="H88" s="123" t="s">
        <v>102</v>
      </c>
      <c r="I88" s="89" t="s">
        <v>124</v>
      </c>
      <c r="J88" s="142" t="s">
        <v>117</v>
      </c>
      <c r="K88" s="90" t="s">
        <v>116</v>
      </c>
      <c r="L88" s="90" t="s">
        <v>187</v>
      </c>
      <c r="M88" s="90"/>
      <c r="N88" s="89"/>
      <c r="O88" s="200"/>
      <c r="P88" s="201"/>
      <c r="Q88" s="201"/>
      <c r="R88" s="237"/>
      <c r="S88" s="202"/>
      <c r="T88" s="200"/>
      <c r="U88" s="203"/>
      <c r="V88" s="89" t="s">
        <v>825</v>
      </c>
      <c r="W88" s="89" t="s">
        <v>826</v>
      </c>
      <c r="X88" s="145" t="s">
        <v>651</v>
      </c>
      <c r="Y88" s="89" t="s">
        <v>652</v>
      </c>
      <c r="Z88" s="90" t="s">
        <v>130</v>
      </c>
      <c r="AA88" s="90" t="s">
        <v>130</v>
      </c>
      <c r="AB88" s="90" t="s">
        <v>131</v>
      </c>
      <c r="AC88" s="90" t="s">
        <v>132</v>
      </c>
      <c r="AD88" s="91" t="s">
        <v>26</v>
      </c>
      <c r="AE88" s="149">
        <f>IFERROR(VLOOKUP(Z88,LISTS!$AL$2:$AM$1000,2,FALSE()),"")</f>
        <v>100</v>
      </c>
      <c r="AF88" s="151">
        <f>IFERROR(VLOOKUP(AA88,LISTS!$AO$2:$AP$1000,2,FALSE()),"")</f>
        <v>100</v>
      </c>
      <c r="AG88" s="152">
        <f>IFERROR(VLOOKUP(AB88,LISTS!$AR$2:$AS$1000,2,FALSE()),"")</f>
        <v>100</v>
      </c>
      <c r="AH88" s="154">
        <f>IFERROR(VLOOKUP(AC88,LISTS!$AU$2:$AV$1000,2,FALSE()),"")</f>
        <v>0</v>
      </c>
      <c r="AI88" s="238">
        <f t="shared" si="8"/>
        <v>100</v>
      </c>
      <c r="AJ88" s="190" t="str">
        <f t="shared" si="9"/>
        <v>🌟 ممتاز جدًا</v>
      </c>
      <c r="AK88" s="157">
        <f t="shared" si="5"/>
        <v>5</v>
      </c>
      <c r="AL88" s="160">
        <f t="shared" si="6"/>
        <v>2026</v>
      </c>
      <c r="AM88" s="210"/>
      <c r="AN88" s="209"/>
    </row>
    <row r="89" spans="1:40" ht="27.95" customHeight="1">
      <c r="A89" s="134">
        <f>IF(I89&lt;&gt;"",COUNTA($I$2:I89),"")</f>
        <v>88</v>
      </c>
      <c r="B89" s="138" t="str">
        <f t="shared" si="7"/>
        <v>الأحد</v>
      </c>
      <c r="C89" s="93" t="str">
        <f t="array" ref="C89">IF(E89="","",IF(M89&lt;&gt;"",
M89&amp;"/"&amp;SUMPRODUCT((M$2:M89=M89)*1)&amp;" - "&amp;(ROW()-2),
"إداري/"&amp;SUMPRODUCT((M$2:M89="")*1)&amp;" - "&amp;(ROW()-2)))</f>
        <v>إداري/84 - 87</v>
      </c>
      <c r="D89" s="141" t="str">
        <f>IF(AND(G89="",H89="",I89=""),"",IF(COUNTIFS(LISTS!$A$2:$A$67,G89,LISTS!$B$2:$B$67,H89,LISTS!$C$2:$C$67,I89)=0,"✗ هرم",IF(NOT(OR(Z89="ممتاز 100%",Z89="جيد 80%",Z89="مقبول 60%",Z89="خطر 40%",Z89="")),"✗ قائمة R",IF(NOT(OR(AA89="ممتاز 100%",AA89="جيد 85%",AA89="مقبول 70%",AA89="ضعيف 50%",AA89="")),"✗ قائمة S",IF(NOT(OR(AB89="مكتمل 100%",AB89="جزئي 60%",AB89="معلق 30%",AB89="مفتوح 0%",AB89="")),"✗ قائمة T",IF(NOT(OR(AC89="لا خصم 0",AC89="تأخير −5",AC89="عجز −10",AC89="جودة −15",AC89="امتثال −20",AC89="مخالفة −25",AC89="")),"✗ قائمة U",IF(AND(X89="لا",AC89&lt;&gt;"",AC89&lt;&gt;"لا خصم 0"),"✗ خصم",IF(AND(X89="نعم",AC89="لا خصم 0"),"✗ خصم",IF(AND(Z89="ممتاز 100%",AA89="ممتاز 100%",AB89&lt;&gt;"",AB89&lt;&gt;"مكتمل 100%"),"✗ إغلاق",IFERROR(IF(LEN(_xlfn.TEXTJOIN("، ",TRUE,IF(E89="","التاريخ",""),IF(F89="","الوقت",""),IF(G89="","المركز",""),IF(H89="","الدائرة",""),IF(I89="","القسم",""),IF(J89="","المسؤول",""),IF(K89="","نوع النشاط",""),IF(L89="","المشروع",""),IF(N89="","الممول",""),IF(V89="","الموضوع",""),IF(W89="","الملاحظة",""),IF(X89="","مشكلة",""),IF(Y89="","الإجراء",""),IF(Z89="","التنفيذ",""),IF(AA89="","الجودة",""),IF(AB89="","الإغلاق",""),IF(AC89="","الخصم",""),IF(AND(COUNTA($O89:$U89)&gt;0,O89=""),"مدير المشروع",""),IF(AND(COUNTA($O89:$U89)&gt;0,P89=""),"المستفيدين",""),IF(AND(COUNTA($O89:$U89)&gt;0,Q89=""),"المناطق",""),IF(AND(COUNTA($O89:$U89)&gt;0,R89=""),"الميزانية",""),IF(AND(COUNTA($O89:$U89)&gt;0,S89=""),"نسبة الجاهزية",""),IF(AND(COUNTA($O89:$U89)&gt;0,T89=""),"حالة الجاهزية",""),IF(AND(COUNTA($O89:$U89)&gt;0,U89=""),"التوصيات","")))&gt;0,"✗ ناقص: "&amp;_xlfn.TEXTJOIN("، ",TRUE,IF(E89="","التاريخ",""),IF(F89="","الوقت",""),IF(G89="","المركز",""),IF(H89="","الدائرة",""),IF(I89="","القسم",""),IF(J89="","المسؤول",""),IF(K89="","نوع النشاط",""),IF(L89="","المشروع",""),IF(N89="","الممول",""),IF(V89="","الموضوع",""),IF(W89="","الملاحظة",""),IF(X89="","مشكلة",""),IF(Y89="","الإجراء",""),IF(Z89="","التنفيذ",""),IF(AA89="","الجودة",""),IF(AB89="","الإغلاق",""),IF(AC89="","الخصم",""),IF(AND(COUNTA($O89:$U89)&gt;0,O89=""),"مدير المشروع",""),IF(AND(COUNTA($O89:$U89)&gt;0,P89=""),"المستفيدين",""),IF(AND(COUNTA($O89:$U89)&gt;0,Q89=""),"المناطق",""),IF(AND(COUNTA($O89:$U89)&gt;0,R89=""),"الميزانية",""),IF(AND(COUNTA($O89:$U89)&gt;0,S89=""),"نسبة الجاهزية",""),IF(AND(COUNTA($O89:$U89)&gt;0,T89=""),"حالة الجاهزية",""),IF(AND(COUNTA($O89:$U89)&gt;0,U89=""),"التوصيات","")),"✓"),"✓"))))))))))</f>
        <v>✓</v>
      </c>
      <c r="E89" s="235">
        <v>46145</v>
      </c>
      <c r="F89" s="236">
        <v>0.47916666666666669</v>
      </c>
      <c r="G89" s="90" t="s">
        <v>97</v>
      </c>
      <c r="H89" s="123" t="s">
        <v>102</v>
      </c>
      <c r="I89" s="89" t="s">
        <v>159</v>
      </c>
      <c r="J89" s="142" t="s">
        <v>235</v>
      </c>
      <c r="K89" s="90" t="s">
        <v>116</v>
      </c>
      <c r="L89" s="90" t="s">
        <v>118</v>
      </c>
      <c r="M89" s="90"/>
      <c r="N89" s="89" t="s">
        <v>120</v>
      </c>
      <c r="O89" s="200"/>
      <c r="P89" s="201"/>
      <c r="Q89" s="201"/>
      <c r="R89" s="237"/>
      <c r="S89" s="202"/>
      <c r="T89" s="200"/>
      <c r="U89" s="203"/>
      <c r="V89" s="89" t="s">
        <v>827</v>
      </c>
      <c r="W89" s="89" t="s">
        <v>828</v>
      </c>
      <c r="X89" s="145" t="s">
        <v>651</v>
      </c>
      <c r="Y89" s="89" t="s">
        <v>652</v>
      </c>
      <c r="Z89" s="90" t="s">
        <v>130</v>
      </c>
      <c r="AA89" s="90" t="s">
        <v>130</v>
      </c>
      <c r="AB89" s="90" t="s">
        <v>131</v>
      </c>
      <c r="AC89" s="90" t="s">
        <v>132</v>
      </c>
      <c r="AD89" s="92" t="s">
        <v>26</v>
      </c>
      <c r="AE89" s="149">
        <f>IFERROR(VLOOKUP(Z89,LISTS!$AL$2:$AM$1000,2,FALSE()),"")</f>
        <v>100</v>
      </c>
      <c r="AF89" s="151">
        <f>IFERROR(VLOOKUP(AA89,LISTS!$AO$2:$AP$1000,2,FALSE()),"")</f>
        <v>100</v>
      </c>
      <c r="AG89" s="152">
        <f>IFERROR(VLOOKUP(AB89,LISTS!$AR$2:$AS$1000,2,FALSE()),"")</f>
        <v>100</v>
      </c>
      <c r="AH89" s="154">
        <f>IFERROR(VLOOKUP(AC89,LISTS!$AU$2:$AV$1000,2,FALSE()),"")</f>
        <v>0</v>
      </c>
      <c r="AI89" s="238">
        <f t="shared" si="8"/>
        <v>100</v>
      </c>
      <c r="AJ89" s="190" t="str">
        <f t="shared" si="9"/>
        <v>🌟 ممتاز جدًا</v>
      </c>
      <c r="AK89" s="157">
        <f t="shared" si="5"/>
        <v>5</v>
      </c>
      <c r="AL89" s="160">
        <f t="shared" si="6"/>
        <v>2026</v>
      </c>
      <c r="AM89" s="210"/>
      <c r="AN89" s="209"/>
    </row>
    <row r="90" spans="1:40" ht="27.95" customHeight="1">
      <c r="A90" s="134">
        <f>IF(I90&lt;&gt;"",COUNTA($I$2:I90),"")</f>
        <v>89</v>
      </c>
      <c r="B90" s="138" t="str">
        <f t="shared" si="7"/>
        <v>الأحد</v>
      </c>
      <c r="C90" s="93" t="str">
        <f t="array" ref="C90">IF(E90="","",IF(M90&lt;&gt;"",
M90&amp;"/"&amp;SUMPRODUCT((M$2:M90=M90)*1)&amp;" - "&amp;(ROW()-2),
"إداري/"&amp;SUMPRODUCT((M$2:M90="")*1)&amp;" - "&amp;(ROW()-2)))</f>
        <v>إداري/85 - 88</v>
      </c>
      <c r="D90" s="141" t="str">
        <f>IF(AND(G90="",H90="",I90=""),"",IF(COUNTIFS(LISTS!$A$2:$A$67,G90,LISTS!$B$2:$B$67,H90,LISTS!$C$2:$C$67,I90)=0,"✗ هرم",IF(NOT(OR(Z90="ممتاز 100%",Z90="جيد 80%",Z90="مقبول 60%",Z90="خطر 40%",Z90="")),"✗ قائمة R",IF(NOT(OR(AA90="ممتاز 100%",AA90="جيد 85%",AA90="مقبول 70%",AA90="ضعيف 50%",AA90="")),"✗ قائمة S",IF(NOT(OR(AB90="مكتمل 100%",AB90="جزئي 60%",AB90="معلق 30%",AB90="مفتوح 0%",AB90="")),"✗ قائمة T",IF(NOT(OR(AC90="لا خصم 0",AC90="تأخير −5",AC90="عجز −10",AC90="جودة −15",AC90="امتثال −20",AC90="مخالفة −25",AC90="")),"✗ قائمة U",IF(AND(X90="لا",AC90&lt;&gt;"",AC90&lt;&gt;"لا خصم 0"),"✗ خصم",IF(AND(X90="نعم",AC90="لا خصم 0"),"✗ خصم",IF(AND(Z90="ممتاز 100%",AA90="ممتاز 100%",AB90&lt;&gt;"",AB90&lt;&gt;"مكتمل 100%"),"✗ إغلاق",IFERROR(IF(LEN(_xlfn.TEXTJOIN("، ",TRUE,IF(E90="","التاريخ",""),IF(F90="","الوقت",""),IF(G90="","المركز",""),IF(H90="","الدائرة",""),IF(I90="","القسم",""),IF(J90="","المسؤول",""),IF(K90="","نوع النشاط",""),IF(L90="","المشروع",""),IF(N90="","الممول",""),IF(V90="","الموضوع",""),IF(W90="","الملاحظة",""),IF(X90="","مشكلة",""),IF(Y90="","الإجراء",""),IF(Z90="","التنفيذ",""),IF(AA90="","الجودة",""),IF(AB90="","الإغلاق",""),IF(AC90="","الخصم",""),IF(AND(COUNTA($O90:$U90)&gt;0,O90=""),"مدير المشروع",""),IF(AND(COUNTA($O90:$U90)&gt;0,P90=""),"المستفيدين",""),IF(AND(COUNTA($O90:$U90)&gt;0,Q90=""),"المناطق",""),IF(AND(COUNTA($O90:$U90)&gt;0,R90=""),"الميزانية",""),IF(AND(COUNTA($O90:$U90)&gt;0,S90=""),"نسبة الجاهزية",""),IF(AND(COUNTA($O90:$U90)&gt;0,T90=""),"حالة الجاهزية",""),IF(AND(COUNTA($O90:$U90)&gt;0,U90=""),"التوصيات","")))&gt;0,"✗ ناقص: "&amp;_xlfn.TEXTJOIN("، ",TRUE,IF(E90="","التاريخ",""),IF(F90="","الوقت",""),IF(G90="","المركز",""),IF(H90="","الدائرة",""),IF(I90="","القسم",""),IF(J90="","المسؤول",""),IF(K90="","نوع النشاط",""),IF(L90="","المشروع",""),IF(N90="","الممول",""),IF(V90="","الموضوع",""),IF(W90="","الملاحظة",""),IF(X90="","مشكلة",""),IF(Y90="","الإجراء",""),IF(Z90="","التنفيذ",""),IF(AA90="","الجودة",""),IF(AB90="","الإغلاق",""),IF(AC90="","الخصم",""),IF(AND(COUNTA($O90:$U90)&gt;0,O90=""),"مدير المشروع",""),IF(AND(COUNTA($O90:$U90)&gt;0,P90=""),"المستفيدين",""),IF(AND(COUNTA($O90:$U90)&gt;0,Q90=""),"المناطق",""),IF(AND(COUNTA($O90:$U90)&gt;0,R90=""),"الميزانية",""),IF(AND(COUNTA($O90:$U90)&gt;0,S90=""),"نسبة الجاهزية",""),IF(AND(COUNTA($O90:$U90)&gt;0,T90=""),"حالة الجاهزية",""),IF(AND(COUNTA($O90:$U90)&gt;0,U90=""),"التوصيات","")),"✓"),"✓"))))))))))</f>
        <v>✗ ناقص: الممول</v>
      </c>
      <c r="E90" s="235">
        <v>46145</v>
      </c>
      <c r="F90" s="236">
        <v>0.46875</v>
      </c>
      <c r="G90" s="90" t="s">
        <v>97</v>
      </c>
      <c r="H90" s="123" t="s">
        <v>104</v>
      </c>
      <c r="I90" s="89" t="s">
        <v>177</v>
      </c>
      <c r="J90" s="142" t="s">
        <v>223</v>
      </c>
      <c r="K90" s="90" t="s">
        <v>133</v>
      </c>
      <c r="L90" s="90" t="s">
        <v>369</v>
      </c>
      <c r="M90" s="90"/>
      <c r="N90" s="89"/>
      <c r="O90" s="200"/>
      <c r="P90" s="201"/>
      <c r="Q90" s="201"/>
      <c r="R90" s="237"/>
      <c r="S90" s="202"/>
      <c r="T90" s="200"/>
      <c r="U90" s="203"/>
      <c r="V90" s="89" t="s">
        <v>829</v>
      </c>
      <c r="W90" s="89" t="s">
        <v>830</v>
      </c>
      <c r="X90" s="145" t="s">
        <v>651</v>
      </c>
      <c r="Y90" s="89" t="s">
        <v>652</v>
      </c>
      <c r="Z90" s="90" t="s">
        <v>130</v>
      </c>
      <c r="AA90" s="90" t="s">
        <v>149</v>
      </c>
      <c r="AB90" s="90" t="s">
        <v>131</v>
      </c>
      <c r="AC90" s="90" t="s">
        <v>132</v>
      </c>
      <c r="AD90" s="91" t="s">
        <v>26</v>
      </c>
      <c r="AE90" s="149">
        <f>IFERROR(VLOOKUP(Z90,LISTS!$AL$2:$AM$1000,2,FALSE()),"")</f>
        <v>100</v>
      </c>
      <c r="AF90" s="151">
        <f>IFERROR(VLOOKUP(AA90,LISTS!$AO$2:$AP$1000,2,FALSE()),"")</f>
        <v>85</v>
      </c>
      <c r="AG90" s="152">
        <f>IFERROR(VLOOKUP(AB90,LISTS!$AR$2:$AS$1000,2,FALSE()),"")</f>
        <v>100</v>
      </c>
      <c r="AH90" s="154">
        <f>IFERROR(VLOOKUP(AC90,LISTS!$AU$2:$AV$1000,2,FALSE()),"")</f>
        <v>0</v>
      </c>
      <c r="AI90" s="238">
        <f t="shared" si="8"/>
        <v>95.5</v>
      </c>
      <c r="AJ90" s="190" t="str">
        <f t="shared" si="9"/>
        <v>⭐ ممتاز</v>
      </c>
      <c r="AK90" s="157">
        <f t="shared" si="5"/>
        <v>5</v>
      </c>
      <c r="AL90" s="160">
        <f t="shared" si="6"/>
        <v>2026</v>
      </c>
      <c r="AM90" s="210"/>
      <c r="AN90" s="209"/>
    </row>
    <row r="91" spans="1:40" ht="27.95" customHeight="1">
      <c r="A91" s="134">
        <f>IF(I91&lt;&gt;"",COUNTA($I$2:I91),"")</f>
        <v>90</v>
      </c>
      <c r="B91" s="138" t="str">
        <f t="shared" si="7"/>
        <v>الأحد</v>
      </c>
      <c r="C91" s="93" t="str">
        <f t="array" ref="C91">IF(E91="","",IF(M91&lt;&gt;"",
M91&amp;"/"&amp;SUMPRODUCT((M$2:M91=M91)*1)&amp;" - "&amp;(ROW()-2),
"إداري/"&amp;SUMPRODUCT((M$2:M91="")*1)&amp;" - "&amp;(ROW()-2)))</f>
        <v>إداري/86 - 89</v>
      </c>
      <c r="D91" s="141" t="str">
        <f>IF(AND(G91="",H91="",I91=""),"",IF(COUNTIFS(LISTS!$A$2:$A$67,G91,LISTS!$B$2:$B$67,H91,LISTS!$C$2:$C$67,I91)=0,"✗ هرم",IF(NOT(OR(Z91="ممتاز 100%",Z91="جيد 80%",Z91="مقبول 60%",Z91="خطر 40%",Z91="")),"✗ قائمة R",IF(NOT(OR(AA91="ممتاز 100%",AA91="جيد 85%",AA91="مقبول 70%",AA91="ضعيف 50%",AA91="")),"✗ قائمة S",IF(NOT(OR(AB91="مكتمل 100%",AB91="جزئي 60%",AB91="معلق 30%",AB91="مفتوح 0%",AB91="")),"✗ قائمة T",IF(NOT(OR(AC91="لا خصم 0",AC91="تأخير −5",AC91="عجز −10",AC91="جودة −15",AC91="امتثال −20",AC91="مخالفة −25",AC91="")),"✗ قائمة U",IF(AND(X91="لا",AC91&lt;&gt;"",AC91&lt;&gt;"لا خصم 0"),"✗ خصم",IF(AND(X91="نعم",AC91="لا خصم 0"),"✗ خصم",IF(AND(Z91="ممتاز 100%",AA91="ممتاز 100%",AB91&lt;&gt;"",AB91&lt;&gt;"مكتمل 100%"),"✗ إغلاق",IFERROR(IF(LEN(_xlfn.TEXTJOIN("، ",TRUE,IF(E91="","التاريخ",""),IF(F91="","الوقت",""),IF(G91="","المركز",""),IF(H91="","الدائرة",""),IF(I91="","القسم",""),IF(J91="","المسؤول",""),IF(K91="","نوع النشاط",""),IF(L91="","المشروع",""),IF(N91="","الممول",""),IF(V91="","الموضوع",""),IF(W91="","الملاحظة",""),IF(X91="","مشكلة",""),IF(Y91="","الإجراء",""),IF(Z91="","التنفيذ",""),IF(AA91="","الجودة",""),IF(AB91="","الإغلاق",""),IF(AC91="","الخصم",""),IF(AND(COUNTA($O91:$U91)&gt;0,O91=""),"مدير المشروع",""),IF(AND(COUNTA($O91:$U91)&gt;0,P91=""),"المستفيدين",""),IF(AND(COUNTA($O91:$U91)&gt;0,Q91=""),"المناطق",""),IF(AND(COUNTA($O91:$U91)&gt;0,R91=""),"الميزانية",""),IF(AND(COUNTA($O91:$U91)&gt;0,S91=""),"نسبة الجاهزية",""),IF(AND(COUNTA($O91:$U91)&gt;0,T91=""),"حالة الجاهزية",""),IF(AND(COUNTA($O91:$U91)&gt;0,U91=""),"التوصيات","")))&gt;0,"✗ ناقص: "&amp;_xlfn.TEXTJOIN("، ",TRUE,IF(E91="","التاريخ",""),IF(F91="","الوقت",""),IF(G91="","المركز",""),IF(H91="","الدائرة",""),IF(I91="","القسم",""),IF(J91="","المسؤول",""),IF(K91="","نوع النشاط",""),IF(L91="","المشروع",""),IF(N91="","الممول",""),IF(V91="","الموضوع",""),IF(W91="","الملاحظة",""),IF(X91="","مشكلة",""),IF(Y91="","الإجراء",""),IF(Z91="","التنفيذ",""),IF(AA91="","الجودة",""),IF(AB91="","الإغلاق",""),IF(AC91="","الخصم",""),IF(AND(COUNTA($O91:$U91)&gt;0,O91=""),"مدير المشروع",""),IF(AND(COUNTA($O91:$U91)&gt;0,P91=""),"المستفيدين",""),IF(AND(COUNTA($O91:$U91)&gt;0,Q91=""),"المناطق",""),IF(AND(COUNTA($O91:$U91)&gt;0,R91=""),"الميزانية",""),IF(AND(COUNTA($O91:$U91)&gt;0,S91=""),"نسبة الجاهزية",""),IF(AND(COUNTA($O91:$U91)&gt;0,T91=""),"حالة الجاهزية",""),IF(AND(COUNTA($O91:$U91)&gt;0,U91=""),"التوصيات","")),"✓"),"✓"))))))))))</f>
        <v>✓</v>
      </c>
      <c r="E91" s="235">
        <v>46145</v>
      </c>
      <c r="F91" s="236">
        <v>0.50694444444444442</v>
      </c>
      <c r="G91" s="90" t="s">
        <v>97</v>
      </c>
      <c r="H91" s="123" t="s">
        <v>102</v>
      </c>
      <c r="I91" s="89" t="s">
        <v>159</v>
      </c>
      <c r="J91" s="142" t="s">
        <v>235</v>
      </c>
      <c r="K91" s="90" t="s">
        <v>116</v>
      </c>
      <c r="L91" s="90" t="s">
        <v>118</v>
      </c>
      <c r="M91" s="90"/>
      <c r="N91" s="89" t="s">
        <v>120</v>
      </c>
      <c r="O91" s="200"/>
      <c r="P91" s="201"/>
      <c r="Q91" s="201"/>
      <c r="R91" s="237"/>
      <c r="S91" s="202"/>
      <c r="T91" s="200"/>
      <c r="U91" s="203"/>
      <c r="V91" s="89" t="s">
        <v>831</v>
      </c>
      <c r="W91" s="89" t="s">
        <v>832</v>
      </c>
      <c r="X91" s="145" t="s">
        <v>647</v>
      </c>
      <c r="Y91" s="89" t="s">
        <v>666</v>
      </c>
      <c r="Z91" s="90" t="s">
        <v>165</v>
      </c>
      <c r="AA91" s="90" t="s">
        <v>149</v>
      </c>
      <c r="AB91" s="90" t="s">
        <v>167</v>
      </c>
      <c r="AC91" s="90" t="s">
        <v>184</v>
      </c>
      <c r="AD91" s="92" t="s">
        <v>26</v>
      </c>
      <c r="AE91" s="149">
        <f>IFERROR(VLOOKUP(Z91,LISTS!$AL$2:$AM$1000,2,FALSE()),"")</f>
        <v>80</v>
      </c>
      <c r="AF91" s="151">
        <f>IFERROR(VLOOKUP(AA91,LISTS!$AO$2:$AP$1000,2,FALSE()),"")</f>
        <v>85</v>
      </c>
      <c r="AG91" s="152">
        <f>IFERROR(VLOOKUP(AB91,LISTS!$AR$2:$AS$1000,2,FALSE()),"")</f>
        <v>60</v>
      </c>
      <c r="AH91" s="154">
        <f>IFERROR(VLOOKUP(AC91,LISTS!$AU$2:$AV$1000,2,FALSE()),"")</f>
        <v>10</v>
      </c>
      <c r="AI91" s="238">
        <f t="shared" si="8"/>
        <v>65.5</v>
      </c>
      <c r="AJ91" s="190" t="str">
        <f t="shared" si="9"/>
        <v>🟡 مقبول</v>
      </c>
      <c r="AK91" s="157">
        <f t="shared" si="5"/>
        <v>5</v>
      </c>
      <c r="AL91" s="160">
        <f t="shared" si="6"/>
        <v>2026</v>
      </c>
      <c r="AM91" s="210"/>
      <c r="AN91" s="209"/>
    </row>
    <row r="92" spans="1:40" ht="27.95" customHeight="1">
      <c r="A92" s="134">
        <f>IF(I92&lt;&gt;"",COUNTA($I$2:I92),"")</f>
        <v>91</v>
      </c>
      <c r="B92" s="138" t="str">
        <f t="shared" si="7"/>
        <v>الأحد</v>
      </c>
      <c r="C92" s="93" t="str">
        <f t="array" ref="C92">IF(E92="","",IF(M92&lt;&gt;"",
M92&amp;"/"&amp;SUMPRODUCT((M$2:M92=M92)*1)&amp;" - "&amp;(ROW()-2),
"إداري/"&amp;SUMPRODUCT((M$2:M92="")*1)&amp;" - "&amp;(ROW()-2)))</f>
        <v>إداري/87 - 90</v>
      </c>
      <c r="D92" s="141" t="str">
        <f>IF(AND(G92="",H92="",I92=""),"",IF(COUNTIFS(LISTS!$A$2:$A$67,G92,LISTS!$B$2:$B$67,H92,LISTS!$C$2:$C$67,I92)=0,"✗ هرم",IF(NOT(OR(Z92="ممتاز 100%",Z92="جيد 80%",Z92="مقبول 60%",Z92="خطر 40%",Z92="")),"✗ قائمة R",IF(NOT(OR(AA92="ممتاز 100%",AA92="جيد 85%",AA92="مقبول 70%",AA92="ضعيف 50%",AA92="")),"✗ قائمة S",IF(NOT(OR(AB92="مكتمل 100%",AB92="جزئي 60%",AB92="معلق 30%",AB92="مفتوح 0%",AB92="")),"✗ قائمة T",IF(NOT(OR(AC92="لا خصم 0",AC92="تأخير −5",AC92="عجز −10",AC92="جودة −15",AC92="امتثال −20",AC92="مخالفة −25",AC92="")),"✗ قائمة U",IF(AND(X92="لا",AC92&lt;&gt;"",AC92&lt;&gt;"لا خصم 0"),"✗ خصم",IF(AND(X92="نعم",AC92="لا خصم 0"),"✗ خصم",IF(AND(Z92="ممتاز 100%",AA92="ممتاز 100%",AB92&lt;&gt;"",AB92&lt;&gt;"مكتمل 100%"),"✗ إغلاق",IFERROR(IF(LEN(_xlfn.TEXTJOIN("، ",TRUE,IF(E92="","التاريخ",""),IF(F92="","الوقت",""),IF(G92="","المركز",""),IF(H92="","الدائرة",""),IF(I92="","القسم",""),IF(J92="","المسؤول",""),IF(K92="","نوع النشاط",""),IF(L92="","المشروع",""),IF(N92="","الممول",""),IF(V92="","الموضوع",""),IF(W92="","الملاحظة",""),IF(X92="","مشكلة",""),IF(Y92="","الإجراء",""),IF(Z92="","التنفيذ",""),IF(AA92="","الجودة",""),IF(AB92="","الإغلاق",""),IF(AC92="","الخصم",""),IF(AND(COUNTA($O92:$U92)&gt;0,O92=""),"مدير المشروع",""),IF(AND(COUNTA($O92:$U92)&gt;0,P92=""),"المستفيدين",""),IF(AND(COUNTA($O92:$U92)&gt;0,Q92=""),"المناطق",""),IF(AND(COUNTA($O92:$U92)&gt;0,R92=""),"الميزانية",""),IF(AND(COUNTA($O92:$U92)&gt;0,S92=""),"نسبة الجاهزية",""),IF(AND(COUNTA($O92:$U92)&gt;0,T92=""),"حالة الجاهزية",""),IF(AND(COUNTA($O92:$U92)&gt;0,U92=""),"التوصيات","")))&gt;0,"✗ ناقص: "&amp;_xlfn.TEXTJOIN("، ",TRUE,IF(E92="","التاريخ",""),IF(F92="","الوقت",""),IF(G92="","المركز",""),IF(H92="","الدائرة",""),IF(I92="","القسم",""),IF(J92="","المسؤول",""),IF(K92="","نوع النشاط",""),IF(L92="","المشروع",""),IF(N92="","الممول",""),IF(V92="","الموضوع",""),IF(W92="","الملاحظة",""),IF(X92="","مشكلة",""),IF(Y92="","الإجراء",""),IF(Z92="","التنفيذ",""),IF(AA92="","الجودة",""),IF(AB92="","الإغلاق",""),IF(AC92="","الخصم",""),IF(AND(COUNTA($O92:$U92)&gt;0,O92=""),"مدير المشروع",""),IF(AND(COUNTA($O92:$U92)&gt;0,P92=""),"المستفيدين",""),IF(AND(COUNTA($O92:$U92)&gt;0,Q92=""),"المناطق",""),IF(AND(COUNTA($O92:$U92)&gt;0,R92=""),"الميزانية",""),IF(AND(COUNTA($O92:$U92)&gt;0,S92=""),"نسبة الجاهزية",""),IF(AND(COUNTA($O92:$U92)&gt;0,T92=""),"حالة الجاهزية",""),IF(AND(COUNTA($O92:$U92)&gt;0,U92=""),"التوصيات","")),"✓"),"✓"))))))))))</f>
        <v>✗ ناقص: المسؤول</v>
      </c>
      <c r="E92" s="235">
        <v>46145</v>
      </c>
      <c r="F92" s="236">
        <v>0.51736111111111116</v>
      </c>
      <c r="G92" s="90" t="s">
        <v>97</v>
      </c>
      <c r="H92" s="123" t="s">
        <v>102</v>
      </c>
      <c r="I92" s="89" t="s">
        <v>142</v>
      </c>
      <c r="J92" s="142"/>
      <c r="K92" s="90" t="s">
        <v>116</v>
      </c>
      <c r="L92" s="90" t="s">
        <v>118</v>
      </c>
      <c r="M92" s="90"/>
      <c r="N92" s="89" t="s">
        <v>120</v>
      </c>
      <c r="O92" s="200"/>
      <c r="P92" s="201"/>
      <c r="Q92" s="201"/>
      <c r="R92" s="237"/>
      <c r="S92" s="202"/>
      <c r="T92" s="200"/>
      <c r="U92" s="203"/>
      <c r="V92" s="89" t="s">
        <v>833</v>
      </c>
      <c r="W92" s="89" t="s">
        <v>834</v>
      </c>
      <c r="X92" s="145" t="s">
        <v>651</v>
      </c>
      <c r="Y92" s="89" t="s">
        <v>652</v>
      </c>
      <c r="Z92" s="90" t="s">
        <v>130</v>
      </c>
      <c r="AA92" s="90" t="s">
        <v>130</v>
      </c>
      <c r="AB92" s="90" t="s">
        <v>131</v>
      </c>
      <c r="AC92" s="90" t="s">
        <v>132</v>
      </c>
      <c r="AD92" s="91" t="s">
        <v>26</v>
      </c>
      <c r="AE92" s="149">
        <f>IFERROR(VLOOKUP(Z92,LISTS!$AL$2:$AM$1000,2,FALSE()),"")</f>
        <v>100</v>
      </c>
      <c r="AF92" s="151">
        <f>IFERROR(VLOOKUP(AA92,LISTS!$AO$2:$AP$1000,2,FALSE()),"")</f>
        <v>100</v>
      </c>
      <c r="AG92" s="152">
        <f>IFERROR(VLOOKUP(AB92,LISTS!$AR$2:$AS$1000,2,FALSE()),"")</f>
        <v>100</v>
      </c>
      <c r="AH92" s="154">
        <f>IFERROR(VLOOKUP(AC92,LISTS!$AU$2:$AV$1000,2,FALSE()),"")</f>
        <v>0</v>
      </c>
      <c r="AI92" s="238">
        <f t="shared" si="8"/>
        <v>100</v>
      </c>
      <c r="AJ92" s="190" t="str">
        <f t="shared" si="9"/>
        <v>🌟 ممتاز جدًا</v>
      </c>
      <c r="AK92" s="157">
        <f t="shared" si="5"/>
        <v>5</v>
      </c>
      <c r="AL92" s="160">
        <f t="shared" si="6"/>
        <v>2026</v>
      </c>
      <c r="AM92" s="210"/>
      <c r="AN92" s="209"/>
    </row>
    <row r="93" spans="1:40" ht="27.95" customHeight="1">
      <c r="A93" s="134">
        <f>IF(I93&lt;&gt;"",COUNTA($I$2:I93),"")</f>
        <v>92</v>
      </c>
      <c r="B93" s="138" t="str">
        <f t="shared" si="7"/>
        <v>الأحد</v>
      </c>
      <c r="C93" s="93" t="str">
        <f t="array" ref="C93">IF(E93="","",IF(M93&lt;&gt;"",
M93&amp;"/"&amp;SUMPRODUCT((M$2:M93=M93)*1)&amp;" - "&amp;(ROW()-2),
"إداري/"&amp;SUMPRODUCT((M$2:M93="")*1)&amp;" - "&amp;(ROW()-2)))</f>
        <v>إداري/88 - 91</v>
      </c>
      <c r="D93" s="141" t="str">
        <f>IF(AND(G93="",H93="",I93=""),"",IF(COUNTIFS(LISTS!$A$2:$A$67,G93,LISTS!$B$2:$B$67,H93,LISTS!$C$2:$C$67,I93)=0,"✗ هرم",IF(NOT(OR(Z93="ممتاز 100%",Z93="جيد 80%",Z93="مقبول 60%",Z93="خطر 40%",Z93="")),"✗ قائمة R",IF(NOT(OR(AA93="ممتاز 100%",AA93="جيد 85%",AA93="مقبول 70%",AA93="ضعيف 50%",AA93="")),"✗ قائمة S",IF(NOT(OR(AB93="مكتمل 100%",AB93="جزئي 60%",AB93="معلق 30%",AB93="مفتوح 0%",AB93="")),"✗ قائمة T",IF(NOT(OR(AC93="لا خصم 0",AC93="تأخير −5",AC93="عجز −10",AC93="جودة −15",AC93="امتثال −20",AC93="مخالفة −25",AC93="")),"✗ قائمة U",IF(AND(X93="لا",AC93&lt;&gt;"",AC93&lt;&gt;"لا خصم 0"),"✗ خصم",IF(AND(X93="نعم",AC93="لا خصم 0"),"✗ خصم",IF(AND(Z93="ممتاز 100%",AA93="ممتاز 100%",AB93&lt;&gt;"",AB93&lt;&gt;"مكتمل 100%"),"✗ إغلاق",IFERROR(IF(LEN(_xlfn.TEXTJOIN("، ",TRUE,IF(E93="","التاريخ",""),IF(F93="","الوقت",""),IF(G93="","المركز",""),IF(H93="","الدائرة",""),IF(I93="","القسم",""),IF(J93="","المسؤول",""),IF(K93="","نوع النشاط",""),IF(L93="","المشروع",""),IF(N93="","الممول",""),IF(V93="","الموضوع",""),IF(W93="","الملاحظة",""),IF(X93="","مشكلة",""),IF(Y93="","الإجراء",""),IF(Z93="","التنفيذ",""),IF(AA93="","الجودة",""),IF(AB93="","الإغلاق",""),IF(AC93="","الخصم",""),IF(AND(COUNTA($O93:$U93)&gt;0,O93=""),"مدير المشروع",""),IF(AND(COUNTA($O93:$U93)&gt;0,P93=""),"المستفيدين",""),IF(AND(COUNTA($O93:$U93)&gt;0,Q93=""),"المناطق",""),IF(AND(COUNTA($O93:$U93)&gt;0,R93=""),"الميزانية",""),IF(AND(COUNTA($O93:$U93)&gt;0,S93=""),"نسبة الجاهزية",""),IF(AND(COUNTA($O93:$U93)&gt;0,T93=""),"حالة الجاهزية",""),IF(AND(COUNTA($O93:$U93)&gt;0,U93=""),"التوصيات","")))&gt;0,"✗ ناقص: "&amp;_xlfn.TEXTJOIN("، ",TRUE,IF(E93="","التاريخ",""),IF(F93="","الوقت",""),IF(G93="","المركز",""),IF(H93="","الدائرة",""),IF(I93="","القسم",""),IF(J93="","المسؤول",""),IF(K93="","نوع النشاط",""),IF(L93="","المشروع",""),IF(N93="","الممول",""),IF(V93="","الموضوع",""),IF(W93="","الملاحظة",""),IF(X93="","مشكلة",""),IF(Y93="","الإجراء",""),IF(Z93="","التنفيذ",""),IF(AA93="","الجودة",""),IF(AB93="","الإغلاق",""),IF(AC93="","الخصم",""),IF(AND(COUNTA($O93:$U93)&gt;0,O93=""),"مدير المشروع",""),IF(AND(COUNTA($O93:$U93)&gt;0,P93=""),"المستفيدين",""),IF(AND(COUNTA($O93:$U93)&gt;0,Q93=""),"المناطق",""),IF(AND(COUNTA($O93:$U93)&gt;0,R93=""),"الميزانية",""),IF(AND(COUNTA($O93:$U93)&gt;0,S93=""),"نسبة الجاهزية",""),IF(AND(COUNTA($O93:$U93)&gt;0,T93=""),"حالة الجاهزية",""),IF(AND(COUNTA($O93:$U93)&gt;0,U93=""),"التوصيات","")),"✓"),"✓"))))))))))</f>
        <v>✓</v>
      </c>
      <c r="E93" s="235">
        <v>46145</v>
      </c>
      <c r="F93" s="236">
        <v>0.48958333333333331</v>
      </c>
      <c r="G93" s="90" t="s">
        <v>97</v>
      </c>
      <c r="H93" s="123" t="s">
        <v>102</v>
      </c>
      <c r="I93" s="89" t="s">
        <v>191</v>
      </c>
      <c r="J93" s="142" t="s">
        <v>154</v>
      </c>
      <c r="K93" s="90" t="s">
        <v>116</v>
      </c>
      <c r="L93" s="90" t="s">
        <v>118</v>
      </c>
      <c r="M93" s="90"/>
      <c r="N93" s="89" t="s">
        <v>120</v>
      </c>
      <c r="O93" s="200"/>
      <c r="P93" s="201"/>
      <c r="Q93" s="201"/>
      <c r="R93" s="237"/>
      <c r="S93" s="202"/>
      <c r="T93" s="200"/>
      <c r="U93" s="203"/>
      <c r="V93" s="89" t="s">
        <v>835</v>
      </c>
      <c r="W93" s="89" t="s">
        <v>836</v>
      </c>
      <c r="X93" s="145" t="s">
        <v>651</v>
      </c>
      <c r="Y93" s="89" t="s">
        <v>652</v>
      </c>
      <c r="Z93" s="90" t="s">
        <v>130</v>
      </c>
      <c r="AA93" s="90" t="s">
        <v>130</v>
      </c>
      <c r="AB93" s="90" t="s">
        <v>131</v>
      </c>
      <c r="AC93" s="90" t="s">
        <v>132</v>
      </c>
      <c r="AD93" s="92" t="s">
        <v>26</v>
      </c>
      <c r="AE93" s="149">
        <f>IFERROR(VLOOKUP(Z93,LISTS!$AL$2:$AM$1000,2,FALSE()),"")</f>
        <v>100</v>
      </c>
      <c r="AF93" s="151">
        <f>IFERROR(VLOOKUP(AA93,LISTS!$AO$2:$AP$1000,2,FALSE()),"")</f>
        <v>100</v>
      </c>
      <c r="AG93" s="152">
        <f>IFERROR(VLOOKUP(AB93,LISTS!$AR$2:$AS$1000,2,FALSE()),"")</f>
        <v>100</v>
      </c>
      <c r="AH93" s="154">
        <f>IFERROR(VLOOKUP(AC93,LISTS!$AU$2:$AV$1000,2,FALSE()),"")</f>
        <v>0</v>
      </c>
      <c r="AI93" s="238">
        <f t="shared" si="8"/>
        <v>100</v>
      </c>
      <c r="AJ93" s="190" t="str">
        <f t="shared" si="9"/>
        <v>🌟 ممتاز جدًا</v>
      </c>
      <c r="AK93" s="157">
        <f t="shared" si="5"/>
        <v>5</v>
      </c>
      <c r="AL93" s="160">
        <f t="shared" si="6"/>
        <v>2026</v>
      </c>
      <c r="AM93" s="210"/>
      <c r="AN93" s="209"/>
    </row>
    <row r="94" spans="1:40" ht="27.95" customHeight="1">
      <c r="A94" s="134">
        <f>IF(I94&lt;&gt;"",COUNTA($I$2:I94),"")</f>
        <v>93</v>
      </c>
      <c r="B94" s="138" t="str">
        <f t="shared" si="7"/>
        <v>الأحد</v>
      </c>
      <c r="C94" s="93" t="str">
        <f t="array" ref="C94">IF(E94="","",IF(M94&lt;&gt;"",
M94&amp;"/"&amp;SUMPRODUCT((M$2:M94=M94)*1)&amp;" - "&amp;(ROW()-2),
"إداري/"&amp;SUMPRODUCT((M$2:M94="")*1)&amp;" - "&amp;(ROW()-2)))</f>
        <v>إداري/89 - 92</v>
      </c>
      <c r="D94" s="141" t="str">
        <f>IF(AND(G94="",H94="",I94=""),"",IF(COUNTIFS(LISTS!$A$2:$A$67,G94,LISTS!$B$2:$B$67,H94,LISTS!$C$2:$C$67,I94)=0,"✗ هرم",IF(NOT(OR(Z94="ممتاز 100%",Z94="جيد 80%",Z94="مقبول 60%",Z94="خطر 40%",Z94="")),"✗ قائمة R",IF(NOT(OR(AA94="ممتاز 100%",AA94="جيد 85%",AA94="مقبول 70%",AA94="ضعيف 50%",AA94="")),"✗ قائمة S",IF(NOT(OR(AB94="مكتمل 100%",AB94="جزئي 60%",AB94="معلق 30%",AB94="مفتوح 0%",AB94="")),"✗ قائمة T",IF(NOT(OR(AC94="لا خصم 0",AC94="تأخير −5",AC94="عجز −10",AC94="جودة −15",AC94="امتثال −20",AC94="مخالفة −25",AC94="")),"✗ قائمة U",IF(AND(X94="لا",AC94&lt;&gt;"",AC94&lt;&gt;"لا خصم 0"),"✗ خصم",IF(AND(X94="نعم",AC94="لا خصم 0"),"✗ خصم",IF(AND(Z94="ممتاز 100%",AA94="ممتاز 100%",AB94&lt;&gt;"",AB94&lt;&gt;"مكتمل 100%"),"✗ إغلاق",IFERROR(IF(LEN(_xlfn.TEXTJOIN("، ",TRUE,IF(E94="","التاريخ",""),IF(F94="","الوقت",""),IF(G94="","المركز",""),IF(H94="","الدائرة",""),IF(I94="","القسم",""),IF(J94="","المسؤول",""),IF(K94="","نوع النشاط",""),IF(L94="","المشروع",""),IF(N94="","الممول",""),IF(V94="","الموضوع",""),IF(W94="","الملاحظة",""),IF(X94="","مشكلة",""),IF(Y94="","الإجراء",""),IF(Z94="","التنفيذ",""),IF(AA94="","الجودة",""),IF(AB94="","الإغلاق",""),IF(AC94="","الخصم",""),IF(AND(COUNTA($O94:$U94)&gt;0,O94=""),"مدير المشروع",""),IF(AND(COUNTA($O94:$U94)&gt;0,P94=""),"المستفيدين",""),IF(AND(COUNTA($O94:$U94)&gt;0,Q94=""),"المناطق",""),IF(AND(COUNTA($O94:$U94)&gt;0,R94=""),"الميزانية",""),IF(AND(COUNTA($O94:$U94)&gt;0,S94=""),"نسبة الجاهزية",""),IF(AND(COUNTA($O94:$U94)&gt;0,T94=""),"حالة الجاهزية",""),IF(AND(COUNTA($O94:$U94)&gt;0,U94=""),"التوصيات","")))&gt;0,"✗ ناقص: "&amp;_xlfn.TEXTJOIN("، ",TRUE,IF(E94="","التاريخ",""),IF(F94="","الوقت",""),IF(G94="","المركز",""),IF(H94="","الدائرة",""),IF(I94="","القسم",""),IF(J94="","المسؤول",""),IF(K94="","نوع النشاط",""),IF(L94="","المشروع",""),IF(N94="","الممول",""),IF(V94="","الموضوع",""),IF(W94="","الملاحظة",""),IF(X94="","مشكلة",""),IF(Y94="","الإجراء",""),IF(Z94="","التنفيذ",""),IF(AA94="","الجودة",""),IF(AB94="","الإغلاق",""),IF(AC94="","الخصم",""),IF(AND(COUNTA($O94:$U94)&gt;0,O94=""),"مدير المشروع",""),IF(AND(COUNTA($O94:$U94)&gt;0,P94=""),"المستفيدين",""),IF(AND(COUNTA($O94:$U94)&gt;0,Q94=""),"المناطق",""),IF(AND(COUNTA($O94:$U94)&gt;0,R94=""),"الميزانية",""),IF(AND(COUNTA($O94:$U94)&gt;0,S94=""),"نسبة الجاهزية",""),IF(AND(COUNTA($O94:$U94)&gt;0,T94=""),"حالة الجاهزية",""),IF(AND(COUNTA($O94:$U94)&gt;0,U94=""),"التوصيات","")),"✓"),"✓"))))))))))</f>
        <v>✓</v>
      </c>
      <c r="E94" s="235">
        <v>46145</v>
      </c>
      <c r="F94" s="236">
        <v>0.54166666666666663</v>
      </c>
      <c r="G94" s="90" t="s">
        <v>97</v>
      </c>
      <c r="H94" s="123" t="s">
        <v>102</v>
      </c>
      <c r="I94" s="89" t="s">
        <v>124</v>
      </c>
      <c r="J94" s="142" t="s">
        <v>117</v>
      </c>
      <c r="K94" s="90" t="s">
        <v>116</v>
      </c>
      <c r="L94" s="90" t="s">
        <v>118</v>
      </c>
      <c r="M94" s="90"/>
      <c r="N94" s="89" t="s">
        <v>120</v>
      </c>
      <c r="O94" s="200"/>
      <c r="P94" s="201"/>
      <c r="Q94" s="201"/>
      <c r="R94" s="237"/>
      <c r="S94" s="202"/>
      <c r="T94" s="200"/>
      <c r="U94" s="203"/>
      <c r="V94" s="89" t="s">
        <v>837</v>
      </c>
      <c r="W94" s="89" t="s">
        <v>838</v>
      </c>
      <c r="X94" s="145" t="s">
        <v>651</v>
      </c>
      <c r="Y94" s="89" t="s">
        <v>652</v>
      </c>
      <c r="Z94" s="90" t="s">
        <v>130</v>
      </c>
      <c r="AA94" s="90" t="s">
        <v>130</v>
      </c>
      <c r="AB94" s="90" t="s">
        <v>131</v>
      </c>
      <c r="AC94" s="90" t="s">
        <v>132</v>
      </c>
      <c r="AD94" s="91" t="s">
        <v>26</v>
      </c>
      <c r="AE94" s="149">
        <f>IFERROR(VLOOKUP(Z94,LISTS!$AL$2:$AM$1000,2,FALSE()),"")</f>
        <v>100</v>
      </c>
      <c r="AF94" s="151">
        <f>IFERROR(VLOOKUP(AA94,LISTS!$AO$2:$AP$1000,2,FALSE()),"")</f>
        <v>100</v>
      </c>
      <c r="AG94" s="152">
        <f>IFERROR(VLOOKUP(AB94,LISTS!$AR$2:$AS$1000,2,FALSE()),"")</f>
        <v>100</v>
      </c>
      <c r="AH94" s="154">
        <f>IFERROR(VLOOKUP(AC94,LISTS!$AU$2:$AV$1000,2,FALSE()),"")</f>
        <v>0</v>
      </c>
      <c r="AI94" s="238">
        <f t="shared" si="8"/>
        <v>100</v>
      </c>
      <c r="AJ94" s="190" t="str">
        <f t="shared" si="9"/>
        <v>🌟 ممتاز جدًا</v>
      </c>
      <c r="AK94" s="157">
        <f t="shared" ref="AK94:AK157" si="10">IF(E94="","",MONTH(E94))</f>
        <v>5</v>
      </c>
      <c r="AL94" s="160">
        <f t="shared" ref="AL94:AL157" si="11">IF(E94="","",YEAR(E94))</f>
        <v>2026</v>
      </c>
      <c r="AM94" s="210"/>
      <c r="AN94" s="209"/>
    </row>
    <row r="95" spans="1:40" ht="27.95" customHeight="1">
      <c r="A95" s="134">
        <f>IF(I95&lt;&gt;"",COUNTA($I$2:I95),"")</f>
        <v>94</v>
      </c>
      <c r="B95" s="138" t="str">
        <f t="shared" ref="B95:B158" si="12">IF(E95="","",CHOOSE(WEEKDAY(E95,2),"الاثنين","الثلاثاء","الأربعاء","الخميس","الجمعة","السبت","الأحد"))</f>
        <v>الأحد</v>
      </c>
      <c r="C95" s="93" t="str">
        <f t="array" ref="C95">IF(E95="","",IF(M95&lt;&gt;"",
M95&amp;"/"&amp;SUMPRODUCT((M$2:M95=M95)*1)&amp;" - "&amp;(ROW()-2),
"إداري/"&amp;SUMPRODUCT((M$2:M95="")*1)&amp;" - "&amp;(ROW()-2)))</f>
        <v>إداري/90 - 93</v>
      </c>
      <c r="D95" s="141" t="str">
        <f>IF(AND(G95="",H95="",I95=""),"",IF(COUNTIFS(LISTS!$A$2:$A$67,G95,LISTS!$B$2:$B$67,H95,LISTS!$C$2:$C$67,I95)=0,"✗ هرم",IF(NOT(OR(Z95="ممتاز 100%",Z95="جيد 80%",Z95="مقبول 60%",Z95="خطر 40%",Z95="")),"✗ قائمة R",IF(NOT(OR(AA95="ممتاز 100%",AA95="جيد 85%",AA95="مقبول 70%",AA95="ضعيف 50%",AA95="")),"✗ قائمة S",IF(NOT(OR(AB95="مكتمل 100%",AB95="جزئي 60%",AB95="معلق 30%",AB95="مفتوح 0%",AB95="")),"✗ قائمة T",IF(NOT(OR(AC95="لا خصم 0",AC95="تأخير −5",AC95="عجز −10",AC95="جودة −15",AC95="امتثال −20",AC95="مخالفة −25",AC95="")),"✗ قائمة U",IF(AND(X95="لا",AC95&lt;&gt;"",AC95&lt;&gt;"لا خصم 0"),"✗ خصم",IF(AND(X95="نعم",AC95="لا خصم 0"),"✗ خصم",IF(AND(Z95="ممتاز 100%",AA95="ممتاز 100%",AB95&lt;&gt;"",AB95&lt;&gt;"مكتمل 100%"),"✗ إغلاق",IFERROR(IF(LEN(_xlfn.TEXTJOIN("، ",TRUE,IF(E95="","التاريخ",""),IF(F95="","الوقت",""),IF(G95="","المركز",""),IF(H95="","الدائرة",""),IF(I95="","القسم",""),IF(J95="","المسؤول",""),IF(K95="","نوع النشاط",""),IF(L95="","المشروع",""),IF(N95="","الممول",""),IF(V95="","الموضوع",""),IF(W95="","الملاحظة",""),IF(X95="","مشكلة",""),IF(Y95="","الإجراء",""),IF(Z95="","التنفيذ",""),IF(AA95="","الجودة",""),IF(AB95="","الإغلاق",""),IF(AC95="","الخصم",""),IF(AND(COUNTA($O95:$U95)&gt;0,O95=""),"مدير المشروع",""),IF(AND(COUNTA($O95:$U95)&gt;0,P95=""),"المستفيدين",""),IF(AND(COUNTA($O95:$U95)&gt;0,Q95=""),"المناطق",""),IF(AND(COUNTA($O95:$U95)&gt;0,R95=""),"الميزانية",""),IF(AND(COUNTA($O95:$U95)&gt;0,S95=""),"نسبة الجاهزية",""),IF(AND(COUNTA($O95:$U95)&gt;0,T95=""),"حالة الجاهزية",""),IF(AND(COUNTA($O95:$U95)&gt;0,U95=""),"التوصيات","")))&gt;0,"✗ ناقص: "&amp;_xlfn.TEXTJOIN("، ",TRUE,IF(E95="","التاريخ",""),IF(F95="","الوقت",""),IF(G95="","المركز",""),IF(H95="","الدائرة",""),IF(I95="","القسم",""),IF(J95="","المسؤول",""),IF(K95="","نوع النشاط",""),IF(L95="","المشروع",""),IF(N95="","الممول",""),IF(V95="","الموضوع",""),IF(W95="","الملاحظة",""),IF(X95="","مشكلة",""),IF(Y95="","الإجراء",""),IF(Z95="","التنفيذ",""),IF(AA95="","الجودة",""),IF(AB95="","الإغلاق",""),IF(AC95="","الخصم",""),IF(AND(COUNTA($O95:$U95)&gt;0,O95=""),"مدير المشروع",""),IF(AND(COUNTA($O95:$U95)&gt;0,P95=""),"المستفيدين",""),IF(AND(COUNTA($O95:$U95)&gt;0,Q95=""),"المناطق",""),IF(AND(COUNTA($O95:$U95)&gt;0,R95=""),"الميزانية",""),IF(AND(COUNTA($O95:$U95)&gt;0,S95=""),"نسبة الجاهزية",""),IF(AND(COUNTA($O95:$U95)&gt;0,T95=""),"حالة الجاهزية",""),IF(AND(COUNTA($O95:$U95)&gt;0,U95=""),"التوصيات","")),"✓"),"✓"))))))))))</f>
        <v>✓</v>
      </c>
      <c r="E95" s="235">
        <v>46145</v>
      </c>
      <c r="F95" s="236">
        <v>0.58333333333333337</v>
      </c>
      <c r="G95" s="90" t="s">
        <v>97</v>
      </c>
      <c r="H95" s="123" t="s">
        <v>102</v>
      </c>
      <c r="I95" s="89" t="s">
        <v>124</v>
      </c>
      <c r="J95" s="142" t="s">
        <v>117</v>
      </c>
      <c r="K95" s="90" t="s">
        <v>116</v>
      </c>
      <c r="L95" s="90" t="s">
        <v>369</v>
      </c>
      <c r="M95" s="90"/>
      <c r="N95" s="89" t="s">
        <v>655</v>
      </c>
      <c r="O95" s="200"/>
      <c r="P95" s="201"/>
      <c r="Q95" s="201"/>
      <c r="R95" s="237"/>
      <c r="S95" s="202"/>
      <c r="T95" s="200"/>
      <c r="U95" s="203"/>
      <c r="V95" s="89" t="s">
        <v>823</v>
      </c>
      <c r="W95" s="89" t="s">
        <v>839</v>
      </c>
      <c r="X95" s="145" t="s">
        <v>651</v>
      </c>
      <c r="Y95" s="89" t="s">
        <v>652</v>
      </c>
      <c r="Z95" s="90" t="s">
        <v>130</v>
      </c>
      <c r="AA95" s="90" t="s">
        <v>130</v>
      </c>
      <c r="AB95" s="90" t="s">
        <v>131</v>
      </c>
      <c r="AC95" s="90" t="s">
        <v>132</v>
      </c>
      <c r="AD95" s="92" t="s">
        <v>26</v>
      </c>
      <c r="AE95" s="149">
        <f>IFERROR(VLOOKUP(Z95,LISTS!$AL$2:$AM$1000,2,FALSE()),"")</f>
        <v>100</v>
      </c>
      <c r="AF95" s="151">
        <f>IFERROR(VLOOKUP(AA95,LISTS!$AO$2:$AP$1000,2,FALSE()),"")</f>
        <v>100</v>
      </c>
      <c r="AG95" s="152">
        <f>IFERROR(VLOOKUP(AB95,LISTS!$AR$2:$AS$1000,2,FALSE()),"")</f>
        <v>100</v>
      </c>
      <c r="AH95" s="154">
        <f>IFERROR(VLOOKUP(AC95,LISTS!$AU$2:$AV$1000,2,FALSE()),"")</f>
        <v>0</v>
      </c>
      <c r="AI95" s="238">
        <f t="shared" si="8"/>
        <v>100</v>
      </c>
      <c r="AJ95" s="190" t="str">
        <f t="shared" si="9"/>
        <v>🌟 ممتاز جدًا</v>
      </c>
      <c r="AK95" s="157">
        <f t="shared" si="10"/>
        <v>5</v>
      </c>
      <c r="AL95" s="160">
        <f t="shared" si="11"/>
        <v>2026</v>
      </c>
      <c r="AM95" s="210"/>
      <c r="AN95" s="209"/>
    </row>
    <row r="96" spans="1:40" ht="27.95" customHeight="1">
      <c r="A96" s="134">
        <f>IF(I96&lt;&gt;"",COUNTA($I$2:I96),"")</f>
        <v>95</v>
      </c>
      <c r="B96" s="138" t="str">
        <f t="shared" si="12"/>
        <v>الأحد</v>
      </c>
      <c r="C96" s="93" t="str">
        <f t="array" ref="C96">IF(E96="","",IF(M96&lt;&gt;"",
M96&amp;"/"&amp;SUMPRODUCT((M$2:M96=M96)*1)&amp;" - "&amp;(ROW()-2),
"إداري/"&amp;SUMPRODUCT((M$2:M96="")*1)&amp;" - "&amp;(ROW()-2)))</f>
        <v>إداري/91 - 94</v>
      </c>
      <c r="D96" s="141" t="str">
        <f>IF(AND(G96="",H96="",I96=""),"",IF(COUNTIFS(LISTS!$A$2:$A$67,G96,LISTS!$B$2:$B$67,H96,LISTS!$C$2:$C$67,I96)=0,"✗ هرم",IF(NOT(OR(Z96="ممتاز 100%",Z96="جيد 80%",Z96="مقبول 60%",Z96="خطر 40%",Z96="")),"✗ قائمة R",IF(NOT(OR(AA96="ممتاز 100%",AA96="جيد 85%",AA96="مقبول 70%",AA96="ضعيف 50%",AA96="")),"✗ قائمة S",IF(NOT(OR(AB96="مكتمل 100%",AB96="جزئي 60%",AB96="معلق 30%",AB96="مفتوح 0%",AB96="")),"✗ قائمة T",IF(NOT(OR(AC96="لا خصم 0",AC96="تأخير −5",AC96="عجز −10",AC96="جودة −15",AC96="امتثال −20",AC96="مخالفة −25",AC96="")),"✗ قائمة U",IF(AND(X96="لا",AC96&lt;&gt;"",AC96&lt;&gt;"لا خصم 0"),"✗ خصم",IF(AND(X96="نعم",AC96="لا خصم 0"),"✗ خصم",IF(AND(Z96="ممتاز 100%",AA96="ممتاز 100%",AB96&lt;&gt;"",AB96&lt;&gt;"مكتمل 100%"),"✗ إغلاق",IFERROR(IF(LEN(_xlfn.TEXTJOIN("، ",TRUE,IF(E96="","التاريخ",""),IF(F96="","الوقت",""),IF(G96="","المركز",""),IF(H96="","الدائرة",""),IF(I96="","القسم",""),IF(J96="","المسؤول",""),IF(K96="","نوع النشاط",""),IF(L96="","المشروع",""),IF(N96="","الممول",""),IF(V96="","الموضوع",""),IF(W96="","الملاحظة",""),IF(X96="","مشكلة",""),IF(Y96="","الإجراء",""),IF(Z96="","التنفيذ",""),IF(AA96="","الجودة",""),IF(AB96="","الإغلاق",""),IF(AC96="","الخصم",""),IF(AND(COUNTA($O96:$U96)&gt;0,O96=""),"مدير المشروع",""),IF(AND(COUNTA($O96:$U96)&gt;0,P96=""),"المستفيدين",""),IF(AND(COUNTA($O96:$U96)&gt;0,Q96=""),"المناطق",""),IF(AND(COUNTA($O96:$U96)&gt;0,R96=""),"الميزانية",""),IF(AND(COUNTA($O96:$U96)&gt;0,S96=""),"نسبة الجاهزية",""),IF(AND(COUNTA($O96:$U96)&gt;0,T96=""),"حالة الجاهزية",""),IF(AND(COUNTA($O96:$U96)&gt;0,U96=""),"التوصيات","")))&gt;0,"✗ ناقص: "&amp;_xlfn.TEXTJOIN("، ",TRUE,IF(E96="","التاريخ",""),IF(F96="","الوقت",""),IF(G96="","المركز",""),IF(H96="","الدائرة",""),IF(I96="","القسم",""),IF(J96="","المسؤول",""),IF(K96="","نوع النشاط",""),IF(L96="","المشروع",""),IF(N96="","الممول",""),IF(V96="","الموضوع",""),IF(W96="","الملاحظة",""),IF(X96="","مشكلة",""),IF(Y96="","الإجراء",""),IF(Z96="","التنفيذ",""),IF(AA96="","الجودة",""),IF(AB96="","الإغلاق",""),IF(AC96="","الخصم",""),IF(AND(COUNTA($O96:$U96)&gt;0,O96=""),"مدير المشروع",""),IF(AND(COUNTA($O96:$U96)&gt;0,P96=""),"المستفيدين",""),IF(AND(COUNTA($O96:$U96)&gt;0,Q96=""),"المناطق",""),IF(AND(COUNTA($O96:$U96)&gt;0,R96=""),"الميزانية",""),IF(AND(COUNTA($O96:$U96)&gt;0,S96=""),"نسبة الجاهزية",""),IF(AND(COUNTA($O96:$U96)&gt;0,T96=""),"حالة الجاهزية",""),IF(AND(COUNTA($O96:$U96)&gt;0,U96=""),"التوصيات","")),"✓"),"✓"))))))))))</f>
        <v>✗ ناقص: الممول</v>
      </c>
      <c r="E96" s="235">
        <v>46145</v>
      </c>
      <c r="F96" s="236">
        <v>0.60416666666666663</v>
      </c>
      <c r="G96" s="90" t="s">
        <v>97</v>
      </c>
      <c r="H96" s="123" t="s">
        <v>102</v>
      </c>
      <c r="I96" s="89" t="s">
        <v>142</v>
      </c>
      <c r="J96" s="142" t="s">
        <v>117</v>
      </c>
      <c r="K96" s="90" t="s">
        <v>116</v>
      </c>
      <c r="L96" s="90" t="s">
        <v>171</v>
      </c>
      <c r="M96" s="90"/>
      <c r="N96" s="89"/>
      <c r="O96" s="200"/>
      <c r="P96" s="201"/>
      <c r="Q96" s="201"/>
      <c r="R96" s="237"/>
      <c r="S96" s="202"/>
      <c r="T96" s="200"/>
      <c r="U96" s="203"/>
      <c r="V96" s="89" t="s">
        <v>840</v>
      </c>
      <c r="W96" s="89" t="s">
        <v>841</v>
      </c>
      <c r="X96" s="145" t="s">
        <v>651</v>
      </c>
      <c r="Y96" s="89" t="s">
        <v>652</v>
      </c>
      <c r="Z96" s="90" t="s">
        <v>130</v>
      </c>
      <c r="AA96" s="90" t="s">
        <v>130</v>
      </c>
      <c r="AB96" s="90" t="s">
        <v>131</v>
      </c>
      <c r="AC96" s="90" t="s">
        <v>132</v>
      </c>
      <c r="AD96" s="91" t="s">
        <v>26</v>
      </c>
      <c r="AE96" s="149">
        <f>IFERROR(VLOOKUP(Z96,LISTS!$AL$2:$AM$1000,2,FALSE()),"")</f>
        <v>100</v>
      </c>
      <c r="AF96" s="151">
        <f>IFERROR(VLOOKUP(AA96,LISTS!$AO$2:$AP$1000,2,FALSE()),"")</f>
        <v>100</v>
      </c>
      <c r="AG96" s="152">
        <f>IFERROR(VLOOKUP(AB96,LISTS!$AR$2:$AS$1000,2,FALSE()),"")</f>
        <v>100</v>
      </c>
      <c r="AH96" s="154">
        <f>IFERROR(VLOOKUP(AC96,LISTS!$AU$2:$AV$1000,2,FALSE()),"")</f>
        <v>0</v>
      </c>
      <c r="AI96" s="238">
        <f t="shared" si="8"/>
        <v>100</v>
      </c>
      <c r="AJ96" s="190" t="str">
        <f t="shared" si="9"/>
        <v>🌟 ممتاز جدًا</v>
      </c>
      <c r="AK96" s="157">
        <f t="shared" si="10"/>
        <v>5</v>
      </c>
      <c r="AL96" s="160">
        <f t="shared" si="11"/>
        <v>2026</v>
      </c>
      <c r="AM96" s="210"/>
      <c r="AN96" s="209"/>
    </row>
    <row r="97" spans="1:40" ht="27.95" customHeight="1">
      <c r="A97" s="134">
        <f>IF(I97&lt;&gt;"",COUNTA($I$2:I97),"")</f>
        <v>96</v>
      </c>
      <c r="B97" s="138" t="str">
        <f t="shared" si="12"/>
        <v>الاثنين</v>
      </c>
      <c r="C97" s="93" t="str">
        <f t="array" ref="C97">IF(E97="","",IF(M97&lt;&gt;"",
M97&amp;"/"&amp;SUMPRODUCT((M$2:M97=M97)*1)&amp;" - "&amp;(ROW()-2),
"إداري/"&amp;SUMPRODUCT((M$2:M97="")*1)&amp;" - "&amp;(ROW()-2)))</f>
        <v>إداري/92 - 95</v>
      </c>
      <c r="D97" s="141" t="str">
        <f>IF(AND(G97="",H97="",I97=""),"",IF(COUNTIFS(LISTS!$A$2:$A$67,G97,LISTS!$B$2:$B$67,H97,LISTS!$C$2:$C$67,I97)=0,"✗ هرم",IF(NOT(OR(Z97="ممتاز 100%",Z97="جيد 80%",Z97="مقبول 60%",Z97="خطر 40%",Z97="")),"✗ قائمة R",IF(NOT(OR(AA97="ممتاز 100%",AA97="جيد 85%",AA97="مقبول 70%",AA97="ضعيف 50%",AA97="")),"✗ قائمة S",IF(NOT(OR(AB97="مكتمل 100%",AB97="جزئي 60%",AB97="معلق 30%",AB97="مفتوح 0%",AB97="")),"✗ قائمة T",IF(NOT(OR(AC97="لا خصم 0",AC97="تأخير −5",AC97="عجز −10",AC97="جودة −15",AC97="امتثال −20",AC97="مخالفة −25",AC97="")),"✗ قائمة U",IF(AND(X97="لا",AC97&lt;&gt;"",AC97&lt;&gt;"لا خصم 0"),"✗ خصم",IF(AND(X97="نعم",AC97="لا خصم 0"),"✗ خصم",IF(AND(Z97="ممتاز 100%",AA97="ممتاز 100%",AB97&lt;&gt;"",AB97&lt;&gt;"مكتمل 100%"),"✗ إغلاق",IFERROR(IF(LEN(_xlfn.TEXTJOIN("، ",TRUE,IF(E97="","التاريخ",""),IF(F97="","الوقت",""),IF(G97="","المركز",""),IF(H97="","الدائرة",""),IF(I97="","القسم",""),IF(J97="","المسؤول",""),IF(K97="","نوع النشاط",""),IF(L97="","المشروع",""),IF(N97="","الممول",""),IF(V97="","الموضوع",""),IF(W97="","الملاحظة",""),IF(X97="","مشكلة",""),IF(Y97="","الإجراء",""),IF(Z97="","التنفيذ",""),IF(AA97="","الجودة",""),IF(AB97="","الإغلاق",""),IF(AC97="","الخصم",""),IF(AND(COUNTA($O97:$U97)&gt;0,O97=""),"مدير المشروع",""),IF(AND(COUNTA($O97:$U97)&gt;0,P97=""),"المستفيدين",""),IF(AND(COUNTA($O97:$U97)&gt;0,Q97=""),"المناطق",""),IF(AND(COUNTA($O97:$U97)&gt;0,R97=""),"الميزانية",""),IF(AND(COUNTA($O97:$U97)&gt;0,S97=""),"نسبة الجاهزية",""),IF(AND(COUNTA($O97:$U97)&gt;0,T97=""),"حالة الجاهزية",""),IF(AND(COUNTA($O97:$U97)&gt;0,U97=""),"التوصيات","")))&gt;0,"✗ ناقص: "&amp;_xlfn.TEXTJOIN("، ",TRUE,IF(E97="","التاريخ",""),IF(F97="","الوقت",""),IF(G97="","المركز",""),IF(H97="","الدائرة",""),IF(I97="","القسم",""),IF(J97="","المسؤول",""),IF(K97="","نوع النشاط",""),IF(L97="","المشروع",""),IF(N97="","الممول",""),IF(V97="","الموضوع",""),IF(W97="","الملاحظة",""),IF(X97="","مشكلة",""),IF(Y97="","الإجراء",""),IF(Z97="","التنفيذ",""),IF(AA97="","الجودة",""),IF(AB97="","الإغلاق",""),IF(AC97="","الخصم",""),IF(AND(COUNTA($O97:$U97)&gt;0,O97=""),"مدير المشروع",""),IF(AND(COUNTA($O97:$U97)&gt;0,P97=""),"المستفيدين",""),IF(AND(COUNTA($O97:$U97)&gt;0,Q97=""),"المناطق",""),IF(AND(COUNTA($O97:$U97)&gt;0,R97=""),"الميزانية",""),IF(AND(COUNTA($O97:$U97)&gt;0,S97=""),"نسبة الجاهزية",""),IF(AND(COUNTA($O97:$U97)&gt;0,T97=""),"حالة الجاهزية",""),IF(AND(COUNTA($O97:$U97)&gt;0,U97=""),"التوصيات","")),"✓"),"✓"))))))))))</f>
        <v>✗ ناقص: الوقت</v>
      </c>
      <c r="E97" s="235">
        <v>46146</v>
      </c>
      <c r="F97" s="236"/>
      <c r="G97" s="90" t="s">
        <v>97</v>
      </c>
      <c r="H97" s="123" t="s">
        <v>101</v>
      </c>
      <c r="I97" s="89" t="s">
        <v>123</v>
      </c>
      <c r="J97" s="142" t="s">
        <v>186</v>
      </c>
      <c r="K97" s="90" t="s">
        <v>169</v>
      </c>
      <c r="L97" s="90" t="s">
        <v>171</v>
      </c>
      <c r="M97" s="90"/>
      <c r="N97" s="89" t="s">
        <v>138</v>
      </c>
      <c r="O97" s="200"/>
      <c r="P97" s="201"/>
      <c r="Q97" s="201"/>
      <c r="R97" s="237"/>
      <c r="S97" s="202"/>
      <c r="T97" s="200"/>
      <c r="U97" s="203"/>
      <c r="V97" s="89" t="s">
        <v>842</v>
      </c>
      <c r="W97" s="89" t="s">
        <v>843</v>
      </c>
      <c r="X97" s="145" t="s">
        <v>651</v>
      </c>
      <c r="Y97" s="89" t="s">
        <v>652</v>
      </c>
      <c r="Z97" s="90" t="s">
        <v>130</v>
      </c>
      <c r="AA97" s="90" t="s">
        <v>130</v>
      </c>
      <c r="AB97" s="90" t="s">
        <v>131</v>
      </c>
      <c r="AC97" s="90" t="s">
        <v>132</v>
      </c>
      <c r="AD97" s="92" t="s">
        <v>26</v>
      </c>
      <c r="AE97" s="149">
        <f>IFERROR(VLOOKUP(Z97,LISTS!$AL$2:$AM$1000,2,FALSE()),"")</f>
        <v>100</v>
      </c>
      <c r="AF97" s="151">
        <f>IFERROR(VLOOKUP(AA97,LISTS!$AO$2:$AP$1000,2,FALSE()),"")</f>
        <v>100</v>
      </c>
      <c r="AG97" s="152">
        <f>IFERROR(VLOOKUP(AB97,LISTS!$AR$2:$AS$1000,2,FALSE()),"")</f>
        <v>100</v>
      </c>
      <c r="AH97" s="154">
        <f>IFERROR(VLOOKUP(AC97,LISTS!$AU$2:$AV$1000,2,FALSE()),"")</f>
        <v>0</v>
      </c>
      <c r="AI97" s="238">
        <f t="shared" si="8"/>
        <v>100</v>
      </c>
      <c r="AJ97" s="190" t="str">
        <f t="shared" si="9"/>
        <v>🌟 ممتاز جدًا</v>
      </c>
      <c r="AK97" s="157">
        <f t="shared" si="10"/>
        <v>5</v>
      </c>
      <c r="AL97" s="160">
        <f t="shared" si="11"/>
        <v>2026</v>
      </c>
      <c r="AM97" s="210"/>
      <c r="AN97" s="209"/>
    </row>
    <row r="98" spans="1:40" ht="27.95" customHeight="1">
      <c r="A98" s="134">
        <f>IF(I98&lt;&gt;"",COUNTA($I$2:I98),"")</f>
        <v>97</v>
      </c>
      <c r="B98" s="138" t="str">
        <f t="shared" si="12"/>
        <v>الاثنين</v>
      </c>
      <c r="C98" s="93" t="str">
        <f t="array" ref="C98">IF(E98="","",IF(M98&lt;&gt;"",
M98&amp;"/"&amp;SUMPRODUCT((M$2:M98=M98)*1)&amp;" - "&amp;(ROW()-2),
"إداري/"&amp;SUMPRODUCT((M$2:M98="")*1)&amp;" - "&amp;(ROW()-2)))</f>
        <v>إداري/93 - 96</v>
      </c>
      <c r="D98" s="141" t="str">
        <f>IF(AND(G98="",H98="",I98=""),"",IF(COUNTIFS(LISTS!$A$2:$A$67,G98,LISTS!$B$2:$B$67,H98,LISTS!$C$2:$C$67,I98)=0,"✗ هرم",IF(NOT(OR(Z98="ممتاز 100%",Z98="جيد 80%",Z98="مقبول 60%",Z98="خطر 40%",Z98="")),"✗ قائمة R",IF(NOT(OR(AA98="ممتاز 100%",AA98="جيد 85%",AA98="مقبول 70%",AA98="ضعيف 50%",AA98="")),"✗ قائمة S",IF(NOT(OR(AB98="مكتمل 100%",AB98="جزئي 60%",AB98="معلق 30%",AB98="مفتوح 0%",AB98="")),"✗ قائمة T",IF(NOT(OR(AC98="لا خصم 0",AC98="تأخير −5",AC98="عجز −10",AC98="جودة −15",AC98="امتثال −20",AC98="مخالفة −25",AC98="")),"✗ قائمة U",IF(AND(X98="لا",AC98&lt;&gt;"",AC98&lt;&gt;"لا خصم 0"),"✗ خصم",IF(AND(X98="نعم",AC98="لا خصم 0"),"✗ خصم",IF(AND(Z98="ممتاز 100%",AA98="ممتاز 100%",AB98&lt;&gt;"",AB98&lt;&gt;"مكتمل 100%"),"✗ إغلاق",IFERROR(IF(LEN(_xlfn.TEXTJOIN("، ",TRUE,IF(E98="","التاريخ",""),IF(F98="","الوقت",""),IF(G98="","المركز",""),IF(H98="","الدائرة",""),IF(I98="","القسم",""),IF(J98="","المسؤول",""),IF(K98="","نوع النشاط",""),IF(L98="","المشروع",""),IF(N98="","الممول",""),IF(V98="","الموضوع",""),IF(W98="","الملاحظة",""),IF(X98="","مشكلة",""),IF(Y98="","الإجراء",""),IF(Z98="","التنفيذ",""),IF(AA98="","الجودة",""),IF(AB98="","الإغلاق",""),IF(AC98="","الخصم",""),IF(AND(COUNTA($O98:$U98)&gt;0,O98=""),"مدير المشروع",""),IF(AND(COUNTA($O98:$U98)&gt;0,P98=""),"المستفيدين",""),IF(AND(COUNTA($O98:$U98)&gt;0,Q98=""),"المناطق",""),IF(AND(COUNTA($O98:$U98)&gt;0,R98=""),"الميزانية",""),IF(AND(COUNTA($O98:$U98)&gt;0,S98=""),"نسبة الجاهزية",""),IF(AND(COUNTA($O98:$U98)&gt;0,T98=""),"حالة الجاهزية",""),IF(AND(COUNTA($O98:$U98)&gt;0,U98=""),"التوصيات","")))&gt;0,"✗ ناقص: "&amp;_xlfn.TEXTJOIN("، ",TRUE,IF(E98="","التاريخ",""),IF(F98="","الوقت",""),IF(G98="","المركز",""),IF(H98="","الدائرة",""),IF(I98="","القسم",""),IF(J98="","المسؤول",""),IF(K98="","نوع النشاط",""),IF(L98="","المشروع",""),IF(N98="","الممول",""),IF(V98="","الموضوع",""),IF(W98="","الملاحظة",""),IF(X98="","مشكلة",""),IF(Y98="","الإجراء",""),IF(Z98="","التنفيذ",""),IF(AA98="","الجودة",""),IF(AB98="","الإغلاق",""),IF(AC98="","الخصم",""),IF(AND(COUNTA($O98:$U98)&gt;0,O98=""),"مدير المشروع",""),IF(AND(COUNTA($O98:$U98)&gt;0,P98=""),"المستفيدين",""),IF(AND(COUNTA($O98:$U98)&gt;0,Q98=""),"المناطق",""),IF(AND(COUNTA($O98:$U98)&gt;0,R98=""),"الميزانية",""),IF(AND(COUNTA($O98:$U98)&gt;0,S98=""),"نسبة الجاهزية",""),IF(AND(COUNTA($O98:$U98)&gt;0,T98=""),"حالة الجاهزية",""),IF(AND(COUNTA($O98:$U98)&gt;0,U98=""),"التوصيات","")),"✓"),"✓"))))))))))</f>
        <v>✗ ناقص: الممول</v>
      </c>
      <c r="E98" s="235">
        <v>46146</v>
      </c>
      <c r="F98" s="236">
        <v>0.42708333333333331</v>
      </c>
      <c r="G98" s="90" t="s">
        <v>97</v>
      </c>
      <c r="H98" s="123" t="s">
        <v>103</v>
      </c>
      <c r="I98" s="89" t="s">
        <v>160</v>
      </c>
      <c r="J98" s="142" t="s">
        <v>254</v>
      </c>
      <c r="K98" s="90" t="s">
        <v>207</v>
      </c>
      <c r="L98" s="90" t="s">
        <v>378</v>
      </c>
      <c r="M98" s="90"/>
      <c r="N98" s="89"/>
      <c r="O98" s="200"/>
      <c r="P98" s="201"/>
      <c r="Q98" s="201"/>
      <c r="R98" s="237"/>
      <c r="S98" s="202"/>
      <c r="T98" s="200"/>
      <c r="U98" s="203"/>
      <c r="V98" s="89" t="s">
        <v>844</v>
      </c>
      <c r="W98" s="89" t="s">
        <v>845</v>
      </c>
      <c r="X98" s="145" t="s">
        <v>651</v>
      </c>
      <c r="Y98" s="89" t="s">
        <v>652</v>
      </c>
      <c r="Z98" s="90" t="s">
        <v>130</v>
      </c>
      <c r="AA98" s="90" t="s">
        <v>130</v>
      </c>
      <c r="AB98" s="90" t="s">
        <v>131</v>
      </c>
      <c r="AC98" s="90" t="s">
        <v>132</v>
      </c>
      <c r="AD98" s="91" t="s">
        <v>26</v>
      </c>
      <c r="AE98" s="149">
        <f>IFERROR(VLOOKUP(Z98,LISTS!$AL$2:$AM$1000,2,FALSE()),"")</f>
        <v>100</v>
      </c>
      <c r="AF98" s="151">
        <f>IFERROR(VLOOKUP(AA98,LISTS!$AO$2:$AP$1000,2,FALSE()),"")</f>
        <v>100</v>
      </c>
      <c r="AG98" s="152">
        <f>IFERROR(VLOOKUP(AB98,LISTS!$AR$2:$AS$1000,2,FALSE()),"")</f>
        <v>100</v>
      </c>
      <c r="AH98" s="154">
        <f>IFERROR(VLOOKUP(AC98,LISTS!$AU$2:$AV$1000,2,FALSE()),"")</f>
        <v>0</v>
      </c>
      <c r="AI98" s="238">
        <f t="shared" si="8"/>
        <v>100</v>
      </c>
      <c r="AJ98" s="190" t="str">
        <f t="shared" si="9"/>
        <v>🌟 ممتاز جدًا</v>
      </c>
      <c r="AK98" s="157">
        <f t="shared" si="10"/>
        <v>5</v>
      </c>
      <c r="AL98" s="160">
        <f t="shared" si="11"/>
        <v>2026</v>
      </c>
      <c r="AM98" s="210"/>
      <c r="AN98" s="209"/>
    </row>
    <row r="99" spans="1:40" ht="27.95" customHeight="1">
      <c r="A99" s="134">
        <f>IF(I99&lt;&gt;"",COUNTA($I$2:I99),"")</f>
        <v>98</v>
      </c>
      <c r="B99" s="138" t="str">
        <f t="shared" si="12"/>
        <v>الاثنين</v>
      </c>
      <c r="C99" s="93" t="str">
        <f t="array" ref="C99">IF(E99="","",IF(M99&lt;&gt;"",
M99&amp;"/"&amp;SUMPRODUCT((M$2:M99=M99)*1)&amp;" - "&amp;(ROW()-2),
"إداري/"&amp;SUMPRODUCT((M$2:M99="")*1)&amp;" - "&amp;(ROW()-2)))</f>
        <v>إداري/94 - 97</v>
      </c>
      <c r="D99" s="141" t="str">
        <f>IF(AND(G99="",H99="",I99=""),"",IF(COUNTIFS(LISTS!$A$2:$A$67,G99,LISTS!$B$2:$B$67,H99,LISTS!$C$2:$C$67,I99)=0,"✗ هرم",IF(NOT(OR(Z99="ممتاز 100%",Z99="جيد 80%",Z99="مقبول 60%",Z99="خطر 40%",Z99="")),"✗ قائمة R",IF(NOT(OR(AA99="ممتاز 100%",AA99="جيد 85%",AA99="مقبول 70%",AA99="ضعيف 50%",AA99="")),"✗ قائمة S",IF(NOT(OR(AB99="مكتمل 100%",AB99="جزئي 60%",AB99="معلق 30%",AB99="مفتوح 0%",AB99="")),"✗ قائمة T",IF(NOT(OR(AC99="لا خصم 0",AC99="تأخير −5",AC99="عجز −10",AC99="جودة −15",AC99="امتثال −20",AC99="مخالفة −25",AC99="")),"✗ قائمة U",IF(AND(X99="لا",AC99&lt;&gt;"",AC99&lt;&gt;"لا خصم 0"),"✗ خصم",IF(AND(X99="نعم",AC99="لا خصم 0"),"✗ خصم",IF(AND(Z99="ممتاز 100%",AA99="ممتاز 100%",AB99&lt;&gt;"",AB99&lt;&gt;"مكتمل 100%"),"✗ إغلاق",IFERROR(IF(LEN(_xlfn.TEXTJOIN("، ",TRUE,IF(E99="","التاريخ",""),IF(F99="","الوقت",""),IF(G99="","المركز",""),IF(H99="","الدائرة",""),IF(I99="","القسم",""),IF(J99="","المسؤول",""),IF(K99="","نوع النشاط",""),IF(L99="","المشروع",""),IF(N99="","الممول",""),IF(V99="","الموضوع",""),IF(W99="","الملاحظة",""),IF(X99="","مشكلة",""),IF(Y99="","الإجراء",""),IF(Z99="","التنفيذ",""),IF(AA99="","الجودة",""),IF(AB99="","الإغلاق",""),IF(AC99="","الخصم",""),IF(AND(COUNTA($O99:$U99)&gt;0,O99=""),"مدير المشروع",""),IF(AND(COUNTA($O99:$U99)&gt;0,P99=""),"المستفيدين",""),IF(AND(COUNTA($O99:$U99)&gt;0,Q99=""),"المناطق",""),IF(AND(COUNTA($O99:$U99)&gt;0,R99=""),"الميزانية",""),IF(AND(COUNTA($O99:$U99)&gt;0,S99=""),"نسبة الجاهزية",""),IF(AND(COUNTA($O99:$U99)&gt;0,T99=""),"حالة الجاهزية",""),IF(AND(COUNTA($O99:$U99)&gt;0,U99=""),"التوصيات","")))&gt;0,"✗ ناقص: "&amp;_xlfn.TEXTJOIN("، ",TRUE,IF(E99="","التاريخ",""),IF(F99="","الوقت",""),IF(G99="","المركز",""),IF(H99="","الدائرة",""),IF(I99="","القسم",""),IF(J99="","المسؤول",""),IF(K99="","نوع النشاط",""),IF(L99="","المشروع",""),IF(N99="","الممول",""),IF(V99="","الموضوع",""),IF(W99="","الملاحظة",""),IF(X99="","مشكلة",""),IF(Y99="","الإجراء",""),IF(Z99="","التنفيذ",""),IF(AA99="","الجودة",""),IF(AB99="","الإغلاق",""),IF(AC99="","الخصم",""),IF(AND(COUNTA($O99:$U99)&gt;0,O99=""),"مدير المشروع",""),IF(AND(COUNTA($O99:$U99)&gt;0,P99=""),"المستفيدين",""),IF(AND(COUNTA($O99:$U99)&gt;0,Q99=""),"المناطق",""),IF(AND(COUNTA($O99:$U99)&gt;0,R99=""),"الميزانية",""),IF(AND(COUNTA($O99:$U99)&gt;0,S99=""),"نسبة الجاهزية",""),IF(AND(COUNTA($O99:$U99)&gt;0,T99=""),"حالة الجاهزية",""),IF(AND(COUNTA($O99:$U99)&gt;0,U99=""),"التوصيات","")),"✓"),"✓"))))))))))</f>
        <v>✗ ناقص: المسؤول</v>
      </c>
      <c r="E99" s="235">
        <v>46146</v>
      </c>
      <c r="F99" s="236">
        <v>0.52083333333333337</v>
      </c>
      <c r="G99" s="90" t="s">
        <v>97</v>
      </c>
      <c r="H99" s="123" t="s">
        <v>102</v>
      </c>
      <c r="I99" s="89" t="s">
        <v>142</v>
      </c>
      <c r="J99" s="142"/>
      <c r="K99" s="90" t="s">
        <v>116</v>
      </c>
      <c r="L99" s="90" t="s">
        <v>118</v>
      </c>
      <c r="M99" s="90"/>
      <c r="N99" s="89" t="s">
        <v>655</v>
      </c>
      <c r="O99" s="200"/>
      <c r="P99" s="201"/>
      <c r="Q99" s="201"/>
      <c r="R99" s="237"/>
      <c r="S99" s="202"/>
      <c r="T99" s="200"/>
      <c r="U99" s="203"/>
      <c r="V99" s="89" t="s">
        <v>846</v>
      </c>
      <c r="W99" s="89" t="s">
        <v>847</v>
      </c>
      <c r="X99" s="145" t="s">
        <v>651</v>
      </c>
      <c r="Y99" s="89" t="s">
        <v>652</v>
      </c>
      <c r="Z99" s="90" t="s">
        <v>130</v>
      </c>
      <c r="AA99" s="90" t="s">
        <v>130</v>
      </c>
      <c r="AB99" s="90" t="s">
        <v>131</v>
      </c>
      <c r="AC99" s="90" t="s">
        <v>132</v>
      </c>
      <c r="AD99" s="92" t="s">
        <v>26</v>
      </c>
      <c r="AE99" s="149">
        <f>IFERROR(VLOOKUP(Z99,LISTS!$AL$2:$AM$1000,2,FALSE()),"")</f>
        <v>100</v>
      </c>
      <c r="AF99" s="151">
        <f>IFERROR(VLOOKUP(AA99,LISTS!$AO$2:$AP$1000,2,FALSE()),"")</f>
        <v>100</v>
      </c>
      <c r="AG99" s="152">
        <f>IFERROR(VLOOKUP(AB99,LISTS!$AR$2:$AS$1000,2,FALSE()),"")</f>
        <v>100</v>
      </c>
      <c r="AH99" s="154">
        <f>IFERROR(VLOOKUP(AC99,LISTS!$AU$2:$AV$1000,2,FALSE()),"")</f>
        <v>0</v>
      </c>
      <c r="AI99" s="238">
        <f t="shared" si="8"/>
        <v>100</v>
      </c>
      <c r="AJ99" s="190" t="str">
        <f t="shared" si="9"/>
        <v>🌟 ممتاز جدًا</v>
      </c>
      <c r="AK99" s="157">
        <f t="shared" si="10"/>
        <v>5</v>
      </c>
      <c r="AL99" s="160">
        <f t="shared" si="11"/>
        <v>2026</v>
      </c>
      <c r="AM99" s="210"/>
      <c r="AN99" s="209"/>
    </row>
    <row r="100" spans="1:40" ht="27.95" customHeight="1">
      <c r="A100" s="134">
        <f>IF(I100&lt;&gt;"",COUNTA($I$2:I100),"")</f>
        <v>99</v>
      </c>
      <c r="B100" s="138" t="str">
        <f t="shared" si="12"/>
        <v>الاثنين</v>
      </c>
      <c r="C100" s="93" t="str">
        <f t="array" ref="C100">IF(E100="","",IF(M100&lt;&gt;"",
M100&amp;"/"&amp;SUMPRODUCT((M$2:M100=M100)*1)&amp;" - "&amp;(ROW()-2),
"إداري/"&amp;SUMPRODUCT((M$2:M100="")*1)&amp;" - "&amp;(ROW()-2)))</f>
        <v>إداري/95 - 98</v>
      </c>
      <c r="D100" s="141" t="str">
        <f>IF(AND(G100="",H100="",I100=""),"",IF(COUNTIFS(LISTS!$A$2:$A$67,G100,LISTS!$B$2:$B$67,H100,LISTS!$C$2:$C$67,I100)=0,"✗ هرم",IF(NOT(OR(Z100="ممتاز 100%",Z100="جيد 80%",Z100="مقبول 60%",Z100="خطر 40%",Z100="")),"✗ قائمة R",IF(NOT(OR(AA100="ممتاز 100%",AA100="جيد 85%",AA100="مقبول 70%",AA100="ضعيف 50%",AA100="")),"✗ قائمة S",IF(NOT(OR(AB100="مكتمل 100%",AB100="جزئي 60%",AB100="معلق 30%",AB100="مفتوح 0%",AB100="")),"✗ قائمة T",IF(NOT(OR(AC100="لا خصم 0",AC100="تأخير −5",AC100="عجز −10",AC100="جودة −15",AC100="امتثال −20",AC100="مخالفة −25",AC100="")),"✗ قائمة U",IF(AND(X100="لا",AC100&lt;&gt;"",AC100&lt;&gt;"لا خصم 0"),"✗ خصم",IF(AND(X100="نعم",AC100="لا خصم 0"),"✗ خصم",IF(AND(Z100="ممتاز 100%",AA100="ممتاز 100%",AB100&lt;&gt;"",AB100&lt;&gt;"مكتمل 100%"),"✗ إغلاق",IFERROR(IF(LEN(_xlfn.TEXTJOIN("، ",TRUE,IF(E100="","التاريخ",""),IF(F100="","الوقت",""),IF(G100="","المركز",""),IF(H100="","الدائرة",""),IF(I100="","القسم",""),IF(J100="","المسؤول",""),IF(K100="","نوع النشاط",""),IF(L100="","المشروع",""),IF(N100="","الممول",""),IF(V100="","الموضوع",""),IF(W100="","الملاحظة",""),IF(X100="","مشكلة",""),IF(Y100="","الإجراء",""),IF(Z100="","التنفيذ",""),IF(AA100="","الجودة",""),IF(AB100="","الإغلاق",""),IF(AC100="","الخصم",""),IF(AND(COUNTA($O100:$U100)&gt;0,O100=""),"مدير المشروع",""),IF(AND(COUNTA($O100:$U100)&gt;0,P100=""),"المستفيدين",""),IF(AND(COUNTA($O100:$U100)&gt;0,Q100=""),"المناطق",""),IF(AND(COUNTA($O100:$U100)&gt;0,R100=""),"الميزانية",""),IF(AND(COUNTA($O100:$U100)&gt;0,S100=""),"نسبة الجاهزية",""),IF(AND(COUNTA($O100:$U100)&gt;0,T100=""),"حالة الجاهزية",""),IF(AND(COUNTA($O100:$U100)&gt;0,U100=""),"التوصيات","")))&gt;0,"✗ ناقص: "&amp;_xlfn.TEXTJOIN("، ",TRUE,IF(E100="","التاريخ",""),IF(F100="","الوقت",""),IF(G100="","المركز",""),IF(H100="","الدائرة",""),IF(I100="","القسم",""),IF(J100="","المسؤول",""),IF(K100="","نوع النشاط",""),IF(L100="","المشروع",""),IF(N100="","الممول",""),IF(V100="","الموضوع",""),IF(W100="","الملاحظة",""),IF(X100="","مشكلة",""),IF(Y100="","الإجراء",""),IF(Z100="","التنفيذ",""),IF(AA100="","الجودة",""),IF(AB100="","الإغلاق",""),IF(AC100="","الخصم",""),IF(AND(COUNTA($O100:$U100)&gt;0,O100=""),"مدير المشروع",""),IF(AND(COUNTA($O100:$U100)&gt;0,P100=""),"المستفيدين",""),IF(AND(COUNTA($O100:$U100)&gt;0,Q100=""),"المناطق",""),IF(AND(COUNTA($O100:$U100)&gt;0,R100=""),"الميزانية",""),IF(AND(COUNTA($O100:$U100)&gt;0,S100=""),"نسبة الجاهزية",""),IF(AND(COUNTA($O100:$U100)&gt;0,T100=""),"حالة الجاهزية",""),IF(AND(COUNTA($O100:$U100)&gt;0,U100=""),"التوصيات","")),"✓"),"✓"))))))))))</f>
        <v>✗ ناقص: المسؤول</v>
      </c>
      <c r="E100" s="235">
        <v>46146</v>
      </c>
      <c r="F100" s="236">
        <v>0.52083333333333337</v>
      </c>
      <c r="G100" s="90" t="s">
        <v>97</v>
      </c>
      <c r="H100" s="123" t="s">
        <v>102</v>
      </c>
      <c r="I100" s="89" t="s">
        <v>142</v>
      </c>
      <c r="J100" s="142"/>
      <c r="K100" s="90" t="s">
        <v>116</v>
      </c>
      <c r="L100" s="90" t="s">
        <v>118</v>
      </c>
      <c r="M100" s="90"/>
      <c r="N100" s="89" t="s">
        <v>655</v>
      </c>
      <c r="O100" s="200"/>
      <c r="P100" s="201"/>
      <c r="Q100" s="201"/>
      <c r="R100" s="237"/>
      <c r="S100" s="202"/>
      <c r="T100" s="200"/>
      <c r="U100" s="203"/>
      <c r="V100" s="89" t="s">
        <v>848</v>
      </c>
      <c r="W100" s="89" t="s">
        <v>849</v>
      </c>
      <c r="X100" s="145" t="s">
        <v>651</v>
      </c>
      <c r="Y100" s="89" t="s">
        <v>652</v>
      </c>
      <c r="Z100" s="90" t="s">
        <v>130</v>
      </c>
      <c r="AA100" s="90" t="s">
        <v>130</v>
      </c>
      <c r="AB100" s="90" t="s">
        <v>131</v>
      </c>
      <c r="AC100" s="90" t="s">
        <v>132</v>
      </c>
      <c r="AD100" s="91" t="s">
        <v>26</v>
      </c>
      <c r="AE100" s="149">
        <f>IFERROR(VLOOKUP(Z100,LISTS!$AL$2:$AM$1000,2,FALSE()),"")</f>
        <v>100</v>
      </c>
      <c r="AF100" s="151">
        <f>IFERROR(VLOOKUP(AA100,LISTS!$AO$2:$AP$1000,2,FALSE()),"")</f>
        <v>100</v>
      </c>
      <c r="AG100" s="152">
        <f>IFERROR(VLOOKUP(AB100,LISTS!$AR$2:$AS$1000,2,FALSE()),"")</f>
        <v>100</v>
      </c>
      <c r="AH100" s="154">
        <f>IFERROR(VLOOKUP(AC100,LISTS!$AU$2:$AV$1000,2,FALSE()),"")</f>
        <v>0</v>
      </c>
      <c r="AI100" s="238">
        <f t="shared" si="8"/>
        <v>100</v>
      </c>
      <c r="AJ100" s="190" t="str">
        <f t="shared" si="9"/>
        <v>🌟 ممتاز جدًا</v>
      </c>
      <c r="AK100" s="157">
        <f t="shared" si="10"/>
        <v>5</v>
      </c>
      <c r="AL100" s="160">
        <f t="shared" si="11"/>
        <v>2026</v>
      </c>
      <c r="AM100" s="210"/>
      <c r="AN100" s="209"/>
    </row>
    <row r="101" spans="1:40" ht="27.95" customHeight="1">
      <c r="A101" s="134">
        <f>IF(I101&lt;&gt;"",COUNTA($I$2:I101),"")</f>
        <v>100</v>
      </c>
      <c r="B101" s="138" t="str">
        <f t="shared" si="12"/>
        <v>الاثنين</v>
      </c>
      <c r="C101" s="93" t="str">
        <f t="array" ref="C101">IF(E101="","",IF(M101&lt;&gt;"",
M101&amp;"/"&amp;SUMPRODUCT((M$2:M101=M101)*1)&amp;" - "&amp;(ROW()-2),
"إداري/"&amp;SUMPRODUCT((M$2:M101="")*1)&amp;" - "&amp;(ROW()-2)))</f>
        <v>إداري/96 - 99</v>
      </c>
      <c r="D101" s="141" t="str">
        <f>IF(AND(G101="",H101="",I101=""),"",IF(COUNTIFS(LISTS!$A$2:$A$67,G101,LISTS!$B$2:$B$67,H101,LISTS!$C$2:$C$67,I101)=0,"✗ هرم",IF(NOT(OR(Z101="ممتاز 100%",Z101="جيد 80%",Z101="مقبول 60%",Z101="خطر 40%",Z101="")),"✗ قائمة R",IF(NOT(OR(AA101="ممتاز 100%",AA101="جيد 85%",AA101="مقبول 70%",AA101="ضعيف 50%",AA101="")),"✗ قائمة S",IF(NOT(OR(AB101="مكتمل 100%",AB101="جزئي 60%",AB101="معلق 30%",AB101="مفتوح 0%",AB101="")),"✗ قائمة T",IF(NOT(OR(AC101="لا خصم 0",AC101="تأخير −5",AC101="عجز −10",AC101="جودة −15",AC101="امتثال −20",AC101="مخالفة −25",AC101="")),"✗ قائمة U",IF(AND(X101="لا",AC101&lt;&gt;"",AC101&lt;&gt;"لا خصم 0"),"✗ خصم",IF(AND(X101="نعم",AC101="لا خصم 0"),"✗ خصم",IF(AND(Z101="ممتاز 100%",AA101="ممتاز 100%",AB101&lt;&gt;"",AB101&lt;&gt;"مكتمل 100%"),"✗ إغلاق",IFERROR(IF(LEN(_xlfn.TEXTJOIN("، ",TRUE,IF(E101="","التاريخ",""),IF(F101="","الوقت",""),IF(G101="","المركز",""),IF(H101="","الدائرة",""),IF(I101="","القسم",""),IF(J101="","المسؤول",""),IF(K101="","نوع النشاط",""),IF(L101="","المشروع",""),IF(N101="","الممول",""),IF(V101="","الموضوع",""),IF(W101="","الملاحظة",""),IF(X101="","مشكلة",""),IF(Y101="","الإجراء",""),IF(Z101="","التنفيذ",""),IF(AA101="","الجودة",""),IF(AB101="","الإغلاق",""),IF(AC101="","الخصم",""),IF(AND(COUNTA($O101:$U101)&gt;0,O101=""),"مدير المشروع",""),IF(AND(COUNTA($O101:$U101)&gt;0,P101=""),"المستفيدين",""),IF(AND(COUNTA($O101:$U101)&gt;0,Q101=""),"المناطق",""),IF(AND(COUNTA($O101:$U101)&gt;0,R101=""),"الميزانية",""),IF(AND(COUNTA($O101:$U101)&gt;0,S101=""),"نسبة الجاهزية",""),IF(AND(COUNTA($O101:$U101)&gt;0,T101=""),"حالة الجاهزية",""),IF(AND(COUNTA($O101:$U101)&gt;0,U101=""),"التوصيات","")))&gt;0,"✗ ناقص: "&amp;_xlfn.TEXTJOIN("، ",TRUE,IF(E101="","التاريخ",""),IF(F101="","الوقت",""),IF(G101="","المركز",""),IF(H101="","الدائرة",""),IF(I101="","القسم",""),IF(J101="","المسؤول",""),IF(K101="","نوع النشاط",""),IF(L101="","المشروع",""),IF(N101="","الممول",""),IF(V101="","الموضوع",""),IF(W101="","الملاحظة",""),IF(X101="","مشكلة",""),IF(Y101="","الإجراء",""),IF(Z101="","التنفيذ",""),IF(AA101="","الجودة",""),IF(AB101="","الإغلاق",""),IF(AC101="","الخصم",""),IF(AND(COUNTA($O101:$U101)&gt;0,O101=""),"مدير المشروع",""),IF(AND(COUNTA($O101:$U101)&gt;0,P101=""),"المستفيدين",""),IF(AND(COUNTA($O101:$U101)&gt;0,Q101=""),"المناطق",""),IF(AND(COUNTA($O101:$U101)&gt;0,R101=""),"الميزانية",""),IF(AND(COUNTA($O101:$U101)&gt;0,S101=""),"نسبة الجاهزية",""),IF(AND(COUNTA($O101:$U101)&gt;0,T101=""),"حالة الجاهزية",""),IF(AND(COUNTA($O101:$U101)&gt;0,U101=""),"التوصيات","")),"✓"),"✓"))))))))))</f>
        <v>✓</v>
      </c>
      <c r="E101" s="235">
        <v>46146</v>
      </c>
      <c r="F101" s="236">
        <v>0.54166666666666663</v>
      </c>
      <c r="G101" s="90" t="s">
        <v>97</v>
      </c>
      <c r="H101" s="123" t="s">
        <v>102</v>
      </c>
      <c r="I101" s="89" t="s">
        <v>124</v>
      </c>
      <c r="J101" s="142" t="s">
        <v>117</v>
      </c>
      <c r="K101" s="90" t="s">
        <v>116</v>
      </c>
      <c r="L101" s="90" t="s">
        <v>118</v>
      </c>
      <c r="M101" s="90"/>
      <c r="N101" s="89" t="s">
        <v>655</v>
      </c>
      <c r="O101" s="200"/>
      <c r="P101" s="201"/>
      <c r="Q101" s="201"/>
      <c r="R101" s="237"/>
      <c r="S101" s="202"/>
      <c r="T101" s="200"/>
      <c r="U101" s="203"/>
      <c r="V101" s="89" t="s">
        <v>837</v>
      </c>
      <c r="W101" s="89" t="s">
        <v>850</v>
      </c>
      <c r="X101" s="145" t="s">
        <v>651</v>
      </c>
      <c r="Y101" s="89" t="s">
        <v>652</v>
      </c>
      <c r="Z101" s="90" t="s">
        <v>130</v>
      </c>
      <c r="AA101" s="90" t="s">
        <v>130</v>
      </c>
      <c r="AB101" s="90" t="s">
        <v>131</v>
      </c>
      <c r="AC101" s="90" t="s">
        <v>132</v>
      </c>
      <c r="AD101" s="92" t="s">
        <v>26</v>
      </c>
      <c r="AE101" s="149">
        <f>IFERROR(VLOOKUP(Z101,LISTS!$AL$2:$AM$1000,2,FALSE()),"")</f>
        <v>100</v>
      </c>
      <c r="AF101" s="151">
        <f>IFERROR(VLOOKUP(AA101,LISTS!$AO$2:$AP$1000,2,FALSE()),"")</f>
        <v>100</v>
      </c>
      <c r="AG101" s="152">
        <f>IFERROR(VLOOKUP(AB101,LISTS!$AR$2:$AS$1000,2,FALSE()),"")</f>
        <v>100</v>
      </c>
      <c r="AH101" s="154">
        <f>IFERROR(VLOOKUP(AC101,LISTS!$AU$2:$AV$1000,2,FALSE()),"")</f>
        <v>0</v>
      </c>
      <c r="AI101" s="238">
        <f t="shared" si="8"/>
        <v>100</v>
      </c>
      <c r="AJ101" s="190" t="str">
        <f t="shared" si="9"/>
        <v>🌟 ممتاز جدًا</v>
      </c>
      <c r="AK101" s="157">
        <f t="shared" si="10"/>
        <v>5</v>
      </c>
      <c r="AL101" s="160">
        <f t="shared" si="11"/>
        <v>2026</v>
      </c>
      <c r="AM101" s="210"/>
      <c r="AN101" s="209"/>
    </row>
    <row r="102" spans="1:40" ht="27.95" customHeight="1">
      <c r="A102" s="134">
        <f>IF(I102&lt;&gt;"",COUNTA($I$2:I102),"")</f>
        <v>101</v>
      </c>
      <c r="B102" s="138" t="str">
        <f t="shared" si="12"/>
        <v>الاثنين</v>
      </c>
      <c r="C102" s="93" t="str">
        <f t="array" ref="C102">IF(E102="","",IF(M102&lt;&gt;"",
M102&amp;"/"&amp;SUMPRODUCT((M$2:M102=M102)*1)&amp;" - "&amp;(ROW()-2),
"إداري/"&amp;SUMPRODUCT((M$2:M102="")*1)&amp;" - "&amp;(ROW()-2)))</f>
        <v>إداري/97 - 100</v>
      </c>
      <c r="D102" s="141" t="str">
        <f>IF(AND(G102="",H102="",I102=""),"",IF(COUNTIFS(LISTS!$A$2:$A$67,G102,LISTS!$B$2:$B$67,H102,LISTS!$C$2:$C$67,I102)=0,"✗ هرم",IF(NOT(OR(Z102="ممتاز 100%",Z102="جيد 80%",Z102="مقبول 60%",Z102="خطر 40%",Z102="")),"✗ قائمة R",IF(NOT(OR(AA102="ممتاز 100%",AA102="جيد 85%",AA102="مقبول 70%",AA102="ضعيف 50%",AA102="")),"✗ قائمة S",IF(NOT(OR(AB102="مكتمل 100%",AB102="جزئي 60%",AB102="معلق 30%",AB102="مفتوح 0%",AB102="")),"✗ قائمة T",IF(NOT(OR(AC102="لا خصم 0",AC102="تأخير −5",AC102="عجز −10",AC102="جودة −15",AC102="امتثال −20",AC102="مخالفة −25",AC102="")),"✗ قائمة U",IF(AND(X102="لا",AC102&lt;&gt;"",AC102&lt;&gt;"لا خصم 0"),"✗ خصم",IF(AND(X102="نعم",AC102="لا خصم 0"),"✗ خصم",IF(AND(Z102="ممتاز 100%",AA102="ممتاز 100%",AB102&lt;&gt;"",AB102&lt;&gt;"مكتمل 100%"),"✗ إغلاق",IFERROR(IF(LEN(_xlfn.TEXTJOIN("، ",TRUE,IF(E102="","التاريخ",""),IF(F102="","الوقت",""),IF(G102="","المركز",""),IF(H102="","الدائرة",""),IF(I102="","القسم",""),IF(J102="","المسؤول",""),IF(K102="","نوع النشاط",""),IF(L102="","المشروع",""),IF(N102="","الممول",""),IF(V102="","الموضوع",""),IF(W102="","الملاحظة",""),IF(X102="","مشكلة",""),IF(Y102="","الإجراء",""),IF(Z102="","التنفيذ",""),IF(AA102="","الجودة",""),IF(AB102="","الإغلاق",""),IF(AC102="","الخصم",""),IF(AND(COUNTA($O102:$U102)&gt;0,O102=""),"مدير المشروع",""),IF(AND(COUNTA($O102:$U102)&gt;0,P102=""),"المستفيدين",""),IF(AND(COUNTA($O102:$U102)&gt;0,Q102=""),"المناطق",""),IF(AND(COUNTA($O102:$U102)&gt;0,R102=""),"الميزانية",""),IF(AND(COUNTA($O102:$U102)&gt;0,S102=""),"نسبة الجاهزية",""),IF(AND(COUNTA($O102:$U102)&gt;0,T102=""),"حالة الجاهزية",""),IF(AND(COUNTA($O102:$U102)&gt;0,U102=""),"التوصيات","")))&gt;0,"✗ ناقص: "&amp;_xlfn.TEXTJOIN("، ",TRUE,IF(E102="","التاريخ",""),IF(F102="","الوقت",""),IF(G102="","المركز",""),IF(H102="","الدائرة",""),IF(I102="","القسم",""),IF(J102="","المسؤول",""),IF(K102="","نوع النشاط",""),IF(L102="","المشروع",""),IF(N102="","الممول",""),IF(V102="","الموضوع",""),IF(W102="","الملاحظة",""),IF(X102="","مشكلة",""),IF(Y102="","الإجراء",""),IF(Z102="","التنفيذ",""),IF(AA102="","الجودة",""),IF(AB102="","الإغلاق",""),IF(AC102="","الخصم",""),IF(AND(COUNTA($O102:$U102)&gt;0,O102=""),"مدير المشروع",""),IF(AND(COUNTA($O102:$U102)&gt;0,P102=""),"المستفيدين",""),IF(AND(COUNTA($O102:$U102)&gt;0,Q102=""),"المناطق",""),IF(AND(COUNTA($O102:$U102)&gt;0,R102=""),"الميزانية",""),IF(AND(COUNTA($O102:$U102)&gt;0,S102=""),"نسبة الجاهزية",""),IF(AND(COUNTA($O102:$U102)&gt;0,T102=""),"حالة الجاهزية",""),IF(AND(COUNTA($O102:$U102)&gt;0,U102=""),"التوصيات","")),"✓"),"✓"))))))))))</f>
        <v>✓</v>
      </c>
      <c r="E102" s="235">
        <v>46146</v>
      </c>
      <c r="F102" s="236">
        <v>0.54166666666666663</v>
      </c>
      <c r="G102" s="90" t="s">
        <v>97</v>
      </c>
      <c r="H102" s="123" t="s">
        <v>102</v>
      </c>
      <c r="I102" s="89" t="s">
        <v>124</v>
      </c>
      <c r="J102" s="142" t="s">
        <v>117</v>
      </c>
      <c r="K102" s="90" t="s">
        <v>116</v>
      </c>
      <c r="L102" s="90" t="s">
        <v>369</v>
      </c>
      <c r="M102" s="90"/>
      <c r="N102" s="89" t="s">
        <v>655</v>
      </c>
      <c r="O102" s="200"/>
      <c r="P102" s="201"/>
      <c r="Q102" s="201"/>
      <c r="R102" s="237"/>
      <c r="S102" s="202"/>
      <c r="T102" s="200"/>
      <c r="U102" s="203"/>
      <c r="V102" s="89" t="s">
        <v>823</v>
      </c>
      <c r="W102" s="89" t="s">
        <v>851</v>
      </c>
      <c r="X102" s="145" t="s">
        <v>651</v>
      </c>
      <c r="Y102" s="89" t="s">
        <v>652</v>
      </c>
      <c r="Z102" s="90" t="s">
        <v>130</v>
      </c>
      <c r="AA102" s="90" t="s">
        <v>130</v>
      </c>
      <c r="AB102" s="90" t="s">
        <v>131</v>
      </c>
      <c r="AC102" s="90" t="s">
        <v>132</v>
      </c>
      <c r="AD102" s="92" t="s">
        <v>26</v>
      </c>
      <c r="AE102" s="149">
        <f>IFERROR(VLOOKUP(Z102,LISTS!$AL$2:$AM$1000,2,FALSE()),"")</f>
        <v>100</v>
      </c>
      <c r="AF102" s="151">
        <f>IFERROR(VLOOKUP(AA102,LISTS!$AO$2:$AP$1000,2,FALSE()),"")</f>
        <v>100</v>
      </c>
      <c r="AG102" s="152">
        <f>IFERROR(VLOOKUP(AB102,LISTS!$AR$2:$AS$1000,2,FALSE()),"")</f>
        <v>100</v>
      </c>
      <c r="AH102" s="154">
        <f>IFERROR(VLOOKUP(AC102,LISTS!$AU$2:$AV$1000,2,FALSE()),"")</f>
        <v>0</v>
      </c>
      <c r="AI102" s="238">
        <f t="shared" si="8"/>
        <v>100</v>
      </c>
      <c r="AJ102" s="190" t="str">
        <f t="shared" si="9"/>
        <v>🌟 ممتاز جدًا</v>
      </c>
      <c r="AK102" s="157">
        <f t="shared" si="10"/>
        <v>5</v>
      </c>
      <c r="AL102" s="160">
        <f t="shared" si="11"/>
        <v>2026</v>
      </c>
      <c r="AM102" s="210"/>
      <c r="AN102" s="209"/>
    </row>
    <row r="103" spans="1:40" ht="27.95" customHeight="1">
      <c r="A103" s="134">
        <f>IF(I103&lt;&gt;"",COUNTA($I$2:I103),"")</f>
        <v>102</v>
      </c>
      <c r="B103" s="138" t="str">
        <f t="shared" si="12"/>
        <v>الاثنين</v>
      </c>
      <c r="C103" s="93" t="str">
        <f t="array" ref="C103">IF(E103="","",IF(M103&lt;&gt;"",
M103&amp;"/"&amp;SUMPRODUCT((M$2:M103=M103)*1)&amp;" - "&amp;(ROW()-2),
"إداري/"&amp;SUMPRODUCT((M$2:M103="")*1)&amp;" - "&amp;(ROW()-2)))</f>
        <v>إداري/98 - 101</v>
      </c>
      <c r="D103" s="141" t="str">
        <f>IF(AND(G103="",H103="",I103=""),"",IF(COUNTIFS(LISTS!$A$2:$A$67,G103,LISTS!$B$2:$B$67,H103,LISTS!$C$2:$C$67,I103)=0,"✗ هرم",IF(NOT(OR(Z103="ممتاز 100%",Z103="جيد 80%",Z103="مقبول 60%",Z103="خطر 40%",Z103="")),"✗ قائمة R",IF(NOT(OR(AA103="ممتاز 100%",AA103="جيد 85%",AA103="مقبول 70%",AA103="ضعيف 50%",AA103="")),"✗ قائمة S",IF(NOT(OR(AB103="مكتمل 100%",AB103="جزئي 60%",AB103="معلق 30%",AB103="مفتوح 0%",AB103="")),"✗ قائمة T",IF(NOT(OR(AC103="لا خصم 0",AC103="تأخير −5",AC103="عجز −10",AC103="جودة −15",AC103="امتثال −20",AC103="مخالفة −25",AC103="")),"✗ قائمة U",IF(AND(X103="لا",AC103&lt;&gt;"",AC103&lt;&gt;"لا خصم 0"),"✗ خصم",IF(AND(X103="نعم",AC103="لا خصم 0"),"✗ خصم",IF(AND(Z103="ممتاز 100%",AA103="ممتاز 100%",AB103&lt;&gt;"",AB103&lt;&gt;"مكتمل 100%"),"✗ إغلاق",IFERROR(IF(LEN(_xlfn.TEXTJOIN("، ",TRUE,IF(E103="","التاريخ",""),IF(F103="","الوقت",""),IF(G103="","المركز",""),IF(H103="","الدائرة",""),IF(I103="","القسم",""),IF(J103="","المسؤول",""),IF(K103="","نوع النشاط",""),IF(L103="","المشروع",""),IF(N103="","الممول",""),IF(V103="","الموضوع",""),IF(W103="","الملاحظة",""),IF(X103="","مشكلة",""),IF(Y103="","الإجراء",""),IF(Z103="","التنفيذ",""),IF(AA103="","الجودة",""),IF(AB103="","الإغلاق",""),IF(AC103="","الخصم",""),IF(AND(COUNTA($O103:$U103)&gt;0,O103=""),"مدير المشروع",""),IF(AND(COUNTA($O103:$U103)&gt;0,P103=""),"المستفيدين",""),IF(AND(COUNTA($O103:$U103)&gt;0,Q103=""),"المناطق",""),IF(AND(COUNTA($O103:$U103)&gt;0,R103=""),"الميزانية",""),IF(AND(COUNTA($O103:$U103)&gt;0,S103=""),"نسبة الجاهزية",""),IF(AND(COUNTA($O103:$U103)&gt;0,T103=""),"حالة الجاهزية",""),IF(AND(COUNTA($O103:$U103)&gt;0,U103=""),"التوصيات","")))&gt;0,"✗ ناقص: "&amp;_xlfn.TEXTJOIN("، ",TRUE,IF(E103="","التاريخ",""),IF(F103="","الوقت",""),IF(G103="","المركز",""),IF(H103="","الدائرة",""),IF(I103="","القسم",""),IF(J103="","المسؤول",""),IF(K103="","نوع النشاط",""),IF(L103="","المشروع",""),IF(N103="","الممول",""),IF(V103="","الموضوع",""),IF(W103="","الملاحظة",""),IF(X103="","مشكلة",""),IF(Y103="","الإجراء",""),IF(Z103="","التنفيذ",""),IF(AA103="","الجودة",""),IF(AB103="","الإغلاق",""),IF(AC103="","الخصم",""),IF(AND(COUNTA($O103:$U103)&gt;0,O103=""),"مدير المشروع",""),IF(AND(COUNTA($O103:$U103)&gt;0,P103=""),"المستفيدين",""),IF(AND(COUNTA($O103:$U103)&gt;0,Q103=""),"المناطق",""),IF(AND(COUNTA($O103:$U103)&gt;0,R103=""),"الميزانية",""),IF(AND(COUNTA($O103:$U103)&gt;0,S103=""),"نسبة الجاهزية",""),IF(AND(COUNTA($O103:$U103)&gt;0,T103=""),"حالة الجاهزية",""),IF(AND(COUNTA($O103:$U103)&gt;0,U103=""),"التوصيات","")),"✓"),"✓"))))))))))</f>
        <v>✗ ناقص: الوقت، الممول</v>
      </c>
      <c r="E103" s="235">
        <v>46146</v>
      </c>
      <c r="F103" s="236"/>
      <c r="G103" s="90" t="s">
        <v>97</v>
      </c>
      <c r="H103" s="123" t="s">
        <v>102</v>
      </c>
      <c r="I103" s="89" t="s">
        <v>124</v>
      </c>
      <c r="J103" s="142" t="s">
        <v>117</v>
      </c>
      <c r="K103" s="90" t="s">
        <v>116</v>
      </c>
      <c r="L103" s="90" t="s">
        <v>187</v>
      </c>
      <c r="M103" s="90"/>
      <c r="N103" s="89"/>
      <c r="O103" s="200"/>
      <c r="P103" s="201"/>
      <c r="Q103" s="201"/>
      <c r="R103" s="237"/>
      <c r="S103" s="202"/>
      <c r="T103" s="200"/>
      <c r="U103" s="203"/>
      <c r="V103" s="89" t="s">
        <v>852</v>
      </c>
      <c r="W103" s="89" t="s">
        <v>853</v>
      </c>
      <c r="X103" s="145" t="s">
        <v>651</v>
      </c>
      <c r="Y103" s="89" t="s">
        <v>652</v>
      </c>
      <c r="Z103" s="90" t="s">
        <v>130</v>
      </c>
      <c r="AA103" s="90" t="s">
        <v>130</v>
      </c>
      <c r="AB103" s="90" t="s">
        <v>131</v>
      </c>
      <c r="AC103" s="90" t="s">
        <v>132</v>
      </c>
      <c r="AD103" s="92" t="s">
        <v>26</v>
      </c>
      <c r="AE103" s="149">
        <f>IFERROR(VLOOKUP(Z103,LISTS!$AL$2:$AM$1000,2,FALSE()),"")</f>
        <v>100</v>
      </c>
      <c r="AF103" s="151">
        <f>IFERROR(VLOOKUP(AA103,LISTS!$AO$2:$AP$1000,2,FALSE()),"")</f>
        <v>100</v>
      </c>
      <c r="AG103" s="152">
        <f>IFERROR(VLOOKUP(AB103,LISTS!$AR$2:$AS$1000,2,FALSE()),"")</f>
        <v>100</v>
      </c>
      <c r="AH103" s="154">
        <f>IFERROR(VLOOKUP(AC103,LISTS!$AU$2:$AV$1000,2,FALSE()),"")</f>
        <v>0</v>
      </c>
      <c r="AI103" s="238">
        <f t="shared" si="8"/>
        <v>100</v>
      </c>
      <c r="AJ103" s="190" t="str">
        <f t="shared" si="9"/>
        <v>🌟 ممتاز جدًا</v>
      </c>
      <c r="AK103" s="157">
        <f t="shared" si="10"/>
        <v>5</v>
      </c>
      <c r="AL103" s="160">
        <f t="shared" si="11"/>
        <v>2026</v>
      </c>
      <c r="AM103" s="210"/>
      <c r="AN103" s="209"/>
    </row>
    <row r="104" spans="1:40" ht="27.95" customHeight="1">
      <c r="A104" s="134">
        <f>IF(I104&lt;&gt;"",COUNTA($I$2:I104),"")</f>
        <v>103</v>
      </c>
      <c r="B104" s="138" t="str">
        <f t="shared" si="12"/>
        <v>الاثنين</v>
      </c>
      <c r="C104" s="93" t="str">
        <f t="array" ref="C104">IF(E104="","",IF(M104&lt;&gt;"",
M104&amp;"/"&amp;SUMPRODUCT((M$2:M104=M104)*1)&amp;" - "&amp;(ROW()-2),
"إداري/"&amp;SUMPRODUCT((M$2:M104="")*1)&amp;" - "&amp;(ROW()-2)))</f>
        <v>إداري/99 - 102</v>
      </c>
      <c r="D104" s="141" t="str">
        <f>IF(AND(G104="",H104="",I104=""),"",IF(COUNTIFS(LISTS!$A$2:$A$67,G104,LISTS!$B$2:$B$67,H104,LISTS!$C$2:$C$67,I104)=0,"✗ هرم",IF(NOT(OR(Z104="ممتاز 100%",Z104="جيد 80%",Z104="مقبول 60%",Z104="خطر 40%",Z104="")),"✗ قائمة R",IF(NOT(OR(AA104="ممتاز 100%",AA104="جيد 85%",AA104="مقبول 70%",AA104="ضعيف 50%",AA104="")),"✗ قائمة S",IF(NOT(OR(AB104="مكتمل 100%",AB104="جزئي 60%",AB104="معلق 30%",AB104="مفتوح 0%",AB104="")),"✗ قائمة T",IF(NOT(OR(AC104="لا خصم 0",AC104="تأخير −5",AC104="عجز −10",AC104="جودة −15",AC104="امتثال −20",AC104="مخالفة −25",AC104="")),"✗ قائمة U",IF(AND(X104="لا",AC104&lt;&gt;"",AC104&lt;&gt;"لا خصم 0"),"✗ خصم",IF(AND(X104="نعم",AC104="لا خصم 0"),"✗ خصم",IF(AND(Z104="ممتاز 100%",AA104="ممتاز 100%",AB104&lt;&gt;"",AB104&lt;&gt;"مكتمل 100%"),"✗ إغلاق",IFERROR(IF(LEN(_xlfn.TEXTJOIN("، ",TRUE,IF(E104="","التاريخ",""),IF(F104="","الوقت",""),IF(G104="","المركز",""),IF(H104="","الدائرة",""),IF(I104="","القسم",""),IF(J104="","المسؤول",""),IF(K104="","نوع النشاط",""),IF(L104="","المشروع",""),IF(N104="","الممول",""),IF(V104="","الموضوع",""),IF(W104="","الملاحظة",""),IF(X104="","مشكلة",""),IF(Y104="","الإجراء",""),IF(Z104="","التنفيذ",""),IF(AA104="","الجودة",""),IF(AB104="","الإغلاق",""),IF(AC104="","الخصم",""),IF(AND(COUNTA($O104:$U104)&gt;0,O104=""),"مدير المشروع",""),IF(AND(COUNTA($O104:$U104)&gt;0,P104=""),"المستفيدين",""),IF(AND(COUNTA($O104:$U104)&gt;0,Q104=""),"المناطق",""),IF(AND(COUNTA($O104:$U104)&gt;0,R104=""),"الميزانية",""),IF(AND(COUNTA($O104:$U104)&gt;0,S104=""),"نسبة الجاهزية",""),IF(AND(COUNTA($O104:$U104)&gt;0,T104=""),"حالة الجاهزية",""),IF(AND(COUNTA($O104:$U104)&gt;0,U104=""),"التوصيات","")))&gt;0,"✗ ناقص: "&amp;_xlfn.TEXTJOIN("، ",TRUE,IF(E104="","التاريخ",""),IF(F104="","الوقت",""),IF(G104="","المركز",""),IF(H104="","الدائرة",""),IF(I104="","القسم",""),IF(J104="","المسؤول",""),IF(K104="","نوع النشاط",""),IF(L104="","المشروع",""),IF(N104="","الممول",""),IF(V104="","الموضوع",""),IF(W104="","الملاحظة",""),IF(X104="","مشكلة",""),IF(Y104="","الإجراء",""),IF(Z104="","التنفيذ",""),IF(AA104="","الجودة",""),IF(AB104="","الإغلاق",""),IF(AC104="","الخصم",""),IF(AND(COUNTA($O104:$U104)&gt;0,O104=""),"مدير المشروع",""),IF(AND(COUNTA($O104:$U104)&gt;0,P104=""),"المستفيدين",""),IF(AND(COUNTA($O104:$U104)&gt;0,Q104=""),"المناطق",""),IF(AND(COUNTA($O104:$U104)&gt;0,R104=""),"الميزانية",""),IF(AND(COUNTA($O104:$U104)&gt;0,S104=""),"نسبة الجاهزية",""),IF(AND(COUNTA($O104:$U104)&gt;0,T104=""),"حالة الجاهزية",""),IF(AND(COUNTA($O104:$U104)&gt;0,U104=""),"التوصيات","")),"✓"),"✓"))))))))))</f>
        <v>✗ ناقص: الوقت</v>
      </c>
      <c r="E104" s="235">
        <v>46146</v>
      </c>
      <c r="F104" s="236"/>
      <c r="G104" s="90" t="s">
        <v>97</v>
      </c>
      <c r="H104" s="123" t="s">
        <v>102</v>
      </c>
      <c r="I104" s="89" t="s">
        <v>124</v>
      </c>
      <c r="J104" s="142" t="s">
        <v>117</v>
      </c>
      <c r="K104" s="90" t="s">
        <v>199</v>
      </c>
      <c r="L104" s="90" t="s">
        <v>199</v>
      </c>
      <c r="M104" s="90"/>
      <c r="N104" s="89" t="s">
        <v>138</v>
      </c>
      <c r="O104" s="200"/>
      <c r="P104" s="201"/>
      <c r="Q104" s="201"/>
      <c r="R104" s="237"/>
      <c r="S104" s="202"/>
      <c r="T104" s="200"/>
      <c r="U104" s="203"/>
      <c r="V104" s="89" t="s">
        <v>854</v>
      </c>
      <c r="W104" s="89" t="s">
        <v>855</v>
      </c>
      <c r="X104" s="145" t="s">
        <v>651</v>
      </c>
      <c r="Y104" s="89" t="s">
        <v>652</v>
      </c>
      <c r="Z104" s="90" t="s">
        <v>130</v>
      </c>
      <c r="AA104" s="90" t="s">
        <v>130</v>
      </c>
      <c r="AB104" s="90" t="s">
        <v>131</v>
      </c>
      <c r="AC104" s="90" t="s">
        <v>132</v>
      </c>
      <c r="AD104" s="92" t="s">
        <v>26</v>
      </c>
      <c r="AE104" s="149">
        <f>IFERROR(VLOOKUP(Z104,LISTS!$AL$2:$AM$1000,2,FALSE()),"")</f>
        <v>100</v>
      </c>
      <c r="AF104" s="151">
        <f>IFERROR(VLOOKUP(AA104,LISTS!$AO$2:$AP$1000,2,FALSE()),"")</f>
        <v>100</v>
      </c>
      <c r="AG104" s="152">
        <f>IFERROR(VLOOKUP(AB104,LISTS!$AR$2:$AS$1000,2,FALSE()),"")</f>
        <v>100</v>
      </c>
      <c r="AH104" s="154">
        <f>IFERROR(VLOOKUP(AC104,LISTS!$AU$2:$AV$1000,2,FALSE()),"")</f>
        <v>0</v>
      </c>
      <c r="AI104" s="238">
        <f t="shared" si="8"/>
        <v>100</v>
      </c>
      <c r="AJ104" s="190" t="str">
        <f t="shared" si="9"/>
        <v>🌟 ممتاز جدًا</v>
      </c>
      <c r="AK104" s="157">
        <f t="shared" si="10"/>
        <v>5</v>
      </c>
      <c r="AL104" s="160">
        <f t="shared" si="11"/>
        <v>2026</v>
      </c>
      <c r="AM104" s="210"/>
      <c r="AN104" s="209"/>
    </row>
    <row r="105" spans="1:40" ht="27.95" customHeight="1">
      <c r="A105" s="134">
        <f>IF(I105&lt;&gt;"",COUNTA($I$2:I105),"")</f>
        <v>104</v>
      </c>
      <c r="B105" s="138" t="str">
        <f t="shared" si="12"/>
        <v>الثلاثاء</v>
      </c>
      <c r="C105" s="93" t="str">
        <f t="array" ref="C105">IF(E105="","",IF(M105&lt;&gt;"",
M105&amp;"/"&amp;SUMPRODUCT((M$2:M105=M105)*1)&amp;" - "&amp;(ROW()-2),
"إداري/"&amp;SUMPRODUCT((M$2:M105="")*1)&amp;" - "&amp;(ROW()-2)))</f>
        <v>إداري/100 - 103</v>
      </c>
      <c r="D105" s="141" t="str">
        <f>IF(AND(G105="",H105="",I105=""),"",IF(COUNTIFS(LISTS!$A$2:$A$67,G105,LISTS!$B$2:$B$67,H105,LISTS!$C$2:$C$67,I105)=0,"✗ هرم",IF(NOT(OR(Z105="ممتاز 100%",Z105="جيد 80%",Z105="مقبول 60%",Z105="خطر 40%",Z105="")),"✗ قائمة R",IF(NOT(OR(AA105="ممتاز 100%",AA105="جيد 85%",AA105="مقبول 70%",AA105="ضعيف 50%",AA105="")),"✗ قائمة S",IF(NOT(OR(AB105="مكتمل 100%",AB105="جزئي 60%",AB105="معلق 30%",AB105="مفتوح 0%",AB105="")),"✗ قائمة T",IF(NOT(OR(AC105="لا خصم 0",AC105="تأخير −5",AC105="عجز −10",AC105="جودة −15",AC105="امتثال −20",AC105="مخالفة −25",AC105="")),"✗ قائمة U",IF(AND(X105="لا",AC105&lt;&gt;"",AC105&lt;&gt;"لا خصم 0"),"✗ خصم",IF(AND(X105="نعم",AC105="لا خصم 0"),"✗ خصم",IF(AND(Z105="ممتاز 100%",AA105="ممتاز 100%",AB105&lt;&gt;"",AB105&lt;&gt;"مكتمل 100%"),"✗ إغلاق",IFERROR(IF(LEN(_xlfn.TEXTJOIN("، ",TRUE,IF(E105="","التاريخ",""),IF(F105="","الوقت",""),IF(G105="","المركز",""),IF(H105="","الدائرة",""),IF(I105="","القسم",""),IF(J105="","المسؤول",""),IF(K105="","نوع النشاط",""),IF(L105="","المشروع",""),IF(N105="","الممول",""),IF(V105="","الموضوع",""),IF(W105="","الملاحظة",""),IF(X105="","مشكلة",""),IF(Y105="","الإجراء",""),IF(Z105="","التنفيذ",""),IF(AA105="","الجودة",""),IF(AB105="","الإغلاق",""),IF(AC105="","الخصم",""),IF(AND(COUNTA($O105:$U105)&gt;0,O105=""),"مدير المشروع",""),IF(AND(COUNTA($O105:$U105)&gt;0,P105=""),"المستفيدين",""),IF(AND(COUNTA($O105:$U105)&gt;0,Q105=""),"المناطق",""),IF(AND(COUNTA($O105:$U105)&gt;0,R105=""),"الميزانية",""),IF(AND(COUNTA($O105:$U105)&gt;0,S105=""),"نسبة الجاهزية",""),IF(AND(COUNTA($O105:$U105)&gt;0,T105=""),"حالة الجاهزية",""),IF(AND(COUNTA($O105:$U105)&gt;0,U105=""),"التوصيات","")))&gt;0,"✗ ناقص: "&amp;_xlfn.TEXTJOIN("، ",TRUE,IF(E105="","التاريخ",""),IF(F105="","الوقت",""),IF(G105="","المركز",""),IF(H105="","الدائرة",""),IF(I105="","القسم",""),IF(J105="","المسؤول",""),IF(K105="","نوع النشاط",""),IF(L105="","المشروع",""),IF(N105="","الممول",""),IF(V105="","الموضوع",""),IF(W105="","الملاحظة",""),IF(X105="","مشكلة",""),IF(Y105="","الإجراء",""),IF(Z105="","التنفيذ",""),IF(AA105="","الجودة",""),IF(AB105="","الإغلاق",""),IF(AC105="","الخصم",""),IF(AND(COUNTA($O105:$U105)&gt;0,O105=""),"مدير المشروع",""),IF(AND(COUNTA($O105:$U105)&gt;0,P105=""),"المستفيدين",""),IF(AND(COUNTA($O105:$U105)&gt;0,Q105=""),"المناطق",""),IF(AND(COUNTA($O105:$U105)&gt;0,R105=""),"الميزانية",""),IF(AND(COUNTA($O105:$U105)&gt;0,S105=""),"نسبة الجاهزية",""),IF(AND(COUNTA($O105:$U105)&gt;0,T105=""),"حالة الجاهزية",""),IF(AND(COUNTA($O105:$U105)&gt;0,U105=""),"التوصيات","")),"✓"),"✓"))))))))))</f>
        <v>✗ ناقص: المسؤول</v>
      </c>
      <c r="E105" s="235">
        <v>46147</v>
      </c>
      <c r="F105" s="236">
        <v>0.52083333333333337</v>
      </c>
      <c r="G105" s="90" t="s">
        <v>97</v>
      </c>
      <c r="H105" s="123" t="s">
        <v>102</v>
      </c>
      <c r="I105" s="89" t="s">
        <v>142</v>
      </c>
      <c r="J105" s="142"/>
      <c r="K105" s="90" t="s">
        <v>116</v>
      </c>
      <c r="L105" s="90" t="s">
        <v>118</v>
      </c>
      <c r="M105" s="90"/>
      <c r="N105" s="89" t="s">
        <v>655</v>
      </c>
      <c r="O105" s="200"/>
      <c r="P105" s="201"/>
      <c r="Q105" s="201"/>
      <c r="R105" s="237"/>
      <c r="S105" s="202"/>
      <c r="T105" s="200"/>
      <c r="U105" s="203"/>
      <c r="V105" s="89" t="s">
        <v>848</v>
      </c>
      <c r="W105" s="89" t="s">
        <v>849</v>
      </c>
      <c r="X105" s="145" t="s">
        <v>651</v>
      </c>
      <c r="Y105" s="89" t="s">
        <v>652</v>
      </c>
      <c r="Z105" s="90" t="s">
        <v>130</v>
      </c>
      <c r="AA105" s="90" t="s">
        <v>130</v>
      </c>
      <c r="AB105" s="90" t="s">
        <v>131</v>
      </c>
      <c r="AC105" s="90" t="s">
        <v>132</v>
      </c>
      <c r="AD105" s="92" t="s">
        <v>26</v>
      </c>
      <c r="AE105" s="149">
        <f>IFERROR(VLOOKUP(Z105,LISTS!$AL$2:$AM$1000,2,FALSE()),"")</f>
        <v>100</v>
      </c>
      <c r="AF105" s="151">
        <f>IFERROR(VLOOKUP(AA105,LISTS!$AO$2:$AP$1000,2,FALSE()),"")</f>
        <v>100</v>
      </c>
      <c r="AG105" s="152">
        <f>IFERROR(VLOOKUP(AB105,LISTS!$AR$2:$AS$1000,2,FALSE()),"")</f>
        <v>100</v>
      </c>
      <c r="AH105" s="154">
        <f>IFERROR(VLOOKUP(AC105,LISTS!$AU$2:$AV$1000,2,FALSE()),"")</f>
        <v>0</v>
      </c>
      <c r="AI105" s="238">
        <f t="shared" si="8"/>
        <v>100</v>
      </c>
      <c r="AJ105" s="190" t="str">
        <f t="shared" si="9"/>
        <v>🌟 ممتاز جدًا</v>
      </c>
      <c r="AK105" s="157">
        <f t="shared" si="10"/>
        <v>5</v>
      </c>
      <c r="AL105" s="160">
        <f t="shared" si="11"/>
        <v>2026</v>
      </c>
      <c r="AM105" s="210"/>
      <c r="AN105" s="209"/>
    </row>
    <row r="106" spans="1:40" ht="27.95" customHeight="1">
      <c r="A106" s="134">
        <f>IF(I106&lt;&gt;"",COUNTA($I$2:I106),"")</f>
        <v>105</v>
      </c>
      <c r="B106" s="138" t="str">
        <f t="shared" si="12"/>
        <v>الثلاثاء</v>
      </c>
      <c r="C106" s="93" t="str">
        <f t="array" ref="C106">IF(E106="","",IF(M106&lt;&gt;"",
M106&amp;"/"&amp;SUMPRODUCT((M$2:M106=M106)*1)&amp;" - "&amp;(ROW()-2),
"إداري/"&amp;SUMPRODUCT((M$2:M106="")*1)&amp;" - "&amp;(ROW()-2)))</f>
        <v>إداري/101 - 104</v>
      </c>
      <c r="D106" s="141" t="str">
        <f>IF(AND(G106="",H106="",I106=""),"",IF(COUNTIFS(LISTS!$A$2:$A$67,G106,LISTS!$B$2:$B$67,H106,LISTS!$C$2:$C$67,I106)=0,"✗ هرم",IF(NOT(OR(Z106="ممتاز 100%",Z106="جيد 80%",Z106="مقبول 60%",Z106="خطر 40%",Z106="")),"✗ قائمة R",IF(NOT(OR(AA106="ممتاز 100%",AA106="جيد 85%",AA106="مقبول 70%",AA106="ضعيف 50%",AA106="")),"✗ قائمة S",IF(NOT(OR(AB106="مكتمل 100%",AB106="جزئي 60%",AB106="معلق 30%",AB106="مفتوح 0%",AB106="")),"✗ قائمة T",IF(NOT(OR(AC106="لا خصم 0",AC106="تأخير −5",AC106="عجز −10",AC106="جودة −15",AC106="امتثال −20",AC106="مخالفة −25",AC106="")),"✗ قائمة U",IF(AND(X106="لا",AC106&lt;&gt;"",AC106&lt;&gt;"لا خصم 0"),"✗ خصم",IF(AND(X106="نعم",AC106="لا خصم 0"),"✗ خصم",IF(AND(Z106="ممتاز 100%",AA106="ممتاز 100%",AB106&lt;&gt;"",AB106&lt;&gt;"مكتمل 100%"),"✗ إغلاق",IFERROR(IF(LEN(_xlfn.TEXTJOIN("، ",TRUE,IF(E106="","التاريخ",""),IF(F106="","الوقت",""),IF(G106="","المركز",""),IF(H106="","الدائرة",""),IF(I106="","القسم",""),IF(J106="","المسؤول",""),IF(K106="","نوع النشاط",""),IF(L106="","المشروع",""),IF(N106="","الممول",""),IF(V106="","الموضوع",""),IF(W106="","الملاحظة",""),IF(X106="","مشكلة",""),IF(Y106="","الإجراء",""),IF(Z106="","التنفيذ",""),IF(AA106="","الجودة",""),IF(AB106="","الإغلاق",""),IF(AC106="","الخصم",""),IF(AND(COUNTA($O106:$U106)&gt;0,O106=""),"مدير المشروع",""),IF(AND(COUNTA($O106:$U106)&gt;0,P106=""),"المستفيدين",""),IF(AND(COUNTA($O106:$U106)&gt;0,Q106=""),"المناطق",""),IF(AND(COUNTA($O106:$U106)&gt;0,R106=""),"الميزانية",""),IF(AND(COUNTA($O106:$U106)&gt;0,S106=""),"نسبة الجاهزية",""),IF(AND(COUNTA($O106:$U106)&gt;0,T106=""),"حالة الجاهزية",""),IF(AND(COUNTA($O106:$U106)&gt;0,U106=""),"التوصيات","")))&gt;0,"✗ ناقص: "&amp;_xlfn.TEXTJOIN("، ",TRUE,IF(E106="","التاريخ",""),IF(F106="","الوقت",""),IF(G106="","المركز",""),IF(H106="","الدائرة",""),IF(I106="","القسم",""),IF(J106="","المسؤول",""),IF(K106="","نوع النشاط",""),IF(L106="","المشروع",""),IF(N106="","الممول",""),IF(V106="","الموضوع",""),IF(W106="","الملاحظة",""),IF(X106="","مشكلة",""),IF(Y106="","الإجراء",""),IF(Z106="","التنفيذ",""),IF(AA106="","الجودة",""),IF(AB106="","الإغلاق",""),IF(AC106="","الخصم",""),IF(AND(COUNTA($O106:$U106)&gt;0,O106=""),"مدير المشروع",""),IF(AND(COUNTA($O106:$U106)&gt;0,P106=""),"المستفيدين",""),IF(AND(COUNTA($O106:$U106)&gt;0,Q106=""),"المناطق",""),IF(AND(COUNTA($O106:$U106)&gt;0,R106=""),"الميزانية",""),IF(AND(COUNTA($O106:$U106)&gt;0,S106=""),"نسبة الجاهزية",""),IF(AND(COUNTA($O106:$U106)&gt;0,T106=""),"حالة الجاهزية",""),IF(AND(COUNTA($O106:$U106)&gt;0,U106=""),"التوصيات","")),"✓"),"✓"))))))))))</f>
        <v>✗ ناقص: المسؤول</v>
      </c>
      <c r="E106" s="235">
        <v>46147</v>
      </c>
      <c r="F106" s="236">
        <v>0.52083333333333337</v>
      </c>
      <c r="G106" s="90" t="s">
        <v>97</v>
      </c>
      <c r="H106" s="123" t="s">
        <v>102</v>
      </c>
      <c r="I106" s="89" t="s">
        <v>142</v>
      </c>
      <c r="J106" s="142"/>
      <c r="K106" s="90" t="s">
        <v>116</v>
      </c>
      <c r="L106" s="90" t="s">
        <v>118</v>
      </c>
      <c r="M106" s="90"/>
      <c r="N106" s="89" t="s">
        <v>655</v>
      </c>
      <c r="O106" s="200"/>
      <c r="P106" s="201"/>
      <c r="Q106" s="201"/>
      <c r="R106" s="237"/>
      <c r="S106" s="202"/>
      <c r="T106" s="200"/>
      <c r="U106" s="203"/>
      <c r="V106" s="89" t="s">
        <v>846</v>
      </c>
      <c r="W106" s="89" t="s">
        <v>847</v>
      </c>
      <c r="X106" s="145" t="s">
        <v>651</v>
      </c>
      <c r="Y106" s="89" t="s">
        <v>652</v>
      </c>
      <c r="Z106" s="90" t="s">
        <v>130</v>
      </c>
      <c r="AA106" s="90" t="s">
        <v>130</v>
      </c>
      <c r="AB106" s="90" t="s">
        <v>131</v>
      </c>
      <c r="AC106" s="90" t="s">
        <v>132</v>
      </c>
      <c r="AD106" s="92" t="s">
        <v>26</v>
      </c>
      <c r="AE106" s="149">
        <f>IFERROR(VLOOKUP(Z106,LISTS!$AL$2:$AM$1000,2,FALSE()),"")</f>
        <v>100</v>
      </c>
      <c r="AF106" s="151">
        <f>IFERROR(VLOOKUP(AA106,LISTS!$AO$2:$AP$1000,2,FALSE()),"")</f>
        <v>100</v>
      </c>
      <c r="AG106" s="152">
        <f>IFERROR(VLOOKUP(AB106,LISTS!$AR$2:$AS$1000,2,FALSE()),"")</f>
        <v>100</v>
      </c>
      <c r="AH106" s="154">
        <f>IFERROR(VLOOKUP(AC106,LISTS!$AU$2:$AV$1000,2,FALSE()),"")</f>
        <v>0</v>
      </c>
      <c r="AI106" s="238">
        <f t="shared" si="8"/>
        <v>100</v>
      </c>
      <c r="AJ106" s="190" t="str">
        <f t="shared" si="9"/>
        <v>🌟 ممتاز جدًا</v>
      </c>
      <c r="AK106" s="157">
        <f t="shared" si="10"/>
        <v>5</v>
      </c>
      <c r="AL106" s="160">
        <f t="shared" si="11"/>
        <v>2026</v>
      </c>
      <c r="AM106" s="210"/>
      <c r="AN106" s="209"/>
    </row>
    <row r="107" spans="1:40" ht="27.95" customHeight="1">
      <c r="A107" s="134">
        <f>IF(I107&lt;&gt;"",COUNTA($I$2:I107),"")</f>
        <v>106</v>
      </c>
      <c r="B107" s="138" t="str">
        <f t="shared" si="12"/>
        <v>الثلاثاء</v>
      </c>
      <c r="C107" s="93" t="str">
        <f t="array" ref="C107">IF(E107="","",IF(M107&lt;&gt;"",
M107&amp;"/"&amp;SUMPRODUCT((M$2:M107=M107)*1)&amp;" - "&amp;(ROW()-2),
"إداري/"&amp;SUMPRODUCT((M$2:M107="")*1)&amp;" - "&amp;(ROW()-2)))</f>
        <v>إداري/102 - 105</v>
      </c>
      <c r="D107" s="141" t="str">
        <f>IF(AND(G107="",H107="",I107=""),"",IF(COUNTIFS(LISTS!$A$2:$A$67,G107,LISTS!$B$2:$B$67,H107,LISTS!$C$2:$C$67,I107)=0,"✗ هرم",IF(NOT(OR(Z107="ممتاز 100%",Z107="جيد 80%",Z107="مقبول 60%",Z107="خطر 40%",Z107="")),"✗ قائمة R",IF(NOT(OR(AA107="ممتاز 100%",AA107="جيد 85%",AA107="مقبول 70%",AA107="ضعيف 50%",AA107="")),"✗ قائمة S",IF(NOT(OR(AB107="مكتمل 100%",AB107="جزئي 60%",AB107="معلق 30%",AB107="مفتوح 0%",AB107="")),"✗ قائمة T",IF(NOT(OR(AC107="لا خصم 0",AC107="تأخير −5",AC107="عجز −10",AC107="جودة −15",AC107="امتثال −20",AC107="مخالفة −25",AC107="")),"✗ قائمة U",IF(AND(X107="لا",AC107&lt;&gt;"",AC107&lt;&gt;"لا خصم 0"),"✗ خصم",IF(AND(X107="نعم",AC107="لا خصم 0"),"✗ خصم",IF(AND(Z107="ممتاز 100%",AA107="ممتاز 100%",AB107&lt;&gt;"",AB107&lt;&gt;"مكتمل 100%"),"✗ إغلاق",IFERROR(IF(LEN(_xlfn.TEXTJOIN("، ",TRUE,IF(E107="","التاريخ",""),IF(F107="","الوقت",""),IF(G107="","المركز",""),IF(H107="","الدائرة",""),IF(I107="","القسم",""),IF(J107="","المسؤول",""),IF(K107="","نوع النشاط",""),IF(L107="","المشروع",""),IF(N107="","الممول",""),IF(V107="","الموضوع",""),IF(W107="","الملاحظة",""),IF(X107="","مشكلة",""),IF(Y107="","الإجراء",""),IF(Z107="","التنفيذ",""),IF(AA107="","الجودة",""),IF(AB107="","الإغلاق",""),IF(AC107="","الخصم",""),IF(AND(COUNTA($O107:$U107)&gt;0,O107=""),"مدير المشروع",""),IF(AND(COUNTA($O107:$U107)&gt;0,P107=""),"المستفيدين",""),IF(AND(COUNTA($O107:$U107)&gt;0,Q107=""),"المناطق",""),IF(AND(COUNTA($O107:$U107)&gt;0,R107=""),"الميزانية",""),IF(AND(COUNTA($O107:$U107)&gt;0,S107=""),"نسبة الجاهزية",""),IF(AND(COUNTA($O107:$U107)&gt;0,T107=""),"حالة الجاهزية",""),IF(AND(COUNTA($O107:$U107)&gt;0,U107=""),"التوصيات","")))&gt;0,"✗ ناقص: "&amp;_xlfn.TEXTJOIN("، ",TRUE,IF(E107="","التاريخ",""),IF(F107="","الوقت",""),IF(G107="","المركز",""),IF(H107="","الدائرة",""),IF(I107="","القسم",""),IF(J107="","المسؤول",""),IF(K107="","نوع النشاط",""),IF(L107="","المشروع",""),IF(N107="","الممول",""),IF(V107="","الموضوع",""),IF(W107="","الملاحظة",""),IF(X107="","مشكلة",""),IF(Y107="","الإجراء",""),IF(Z107="","التنفيذ",""),IF(AA107="","الجودة",""),IF(AB107="","الإغلاق",""),IF(AC107="","الخصم",""),IF(AND(COUNTA($O107:$U107)&gt;0,O107=""),"مدير المشروع",""),IF(AND(COUNTA($O107:$U107)&gt;0,P107=""),"المستفيدين",""),IF(AND(COUNTA($O107:$U107)&gt;0,Q107=""),"المناطق",""),IF(AND(COUNTA($O107:$U107)&gt;0,R107=""),"الميزانية",""),IF(AND(COUNTA($O107:$U107)&gt;0,S107=""),"نسبة الجاهزية",""),IF(AND(COUNTA($O107:$U107)&gt;0,T107=""),"حالة الجاهزية",""),IF(AND(COUNTA($O107:$U107)&gt;0,U107=""),"التوصيات","")),"✓"),"✓"))))))))))</f>
        <v>✓</v>
      </c>
      <c r="E107" s="235">
        <v>46147</v>
      </c>
      <c r="F107" s="236">
        <v>0.54166666666666663</v>
      </c>
      <c r="G107" s="90" t="s">
        <v>97</v>
      </c>
      <c r="H107" s="123" t="s">
        <v>102</v>
      </c>
      <c r="I107" s="89" t="s">
        <v>124</v>
      </c>
      <c r="J107" s="142" t="s">
        <v>117</v>
      </c>
      <c r="K107" s="90" t="s">
        <v>116</v>
      </c>
      <c r="L107" s="90" t="s">
        <v>118</v>
      </c>
      <c r="M107" s="90"/>
      <c r="N107" s="89" t="s">
        <v>655</v>
      </c>
      <c r="O107" s="200"/>
      <c r="P107" s="201"/>
      <c r="Q107" s="201"/>
      <c r="R107" s="237"/>
      <c r="S107" s="202"/>
      <c r="T107" s="200"/>
      <c r="U107" s="203"/>
      <c r="V107" s="89" t="s">
        <v>837</v>
      </c>
      <c r="W107" s="89" t="s">
        <v>856</v>
      </c>
      <c r="X107" s="145" t="s">
        <v>651</v>
      </c>
      <c r="Y107" s="89" t="s">
        <v>652</v>
      </c>
      <c r="Z107" s="90" t="s">
        <v>130</v>
      </c>
      <c r="AA107" s="90" t="s">
        <v>130</v>
      </c>
      <c r="AB107" s="90" t="s">
        <v>131</v>
      </c>
      <c r="AC107" s="90" t="s">
        <v>132</v>
      </c>
      <c r="AD107" s="92" t="s">
        <v>26</v>
      </c>
      <c r="AE107" s="149">
        <f>IFERROR(VLOOKUP(Z107,LISTS!$AL$2:$AM$1000,2,FALSE()),"")</f>
        <v>100</v>
      </c>
      <c r="AF107" s="151">
        <f>IFERROR(VLOOKUP(AA107,LISTS!$AO$2:$AP$1000,2,FALSE()),"")</f>
        <v>100</v>
      </c>
      <c r="AG107" s="152">
        <f>IFERROR(VLOOKUP(AB107,LISTS!$AR$2:$AS$1000,2,FALSE()),"")</f>
        <v>100</v>
      </c>
      <c r="AH107" s="154">
        <f>IFERROR(VLOOKUP(AC107,LISTS!$AU$2:$AV$1000,2,FALSE()),"")</f>
        <v>0</v>
      </c>
      <c r="AI107" s="238">
        <f t="shared" si="8"/>
        <v>100</v>
      </c>
      <c r="AJ107" s="190" t="str">
        <f t="shared" si="9"/>
        <v>🌟 ممتاز جدًا</v>
      </c>
      <c r="AK107" s="157">
        <f t="shared" si="10"/>
        <v>5</v>
      </c>
      <c r="AL107" s="160">
        <f t="shared" si="11"/>
        <v>2026</v>
      </c>
      <c r="AM107" s="210"/>
      <c r="AN107" s="209"/>
    </row>
    <row r="108" spans="1:40" ht="27.95" customHeight="1">
      <c r="A108" s="134">
        <f>IF(I108&lt;&gt;"",COUNTA($I$2:I108),"")</f>
        <v>107</v>
      </c>
      <c r="B108" s="138" t="str">
        <f t="shared" si="12"/>
        <v>الثلاثاء</v>
      </c>
      <c r="C108" s="93" t="str">
        <f t="array" ref="C108">IF(E108="","",IF(M108&lt;&gt;"",
M108&amp;"/"&amp;SUMPRODUCT((M$2:M108=M108)*1)&amp;" - "&amp;(ROW()-2),
"إداري/"&amp;SUMPRODUCT((M$2:M108="")*1)&amp;" - "&amp;(ROW()-2)))</f>
        <v>إداري/103 - 106</v>
      </c>
      <c r="D108" s="141" t="str">
        <f>IF(AND(G108="",H108="",I108=""),"",IF(COUNTIFS(LISTS!$A$2:$A$67,G108,LISTS!$B$2:$B$67,H108,LISTS!$C$2:$C$67,I108)=0,"✗ هرم",IF(NOT(OR(Z108="ممتاز 100%",Z108="جيد 80%",Z108="مقبول 60%",Z108="خطر 40%",Z108="")),"✗ قائمة R",IF(NOT(OR(AA108="ممتاز 100%",AA108="جيد 85%",AA108="مقبول 70%",AA108="ضعيف 50%",AA108="")),"✗ قائمة S",IF(NOT(OR(AB108="مكتمل 100%",AB108="جزئي 60%",AB108="معلق 30%",AB108="مفتوح 0%",AB108="")),"✗ قائمة T",IF(NOT(OR(AC108="لا خصم 0",AC108="تأخير −5",AC108="عجز −10",AC108="جودة −15",AC108="امتثال −20",AC108="مخالفة −25",AC108="")),"✗ قائمة U",IF(AND(X108="لا",AC108&lt;&gt;"",AC108&lt;&gt;"لا خصم 0"),"✗ خصم",IF(AND(X108="نعم",AC108="لا خصم 0"),"✗ خصم",IF(AND(Z108="ممتاز 100%",AA108="ممتاز 100%",AB108&lt;&gt;"",AB108&lt;&gt;"مكتمل 100%"),"✗ إغلاق",IFERROR(IF(LEN(_xlfn.TEXTJOIN("، ",TRUE,IF(E108="","التاريخ",""),IF(F108="","الوقت",""),IF(G108="","المركز",""),IF(H108="","الدائرة",""),IF(I108="","القسم",""),IF(J108="","المسؤول",""),IF(K108="","نوع النشاط",""),IF(L108="","المشروع",""),IF(N108="","الممول",""),IF(V108="","الموضوع",""),IF(W108="","الملاحظة",""),IF(X108="","مشكلة",""),IF(Y108="","الإجراء",""),IF(Z108="","التنفيذ",""),IF(AA108="","الجودة",""),IF(AB108="","الإغلاق",""),IF(AC108="","الخصم",""),IF(AND(COUNTA($O108:$U108)&gt;0,O108=""),"مدير المشروع",""),IF(AND(COUNTA($O108:$U108)&gt;0,P108=""),"المستفيدين",""),IF(AND(COUNTA($O108:$U108)&gt;0,Q108=""),"المناطق",""),IF(AND(COUNTA($O108:$U108)&gt;0,R108=""),"الميزانية",""),IF(AND(COUNTA($O108:$U108)&gt;0,S108=""),"نسبة الجاهزية",""),IF(AND(COUNTA($O108:$U108)&gt;0,T108=""),"حالة الجاهزية",""),IF(AND(COUNTA($O108:$U108)&gt;0,U108=""),"التوصيات","")))&gt;0,"✗ ناقص: "&amp;_xlfn.TEXTJOIN("، ",TRUE,IF(E108="","التاريخ",""),IF(F108="","الوقت",""),IF(G108="","المركز",""),IF(H108="","الدائرة",""),IF(I108="","القسم",""),IF(J108="","المسؤول",""),IF(K108="","نوع النشاط",""),IF(L108="","المشروع",""),IF(N108="","الممول",""),IF(V108="","الموضوع",""),IF(W108="","الملاحظة",""),IF(X108="","مشكلة",""),IF(Y108="","الإجراء",""),IF(Z108="","التنفيذ",""),IF(AA108="","الجودة",""),IF(AB108="","الإغلاق",""),IF(AC108="","الخصم",""),IF(AND(COUNTA($O108:$U108)&gt;0,O108=""),"مدير المشروع",""),IF(AND(COUNTA($O108:$U108)&gt;0,P108=""),"المستفيدين",""),IF(AND(COUNTA($O108:$U108)&gt;0,Q108=""),"المناطق",""),IF(AND(COUNTA($O108:$U108)&gt;0,R108=""),"الميزانية",""),IF(AND(COUNTA($O108:$U108)&gt;0,S108=""),"نسبة الجاهزية",""),IF(AND(COUNTA($O108:$U108)&gt;0,T108=""),"حالة الجاهزية",""),IF(AND(COUNTA($O108:$U108)&gt;0,U108=""),"التوصيات","")),"✓"),"✓"))))))))))</f>
        <v>✓</v>
      </c>
      <c r="E108" s="235">
        <v>46147</v>
      </c>
      <c r="F108" s="236">
        <v>0.57291666666666663</v>
      </c>
      <c r="G108" s="90" t="s">
        <v>97</v>
      </c>
      <c r="H108" s="123" t="s">
        <v>102</v>
      </c>
      <c r="I108" s="89" t="s">
        <v>124</v>
      </c>
      <c r="J108" s="142" t="s">
        <v>117</v>
      </c>
      <c r="K108" s="90" t="s">
        <v>116</v>
      </c>
      <c r="L108" s="90" t="s">
        <v>369</v>
      </c>
      <c r="M108" s="90"/>
      <c r="N108" s="89" t="s">
        <v>655</v>
      </c>
      <c r="O108" s="200"/>
      <c r="P108" s="201"/>
      <c r="Q108" s="201"/>
      <c r="R108" s="237"/>
      <c r="S108" s="202"/>
      <c r="T108" s="200"/>
      <c r="U108" s="203"/>
      <c r="V108" s="89" t="s">
        <v>823</v>
      </c>
      <c r="W108" s="89" t="s">
        <v>857</v>
      </c>
      <c r="X108" s="145" t="s">
        <v>651</v>
      </c>
      <c r="Y108" s="89" t="s">
        <v>652</v>
      </c>
      <c r="Z108" s="90" t="s">
        <v>130</v>
      </c>
      <c r="AA108" s="90" t="s">
        <v>130</v>
      </c>
      <c r="AB108" s="90" t="s">
        <v>131</v>
      </c>
      <c r="AC108" s="90" t="s">
        <v>132</v>
      </c>
      <c r="AD108" s="92" t="s">
        <v>26</v>
      </c>
      <c r="AE108" s="149">
        <f>IFERROR(VLOOKUP(Z108,LISTS!$AL$2:$AM$1000,2,FALSE()),"")</f>
        <v>100</v>
      </c>
      <c r="AF108" s="151">
        <f>IFERROR(VLOOKUP(AA108,LISTS!$AO$2:$AP$1000,2,FALSE()),"")</f>
        <v>100</v>
      </c>
      <c r="AG108" s="152">
        <f>IFERROR(VLOOKUP(AB108,LISTS!$AR$2:$AS$1000,2,FALSE()),"")</f>
        <v>100</v>
      </c>
      <c r="AH108" s="154">
        <f>IFERROR(VLOOKUP(AC108,LISTS!$AU$2:$AV$1000,2,FALSE()),"")</f>
        <v>0</v>
      </c>
      <c r="AI108" s="238">
        <f t="shared" si="8"/>
        <v>100</v>
      </c>
      <c r="AJ108" s="190" t="str">
        <f t="shared" si="9"/>
        <v>🌟 ممتاز جدًا</v>
      </c>
      <c r="AK108" s="157">
        <f t="shared" si="10"/>
        <v>5</v>
      </c>
      <c r="AL108" s="160">
        <f t="shared" si="11"/>
        <v>2026</v>
      </c>
      <c r="AM108" s="210"/>
      <c r="AN108" s="209"/>
    </row>
    <row r="109" spans="1:40" ht="27.95" customHeight="1">
      <c r="A109" s="134">
        <f>IF(I109&lt;&gt;"",COUNTA($I$2:I109),"")</f>
        <v>108</v>
      </c>
      <c r="B109" s="138" t="str">
        <f t="shared" si="12"/>
        <v>الثلاثاء</v>
      </c>
      <c r="C109" s="93" t="str">
        <f t="array" ref="C109">IF(E109="","",IF(M109&lt;&gt;"",
M109&amp;"/"&amp;SUMPRODUCT((M$2:M109=M109)*1)&amp;" - "&amp;(ROW()-2),
"إداري/"&amp;SUMPRODUCT((M$2:M109="")*1)&amp;" - "&amp;(ROW()-2)))</f>
        <v>إداري/104 - 107</v>
      </c>
      <c r="D109" s="141" t="str">
        <f>IF(AND(G109="",H109="",I109=""),"",IF(COUNTIFS(LISTS!$A$2:$A$67,G109,LISTS!$B$2:$B$67,H109,LISTS!$C$2:$C$67,I109)=0,"✗ هرم",IF(NOT(OR(Z109="ممتاز 100%",Z109="جيد 80%",Z109="مقبول 60%",Z109="خطر 40%",Z109="")),"✗ قائمة R",IF(NOT(OR(AA109="ممتاز 100%",AA109="جيد 85%",AA109="مقبول 70%",AA109="ضعيف 50%",AA109="")),"✗ قائمة S",IF(NOT(OR(AB109="مكتمل 100%",AB109="جزئي 60%",AB109="معلق 30%",AB109="مفتوح 0%",AB109="")),"✗ قائمة T",IF(NOT(OR(AC109="لا خصم 0",AC109="تأخير −5",AC109="عجز −10",AC109="جودة −15",AC109="امتثال −20",AC109="مخالفة −25",AC109="")),"✗ قائمة U",IF(AND(X109="لا",AC109&lt;&gt;"",AC109&lt;&gt;"لا خصم 0"),"✗ خصم",IF(AND(X109="نعم",AC109="لا خصم 0"),"✗ خصم",IF(AND(Z109="ممتاز 100%",AA109="ممتاز 100%",AB109&lt;&gt;"",AB109&lt;&gt;"مكتمل 100%"),"✗ إغلاق",IFERROR(IF(LEN(_xlfn.TEXTJOIN("، ",TRUE,IF(E109="","التاريخ",""),IF(F109="","الوقت",""),IF(G109="","المركز",""),IF(H109="","الدائرة",""),IF(I109="","القسم",""),IF(J109="","المسؤول",""),IF(K109="","نوع النشاط",""),IF(L109="","المشروع",""),IF(N109="","الممول",""),IF(V109="","الموضوع",""),IF(W109="","الملاحظة",""),IF(X109="","مشكلة",""),IF(Y109="","الإجراء",""),IF(Z109="","التنفيذ",""),IF(AA109="","الجودة",""),IF(AB109="","الإغلاق",""),IF(AC109="","الخصم",""),IF(AND(COUNTA($O109:$U109)&gt;0,O109=""),"مدير المشروع",""),IF(AND(COUNTA($O109:$U109)&gt;0,P109=""),"المستفيدين",""),IF(AND(COUNTA($O109:$U109)&gt;0,Q109=""),"المناطق",""),IF(AND(COUNTA($O109:$U109)&gt;0,R109=""),"الميزانية",""),IF(AND(COUNTA($O109:$U109)&gt;0,S109=""),"نسبة الجاهزية",""),IF(AND(COUNTA($O109:$U109)&gt;0,T109=""),"حالة الجاهزية",""),IF(AND(COUNTA($O109:$U109)&gt;0,U109=""),"التوصيات","")))&gt;0,"✗ ناقص: "&amp;_xlfn.TEXTJOIN("، ",TRUE,IF(E109="","التاريخ",""),IF(F109="","الوقت",""),IF(G109="","المركز",""),IF(H109="","الدائرة",""),IF(I109="","القسم",""),IF(J109="","المسؤول",""),IF(K109="","نوع النشاط",""),IF(L109="","المشروع",""),IF(N109="","الممول",""),IF(V109="","الموضوع",""),IF(W109="","الملاحظة",""),IF(X109="","مشكلة",""),IF(Y109="","الإجراء",""),IF(Z109="","التنفيذ",""),IF(AA109="","الجودة",""),IF(AB109="","الإغلاق",""),IF(AC109="","الخصم",""),IF(AND(COUNTA($O109:$U109)&gt;0,O109=""),"مدير المشروع",""),IF(AND(COUNTA($O109:$U109)&gt;0,P109=""),"المستفيدين",""),IF(AND(COUNTA($O109:$U109)&gt;0,Q109=""),"المناطق",""),IF(AND(COUNTA($O109:$U109)&gt;0,R109=""),"الميزانية",""),IF(AND(COUNTA($O109:$U109)&gt;0,S109=""),"نسبة الجاهزية",""),IF(AND(COUNTA($O109:$U109)&gt;0,T109=""),"حالة الجاهزية",""),IF(AND(COUNTA($O109:$U109)&gt;0,U109=""),"التوصيات","")),"✓"),"✓"))))))))))</f>
        <v>✗ ناقص: الممول</v>
      </c>
      <c r="E109" s="235">
        <v>46147</v>
      </c>
      <c r="F109" s="236">
        <v>0.59375</v>
      </c>
      <c r="G109" s="90" t="s">
        <v>97</v>
      </c>
      <c r="H109" s="123" t="s">
        <v>102</v>
      </c>
      <c r="I109" s="89" t="s">
        <v>202</v>
      </c>
      <c r="J109" s="142" t="s">
        <v>135</v>
      </c>
      <c r="K109" s="90" t="s">
        <v>185</v>
      </c>
      <c r="L109" s="90" t="s">
        <v>292</v>
      </c>
      <c r="M109" s="90"/>
      <c r="N109" s="89"/>
      <c r="O109" s="200"/>
      <c r="P109" s="201"/>
      <c r="Q109" s="201"/>
      <c r="R109" s="237"/>
      <c r="S109" s="202"/>
      <c r="T109" s="200"/>
      <c r="U109" s="203"/>
      <c r="V109" s="89" t="s">
        <v>858</v>
      </c>
      <c r="W109" s="89" t="s">
        <v>859</v>
      </c>
      <c r="X109" s="145" t="s">
        <v>647</v>
      </c>
      <c r="Y109" s="89" t="s">
        <v>682</v>
      </c>
      <c r="Z109" s="90" t="s">
        <v>148</v>
      </c>
      <c r="AA109" s="90" t="s">
        <v>166</v>
      </c>
      <c r="AB109" s="90" t="s">
        <v>150</v>
      </c>
      <c r="AC109" s="90" t="s">
        <v>184</v>
      </c>
      <c r="AD109" s="92" t="s">
        <v>26</v>
      </c>
      <c r="AE109" s="149">
        <f>IFERROR(VLOOKUP(Z109,LISTS!$AL$2:$AM$1000,2,FALSE()),"")</f>
        <v>60</v>
      </c>
      <c r="AF109" s="151">
        <f>IFERROR(VLOOKUP(AA109,LISTS!$AO$2:$AP$1000,2,FALSE()),"")</f>
        <v>70</v>
      </c>
      <c r="AG109" s="152">
        <f>IFERROR(VLOOKUP(AB109,LISTS!$AR$2:$AS$1000,2,FALSE()),"")</f>
        <v>30</v>
      </c>
      <c r="AH109" s="154">
        <f>IFERROR(VLOOKUP(AC109,LISTS!$AU$2:$AV$1000,2,FALSE()),"")</f>
        <v>10</v>
      </c>
      <c r="AI109" s="238">
        <f t="shared" si="8"/>
        <v>44</v>
      </c>
      <c r="AJ109" s="190" t="str">
        <f t="shared" si="9"/>
        <v>🔴 ضعيف</v>
      </c>
      <c r="AK109" s="157">
        <f t="shared" si="10"/>
        <v>5</v>
      </c>
      <c r="AL109" s="160">
        <f t="shared" si="11"/>
        <v>2026</v>
      </c>
      <c r="AM109" s="210"/>
      <c r="AN109" s="209"/>
    </row>
    <row r="110" spans="1:40" ht="27.95" customHeight="1">
      <c r="A110" s="134">
        <f>IF(I110&lt;&gt;"",COUNTA($I$2:I110),"")</f>
        <v>109</v>
      </c>
      <c r="B110" s="138" t="str">
        <f t="shared" si="12"/>
        <v>الأربعاء</v>
      </c>
      <c r="C110" s="93" t="str">
        <f t="array" ref="C110">IF(E110="","",IF(M110&lt;&gt;"",
M110&amp;"/"&amp;SUMPRODUCT((M$2:M110=M110)*1)&amp;" - "&amp;(ROW()-2),
"إداري/"&amp;SUMPRODUCT((M$2:M110="")*1)&amp;" - "&amp;(ROW()-2)))</f>
        <v>إداري/105 - 108</v>
      </c>
      <c r="D110" s="141" t="str">
        <f>IF(AND(G110="",H110="",I110=""),"",IF(COUNTIFS(LISTS!$A$2:$A$67,G110,LISTS!$B$2:$B$67,H110,LISTS!$C$2:$C$67,I110)=0,"✗ هرم",IF(NOT(OR(Z110="ممتاز 100%",Z110="جيد 80%",Z110="مقبول 60%",Z110="خطر 40%",Z110="")),"✗ قائمة R",IF(NOT(OR(AA110="ممتاز 100%",AA110="جيد 85%",AA110="مقبول 70%",AA110="ضعيف 50%",AA110="")),"✗ قائمة S",IF(NOT(OR(AB110="مكتمل 100%",AB110="جزئي 60%",AB110="معلق 30%",AB110="مفتوح 0%",AB110="")),"✗ قائمة T",IF(NOT(OR(AC110="لا خصم 0",AC110="تأخير −5",AC110="عجز −10",AC110="جودة −15",AC110="امتثال −20",AC110="مخالفة −25",AC110="")),"✗ قائمة U",IF(AND(X110="لا",AC110&lt;&gt;"",AC110&lt;&gt;"لا خصم 0"),"✗ خصم",IF(AND(X110="نعم",AC110="لا خصم 0"),"✗ خصم",IF(AND(Z110="ممتاز 100%",AA110="ممتاز 100%",AB110&lt;&gt;"",AB110&lt;&gt;"مكتمل 100%"),"✗ إغلاق",IFERROR(IF(LEN(_xlfn.TEXTJOIN("، ",TRUE,IF(E110="","التاريخ",""),IF(F110="","الوقت",""),IF(G110="","المركز",""),IF(H110="","الدائرة",""),IF(I110="","القسم",""),IF(J110="","المسؤول",""),IF(K110="","نوع النشاط",""),IF(L110="","المشروع",""),IF(N110="","الممول",""),IF(V110="","الموضوع",""),IF(W110="","الملاحظة",""),IF(X110="","مشكلة",""),IF(Y110="","الإجراء",""),IF(Z110="","التنفيذ",""),IF(AA110="","الجودة",""),IF(AB110="","الإغلاق",""),IF(AC110="","الخصم",""),IF(AND(COUNTA($O110:$U110)&gt;0,O110=""),"مدير المشروع",""),IF(AND(COUNTA($O110:$U110)&gt;0,P110=""),"المستفيدين",""),IF(AND(COUNTA($O110:$U110)&gt;0,Q110=""),"المناطق",""),IF(AND(COUNTA($O110:$U110)&gt;0,R110=""),"الميزانية",""),IF(AND(COUNTA($O110:$U110)&gt;0,S110=""),"نسبة الجاهزية",""),IF(AND(COUNTA($O110:$U110)&gt;0,T110=""),"حالة الجاهزية",""),IF(AND(COUNTA($O110:$U110)&gt;0,U110=""),"التوصيات","")))&gt;0,"✗ ناقص: "&amp;_xlfn.TEXTJOIN("، ",TRUE,IF(E110="","التاريخ",""),IF(F110="","الوقت",""),IF(G110="","المركز",""),IF(H110="","الدائرة",""),IF(I110="","القسم",""),IF(J110="","المسؤول",""),IF(K110="","نوع النشاط",""),IF(L110="","المشروع",""),IF(N110="","الممول",""),IF(V110="","الموضوع",""),IF(W110="","الملاحظة",""),IF(X110="","مشكلة",""),IF(Y110="","الإجراء",""),IF(Z110="","التنفيذ",""),IF(AA110="","الجودة",""),IF(AB110="","الإغلاق",""),IF(AC110="","الخصم",""),IF(AND(COUNTA($O110:$U110)&gt;0,O110=""),"مدير المشروع",""),IF(AND(COUNTA($O110:$U110)&gt;0,P110=""),"المستفيدين",""),IF(AND(COUNTA($O110:$U110)&gt;0,Q110=""),"المناطق",""),IF(AND(COUNTA($O110:$U110)&gt;0,R110=""),"الميزانية",""),IF(AND(COUNTA($O110:$U110)&gt;0,S110=""),"نسبة الجاهزية",""),IF(AND(COUNTA($O110:$U110)&gt;0,T110=""),"حالة الجاهزية",""),IF(AND(COUNTA($O110:$U110)&gt;0,U110=""),"التوصيات","")),"✓"),"✓"))))))))))</f>
        <v>✗ ناقص: الممول</v>
      </c>
      <c r="E110" s="235">
        <v>46148</v>
      </c>
      <c r="F110" s="236">
        <v>0.46527777777777779</v>
      </c>
      <c r="G110" s="90" t="s">
        <v>97</v>
      </c>
      <c r="H110" s="123" t="s">
        <v>102</v>
      </c>
      <c r="I110" s="89" t="s">
        <v>136</v>
      </c>
      <c r="J110" s="142" t="s">
        <v>208</v>
      </c>
      <c r="K110" s="90" t="s">
        <v>152</v>
      </c>
      <c r="L110" s="90" t="s">
        <v>136</v>
      </c>
      <c r="M110" s="90"/>
      <c r="N110" s="89"/>
      <c r="O110" s="200"/>
      <c r="P110" s="201"/>
      <c r="Q110" s="201"/>
      <c r="R110" s="237"/>
      <c r="S110" s="202"/>
      <c r="T110" s="200"/>
      <c r="U110" s="203"/>
      <c r="V110" s="89" t="s">
        <v>712</v>
      </c>
      <c r="W110" s="89" t="s">
        <v>860</v>
      </c>
      <c r="X110" s="145" t="s">
        <v>647</v>
      </c>
      <c r="Y110" s="89" t="s">
        <v>682</v>
      </c>
      <c r="Z110" s="90" t="s">
        <v>181</v>
      </c>
      <c r="AA110" s="90" t="s">
        <v>182</v>
      </c>
      <c r="AB110" s="90" t="s">
        <v>150</v>
      </c>
      <c r="AC110" s="90" t="s">
        <v>151</v>
      </c>
      <c r="AD110" s="92" t="s">
        <v>26</v>
      </c>
      <c r="AE110" s="149">
        <f>IFERROR(VLOOKUP(Z110,LISTS!$AL$2:$AM$1000,2,FALSE()),"")</f>
        <v>40</v>
      </c>
      <c r="AF110" s="151">
        <f>IFERROR(VLOOKUP(AA110,LISTS!$AO$2:$AP$1000,2,FALSE()),"")</f>
        <v>50</v>
      </c>
      <c r="AG110" s="152">
        <f>IFERROR(VLOOKUP(AB110,LISTS!$AR$2:$AS$1000,2,FALSE()),"")</f>
        <v>30</v>
      </c>
      <c r="AH110" s="154">
        <f>IFERROR(VLOOKUP(AC110,LISTS!$AU$2:$AV$1000,2,FALSE()),"")</f>
        <v>25</v>
      </c>
      <c r="AI110" s="238">
        <f t="shared" si="8"/>
        <v>15</v>
      </c>
      <c r="AJ110" s="190" t="str">
        <f t="shared" si="9"/>
        <v>🚨 خطر شديد</v>
      </c>
      <c r="AK110" s="157">
        <f t="shared" si="10"/>
        <v>5</v>
      </c>
      <c r="AL110" s="160">
        <f t="shared" si="11"/>
        <v>2026</v>
      </c>
      <c r="AM110" s="210"/>
      <c r="AN110" s="209"/>
    </row>
    <row r="111" spans="1:40" ht="27.95" customHeight="1">
      <c r="A111" s="134">
        <f>IF(I111&lt;&gt;"",COUNTA($I$2:I111),"")</f>
        <v>110</v>
      </c>
      <c r="B111" s="138" t="str">
        <f t="shared" si="12"/>
        <v>الأربعاء</v>
      </c>
      <c r="C111" s="93" t="str">
        <f t="array" ref="C111">IF(E111="","",IF(M111&lt;&gt;"",
M111&amp;"/"&amp;SUMPRODUCT((M$2:M111=M111)*1)&amp;" - "&amp;(ROW()-2),
"إداري/"&amp;SUMPRODUCT((M$2:M111="")*1)&amp;" - "&amp;(ROW()-2)))</f>
        <v>إداري/106 - 109</v>
      </c>
      <c r="D111" s="141" t="str">
        <f>IF(AND(G111="",H111="",I111=""),"",IF(COUNTIFS(LISTS!$A$2:$A$67,G111,LISTS!$B$2:$B$67,H111,LISTS!$C$2:$C$67,I111)=0,"✗ هرم",IF(NOT(OR(Z111="ممتاز 100%",Z111="جيد 80%",Z111="مقبول 60%",Z111="خطر 40%",Z111="")),"✗ قائمة R",IF(NOT(OR(AA111="ممتاز 100%",AA111="جيد 85%",AA111="مقبول 70%",AA111="ضعيف 50%",AA111="")),"✗ قائمة S",IF(NOT(OR(AB111="مكتمل 100%",AB111="جزئي 60%",AB111="معلق 30%",AB111="مفتوح 0%",AB111="")),"✗ قائمة T",IF(NOT(OR(AC111="لا خصم 0",AC111="تأخير −5",AC111="عجز −10",AC111="جودة −15",AC111="امتثال −20",AC111="مخالفة −25",AC111="")),"✗ قائمة U",IF(AND(X111="لا",AC111&lt;&gt;"",AC111&lt;&gt;"لا خصم 0"),"✗ خصم",IF(AND(X111="نعم",AC111="لا خصم 0"),"✗ خصم",IF(AND(Z111="ممتاز 100%",AA111="ممتاز 100%",AB111&lt;&gt;"",AB111&lt;&gt;"مكتمل 100%"),"✗ إغلاق",IFERROR(IF(LEN(_xlfn.TEXTJOIN("، ",TRUE,IF(E111="","التاريخ",""),IF(F111="","الوقت",""),IF(G111="","المركز",""),IF(H111="","الدائرة",""),IF(I111="","القسم",""),IF(J111="","المسؤول",""),IF(K111="","نوع النشاط",""),IF(L111="","المشروع",""),IF(N111="","الممول",""),IF(V111="","الموضوع",""),IF(W111="","الملاحظة",""),IF(X111="","مشكلة",""),IF(Y111="","الإجراء",""),IF(Z111="","التنفيذ",""),IF(AA111="","الجودة",""),IF(AB111="","الإغلاق",""),IF(AC111="","الخصم",""),IF(AND(COUNTA($O111:$U111)&gt;0,O111=""),"مدير المشروع",""),IF(AND(COUNTA($O111:$U111)&gt;0,P111=""),"المستفيدين",""),IF(AND(COUNTA($O111:$U111)&gt;0,Q111=""),"المناطق",""),IF(AND(COUNTA($O111:$U111)&gt;0,R111=""),"الميزانية",""),IF(AND(COUNTA($O111:$U111)&gt;0,S111=""),"نسبة الجاهزية",""),IF(AND(COUNTA($O111:$U111)&gt;0,T111=""),"حالة الجاهزية",""),IF(AND(COUNTA($O111:$U111)&gt;0,U111=""),"التوصيات","")))&gt;0,"✗ ناقص: "&amp;_xlfn.TEXTJOIN("، ",TRUE,IF(E111="","التاريخ",""),IF(F111="","الوقت",""),IF(G111="","المركز",""),IF(H111="","الدائرة",""),IF(I111="","القسم",""),IF(J111="","المسؤول",""),IF(K111="","نوع النشاط",""),IF(L111="","المشروع",""),IF(N111="","الممول",""),IF(V111="","الموضوع",""),IF(W111="","الملاحظة",""),IF(X111="","مشكلة",""),IF(Y111="","الإجراء",""),IF(Z111="","التنفيذ",""),IF(AA111="","الجودة",""),IF(AB111="","الإغلاق",""),IF(AC111="","الخصم",""),IF(AND(COUNTA($O111:$U111)&gt;0,O111=""),"مدير المشروع",""),IF(AND(COUNTA($O111:$U111)&gt;0,P111=""),"المستفيدين",""),IF(AND(COUNTA($O111:$U111)&gt;0,Q111=""),"المناطق",""),IF(AND(COUNTA($O111:$U111)&gt;0,R111=""),"الميزانية",""),IF(AND(COUNTA($O111:$U111)&gt;0,S111=""),"نسبة الجاهزية",""),IF(AND(COUNTA($O111:$U111)&gt;0,T111=""),"حالة الجاهزية",""),IF(AND(COUNTA($O111:$U111)&gt;0,U111=""),"التوصيات","")),"✓"),"✓"))))))))))</f>
        <v>✗ ناقص: الممول</v>
      </c>
      <c r="E111" s="235">
        <v>46148</v>
      </c>
      <c r="F111" s="236">
        <v>0.5625</v>
      </c>
      <c r="G111" s="90" t="s">
        <v>97</v>
      </c>
      <c r="H111" s="123" t="s">
        <v>102</v>
      </c>
      <c r="I111" s="89" t="s">
        <v>136</v>
      </c>
      <c r="J111" s="142" t="s">
        <v>230</v>
      </c>
      <c r="K111" s="90" t="s">
        <v>152</v>
      </c>
      <c r="L111" s="90" t="s">
        <v>136</v>
      </c>
      <c r="M111" s="90"/>
      <c r="N111" s="89"/>
      <c r="O111" s="200"/>
      <c r="P111" s="201"/>
      <c r="Q111" s="201"/>
      <c r="R111" s="237"/>
      <c r="S111" s="202"/>
      <c r="T111" s="200"/>
      <c r="U111" s="203"/>
      <c r="V111" s="89" t="s">
        <v>861</v>
      </c>
      <c r="W111" s="89" t="s">
        <v>862</v>
      </c>
      <c r="X111" s="145" t="s">
        <v>647</v>
      </c>
      <c r="Y111" s="89" t="s">
        <v>682</v>
      </c>
      <c r="Z111" s="90" t="s">
        <v>181</v>
      </c>
      <c r="AA111" s="90" t="s">
        <v>182</v>
      </c>
      <c r="AB111" s="90" t="s">
        <v>150</v>
      </c>
      <c r="AC111" s="90" t="s">
        <v>151</v>
      </c>
      <c r="AD111" s="92" t="s">
        <v>26</v>
      </c>
      <c r="AE111" s="149">
        <f>IFERROR(VLOOKUP(Z111,LISTS!$AL$2:$AM$1000,2,FALSE()),"")</f>
        <v>40</v>
      </c>
      <c r="AF111" s="151">
        <f>IFERROR(VLOOKUP(AA111,LISTS!$AO$2:$AP$1000,2,FALSE()),"")</f>
        <v>50</v>
      </c>
      <c r="AG111" s="152">
        <f>IFERROR(VLOOKUP(AB111,LISTS!$AR$2:$AS$1000,2,FALSE()),"")</f>
        <v>30</v>
      </c>
      <c r="AH111" s="154">
        <f>IFERROR(VLOOKUP(AC111,LISTS!$AU$2:$AV$1000,2,FALSE()),"")</f>
        <v>25</v>
      </c>
      <c r="AI111" s="238">
        <f t="shared" si="8"/>
        <v>15</v>
      </c>
      <c r="AJ111" s="190" t="str">
        <f t="shared" si="9"/>
        <v>🚨 خطر شديد</v>
      </c>
      <c r="AK111" s="157">
        <f t="shared" si="10"/>
        <v>5</v>
      </c>
      <c r="AL111" s="160">
        <f t="shared" si="11"/>
        <v>2026</v>
      </c>
      <c r="AM111" s="210"/>
      <c r="AN111" s="209"/>
    </row>
    <row r="112" spans="1:40" ht="27.95" customHeight="1">
      <c r="A112" s="134">
        <f>IF(I112&lt;&gt;"",COUNTA($I$2:I112),"")</f>
        <v>111</v>
      </c>
      <c r="B112" s="138" t="str">
        <f t="shared" si="12"/>
        <v>الأربعاء</v>
      </c>
      <c r="C112" s="93" t="str">
        <f t="array" ref="C112">IF(E112="","",IF(M112&lt;&gt;"",
M112&amp;"/"&amp;SUMPRODUCT((M$2:M112=M112)*1)&amp;" - "&amp;(ROW()-2),
"إداري/"&amp;SUMPRODUCT((M$2:M112="")*1)&amp;" - "&amp;(ROW()-2)))</f>
        <v>إداري/107 - 110</v>
      </c>
      <c r="D112" s="141" t="str">
        <f>IF(AND(G112="",H112="",I112=""),"",IF(COUNTIFS(LISTS!$A$2:$A$67,G112,LISTS!$B$2:$B$67,H112,LISTS!$C$2:$C$67,I112)=0,"✗ هرم",IF(NOT(OR(Z112="ممتاز 100%",Z112="جيد 80%",Z112="مقبول 60%",Z112="خطر 40%",Z112="")),"✗ قائمة R",IF(NOT(OR(AA112="ممتاز 100%",AA112="جيد 85%",AA112="مقبول 70%",AA112="ضعيف 50%",AA112="")),"✗ قائمة S",IF(NOT(OR(AB112="مكتمل 100%",AB112="جزئي 60%",AB112="معلق 30%",AB112="مفتوح 0%",AB112="")),"✗ قائمة T",IF(NOT(OR(AC112="لا خصم 0",AC112="تأخير −5",AC112="عجز −10",AC112="جودة −15",AC112="امتثال −20",AC112="مخالفة −25",AC112="")),"✗ قائمة U",IF(AND(X112="لا",AC112&lt;&gt;"",AC112&lt;&gt;"لا خصم 0"),"✗ خصم",IF(AND(X112="نعم",AC112="لا خصم 0"),"✗ خصم",IF(AND(Z112="ممتاز 100%",AA112="ممتاز 100%",AB112&lt;&gt;"",AB112&lt;&gt;"مكتمل 100%"),"✗ إغلاق",IFERROR(IF(LEN(_xlfn.TEXTJOIN("، ",TRUE,IF(E112="","التاريخ",""),IF(F112="","الوقت",""),IF(G112="","المركز",""),IF(H112="","الدائرة",""),IF(I112="","القسم",""),IF(J112="","المسؤول",""),IF(K112="","نوع النشاط",""),IF(L112="","المشروع",""),IF(N112="","الممول",""),IF(V112="","الموضوع",""),IF(W112="","الملاحظة",""),IF(X112="","مشكلة",""),IF(Y112="","الإجراء",""),IF(Z112="","التنفيذ",""),IF(AA112="","الجودة",""),IF(AB112="","الإغلاق",""),IF(AC112="","الخصم",""),IF(AND(COUNTA($O112:$U112)&gt;0,O112=""),"مدير المشروع",""),IF(AND(COUNTA($O112:$U112)&gt;0,P112=""),"المستفيدين",""),IF(AND(COUNTA($O112:$U112)&gt;0,Q112=""),"المناطق",""),IF(AND(COUNTA($O112:$U112)&gt;0,R112=""),"الميزانية",""),IF(AND(COUNTA($O112:$U112)&gt;0,S112=""),"نسبة الجاهزية",""),IF(AND(COUNTA($O112:$U112)&gt;0,T112=""),"حالة الجاهزية",""),IF(AND(COUNTA($O112:$U112)&gt;0,U112=""),"التوصيات","")))&gt;0,"✗ ناقص: "&amp;_xlfn.TEXTJOIN("، ",TRUE,IF(E112="","التاريخ",""),IF(F112="","الوقت",""),IF(G112="","المركز",""),IF(H112="","الدائرة",""),IF(I112="","القسم",""),IF(J112="","المسؤول",""),IF(K112="","نوع النشاط",""),IF(L112="","المشروع",""),IF(N112="","الممول",""),IF(V112="","الموضوع",""),IF(W112="","الملاحظة",""),IF(X112="","مشكلة",""),IF(Y112="","الإجراء",""),IF(Z112="","التنفيذ",""),IF(AA112="","الجودة",""),IF(AB112="","الإغلاق",""),IF(AC112="","الخصم",""),IF(AND(COUNTA($O112:$U112)&gt;0,O112=""),"مدير المشروع",""),IF(AND(COUNTA($O112:$U112)&gt;0,P112=""),"المستفيدين",""),IF(AND(COUNTA($O112:$U112)&gt;0,Q112=""),"المناطق",""),IF(AND(COUNTA($O112:$U112)&gt;0,R112=""),"الميزانية",""),IF(AND(COUNTA($O112:$U112)&gt;0,S112=""),"نسبة الجاهزية",""),IF(AND(COUNTA($O112:$U112)&gt;0,T112=""),"حالة الجاهزية",""),IF(AND(COUNTA($O112:$U112)&gt;0,U112=""),"التوصيات","")),"✓"),"✓"))))))))))</f>
        <v>✗ ناقص: الممول</v>
      </c>
      <c r="E112" s="235">
        <v>46148</v>
      </c>
      <c r="F112" s="236">
        <v>0.59375</v>
      </c>
      <c r="G112" s="90" t="s">
        <v>97</v>
      </c>
      <c r="H112" s="123" t="s">
        <v>102</v>
      </c>
      <c r="I112" s="89" t="s">
        <v>136</v>
      </c>
      <c r="J112" s="142" t="s">
        <v>208</v>
      </c>
      <c r="K112" s="90" t="s">
        <v>152</v>
      </c>
      <c r="L112" s="90" t="s">
        <v>136</v>
      </c>
      <c r="M112" s="90"/>
      <c r="N112" s="89"/>
      <c r="O112" s="200"/>
      <c r="P112" s="201"/>
      <c r="Q112" s="201"/>
      <c r="R112" s="237"/>
      <c r="S112" s="202"/>
      <c r="T112" s="200"/>
      <c r="U112" s="203"/>
      <c r="V112" s="89" t="s">
        <v>863</v>
      </c>
      <c r="W112" s="89" t="s">
        <v>864</v>
      </c>
      <c r="X112" s="145" t="s">
        <v>647</v>
      </c>
      <c r="Y112" s="89" t="s">
        <v>666</v>
      </c>
      <c r="Z112" s="90" t="s">
        <v>148</v>
      </c>
      <c r="AA112" s="90" t="s">
        <v>166</v>
      </c>
      <c r="AB112" s="90" t="s">
        <v>150</v>
      </c>
      <c r="AC112" s="90" t="s">
        <v>168</v>
      </c>
      <c r="AD112" s="92" t="s">
        <v>26</v>
      </c>
      <c r="AE112" s="149">
        <f>IFERROR(VLOOKUP(Z112,LISTS!$AL$2:$AM$1000,2,FALSE()),"")</f>
        <v>60</v>
      </c>
      <c r="AF112" s="151">
        <f>IFERROR(VLOOKUP(AA112,LISTS!$AO$2:$AP$1000,2,FALSE()),"")</f>
        <v>70</v>
      </c>
      <c r="AG112" s="152">
        <f>IFERROR(VLOOKUP(AB112,LISTS!$AR$2:$AS$1000,2,FALSE()),"")</f>
        <v>30</v>
      </c>
      <c r="AH112" s="154">
        <f>IFERROR(VLOOKUP(AC112,LISTS!$AU$2:$AV$1000,2,FALSE()),"")</f>
        <v>20</v>
      </c>
      <c r="AI112" s="238">
        <f t="shared" si="8"/>
        <v>34</v>
      </c>
      <c r="AJ112" s="190" t="str">
        <f t="shared" si="9"/>
        <v>🚨 خطر شديد</v>
      </c>
      <c r="AK112" s="157">
        <f t="shared" si="10"/>
        <v>5</v>
      </c>
      <c r="AL112" s="160">
        <f t="shared" si="11"/>
        <v>2026</v>
      </c>
      <c r="AM112" s="210"/>
      <c r="AN112" s="209"/>
    </row>
    <row r="113" spans="1:40" ht="27.95" customHeight="1">
      <c r="A113" s="134">
        <f>IF(I113&lt;&gt;"",COUNTA($I$2:I113),"")</f>
        <v>112</v>
      </c>
      <c r="B113" s="138" t="str">
        <f t="shared" si="12"/>
        <v>الأربعاء</v>
      </c>
      <c r="C113" s="93" t="str">
        <f t="array" ref="C113">IF(E113="","",IF(M113&lt;&gt;"",
M113&amp;"/"&amp;SUMPRODUCT((M$2:M113=M113)*1)&amp;" - "&amp;(ROW()-2),
"إداري/"&amp;SUMPRODUCT((M$2:M113="")*1)&amp;" - "&amp;(ROW()-2)))</f>
        <v>إداري/108 - 111</v>
      </c>
      <c r="D113" s="141" t="str">
        <f>IF(AND(G113="",H113="",I113=""),"",IF(COUNTIFS(LISTS!$A$2:$A$67,G113,LISTS!$B$2:$B$67,H113,LISTS!$C$2:$C$67,I113)=0,"✗ هرم",IF(NOT(OR(Z113="ممتاز 100%",Z113="جيد 80%",Z113="مقبول 60%",Z113="خطر 40%",Z113="")),"✗ قائمة R",IF(NOT(OR(AA113="ممتاز 100%",AA113="جيد 85%",AA113="مقبول 70%",AA113="ضعيف 50%",AA113="")),"✗ قائمة S",IF(NOT(OR(AB113="مكتمل 100%",AB113="جزئي 60%",AB113="معلق 30%",AB113="مفتوح 0%",AB113="")),"✗ قائمة T",IF(NOT(OR(AC113="لا خصم 0",AC113="تأخير −5",AC113="عجز −10",AC113="جودة −15",AC113="امتثال −20",AC113="مخالفة −25",AC113="")),"✗ قائمة U",IF(AND(X113="لا",AC113&lt;&gt;"",AC113&lt;&gt;"لا خصم 0"),"✗ خصم",IF(AND(X113="نعم",AC113="لا خصم 0"),"✗ خصم",IF(AND(Z113="ممتاز 100%",AA113="ممتاز 100%",AB113&lt;&gt;"",AB113&lt;&gt;"مكتمل 100%"),"✗ إغلاق",IFERROR(IF(LEN(_xlfn.TEXTJOIN("، ",TRUE,IF(E113="","التاريخ",""),IF(F113="","الوقت",""),IF(G113="","المركز",""),IF(H113="","الدائرة",""),IF(I113="","القسم",""),IF(J113="","المسؤول",""),IF(K113="","نوع النشاط",""),IF(L113="","المشروع",""),IF(N113="","الممول",""),IF(V113="","الموضوع",""),IF(W113="","الملاحظة",""),IF(X113="","مشكلة",""),IF(Y113="","الإجراء",""),IF(Z113="","التنفيذ",""),IF(AA113="","الجودة",""),IF(AB113="","الإغلاق",""),IF(AC113="","الخصم",""),IF(AND(COUNTA($O113:$U113)&gt;0,O113=""),"مدير المشروع",""),IF(AND(COUNTA($O113:$U113)&gt;0,P113=""),"المستفيدين",""),IF(AND(COUNTA($O113:$U113)&gt;0,Q113=""),"المناطق",""),IF(AND(COUNTA($O113:$U113)&gt;0,R113=""),"الميزانية",""),IF(AND(COUNTA($O113:$U113)&gt;0,S113=""),"نسبة الجاهزية",""),IF(AND(COUNTA($O113:$U113)&gt;0,T113=""),"حالة الجاهزية",""),IF(AND(COUNTA($O113:$U113)&gt;0,U113=""),"التوصيات","")))&gt;0,"✗ ناقص: "&amp;_xlfn.TEXTJOIN("، ",TRUE,IF(E113="","التاريخ",""),IF(F113="","الوقت",""),IF(G113="","المركز",""),IF(H113="","الدائرة",""),IF(I113="","القسم",""),IF(J113="","المسؤول",""),IF(K113="","نوع النشاط",""),IF(L113="","المشروع",""),IF(N113="","الممول",""),IF(V113="","الموضوع",""),IF(W113="","الملاحظة",""),IF(X113="","مشكلة",""),IF(Y113="","الإجراء",""),IF(Z113="","التنفيذ",""),IF(AA113="","الجودة",""),IF(AB113="","الإغلاق",""),IF(AC113="","الخصم",""),IF(AND(COUNTA($O113:$U113)&gt;0,O113=""),"مدير المشروع",""),IF(AND(COUNTA($O113:$U113)&gt;0,P113=""),"المستفيدين",""),IF(AND(COUNTA($O113:$U113)&gt;0,Q113=""),"المناطق",""),IF(AND(COUNTA($O113:$U113)&gt;0,R113=""),"الميزانية",""),IF(AND(COUNTA($O113:$U113)&gt;0,S113=""),"نسبة الجاهزية",""),IF(AND(COUNTA($O113:$U113)&gt;0,T113=""),"حالة الجاهزية",""),IF(AND(COUNTA($O113:$U113)&gt;0,U113=""),"التوصيات","")),"✓"),"✓"))))))))))</f>
        <v>✓</v>
      </c>
      <c r="E113" s="235">
        <v>46148</v>
      </c>
      <c r="F113" s="236">
        <v>0.57638888888888884</v>
      </c>
      <c r="G113" s="90" t="s">
        <v>97</v>
      </c>
      <c r="H113" s="123" t="s">
        <v>102</v>
      </c>
      <c r="I113" s="89" t="s">
        <v>124</v>
      </c>
      <c r="J113" s="142" t="s">
        <v>117</v>
      </c>
      <c r="K113" s="90" t="s">
        <v>116</v>
      </c>
      <c r="L113" s="90" t="s">
        <v>369</v>
      </c>
      <c r="M113" s="90"/>
      <c r="N113" s="89" t="s">
        <v>655</v>
      </c>
      <c r="O113" s="200"/>
      <c r="P113" s="201"/>
      <c r="Q113" s="201"/>
      <c r="R113" s="237"/>
      <c r="S113" s="202"/>
      <c r="T113" s="200"/>
      <c r="U113" s="203"/>
      <c r="V113" s="89" t="s">
        <v>823</v>
      </c>
      <c r="W113" s="89" t="s">
        <v>865</v>
      </c>
      <c r="X113" s="145" t="s">
        <v>651</v>
      </c>
      <c r="Y113" s="89" t="s">
        <v>652</v>
      </c>
      <c r="Z113" s="90" t="s">
        <v>130</v>
      </c>
      <c r="AA113" s="90" t="s">
        <v>130</v>
      </c>
      <c r="AB113" s="90" t="s">
        <v>131</v>
      </c>
      <c r="AC113" s="90" t="s">
        <v>132</v>
      </c>
      <c r="AD113" s="92" t="s">
        <v>26</v>
      </c>
      <c r="AE113" s="149">
        <f>IFERROR(VLOOKUP(Z113,LISTS!$AL$2:$AM$1000,2,FALSE()),"")</f>
        <v>100</v>
      </c>
      <c r="AF113" s="151">
        <f>IFERROR(VLOOKUP(AA113,LISTS!$AO$2:$AP$1000,2,FALSE()),"")</f>
        <v>100</v>
      </c>
      <c r="AG113" s="152">
        <f>IFERROR(VLOOKUP(AB113,LISTS!$AR$2:$AS$1000,2,FALSE()),"")</f>
        <v>100</v>
      </c>
      <c r="AH113" s="154">
        <f>IFERROR(VLOOKUP(AC113,LISTS!$AU$2:$AV$1000,2,FALSE()),"")</f>
        <v>0</v>
      </c>
      <c r="AI113" s="238">
        <f t="shared" si="8"/>
        <v>100</v>
      </c>
      <c r="AJ113" s="190" t="str">
        <f t="shared" si="9"/>
        <v>🌟 ممتاز جدًا</v>
      </c>
      <c r="AK113" s="157">
        <f t="shared" si="10"/>
        <v>5</v>
      </c>
      <c r="AL113" s="160">
        <f t="shared" si="11"/>
        <v>2026</v>
      </c>
      <c r="AM113" s="210"/>
      <c r="AN113" s="209"/>
    </row>
    <row r="114" spans="1:40" ht="27.95" customHeight="1">
      <c r="A114" s="134">
        <f>IF(I114&lt;&gt;"",COUNTA($I$2:I114),"")</f>
        <v>113</v>
      </c>
      <c r="B114" s="138" t="str">
        <f t="shared" si="12"/>
        <v>الأربعاء</v>
      </c>
      <c r="C114" s="93" t="str">
        <f t="array" ref="C114">IF(E114="","",IF(M114&lt;&gt;"",
M114&amp;"/"&amp;SUMPRODUCT((M$2:M114=M114)*1)&amp;" - "&amp;(ROW()-2),
"إداري/"&amp;SUMPRODUCT((M$2:M114="")*1)&amp;" - "&amp;(ROW()-2)))</f>
        <v>إداري/109 - 112</v>
      </c>
      <c r="D114" s="141" t="str">
        <f>IF(AND(G114="",H114="",I114=""),"",IF(COUNTIFS(LISTS!$A$2:$A$67,G114,LISTS!$B$2:$B$67,H114,LISTS!$C$2:$C$67,I114)=0,"✗ هرم",IF(NOT(OR(Z114="ممتاز 100%",Z114="جيد 80%",Z114="مقبول 60%",Z114="خطر 40%",Z114="")),"✗ قائمة R",IF(NOT(OR(AA114="ممتاز 100%",AA114="جيد 85%",AA114="مقبول 70%",AA114="ضعيف 50%",AA114="")),"✗ قائمة S",IF(NOT(OR(AB114="مكتمل 100%",AB114="جزئي 60%",AB114="معلق 30%",AB114="مفتوح 0%",AB114="")),"✗ قائمة T",IF(NOT(OR(AC114="لا خصم 0",AC114="تأخير −5",AC114="عجز −10",AC114="جودة −15",AC114="امتثال −20",AC114="مخالفة −25",AC114="")),"✗ قائمة U",IF(AND(X114="لا",AC114&lt;&gt;"",AC114&lt;&gt;"لا خصم 0"),"✗ خصم",IF(AND(X114="نعم",AC114="لا خصم 0"),"✗ خصم",IF(AND(Z114="ممتاز 100%",AA114="ممتاز 100%",AB114&lt;&gt;"",AB114&lt;&gt;"مكتمل 100%"),"✗ إغلاق",IFERROR(IF(LEN(_xlfn.TEXTJOIN("، ",TRUE,IF(E114="","التاريخ",""),IF(F114="","الوقت",""),IF(G114="","المركز",""),IF(H114="","الدائرة",""),IF(I114="","القسم",""),IF(J114="","المسؤول",""),IF(K114="","نوع النشاط",""),IF(L114="","المشروع",""),IF(N114="","الممول",""),IF(V114="","الموضوع",""),IF(W114="","الملاحظة",""),IF(X114="","مشكلة",""),IF(Y114="","الإجراء",""),IF(Z114="","التنفيذ",""),IF(AA114="","الجودة",""),IF(AB114="","الإغلاق",""),IF(AC114="","الخصم",""),IF(AND(COUNTA($O114:$U114)&gt;0,O114=""),"مدير المشروع",""),IF(AND(COUNTA($O114:$U114)&gt;0,P114=""),"المستفيدين",""),IF(AND(COUNTA($O114:$U114)&gt;0,Q114=""),"المناطق",""),IF(AND(COUNTA($O114:$U114)&gt;0,R114=""),"الميزانية",""),IF(AND(COUNTA($O114:$U114)&gt;0,S114=""),"نسبة الجاهزية",""),IF(AND(COUNTA($O114:$U114)&gt;0,T114=""),"حالة الجاهزية",""),IF(AND(COUNTA($O114:$U114)&gt;0,U114=""),"التوصيات","")))&gt;0,"✗ ناقص: "&amp;_xlfn.TEXTJOIN("، ",TRUE,IF(E114="","التاريخ",""),IF(F114="","الوقت",""),IF(G114="","المركز",""),IF(H114="","الدائرة",""),IF(I114="","القسم",""),IF(J114="","المسؤول",""),IF(K114="","نوع النشاط",""),IF(L114="","المشروع",""),IF(N114="","الممول",""),IF(V114="","الموضوع",""),IF(W114="","الملاحظة",""),IF(X114="","مشكلة",""),IF(Y114="","الإجراء",""),IF(Z114="","التنفيذ",""),IF(AA114="","الجودة",""),IF(AB114="","الإغلاق",""),IF(AC114="","الخصم",""),IF(AND(COUNTA($O114:$U114)&gt;0,O114=""),"مدير المشروع",""),IF(AND(COUNTA($O114:$U114)&gt;0,P114=""),"المستفيدين",""),IF(AND(COUNTA($O114:$U114)&gt;0,Q114=""),"المناطق",""),IF(AND(COUNTA($O114:$U114)&gt;0,R114=""),"الميزانية",""),IF(AND(COUNTA($O114:$U114)&gt;0,S114=""),"نسبة الجاهزية",""),IF(AND(COUNTA($O114:$U114)&gt;0,T114=""),"حالة الجاهزية",""),IF(AND(COUNTA($O114:$U114)&gt;0,U114=""),"التوصيات","")),"✓"),"✓"))))))))))</f>
        <v>✓</v>
      </c>
      <c r="E114" s="235">
        <v>46148</v>
      </c>
      <c r="F114" s="236">
        <v>0.57291666666666663</v>
      </c>
      <c r="G114" s="90" t="s">
        <v>97</v>
      </c>
      <c r="H114" s="123" t="s">
        <v>102</v>
      </c>
      <c r="I114" s="89" t="s">
        <v>124</v>
      </c>
      <c r="J114" s="142" t="s">
        <v>117</v>
      </c>
      <c r="K114" s="90" t="s">
        <v>116</v>
      </c>
      <c r="L114" s="90" t="s">
        <v>171</v>
      </c>
      <c r="M114" s="90"/>
      <c r="N114" s="89" t="s">
        <v>138</v>
      </c>
      <c r="O114" s="200"/>
      <c r="P114" s="201"/>
      <c r="Q114" s="201"/>
      <c r="R114" s="237"/>
      <c r="S114" s="202"/>
      <c r="T114" s="200"/>
      <c r="U114" s="203"/>
      <c r="V114" s="89" t="s">
        <v>866</v>
      </c>
      <c r="W114" s="89" t="s">
        <v>867</v>
      </c>
      <c r="X114" s="145" t="s">
        <v>651</v>
      </c>
      <c r="Y114" s="89" t="s">
        <v>652</v>
      </c>
      <c r="Z114" s="90" t="s">
        <v>130</v>
      </c>
      <c r="AA114" s="90" t="s">
        <v>130</v>
      </c>
      <c r="AB114" s="90" t="s">
        <v>131</v>
      </c>
      <c r="AC114" s="90" t="s">
        <v>132</v>
      </c>
      <c r="AD114" s="92" t="s">
        <v>26</v>
      </c>
      <c r="AE114" s="149">
        <f>IFERROR(VLOOKUP(Z114,LISTS!$AL$2:$AM$1000,2,FALSE()),"")</f>
        <v>100</v>
      </c>
      <c r="AF114" s="151">
        <f>IFERROR(VLOOKUP(AA114,LISTS!$AO$2:$AP$1000,2,FALSE()),"")</f>
        <v>100</v>
      </c>
      <c r="AG114" s="152">
        <f>IFERROR(VLOOKUP(AB114,LISTS!$AR$2:$AS$1000,2,FALSE()),"")</f>
        <v>100</v>
      </c>
      <c r="AH114" s="154">
        <f>IFERROR(VLOOKUP(AC114,LISTS!$AU$2:$AV$1000,2,FALSE()),"")</f>
        <v>0</v>
      </c>
      <c r="AI114" s="238">
        <f t="shared" si="8"/>
        <v>100</v>
      </c>
      <c r="AJ114" s="190" t="str">
        <f t="shared" si="9"/>
        <v>🌟 ممتاز جدًا</v>
      </c>
      <c r="AK114" s="157">
        <f t="shared" si="10"/>
        <v>5</v>
      </c>
      <c r="AL114" s="160">
        <f t="shared" si="11"/>
        <v>2026</v>
      </c>
      <c r="AM114" s="210"/>
      <c r="AN114" s="209"/>
    </row>
    <row r="115" spans="1:40" ht="27.95" customHeight="1">
      <c r="A115" s="134">
        <f>IF(I115&lt;&gt;"",COUNTA($I$2:I115),"")</f>
        <v>114</v>
      </c>
      <c r="B115" s="138" t="str">
        <f t="shared" si="12"/>
        <v>الخميس</v>
      </c>
      <c r="C115" s="93" t="str">
        <f t="array" ref="C115">IF(E115="","",IF(M115&lt;&gt;"",
M115&amp;"/"&amp;SUMPRODUCT((M$2:M115=M115)*1)&amp;" - "&amp;(ROW()-2),
"إداري/"&amp;SUMPRODUCT((M$2:M115="")*1)&amp;" - "&amp;(ROW()-2)))</f>
        <v>إداري/110 - 113</v>
      </c>
      <c r="D115" s="141" t="str">
        <f>IF(AND(G115="",H115="",I115=""),"",IF(COUNTIFS(LISTS!$A$2:$A$67,G115,LISTS!$B$2:$B$67,H115,LISTS!$C$2:$C$67,I115)=0,"✗ هرم",IF(NOT(OR(Z115="ممتاز 100%",Z115="جيد 80%",Z115="مقبول 60%",Z115="خطر 40%",Z115="")),"✗ قائمة R",IF(NOT(OR(AA115="ممتاز 100%",AA115="جيد 85%",AA115="مقبول 70%",AA115="ضعيف 50%",AA115="")),"✗ قائمة S",IF(NOT(OR(AB115="مكتمل 100%",AB115="جزئي 60%",AB115="معلق 30%",AB115="مفتوح 0%",AB115="")),"✗ قائمة T",IF(NOT(OR(AC115="لا خصم 0",AC115="تأخير −5",AC115="عجز −10",AC115="جودة −15",AC115="امتثال −20",AC115="مخالفة −25",AC115="")),"✗ قائمة U",IF(AND(X115="لا",AC115&lt;&gt;"",AC115&lt;&gt;"لا خصم 0"),"✗ خصم",IF(AND(X115="نعم",AC115="لا خصم 0"),"✗ خصم",IF(AND(Z115="ممتاز 100%",AA115="ممتاز 100%",AB115&lt;&gt;"",AB115&lt;&gt;"مكتمل 100%"),"✗ إغلاق",IFERROR(IF(LEN(_xlfn.TEXTJOIN("، ",TRUE,IF(E115="","التاريخ",""),IF(F115="","الوقت",""),IF(G115="","المركز",""),IF(H115="","الدائرة",""),IF(I115="","القسم",""),IF(J115="","المسؤول",""),IF(K115="","نوع النشاط",""),IF(L115="","المشروع",""),IF(N115="","الممول",""),IF(V115="","الموضوع",""),IF(W115="","الملاحظة",""),IF(X115="","مشكلة",""),IF(Y115="","الإجراء",""),IF(Z115="","التنفيذ",""),IF(AA115="","الجودة",""),IF(AB115="","الإغلاق",""),IF(AC115="","الخصم",""),IF(AND(COUNTA($O115:$U115)&gt;0,O115=""),"مدير المشروع",""),IF(AND(COUNTA($O115:$U115)&gt;0,P115=""),"المستفيدين",""),IF(AND(COUNTA($O115:$U115)&gt;0,Q115=""),"المناطق",""),IF(AND(COUNTA($O115:$U115)&gt;0,R115=""),"الميزانية",""),IF(AND(COUNTA($O115:$U115)&gt;0,S115=""),"نسبة الجاهزية",""),IF(AND(COUNTA($O115:$U115)&gt;0,T115=""),"حالة الجاهزية",""),IF(AND(COUNTA($O115:$U115)&gt;0,U115=""),"التوصيات","")))&gt;0,"✗ ناقص: "&amp;_xlfn.TEXTJOIN("، ",TRUE,IF(E115="","التاريخ",""),IF(F115="","الوقت",""),IF(G115="","المركز",""),IF(H115="","الدائرة",""),IF(I115="","القسم",""),IF(J115="","المسؤول",""),IF(K115="","نوع النشاط",""),IF(L115="","المشروع",""),IF(N115="","الممول",""),IF(V115="","الموضوع",""),IF(W115="","الملاحظة",""),IF(X115="","مشكلة",""),IF(Y115="","الإجراء",""),IF(Z115="","التنفيذ",""),IF(AA115="","الجودة",""),IF(AB115="","الإغلاق",""),IF(AC115="","الخصم",""),IF(AND(COUNTA($O115:$U115)&gt;0,O115=""),"مدير المشروع",""),IF(AND(COUNTA($O115:$U115)&gt;0,P115=""),"المستفيدين",""),IF(AND(COUNTA($O115:$U115)&gt;0,Q115=""),"المناطق",""),IF(AND(COUNTA($O115:$U115)&gt;0,R115=""),"الميزانية",""),IF(AND(COUNTA($O115:$U115)&gt;0,S115=""),"نسبة الجاهزية",""),IF(AND(COUNTA($O115:$U115)&gt;0,T115=""),"حالة الجاهزية",""),IF(AND(COUNTA($O115:$U115)&gt;0,U115=""),"التوصيات","")),"✓"),"✓"))))))))))</f>
        <v>✓</v>
      </c>
      <c r="E115" s="235">
        <v>46149</v>
      </c>
      <c r="F115" s="236">
        <v>0.56597222222222221</v>
      </c>
      <c r="G115" s="90" t="s">
        <v>97</v>
      </c>
      <c r="H115" s="123" t="s">
        <v>102</v>
      </c>
      <c r="I115" s="89" t="s">
        <v>124</v>
      </c>
      <c r="J115" s="142" t="s">
        <v>117</v>
      </c>
      <c r="K115" s="90" t="s">
        <v>116</v>
      </c>
      <c r="L115" s="90" t="s">
        <v>369</v>
      </c>
      <c r="M115" s="90"/>
      <c r="N115" s="89" t="s">
        <v>655</v>
      </c>
      <c r="O115" s="200"/>
      <c r="P115" s="201"/>
      <c r="Q115" s="201"/>
      <c r="R115" s="237"/>
      <c r="S115" s="202"/>
      <c r="T115" s="200"/>
      <c r="U115" s="203"/>
      <c r="V115" s="89" t="s">
        <v>823</v>
      </c>
      <c r="W115" s="89" t="s">
        <v>868</v>
      </c>
      <c r="X115" s="145" t="s">
        <v>651</v>
      </c>
      <c r="Y115" s="89" t="s">
        <v>652</v>
      </c>
      <c r="Z115" s="90" t="s">
        <v>130</v>
      </c>
      <c r="AA115" s="90" t="s">
        <v>130</v>
      </c>
      <c r="AB115" s="90" t="s">
        <v>131</v>
      </c>
      <c r="AC115" s="90" t="s">
        <v>132</v>
      </c>
      <c r="AD115" s="92" t="s">
        <v>26</v>
      </c>
      <c r="AE115" s="149">
        <f>IFERROR(VLOOKUP(Z115,LISTS!$AL$2:$AM$1000,2,FALSE()),"")</f>
        <v>100</v>
      </c>
      <c r="AF115" s="151">
        <f>IFERROR(VLOOKUP(AA115,LISTS!$AO$2:$AP$1000,2,FALSE()),"")</f>
        <v>100</v>
      </c>
      <c r="AG115" s="152">
        <f>IFERROR(VLOOKUP(AB115,LISTS!$AR$2:$AS$1000,2,FALSE()),"")</f>
        <v>100</v>
      </c>
      <c r="AH115" s="154">
        <f>IFERROR(VLOOKUP(AC115,LISTS!$AU$2:$AV$1000,2,FALSE()),"")</f>
        <v>0</v>
      </c>
      <c r="AI115" s="238">
        <f t="shared" si="8"/>
        <v>100</v>
      </c>
      <c r="AJ115" s="190" t="str">
        <f t="shared" si="9"/>
        <v>🌟 ممتاز جدًا</v>
      </c>
      <c r="AK115" s="157">
        <f t="shared" si="10"/>
        <v>5</v>
      </c>
      <c r="AL115" s="160">
        <f t="shared" si="11"/>
        <v>2026</v>
      </c>
      <c r="AM115" s="210"/>
      <c r="AN115" s="209"/>
    </row>
    <row r="116" spans="1:40" ht="27.95" customHeight="1">
      <c r="A116" s="134">
        <f>IF(I116&lt;&gt;"",COUNTA($I$2:I116),"")</f>
        <v>115</v>
      </c>
      <c r="B116" s="138" t="str">
        <f t="shared" si="12"/>
        <v>الخميس</v>
      </c>
      <c r="C116" s="93" t="str">
        <f t="array" ref="C116">IF(E116="","",IF(M116&lt;&gt;"",
M116&amp;"/"&amp;SUMPRODUCT((M$2:M116=M116)*1)&amp;" - "&amp;(ROW()-2),
"إداري/"&amp;SUMPRODUCT((M$2:M116="")*1)&amp;" - "&amp;(ROW()-2)))</f>
        <v>إداري/111 - 114</v>
      </c>
      <c r="D116" s="141" t="str">
        <f>IF(AND(G116="",H116="",I116=""),"",IF(COUNTIFS(LISTS!$A$2:$A$67,G116,LISTS!$B$2:$B$67,H116,LISTS!$C$2:$C$67,I116)=0,"✗ هرم",IF(NOT(OR(Z116="ممتاز 100%",Z116="جيد 80%",Z116="مقبول 60%",Z116="خطر 40%",Z116="")),"✗ قائمة R",IF(NOT(OR(AA116="ممتاز 100%",AA116="جيد 85%",AA116="مقبول 70%",AA116="ضعيف 50%",AA116="")),"✗ قائمة S",IF(NOT(OR(AB116="مكتمل 100%",AB116="جزئي 60%",AB116="معلق 30%",AB116="مفتوح 0%",AB116="")),"✗ قائمة T",IF(NOT(OR(AC116="لا خصم 0",AC116="تأخير −5",AC116="عجز −10",AC116="جودة −15",AC116="امتثال −20",AC116="مخالفة −25",AC116="")),"✗ قائمة U",IF(AND(X116="لا",AC116&lt;&gt;"",AC116&lt;&gt;"لا خصم 0"),"✗ خصم",IF(AND(X116="نعم",AC116="لا خصم 0"),"✗ خصم",IF(AND(Z116="ممتاز 100%",AA116="ممتاز 100%",AB116&lt;&gt;"",AB116&lt;&gt;"مكتمل 100%"),"✗ إغلاق",IFERROR(IF(LEN(_xlfn.TEXTJOIN("، ",TRUE,IF(E116="","التاريخ",""),IF(F116="","الوقت",""),IF(G116="","المركز",""),IF(H116="","الدائرة",""),IF(I116="","القسم",""),IF(J116="","المسؤول",""),IF(K116="","نوع النشاط",""),IF(L116="","المشروع",""),IF(N116="","الممول",""),IF(V116="","الموضوع",""),IF(W116="","الملاحظة",""),IF(X116="","مشكلة",""),IF(Y116="","الإجراء",""),IF(Z116="","التنفيذ",""),IF(AA116="","الجودة",""),IF(AB116="","الإغلاق",""),IF(AC116="","الخصم",""),IF(AND(COUNTA($O116:$U116)&gt;0,O116=""),"مدير المشروع",""),IF(AND(COUNTA($O116:$U116)&gt;0,P116=""),"المستفيدين",""),IF(AND(COUNTA($O116:$U116)&gt;0,Q116=""),"المناطق",""),IF(AND(COUNTA($O116:$U116)&gt;0,R116=""),"الميزانية",""),IF(AND(COUNTA($O116:$U116)&gt;0,S116=""),"نسبة الجاهزية",""),IF(AND(COUNTA($O116:$U116)&gt;0,T116=""),"حالة الجاهزية",""),IF(AND(COUNTA($O116:$U116)&gt;0,U116=""),"التوصيات","")))&gt;0,"✗ ناقص: "&amp;_xlfn.TEXTJOIN("، ",TRUE,IF(E116="","التاريخ",""),IF(F116="","الوقت",""),IF(G116="","المركز",""),IF(H116="","الدائرة",""),IF(I116="","القسم",""),IF(J116="","المسؤول",""),IF(K116="","نوع النشاط",""),IF(L116="","المشروع",""),IF(N116="","الممول",""),IF(V116="","الموضوع",""),IF(W116="","الملاحظة",""),IF(X116="","مشكلة",""),IF(Y116="","الإجراء",""),IF(Z116="","التنفيذ",""),IF(AA116="","الجودة",""),IF(AB116="","الإغلاق",""),IF(AC116="","الخصم",""),IF(AND(COUNTA($O116:$U116)&gt;0,O116=""),"مدير المشروع",""),IF(AND(COUNTA($O116:$U116)&gt;0,P116=""),"المستفيدين",""),IF(AND(COUNTA($O116:$U116)&gt;0,Q116=""),"المناطق",""),IF(AND(COUNTA($O116:$U116)&gt;0,R116=""),"الميزانية",""),IF(AND(COUNTA($O116:$U116)&gt;0,S116=""),"نسبة الجاهزية",""),IF(AND(COUNTA($O116:$U116)&gt;0,T116=""),"حالة الجاهزية",""),IF(AND(COUNTA($O116:$U116)&gt;0,U116=""),"التوصيات","")),"✓"),"✓"))))))))))</f>
        <v>✗ ناقص: المسؤول</v>
      </c>
      <c r="E116" s="235">
        <v>46149</v>
      </c>
      <c r="F116" s="236">
        <v>0.54166666666666663</v>
      </c>
      <c r="G116" s="90" t="s">
        <v>97</v>
      </c>
      <c r="H116" s="123" t="s">
        <v>102</v>
      </c>
      <c r="I116" s="89" t="s">
        <v>142</v>
      </c>
      <c r="J116" s="142"/>
      <c r="K116" s="90" t="s">
        <v>116</v>
      </c>
      <c r="L116" s="90" t="s">
        <v>118</v>
      </c>
      <c r="M116" s="90"/>
      <c r="N116" s="89" t="s">
        <v>655</v>
      </c>
      <c r="O116" s="200"/>
      <c r="P116" s="201"/>
      <c r="Q116" s="201"/>
      <c r="R116" s="237"/>
      <c r="S116" s="202"/>
      <c r="T116" s="200"/>
      <c r="U116" s="203"/>
      <c r="V116" s="89" t="s">
        <v>869</v>
      </c>
      <c r="W116" s="89" t="s">
        <v>870</v>
      </c>
      <c r="X116" s="145" t="s">
        <v>651</v>
      </c>
      <c r="Y116" s="89" t="s">
        <v>652</v>
      </c>
      <c r="Z116" s="90" t="s">
        <v>130</v>
      </c>
      <c r="AA116" s="90" t="s">
        <v>130</v>
      </c>
      <c r="AB116" s="90" t="s">
        <v>131</v>
      </c>
      <c r="AC116" s="90" t="s">
        <v>132</v>
      </c>
      <c r="AD116" s="92" t="s">
        <v>26</v>
      </c>
      <c r="AE116" s="149">
        <f>IFERROR(VLOOKUP(Z116,LISTS!$AL$2:$AM$1000,2,FALSE()),"")</f>
        <v>100</v>
      </c>
      <c r="AF116" s="151">
        <f>IFERROR(VLOOKUP(AA116,LISTS!$AO$2:$AP$1000,2,FALSE()),"")</f>
        <v>100</v>
      </c>
      <c r="AG116" s="152">
        <f>IFERROR(VLOOKUP(AB116,LISTS!$AR$2:$AS$1000,2,FALSE()),"")</f>
        <v>100</v>
      </c>
      <c r="AH116" s="154">
        <f>IFERROR(VLOOKUP(AC116,LISTS!$AU$2:$AV$1000,2,FALSE()),"")</f>
        <v>0</v>
      </c>
      <c r="AI116" s="238">
        <f t="shared" si="8"/>
        <v>100</v>
      </c>
      <c r="AJ116" s="190" t="str">
        <f t="shared" si="9"/>
        <v>🌟 ممتاز جدًا</v>
      </c>
      <c r="AK116" s="157">
        <f t="shared" si="10"/>
        <v>5</v>
      </c>
      <c r="AL116" s="160">
        <f t="shared" si="11"/>
        <v>2026</v>
      </c>
      <c r="AM116" s="210"/>
      <c r="AN116" s="209"/>
    </row>
    <row r="117" spans="1:40" ht="27.95" customHeight="1">
      <c r="A117" s="134">
        <f>IF(I117&lt;&gt;"",COUNTA($I$2:I117),"")</f>
        <v>116</v>
      </c>
      <c r="B117" s="138" t="str">
        <f t="shared" si="12"/>
        <v>الخميس</v>
      </c>
      <c r="C117" s="93" t="str">
        <f t="array" ref="C117">IF(E117="","",IF(M117&lt;&gt;"",
M117&amp;"/"&amp;SUMPRODUCT((M$2:M117=M117)*1)&amp;" - "&amp;(ROW()-2),
"إداري/"&amp;SUMPRODUCT((M$2:M117="")*1)&amp;" - "&amp;(ROW()-2)))</f>
        <v>إداري/112 - 115</v>
      </c>
      <c r="D117" s="141" t="str">
        <f>IF(AND(G117="",H117="",I117=""),"",IF(COUNTIFS(LISTS!$A$2:$A$67,G117,LISTS!$B$2:$B$67,H117,LISTS!$C$2:$C$67,I117)=0,"✗ هرم",IF(NOT(OR(Z117="ممتاز 100%",Z117="جيد 80%",Z117="مقبول 60%",Z117="خطر 40%",Z117="")),"✗ قائمة R",IF(NOT(OR(AA117="ممتاز 100%",AA117="جيد 85%",AA117="مقبول 70%",AA117="ضعيف 50%",AA117="")),"✗ قائمة S",IF(NOT(OR(AB117="مكتمل 100%",AB117="جزئي 60%",AB117="معلق 30%",AB117="مفتوح 0%",AB117="")),"✗ قائمة T",IF(NOT(OR(AC117="لا خصم 0",AC117="تأخير −5",AC117="عجز −10",AC117="جودة −15",AC117="امتثال −20",AC117="مخالفة −25",AC117="")),"✗ قائمة U",IF(AND(X117="لا",AC117&lt;&gt;"",AC117&lt;&gt;"لا خصم 0"),"✗ خصم",IF(AND(X117="نعم",AC117="لا خصم 0"),"✗ خصم",IF(AND(Z117="ممتاز 100%",AA117="ممتاز 100%",AB117&lt;&gt;"",AB117&lt;&gt;"مكتمل 100%"),"✗ إغلاق",IFERROR(IF(LEN(_xlfn.TEXTJOIN("، ",TRUE,IF(E117="","التاريخ",""),IF(F117="","الوقت",""),IF(G117="","المركز",""),IF(H117="","الدائرة",""),IF(I117="","القسم",""),IF(J117="","المسؤول",""),IF(K117="","نوع النشاط",""),IF(L117="","المشروع",""),IF(N117="","الممول",""),IF(V117="","الموضوع",""),IF(W117="","الملاحظة",""),IF(X117="","مشكلة",""),IF(Y117="","الإجراء",""),IF(Z117="","التنفيذ",""),IF(AA117="","الجودة",""),IF(AB117="","الإغلاق",""),IF(AC117="","الخصم",""),IF(AND(COUNTA($O117:$U117)&gt;0,O117=""),"مدير المشروع",""),IF(AND(COUNTA($O117:$U117)&gt;0,P117=""),"المستفيدين",""),IF(AND(COUNTA($O117:$U117)&gt;0,Q117=""),"المناطق",""),IF(AND(COUNTA($O117:$U117)&gt;0,R117=""),"الميزانية",""),IF(AND(COUNTA($O117:$U117)&gt;0,S117=""),"نسبة الجاهزية",""),IF(AND(COUNTA($O117:$U117)&gt;0,T117=""),"حالة الجاهزية",""),IF(AND(COUNTA($O117:$U117)&gt;0,U117=""),"التوصيات","")))&gt;0,"✗ ناقص: "&amp;_xlfn.TEXTJOIN("، ",TRUE,IF(E117="","التاريخ",""),IF(F117="","الوقت",""),IF(G117="","المركز",""),IF(H117="","الدائرة",""),IF(I117="","القسم",""),IF(J117="","المسؤول",""),IF(K117="","نوع النشاط",""),IF(L117="","المشروع",""),IF(N117="","الممول",""),IF(V117="","الموضوع",""),IF(W117="","الملاحظة",""),IF(X117="","مشكلة",""),IF(Y117="","الإجراء",""),IF(Z117="","التنفيذ",""),IF(AA117="","الجودة",""),IF(AB117="","الإغلاق",""),IF(AC117="","الخصم",""),IF(AND(COUNTA($O117:$U117)&gt;0,O117=""),"مدير المشروع",""),IF(AND(COUNTA($O117:$U117)&gt;0,P117=""),"المستفيدين",""),IF(AND(COUNTA($O117:$U117)&gt;0,Q117=""),"المناطق",""),IF(AND(COUNTA($O117:$U117)&gt;0,R117=""),"الميزانية",""),IF(AND(COUNTA($O117:$U117)&gt;0,S117=""),"نسبة الجاهزية",""),IF(AND(COUNTA($O117:$U117)&gt;0,T117=""),"حالة الجاهزية",""),IF(AND(COUNTA($O117:$U117)&gt;0,U117=""),"التوصيات","")),"✓"),"✓"))))))))))</f>
        <v>✗ ناقص: المسؤول</v>
      </c>
      <c r="E117" s="235">
        <v>46149</v>
      </c>
      <c r="F117" s="236">
        <v>0.54166666666666663</v>
      </c>
      <c r="G117" s="90" t="s">
        <v>97</v>
      </c>
      <c r="H117" s="123" t="s">
        <v>102</v>
      </c>
      <c r="I117" s="89" t="s">
        <v>142</v>
      </c>
      <c r="J117" s="142"/>
      <c r="K117" s="90" t="s">
        <v>116</v>
      </c>
      <c r="L117" s="90" t="s">
        <v>118</v>
      </c>
      <c r="M117" s="90"/>
      <c r="N117" s="89" t="s">
        <v>655</v>
      </c>
      <c r="O117" s="200"/>
      <c r="P117" s="201"/>
      <c r="Q117" s="201"/>
      <c r="R117" s="237"/>
      <c r="S117" s="202"/>
      <c r="T117" s="200"/>
      <c r="U117" s="203"/>
      <c r="V117" s="89" t="s">
        <v>871</v>
      </c>
      <c r="W117" s="89" t="s">
        <v>872</v>
      </c>
      <c r="X117" s="145" t="s">
        <v>651</v>
      </c>
      <c r="Y117" s="89" t="s">
        <v>652</v>
      </c>
      <c r="Z117" s="90" t="s">
        <v>130</v>
      </c>
      <c r="AA117" s="90" t="s">
        <v>130</v>
      </c>
      <c r="AB117" s="90" t="s">
        <v>131</v>
      </c>
      <c r="AC117" s="90" t="s">
        <v>132</v>
      </c>
      <c r="AD117" s="92" t="s">
        <v>26</v>
      </c>
      <c r="AE117" s="149">
        <f>IFERROR(VLOOKUP(Z117,LISTS!$AL$2:$AM$1000,2,FALSE()),"")</f>
        <v>100</v>
      </c>
      <c r="AF117" s="151">
        <f>IFERROR(VLOOKUP(AA117,LISTS!$AO$2:$AP$1000,2,FALSE()),"")</f>
        <v>100</v>
      </c>
      <c r="AG117" s="152">
        <f>IFERROR(VLOOKUP(AB117,LISTS!$AR$2:$AS$1000,2,FALSE()),"")</f>
        <v>100</v>
      </c>
      <c r="AH117" s="154">
        <f>IFERROR(VLOOKUP(AC117,LISTS!$AU$2:$AV$1000,2,FALSE()),"")</f>
        <v>0</v>
      </c>
      <c r="AI117" s="238">
        <f t="shared" si="8"/>
        <v>100</v>
      </c>
      <c r="AJ117" s="190" t="str">
        <f t="shared" si="9"/>
        <v>🌟 ممتاز جدًا</v>
      </c>
      <c r="AK117" s="157">
        <f t="shared" si="10"/>
        <v>5</v>
      </c>
      <c r="AL117" s="160">
        <f t="shared" si="11"/>
        <v>2026</v>
      </c>
      <c r="AM117" s="210"/>
      <c r="AN117" s="209"/>
    </row>
    <row r="118" spans="1:40" ht="27.95" customHeight="1">
      <c r="A118" s="134">
        <f>IF(I118&lt;&gt;"",COUNTA($I$2:I118),"")</f>
        <v>117</v>
      </c>
      <c r="B118" s="138" t="str">
        <f t="shared" si="12"/>
        <v>الخميس</v>
      </c>
      <c r="C118" s="93" t="str">
        <f t="array" ref="C118">IF(E118="","",IF(M118&lt;&gt;"",
M118&amp;"/"&amp;SUMPRODUCT((M$2:M118=M118)*1)&amp;" - "&amp;(ROW()-2),
"إداري/"&amp;SUMPRODUCT((M$2:M118="")*1)&amp;" - "&amp;(ROW()-2)))</f>
        <v>إداري/113 - 116</v>
      </c>
      <c r="D118" s="141" t="str">
        <f>IF(AND(G118="",H118="",I118=""),"",IF(COUNTIFS(LISTS!$A$2:$A$67,G118,LISTS!$B$2:$B$67,H118,LISTS!$C$2:$C$67,I118)=0,"✗ هرم",IF(NOT(OR(Z118="ممتاز 100%",Z118="جيد 80%",Z118="مقبول 60%",Z118="خطر 40%",Z118="")),"✗ قائمة R",IF(NOT(OR(AA118="ممتاز 100%",AA118="جيد 85%",AA118="مقبول 70%",AA118="ضعيف 50%",AA118="")),"✗ قائمة S",IF(NOT(OR(AB118="مكتمل 100%",AB118="جزئي 60%",AB118="معلق 30%",AB118="مفتوح 0%",AB118="")),"✗ قائمة T",IF(NOT(OR(AC118="لا خصم 0",AC118="تأخير −5",AC118="عجز −10",AC118="جودة −15",AC118="امتثال −20",AC118="مخالفة −25",AC118="")),"✗ قائمة U",IF(AND(X118="لا",AC118&lt;&gt;"",AC118&lt;&gt;"لا خصم 0"),"✗ خصم",IF(AND(X118="نعم",AC118="لا خصم 0"),"✗ خصم",IF(AND(Z118="ممتاز 100%",AA118="ممتاز 100%",AB118&lt;&gt;"",AB118&lt;&gt;"مكتمل 100%"),"✗ إغلاق",IFERROR(IF(LEN(_xlfn.TEXTJOIN("، ",TRUE,IF(E118="","التاريخ",""),IF(F118="","الوقت",""),IF(G118="","المركز",""),IF(H118="","الدائرة",""),IF(I118="","القسم",""),IF(J118="","المسؤول",""),IF(K118="","نوع النشاط",""),IF(L118="","المشروع",""),IF(N118="","الممول",""),IF(V118="","الموضوع",""),IF(W118="","الملاحظة",""),IF(X118="","مشكلة",""),IF(Y118="","الإجراء",""),IF(Z118="","التنفيذ",""),IF(AA118="","الجودة",""),IF(AB118="","الإغلاق",""),IF(AC118="","الخصم",""),IF(AND(COUNTA($O118:$U118)&gt;0,O118=""),"مدير المشروع",""),IF(AND(COUNTA($O118:$U118)&gt;0,P118=""),"المستفيدين",""),IF(AND(COUNTA($O118:$U118)&gt;0,Q118=""),"المناطق",""),IF(AND(COUNTA($O118:$U118)&gt;0,R118=""),"الميزانية",""),IF(AND(COUNTA($O118:$U118)&gt;0,S118=""),"نسبة الجاهزية",""),IF(AND(COUNTA($O118:$U118)&gt;0,T118=""),"حالة الجاهزية",""),IF(AND(COUNTA($O118:$U118)&gt;0,U118=""),"التوصيات","")))&gt;0,"✗ ناقص: "&amp;_xlfn.TEXTJOIN("، ",TRUE,IF(E118="","التاريخ",""),IF(F118="","الوقت",""),IF(G118="","المركز",""),IF(H118="","الدائرة",""),IF(I118="","القسم",""),IF(J118="","المسؤول",""),IF(K118="","نوع النشاط",""),IF(L118="","المشروع",""),IF(N118="","الممول",""),IF(V118="","الموضوع",""),IF(W118="","الملاحظة",""),IF(X118="","مشكلة",""),IF(Y118="","الإجراء",""),IF(Z118="","التنفيذ",""),IF(AA118="","الجودة",""),IF(AB118="","الإغلاق",""),IF(AC118="","الخصم",""),IF(AND(COUNTA($O118:$U118)&gt;0,O118=""),"مدير المشروع",""),IF(AND(COUNTA($O118:$U118)&gt;0,P118=""),"المستفيدين",""),IF(AND(COUNTA($O118:$U118)&gt;0,Q118=""),"المناطق",""),IF(AND(COUNTA($O118:$U118)&gt;0,R118=""),"الميزانية",""),IF(AND(COUNTA($O118:$U118)&gt;0,S118=""),"نسبة الجاهزية",""),IF(AND(COUNTA($O118:$U118)&gt;0,T118=""),"حالة الجاهزية",""),IF(AND(COUNTA($O118:$U118)&gt;0,U118=""),"التوصيات","")),"✓"),"✓"))))))))))</f>
        <v>✗ ناقص: المسؤول</v>
      </c>
      <c r="E118" s="235">
        <v>46149</v>
      </c>
      <c r="F118" s="236">
        <v>0.54166666666666663</v>
      </c>
      <c r="G118" s="90" t="s">
        <v>97</v>
      </c>
      <c r="H118" s="123" t="s">
        <v>102</v>
      </c>
      <c r="I118" s="89" t="s">
        <v>142</v>
      </c>
      <c r="J118" s="142"/>
      <c r="K118" s="90" t="s">
        <v>116</v>
      </c>
      <c r="L118" s="90" t="s">
        <v>118</v>
      </c>
      <c r="M118" s="90"/>
      <c r="N118" s="89" t="s">
        <v>655</v>
      </c>
      <c r="O118" s="200"/>
      <c r="P118" s="201"/>
      <c r="Q118" s="201"/>
      <c r="R118" s="237"/>
      <c r="S118" s="202"/>
      <c r="T118" s="200"/>
      <c r="U118" s="203"/>
      <c r="V118" s="89" t="s">
        <v>873</v>
      </c>
      <c r="W118" s="89" t="s">
        <v>874</v>
      </c>
      <c r="X118" s="145" t="s">
        <v>651</v>
      </c>
      <c r="Y118" s="89" t="s">
        <v>652</v>
      </c>
      <c r="Z118" s="90" t="s">
        <v>130</v>
      </c>
      <c r="AA118" s="90" t="s">
        <v>130</v>
      </c>
      <c r="AB118" s="90" t="s">
        <v>131</v>
      </c>
      <c r="AC118" s="90" t="s">
        <v>132</v>
      </c>
      <c r="AD118" s="92" t="s">
        <v>26</v>
      </c>
      <c r="AE118" s="149">
        <f>IFERROR(VLOOKUP(Z118,LISTS!$AL$2:$AM$1000,2,FALSE()),"")</f>
        <v>100</v>
      </c>
      <c r="AF118" s="151">
        <f>IFERROR(VLOOKUP(AA118,LISTS!$AO$2:$AP$1000,2,FALSE()),"")</f>
        <v>100</v>
      </c>
      <c r="AG118" s="152">
        <f>IFERROR(VLOOKUP(AB118,LISTS!$AR$2:$AS$1000,2,FALSE()),"")</f>
        <v>100</v>
      </c>
      <c r="AH118" s="154">
        <f>IFERROR(VLOOKUP(AC118,LISTS!$AU$2:$AV$1000,2,FALSE()),"")</f>
        <v>0</v>
      </c>
      <c r="AI118" s="238">
        <f t="shared" si="8"/>
        <v>100</v>
      </c>
      <c r="AJ118" s="190" t="str">
        <f t="shared" si="9"/>
        <v>🌟 ممتاز جدًا</v>
      </c>
      <c r="AK118" s="157">
        <f t="shared" si="10"/>
        <v>5</v>
      </c>
      <c r="AL118" s="160">
        <f t="shared" si="11"/>
        <v>2026</v>
      </c>
      <c r="AM118" s="210"/>
      <c r="AN118" s="209"/>
    </row>
    <row r="119" spans="1:40" ht="27.95" customHeight="1">
      <c r="A119" s="134">
        <f>IF(I119&lt;&gt;"",COUNTA($I$2:I119),"")</f>
        <v>118</v>
      </c>
      <c r="B119" s="138" t="str">
        <f t="shared" si="12"/>
        <v>الخميس</v>
      </c>
      <c r="C119" s="93" t="str">
        <f t="array" ref="C119">IF(E119="","",IF(M119&lt;&gt;"",
M119&amp;"/"&amp;SUMPRODUCT((M$2:M119=M119)*1)&amp;" - "&amp;(ROW()-2),
"إداري/"&amp;SUMPRODUCT((M$2:M119="")*1)&amp;" - "&amp;(ROW()-2)))</f>
        <v>إداري/114 - 117</v>
      </c>
      <c r="D119" s="141" t="str">
        <f>IF(AND(G119="",H119="",I119=""),"",IF(COUNTIFS(LISTS!$A$2:$A$67,G119,LISTS!$B$2:$B$67,H119,LISTS!$C$2:$C$67,I119)=0,"✗ هرم",IF(NOT(OR(Z119="ممتاز 100%",Z119="جيد 80%",Z119="مقبول 60%",Z119="خطر 40%",Z119="")),"✗ قائمة R",IF(NOT(OR(AA119="ممتاز 100%",AA119="جيد 85%",AA119="مقبول 70%",AA119="ضعيف 50%",AA119="")),"✗ قائمة S",IF(NOT(OR(AB119="مكتمل 100%",AB119="جزئي 60%",AB119="معلق 30%",AB119="مفتوح 0%",AB119="")),"✗ قائمة T",IF(NOT(OR(AC119="لا خصم 0",AC119="تأخير −5",AC119="عجز −10",AC119="جودة −15",AC119="امتثال −20",AC119="مخالفة −25",AC119="")),"✗ قائمة U",IF(AND(X119="لا",AC119&lt;&gt;"",AC119&lt;&gt;"لا خصم 0"),"✗ خصم",IF(AND(X119="نعم",AC119="لا خصم 0"),"✗ خصم",IF(AND(Z119="ممتاز 100%",AA119="ممتاز 100%",AB119&lt;&gt;"",AB119&lt;&gt;"مكتمل 100%"),"✗ إغلاق",IFERROR(IF(LEN(_xlfn.TEXTJOIN("، ",TRUE,IF(E119="","التاريخ",""),IF(F119="","الوقت",""),IF(G119="","المركز",""),IF(H119="","الدائرة",""),IF(I119="","القسم",""),IF(J119="","المسؤول",""),IF(K119="","نوع النشاط",""),IF(L119="","المشروع",""),IF(N119="","الممول",""),IF(V119="","الموضوع",""),IF(W119="","الملاحظة",""),IF(X119="","مشكلة",""),IF(Y119="","الإجراء",""),IF(Z119="","التنفيذ",""),IF(AA119="","الجودة",""),IF(AB119="","الإغلاق",""),IF(AC119="","الخصم",""),IF(AND(COUNTA($O119:$U119)&gt;0,O119=""),"مدير المشروع",""),IF(AND(COUNTA($O119:$U119)&gt;0,P119=""),"المستفيدين",""),IF(AND(COUNTA($O119:$U119)&gt;0,Q119=""),"المناطق",""),IF(AND(COUNTA($O119:$U119)&gt;0,R119=""),"الميزانية",""),IF(AND(COUNTA($O119:$U119)&gt;0,S119=""),"نسبة الجاهزية",""),IF(AND(COUNTA($O119:$U119)&gt;0,T119=""),"حالة الجاهزية",""),IF(AND(COUNTA($O119:$U119)&gt;0,U119=""),"التوصيات","")))&gt;0,"✗ ناقص: "&amp;_xlfn.TEXTJOIN("، ",TRUE,IF(E119="","التاريخ",""),IF(F119="","الوقت",""),IF(G119="","المركز",""),IF(H119="","الدائرة",""),IF(I119="","القسم",""),IF(J119="","المسؤول",""),IF(K119="","نوع النشاط",""),IF(L119="","المشروع",""),IF(N119="","الممول",""),IF(V119="","الموضوع",""),IF(W119="","الملاحظة",""),IF(X119="","مشكلة",""),IF(Y119="","الإجراء",""),IF(Z119="","التنفيذ",""),IF(AA119="","الجودة",""),IF(AB119="","الإغلاق",""),IF(AC119="","الخصم",""),IF(AND(COUNTA($O119:$U119)&gt;0,O119=""),"مدير المشروع",""),IF(AND(COUNTA($O119:$U119)&gt;0,P119=""),"المستفيدين",""),IF(AND(COUNTA($O119:$U119)&gt;0,Q119=""),"المناطق",""),IF(AND(COUNTA($O119:$U119)&gt;0,R119=""),"الميزانية",""),IF(AND(COUNTA($O119:$U119)&gt;0,S119=""),"نسبة الجاهزية",""),IF(AND(COUNTA($O119:$U119)&gt;0,T119=""),"حالة الجاهزية",""),IF(AND(COUNTA($O119:$U119)&gt;0,U119=""),"التوصيات","")),"✓"),"✓"))))))))))</f>
        <v>✗ ناقص: المسؤول</v>
      </c>
      <c r="E119" s="235">
        <v>46149</v>
      </c>
      <c r="F119" s="236">
        <v>0.54166666666666663</v>
      </c>
      <c r="G119" s="90" t="s">
        <v>97</v>
      </c>
      <c r="H119" s="123" t="s">
        <v>102</v>
      </c>
      <c r="I119" s="89" t="s">
        <v>142</v>
      </c>
      <c r="J119" s="142"/>
      <c r="K119" s="90" t="s">
        <v>116</v>
      </c>
      <c r="L119" s="90" t="s">
        <v>118</v>
      </c>
      <c r="M119" s="90"/>
      <c r="N119" s="89" t="s">
        <v>655</v>
      </c>
      <c r="O119" s="200"/>
      <c r="P119" s="201"/>
      <c r="Q119" s="201"/>
      <c r="R119" s="237"/>
      <c r="S119" s="202"/>
      <c r="T119" s="200"/>
      <c r="U119" s="203"/>
      <c r="V119" s="89" t="s">
        <v>875</v>
      </c>
      <c r="W119" s="89" t="s">
        <v>876</v>
      </c>
      <c r="X119" s="145" t="s">
        <v>651</v>
      </c>
      <c r="Y119" s="89" t="s">
        <v>652</v>
      </c>
      <c r="Z119" s="90" t="s">
        <v>130</v>
      </c>
      <c r="AA119" s="90" t="s">
        <v>130</v>
      </c>
      <c r="AB119" s="90" t="s">
        <v>131</v>
      </c>
      <c r="AC119" s="90" t="s">
        <v>132</v>
      </c>
      <c r="AD119" s="92" t="s">
        <v>26</v>
      </c>
      <c r="AE119" s="149">
        <f>IFERROR(VLOOKUP(Z119,LISTS!$AL$2:$AM$1000,2,FALSE()),"")</f>
        <v>100</v>
      </c>
      <c r="AF119" s="151">
        <f>IFERROR(VLOOKUP(AA119,LISTS!$AO$2:$AP$1000,2,FALSE()),"")</f>
        <v>100</v>
      </c>
      <c r="AG119" s="152">
        <f>IFERROR(VLOOKUP(AB119,LISTS!$AR$2:$AS$1000,2,FALSE()),"")</f>
        <v>100</v>
      </c>
      <c r="AH119" s="154">
        <f>IFERROR(VLOOKUP(AC119,LISTS!$AU$2:$AV$1000,2,FALSE()),"")</f>
        <v>0</v>
      </c>
      <c r="AI119" s="238">
        <f t="shared" si="8"/>
        <v>100</v>
      </c>
      <c r="AJ119" s="190" t="str">
        <f t="shared" si="9"/>
        <v>🌟 ممتاز جدًا</v>
      </c>
      <c r="AK119" s="157">
        <f t="shared" si="10"/>
        <v>5</v>
      </c>
      <c r="AL119" s="160">
        <f t="shared" si="11"/>
        <v>2026</v>
      </c>
      <c r="AM119" s="210"/>
      <c r="AN119" s="209"/>
    </row>
    <row r="120" spans="1:40" ht="27.95" customHeight="1">
      <c r="A120" s="134">
        <f>IF(I120&lt;&gt;"",COUNTA($I$2:I120),"")</f>
        <v>119</v>
      </c>
      <c r="B120" s="138" t="str">
        <f t="shared" si="12"/>
        <v>الخميس</v>
      </c>
      <c r="C120" s="93" t="str">
        <f t="array" ref="C120">IF(E120="","",IF(M120&lt;&gt;"",
M120&amp;"/"&amp;SUMPRODUCT((M$2:M120=M120)*1)&amp;" - "&amp;(ROW()-2),
"إداري/"&amp;SUMPRODUCT((M$2:M120="")*1)&amp;" - "&amp;(ROW()-2)))</f>
        <v>إداري/115 - 118</v>
      </c>
      <c r="D120" s="141" t="str">
        <f>IF(AND(G120="",H120="",I120=""),"",IF(COUNTIFS(LISTS!$A$2:$A$67,G120,LISTS!$B$2:$B$67,H120,LISTS!$C$2:$C$67,I120)=0,"✗ هرم",IF(NOT(OR(Z120="ممتاز 100%",Z120="جيد 80%",Z120="مقبول 60%",Z120="خطر 40%",Z120="")),"✗ قائمة R",IF(NOT(OR(AA120="ممتاز 100%",AA120="جيد 85%",AA120="مقبول 70%",AA120="ضعيف 50%",AA120="")),"✗ قائمة S",IF(NOT(OR(AB120="مكتمل 100%",AB120="جزئي 60%",AB120="معلق 30%",AB120="مفتوح 0%",AB120="")),"✗ قائمة T",IF(NOT(OR(AC120="لا خصم 0",AC120="تأخير −5",AC120="عجز −10",AC120="جودة −15",AC120="امتثال −20",AC120="مخالفة −25",AC120="")),"✗ قائمة U",IF(AND(X120="لا",AC120&lt;&gt;"",AC120&lt;&gt;"لا خصم 0"),"✗ خصم",IF(AND(X120="نعم",AC120="لا خصم 0"),"✗ خصم",IF(AND(Z120="ممتاز 100%",AA120="ممتاز 100%",AB120&lt;&gt;"",AB120&lt;&gt;"مكتمل 100%"),"✗ إغلاق",IFERROR(IF(LEN(_xlfn.TEXTJOIN("، ",TRUE,IF(E120="","التاريخ",""),IF(F120="","الوقت",""),IF(G120="","المركز",""),IF(H120="","الدائرة",""),IF(I120="","القسم",""),IF(J120="","المسؤول",""),IF(K120="","نوع النشاط",""),IF(L120="","المشروع",""),IF(N120="","الممول",""),IF(V120="","الموضوع",""),IF(W120="","الملاحظة",""),IF(X120="","مشكلة",""),IF(Y120="","الإجراء",""),IF(Z120="","التنفيذ",""),IF(AA120="","الجودة",""),IF(AB120="","الإغلاق",""),IF(AC120="","الخصم",""),IF(AND(COUNTA($O120:$U120)&gt;0,O120=""),"مدير المشروع",""),IF(AND(COUNTA($O120:$U120)&gt;0,P120=""),"المستفيدين",""),IF(AND(COUNTA($O120:$U120)&gt;0,Q120=""),"المناطق",""),IF(AND(COUNTA($O120:$U120)&gt;0,R120=""),"الميزانية",""),IF(AND(COUNTA($O120:$U120)&gt;0,S120=""),"نسبة الجاهزية",""),IF(AND(COUNTA($O120:$U120)&gt;0,T120=""),"حالة الجاهزية",""),IF(AND(COUNTA($O120:$U120)&gt;0,U120=""),"التوصيات","")))&gt;0,"✗ ناقص: "&amp;_xlfn.TEXTJOIN("، ",TRUE,IF(E120="","التاريخ",""),IF(F120="","الوقت",""),IF(G120="","المركز",""),IF(H120="","الدائرة",""),IF(I120="","القسم",""),IF(J120="","المسؤول",""),IF(K120="","نوع النشاط",""),IF(L120="","المشروع",""),IF(N120="","الممول",""),IF(V120="","الموضوع",""),IF(W120="","الملاحظة",""),IF(X120="","مشكلة",""),IF(Y120="","الإجراء",""),IF(Z120="","التنفيذ",""),IF(AA120="","الجودة",""),IF(AB120="","الإغلاق",""),IF(AC120="","الخصم",""),IF(AND(COUNTA($O120:$U120)&gt;0,O120=""),"مدير المشروع",""),IF(AND(COUNTA($O120:$U120)&gt;0,P120=""),"المستفيدين",""),IF(AND(COUNTA($O120:$U120)&gt;0,Q120=""),"المناطق",""),IF(AND(COUNTA($O120:$U120)&gt;0,R120=""),"الميزانية",""),IF(AND(COUNTA($O120:$U120)&gt;0,S120=""),"نسبة الجاهزية",""),IF(AND(COUNTA($O120:$U120)&gt;0,T120=""),"حالة الجاهزية",""),IF(AND(COUNTA($O120:$U120)&gt;0,U120=""),"التوصيات","")),"✓"),"✓"))))))))))</f>
        <v>✗ ناقص: الوقت، المسؤول</v>
      </c>
      <c r="E120" s="235">
        <v>46149</v>
      </c>
      <c r="F120" s="236"/>
      <c r="G120" s="90" t="s">
        <v>97</v>
      </c>
      <c r="H120" s="123" t="s">
        <v>102</v>
      </c>
      <c r="I120" s="89" t="s">
        <v>227</v>
      </c>
      <c r="J120" s="142"/>
      <c r="K120" s="90" t="s">
        <v>116</v>
      </c>
      <c r="L120" s="90" t="s">
        <v>118</v>
      </c>
      <c r="M120" s="90"/>
      <c r="N120" s="89" t="s">
        <v>655</v>
      </c>
      <c r="O120" s="200"/>
      <c r="P120" s="201"/>
      <c r="Q120" s="201"/>
      <c r="R120" s="237"/>
      <c r="S120" s="202"/>
      <c r="T120" s="200"/>
      <c r="U120" s="203"/>
      <c r="V120" s="89" t="s">
        <v>877</v>
      </c>
      <c r="W120" s="89" t="s">
        <v>878</v>
      </c>
      <c r="X120" s="145" t="s">
        <v>651</v>
      </c>
      <c r="Y120" s="89" t="s">
        <v>652</v>
      </c>
      <c r="Z120" s="90" t="s">
        <v>130</v>
      </c>
      <c r="AA120" s="90" t="s">
        <v>130</v>
      </c>
      <c r="AB120" s="90" t="s">
        <v>131</v>
      </c>
      <c r="AC120" s="90" t="s">
        <v>132</v>
      </c>
      <c r="AD120" s="92" t="s">
        <v>26</v>
      </c>
      <c r="AE120" s="149">
        <f>IFERROR(VLOOKUP(Z120,LISTS!$AL$2:$AM$1000,2,FALSE()),"")</f>
        <v>100</v>
      </c>
      <c r="AF120" s="151">
        <f>IFERROR(VLOOKUP(AA120,LISTS!$AO$2:$AP$1000,2,FALSE()),"")</f>
        <v>100</v>
      </c>
      <c r="AG120" s="152">
        <f>IFERROR(VLOOKUP(AB120,LISTS!$AR$2:$AS$1000,2,FALSE()),"")</f>
        <v>100</v>
      </c>
      <c r="AH120" s="154">
        <f>IFERROR(VLOOKUP(AC120,LISTS!$AU$2:$AV$1000,2,FALSE()),"")</f>
        <v>0</v>
      </c>
      <c r="AI120" s="238">
        <f t="shared" si="8"/>
        <v>100</v>
      </c>
      <c r="AJ120" s="190" t="str">
        <f t="shared" si="9"/>
        <v>🌟 ممتاز جدًا</v>
      </c>
      <c r="AK120" s="157">
        <f t="shared" si="10"/>
        <v>5</v>
      </c>
      <c r="AL120" s="160">
        <f t="shared" si="11"/>
        <v>2026</v>
      </c>
      <c r="AM120" s="210"/>
      <c r="AN120" s="209"/>
    </row>
    <row r="121" spans="1:40" ht="27.95" customHeight="1">
      <c r="A121" s="134">
        <f>IF(I121&lt;&gt;"",COUNTA($I$2:I121),"")</f>
        <v>120</v>
      </c>
      <c r="B121" s="138" t="str">
        <f t="shared" si="12"/>
        <v>السبت</v>
      </c>
      <c r="C121" s="93" t="str">
        <f t="array" ref="C121">IF(E121="","",IF(M121&lt;&gt;"",
M121&amp;"/"&amp;SUMPRODUCT((M$2:M121=M121)*1)&amp;" - "&amp;(ROW()-2),
"إداري/"&amp;SUMPRODUCT((M$2:M121="")*1)&amp;" - "&amp;(ROW()-2)))</f>
        <v>إداري/116 - 119</v>
      </c>
      <c r="D121" s="141" t="str">
        <f>IF(AND(G121="",H121="",I121=""),"",IF(COUNTIFS(LISTS!$A$2:$A$67,G121,LISTS!$B$2:$B$67,H121,LISTS!$C$2:$C$67,I121)=0,"✗ هرم",IF(NOT(OR(Z121="ممتاز 100%",Z121="جيد 80%",Z121="مقبول 60%",Z121="خطر 40%",Z121="")),"✗ قائمة R",IF(NOT(OR(AA121="ممتاز 100%",AA121="جيد 85%",AA121="مقبول 70%",AA121="ضعيف 50%",AA121="")),"✗ قائمة S",IF(NOT(OR(AB121="مكتمل 100%",AB121="جزئي 60%",AB121="معلق 30%",AB121="مفتوح 0%",AB121="")),"✗ قائمة T",IF(NOT(OR(AC121="لا خصم 0",AC121="تأخير −5",AC121="عجز −10",AC121="جودة −15",AC121="امتثال −20",AC121="مخالفة −25",AC121="")),"✗ قائمة U",IF(AND(X121="لا",AC121&lt;&gt;"",AC121&lt;&gt;"لا خصم 0"),"✗ خصم",IF(AND(X121="نعم",AC121="لا خصم 0"),"✗ خصم",IF(AND(Z121="ممتاز 100%",AA121="ممتاز 100%",AB121&lt;&gt;"",AB121&lt;&gt;"مكتمل 100%"),"✗ إغلاق",IFERROR(IF(LEN(_xlfn.TEXTJOIN("، ",TRUE,IF(E121="","التاريخ",""),IF(F121="","الوقت",""),IF(G121="","المركز",""),IF(H121="","الدائرة",""),IF(I121="","القسم",""),IF(J121="","المسؤول",""),IF(K121="","نوع النشاط",""),IF(L121="","المشروع",""),IF(N121="","الممول",""),IF(V121="","الموضوع",""),IF(W121="","الملاحظة",""),IF(X121="","مشكلة",""),IF(Y121="","الإجراء",""),IF(Z121="","التنفيذ",""),IF(AA121="","الجودة",""),IF(AB121="","الإغلاق",""),IF(AC121="","الخصم",""),IF(AND(COUNTA($O121:$U121)&gt;0,O121=""),"مدير المشروع",""),IF(AND(COUNTA($O121:$U121)&gt;0,P121=""),"المستفيدين",""),IF(AND(COUNTA($O121:$U121)&gt;0,Q121=""),"المناطق",""),IF(AND(COUNTA($O121:$U121)&gt;0,R121=""),"الميزانية",""),IF(AND(COUNTA($O121:$U121)&gt;0,S121=""),"نسبة الجاهزية",""),IF(AND(COUNTA($O121:$U121)&gt;0,T121=""),"حالة الجاهزية",""),IF(AND(COUNTA($O121:$U121)&gt;0,U121=""),"التوصيات","")))&gt;0,"✗ ناقص: "&amp;_xlfn.TEXTJOIN("، ",TRUE,IF(E121="","التاريخ",""),IF(F121="","الوقت",""),IF(G121="","المركز",""),IF(H121="","الدائرة",""),IF(I121="","القسم",""),IF(J121="","المسؤول",""),IF(K121="","نوع النشاط",""),IF(L121="","المشروع",""),IF(N121="","الممول",""),IF(V121="","الموضوع",""),IF(W121="","الملاحظة",""),IF(X121="","مشكلة",""),IF(Y121="","الإجراء",""),IF(Z121="","التنفيذ",""),IF(AA121="","الجودة",""),IF(AB121="","الإغلاق",""),IF(AC121="","الخصم",""),IF(AND(COUNTA($O121:$U121)&gt;0,O121=""),"مدير المشروع",""),IF(AND(COUNTA($O121:$U121)&gt;0,P121=""),"المستفيدين",""),IF(AND(COUNTA($O121:$U121)&gt;0,Q121=""),"المناطق",""),IF(AND(COUNTA($O121:$U121)&gt;0,R121=""),"الميزانية",""),IF(AND(COUNTA($O121:$U121)&gt;0,S121=""),"نسبة الجاهزية",""),IF(AND(COUNTA($O121:$U121)&gt;0,T121=""),"حالة الجاهزية",""),IF(AND(COUNTA($O121:$U121)&gt;0,U121=""),"التوصيات","")),"✓"),"✓"))))))))))</f>
        <v>✓</v>
      </c>
      <c r="E121" s="235">
        <v>46151</v>
      </c>
      <c r="F121" s="236">
        <v>0.60763888888888884</v>
      </c>
      <c r="G121" s="90" t="s">
        <v>97</v>
      </c>
      <c r="H121" s="123" t="s">
        <v>102</v>
      </c>
      <c r="I121" s="89" t="s">
        <v>124</v>
      </c>
      <c r="J121" s="142" t="s">
        <v>117</v>
      </c>
      <c r="K121" s="90" t="s">
        <v>116</v>
      </c>
      <c r="L121" s="90" t="s">
        <v>369</v>
      </c>
      <c r="M121" s="90"/>
      <c r="N121" s="89" t="s">
        <v>655</v>
      </c>
      <c r="O121" s="200"/>
      <c r="P121" s="201"/>
      <c r="Q121" s="201"/>
      <c r="R121" s="237"/>
      <c r="S121" s="202"/>
      <c r="T121" s="200"/>
      <c r="U121" s="203"/>
      <c r="V121" s="89" t="s">
        <v>823</v>
      </c>
      <c r="W121" s="89" t="s">
        <v>879</v>
      </c>
      <c r="X121" s="145" t="s">
        <v>651</v>
      </c>
      <c r="Y121" s="89" t="s">
        <v>652</v>
      </c>
      <c r="Z121" s="90" t="s">
        <v>130</v>
      </c>
      <c r="AA121" s="90" t="s">
        <v>130</v>
      </c>
      <c r="AB121" s="90" t="s">
        <v>131</v>
      </c>
      <c r="AC121" s="90" t="s">
        <v>132</v>
      </c>
      <c r="AD121" s="92" t="s">
        <v>26</v>
      </c>
      <c r="AE121" s="149">
        <f>IFERROR(VLOOKUP(Z121,LISTS!$AL$2:$AM$1000,2,FALSE()),"")</f>
        <v>100</v>
      </c>
      <c r="AF121" s="151">
        <f>IFERROR(VLOOKUP(AA121,LISTS!$AO$2:$AP$1000,2,FALSE()),"")</f>
        <v>100</v>
      </c>
      <c r="AG121" s="152">
        <f>IFERROR(VLOOKUP(AB121,LISTS!$AR$2:$AS$1000,2,FALSE()),"")</f>
        <v>100</v>
      </c>
      <c r="AH121" s="154">
        <f>IFERROR(VLOOKUP(AC121,LISTS!$AU$2:$AV$1000,2,FALSE()),"")</f>
        <v>0</v>
      </c>
      <c r="AI121" s="238">
        <f t="shared" si="8"/>
        <v>100</v>
      </c>
      <c r="AJ121" s="190" t="str">
        <f t="shared" si="9"/>
        <v>🌟 ممتاز جدًا</v>
      </c>
      <c r="AK121" s="157">
        <f t="shared" si="10"/>
        <v>5</v>
      </c>
      <c r="AL121" s="160">
        <f t="shared" si="11"/>
        <v>2026</v>
      </c>
      <c r="AM121" s="210"/>
      <c r="AN121" s="209"/>
    </row>
    <row r="122" spans="1:40" ht="27.95" customHeight="1">
      <c r="A122" s="134">
        <f>IF(I122&lt;&gt;"",COUNTA($I$2:I122),"")</f>
        <v>121</v>
      </c>
      <c r="B122" s="138" t="str">
        <f t="shared" si="12"/>
        <v>الأحد</v>
      </c>
      <c r="C122" s="93" t="str">
        <f t="array" ref="C122">IF(E122="","",IF(M122&lt;&gt;"",
M122&amp;"/"&amp;SUMPRODUCT((M$2:M122=M122)*1)&amp;" - "&amp;(ROW()-2),
"إداري/"&amp;SUMPRODUCT((M$2:M122="")*1)&amp;" - "&amp;(ROW()-2)))</f>
        <v>إداري/117 - 120</v>
      </c>
      <c r="D122" s="141" t="str">
        <f>IF(AND(G122="",H122="",I122=""),"",IF(COUNTIFS(LISTS!$A$2:$A$67,G122,LISTS!$B$2:$B$67,H122,LISTS!$C$2:$C$67,I122)=0,"✗ هرم",IF(NOT(OR(Z122="ممتاز 100%",Z122="جيد 80%",Z122="مقبول 60%",Z122="خطر 40%",Z122="")),"✗ قائمة R",IF(NOT(OR(AA122="ممتاز 100%",AA122="جيد 85%",AA122="مقبول 70%",AA122="ضعيف 50%",AA122="")),"✗ قائمة S",IF(NOT(OR(AB122="مكتمل 100%",AB122="جزئي 60%",AB122="معلق 30%",AB122="مفتوح 0%",AB122="")),"✗ قائمة T",IF(NOT(OR(AC122="لا خصم 0",AC122="تأخير −5",AC122="عجز −10",AC122="جودة −15",AC122="امتثال −20",AC122="مخالفة −25",AC122="")),"✗ قائمة U",IF(AND(X122="لا",AC122&lt;&gt;"",AC122&lt;&gt;"لا خصم 0"),"✗ خصم",IF(AND(X122="نعم",AC122="لا خصم 0"),"✗ خصم",IF(AND(Z122="ممتاز 100%",AA122="ممتاز 100%",AB122&lt;&gt;"",AB122&lt;&gt;"مكتمل 100%"),"✗ إغلاق",IFERROR(IF(LEN(_xlfn.TEXTJOIN("، ",TRUE,IF(E122="","التاريخ",""),IF(F122="","الوقت",""),IF(G122="","المركز",""),IF(H122="","الدائرة",""),IF(I122="","القسم",""),IF(J122="","المسؤول",""),IF(K122="","نوع النشاط",""),IF(L122="","المشروع",""),IF(N122="","الممول",""),IF(V122="","الموضوع",""),IF(W122="","الملاحظة",""),IF(X122="","مشكلة",""),IF(Y122="","الإجراء",""),IF(Z122="","التنفيذ",""),IF(AA122="","الجودة",""),IF(AB122="","الإغلاق",""),IF(AC122="","الخصم",""),IF(AND(COUNTA($O122:$U122)&gt;0,O122=""),"مدير المشروع",""),IF(AND(COUNTA($O122:$U122)&gt;0,P122=""),"المستفيدين",""),IF(AND(COUNTA($O122:$U122)&gt;0,Q122=""),"المناطق",""),IF(AND(COUNTA($O122:$U122)&gt;0,R122=""),"الميزانية",""),IF(AND(COUNTA($O122:$U122)&gt;0,S122=""),"نسبة الجاهزية",""),IF(AND(COUNTA($O122:$U122)&gt;0,T122=""),"حالة الجاهزية",""),IF(AND(COUNTA($O122:$U122)&gt;0,U122=""),"التوصيات","")))&gt;0,"✗ ناقص: "&amp;_xlfn.TEXTJOIN("، ",TRUE,IF(E122="","التاريخ",""),IF(F122="","الوقت",""),IF(G122="","المركز",""),IF(H122="","الدائرة",""),IF(I122="","القسم",""),IF(J122="","المسؤول",""),IF(K122="","نوع النشاط",""),IF(L122="","المشروع",""),IF(N122="","الممول",""),IF(V122="","الموضوع",""),IF(W122="","الملاحظة",""),IF(X122="","مشكلة",""),IF(Y122="","الإجراء",""),IF(Z122="","التنفيذ",""),IF(AA122="","الجودة",""),IF(AB122="","الإغلاق",""),IF(AC122="","الخصم",""),IF(AND(COUNTA($O122:$U122)&gt;0,O122=""),"مدير المشروع",""),IF(AND(COUNTA($O122:$U122)&gt;0,P122=""),"المستفيدين",""),IF(AND(COUNTA($O122:$U122)&gt;0,Q122=""),"المناطق",""),IF(AND(COUNTA($O122:$U122)&gt;0,R122=""),"الميزانية",""),IF(AND(COUNTA($O122:$U122)&gt;0,S122=""),"نسبة الجاهزية",""),IF(AND(COUNTA($O122:$U122)&gt;0,T122=""),"حالة الجاهزية",""),IF(AND(COUNTA($O122:$U122)&gt;0,U122=""),"التوصيات","")),"✓"),"✓"))))))))))</f>
        <v>✗ ناقص: الممول</v>
      </c>
      <c r="E122" s="235">
        <v>46152</v>
      </c>
      <c r="F122" s="236">
        <v>0.42708333333333331</v>
      </c>
      <c r="G122" s="90" t="s">
        <v>97</v>
      </c>
      <c r="H122" s="123" t="s">
        <v>101</v>
      </c>
      <c r="I122" s="89" t="s">
        <v>123</v>
      </c>
      <c r="J122" s="142" t="s">
        <v>880</v>
      </c>
      <c r="K122" s="90" t="s">
        <v>169</v>
      </c>
      <c r="L122" s="90" t="s">
        <v>312</v>
      </c>
      <c r="M122" s="90"/>
      <c r="N122" s="89"/>
      <c r="O122" s="200"/>
      <c r="P122" s="201"/>
      <c r="Q122" s="201"/>
      <c r="R122" s="237"/>
      <c r="S122" s="202"/>
      <c r="T122" s="200"/>
      <c r="U122" s="203"/>
      <c r="V122" s="89" t="s">
        <v>881</v>
      </c>
      <c r="W122" s="89" t="s">
        <v>882</v>
      </c>
      <c r="X122" s="145" t="s">
        <v>651</v>
      </c>
      <c r="Y122" s="89" t="s">
        <v>652</v>
      </c>
      <c r="Z122" s="90" t="s">
        <v>130</v>
      </c>
      <c r="AA122" s="90" t="s">
        <v>130</v>
      </c>
      <c r="AB122" s="90" t="s">
        <v>131</v>
      </c>
      <c r="AC122" s="90" t="s">
        <v>132</v>
      </c>
      <c r="AD122" s="92" t="s">
        <v>26</v>
      </c>
      <c r="AE122" s="149">
        <f>IFERROR(VLOOKUP(Z122,LISTS!$AL$2:$AM$1000,2,FALSE()),"")</f>
        <v>100</v>
      </c>
      <c r="AF122" s="151">
        <f>IFERROR(VLOOKUP(AA122,LISTS!$AO$2:$AP$1000,2,FALSE()),"")</f>
        <v>100</v>
      </c>
      <c r="AG122" s="152">
        <f>IFERROR(VLOOKUP(AB122,LISTS!$AR$2:$AS$1000,2,FALSE()),"")</f>
        <v>100</v>
      </c>
      <c r="AH122" s="154">
        <f>IFERROR(VLOOKUP(AC122,LISTS!$AU$2:$AV$1000,2,FALSE()),"")</f>
        <v>0</v>
      </c>
      <c r="AI122" s="238">
        <f t="shared" si="8"/>
        <v>100</v>
      </c>
      <c r="AJ122" s="190" t="str">
        <f t="shared" si="9"/>
        <v>🌟 ممتاز جدًا</v>
      </c>
      <c r="AK122" s="157">
        <f t="shared" si="10"/>
        <v>5</v>
      </c>
      <c r="AL122" s="160">
        <f t="shared" si="11"/>
        <v>2026</v>
      </c>
      <c r="AM122" s="210"/>
      <c r="AN122" s="209"/>
    </row>
    <row r="123" spans="1:40" ht="27.95" customHeight="1">
      <c r="A123" s="134">
        <f>IF(I123&lt;&gt;"",COUNTA($I$2:I123),"")</f>
        <v>122</v>
      </c>
      <c r="B123" s="138" t="str">
        <f t="shared" si="12"/>
        <v>الأحد</v>
      </c>
      <c r="C123" s="93" t="str">
        <f t="array" ref="C123">IF(E123="","",IF(M123&lt;&gt;"",
M123&amp;"/"&amp;SUMPRODUCT((M$2:M123=M123)*1)&amp;" - "&amp;(ROW()-2),
"إداري/"&amp;SUMPRODUCT((M$2:M123="")*1)&amp;" - "&amp;(ROW()-2)))</f>
        <v>إداري/118 - 121</v>
      </c>
      <c r="D123" s="141" t="str">
        <f>IF(AND(G123="",H123="",I123=""),"",IF(COUNTIFS(LISTS!$A$2:$A$67,G123,LISTS!$B$2:$B$67,H123,LISTS!$C$2:$C$67,I123)=0,"✗ هرم",IF(NOT(OR(Z123="ممتاز 100%",Z123="جيد 80%",Z123="مقبول 60%",Z123="خطر 40%",Z123="")),"✗ قائمة R",IF(NOT(OR(AA123="ممتاز 100%",AA123="جيد 85%",AA123="مقبول 70%",AA123="ضعيف 50%",AA123="")),"✗ قائمة S",IF(NOT(OR(AB123="مكتمل 100%",AB123="جزئي 60%",AB123="معلق 30%",AB123="مفتوح 0%",AB123="")),"✗ قائمة T",IF(NOT(OR(AC123="لا خصم 0",AC123="تأخير −5",AC123="عجز −10",AC123="جودة −15",AC123="امتثال −20",AC123="مخالفة −25",AC123="")),"✗ قائمة U",IF(AND(X123="لا",AC123&lt;&gt;"",AC123&lt;&gt;"لا خصم 0"),"✗ خصم",IF(AND(X123="نعم",AC123="لا خصم 0"),"✗ خصم",IF(AND(Z123="ممتاز 100%",AA123="ممتاز 100%",AB123&lt;&gt;"",AB123&lt;&gt;"مكتمل 100%"),"✗ إغلاق",IFERROR(IF(LEN(_xlfn.TEXTJOIN("، ",TRUE,IF(E123="","التاريخ",""),IF(F123="","الوقت",""),IF(G123="","المركز",""),IF(H123="","الدائرة",""),IF(I123="","القسم",""),IF(J123="","المسؤول",""),IF(K123="","نوع النشاط",""),IF(L123="","المشروع",""),IF(N123="","الممول",""),IF(V123="","الموضوع",""),IF(W123="","الملاحظة",""),IF(X123="","مشكلة",""),IF(Y123="","الإجراء",""),IF(Z123="","التنفيذ",""),IF(AA123="","الجودة",""),IF(AB123="","الإغلاق",""),IF(AC123="","الخصم",""),IF(AND(COUNTA($O123:$U123)&gt;0,O123=""),"مدير المشروع",""),IF(AND(COUNTA($O123:$U123)&gt;0,P123=""),"المستفيدين",""),IF(AND(COUNTA($O123:$U123)&gt;0,Q123=""),"المناطق",""),IF(AND(COUNTA($O123:$U123)&gt;0,R123=""),"الميزانية",""),IF(AND(COUNTA($O123:$U123)&gt;0,S123=""),"نسبة الجاهزية",""),IF(AND(COUNTA($O123:$U123)&gt;0,T123=""),"حالة الجاهزية",""),IF(AND(COUNTA($O123:$U123)&gt;0,U123=""),"التوصيات","")))&gt;0,"✗ ناقص: "&amp;_xlfn.TEXTJOIN("، ",TRUE,IF(E123="","التاريخ",""),IF(F123="","الوقت",""),IF(G123="","المركز",""),IF(H123="","الدائرة",""),IF(I123="","القسم",""),IF(J123="","المسؤول",""),IF(K123="","نوع النشاط",""),IF(L123="","المشروع",""),IF(N123="","الممول",""),IF(V123="","الموضوع",""),IF(W123="","الملاحظة",""),IF(X123="","مشكلة",""),IF(Y123="","الإجراء",""),IF(Z123="","التنفيذ",""),IF(AA123="","الجودة",""),IF(AB123="","الإغلاق",""),IF(AC123="","الخصم",""),IF(AND(COUNTA($O123:$U123)&gt;0,O123=""),"مدير المشروع",""),IF(AND(COUNTA($O123:$U123)&gt;0,P123=""),"المستفيدين",""),IF(AND(COUNTA($O123:$U123)&gt;0,Q123=""),"المناطق",""),IF(AND(COUNTA($O123:$U123)&gt;0,R123=""),"الميزانية",""),IF(AND(COUNTA($O123:$U123)&gt;0,S123=""),"نسبة الجاهزية",""),IF(AND(COUNTA($O123:$U123)&gt;0,T123=""),"حالة الجاهزية",""),IF(AND(COUNTA($O123:$U123)&gt;0,U123=""),"التوصيات","")),"✓"),"✓"))))))))))</f>
        <v>✗ ناقص: الممول</v>
      </c>
      <c r="E123" s="235">
        <v>46152</v>
      </c>
      <c r="F123" s="236">
        <v>0.47916666666666669</v>
      </c>
      <c r="G123" s="90" t="s">
        <v>97</v>
      </c>
      <c r="H123" s="123" t="s">
        <v>104</v>
      </c>
      <c r="I123" s="89" t="s">
        <v>177</v>
      </c>
      <c r="J123" s="142" t="s">
        <v>223</v>
      </c>
      <c r="K123" s="90" t="s">
        <v>133</v>
      </c>
      <c r="L123" s="90" t="s">
        <v>369</v>
      </c>
      <c r="M123" s="90"/>
      <c r="N123" s="89"/>
      <c r="O123" s="200"/>
      <c r="P123" s="201"/>
      <c r="Q123" s="201"/>
      <c r="R123" s="237"/>
      <c r="S123" s="202"/>
      <c r="T123" s="200"/>
      <c r="U123" s="203"/>
      <c r="V123" s="89" t="s">
        <v>883</v>
      </c>
      <c r="W123" s="89" t="s">
        <v>884</v>
      </c>
      <c r="X123" s="145" t="s">
        <v>651</v>
      </c>
      <c r="Y123" s="89" t="s">
        <v>652</v>
      </c>
      <c r="Z123" s="90" t="s">
        <v>130</v>
      </c>
      <c r="AA123" s="90" t="s">
        <v>130</v>
      </c>
      <c r="AB123" s="90" t="s">
        <v>131</v>
      </c>
      <c r="AC123" s="90" t="s">
        <v>132</v>
      </c>
      <c r="AD123" s="92" t="s">
        <v>26</v>
      </c>
      <c r="AE123" s="149">
        <f>IFERROR(VLOOKUP(Z123,LISTS!$AL$2:$AM$1000,2,FALSE()),"")</f>
        <v>100</v>
      </c>
      <c r="AF123" s="151">
        <f>IFERROR(VLOOKUP(AA123,LISTS!$AO$2:$AP$1000,2,FALSE()),"")</f>
        <v>100</v>
      </c>
      <c r="AG123" s="152">
        <f>IFERROR(VLOOKUP(AB123,LISTS!$AR$2:$AS$1000,2,FALSE()),"")</f>
        <v>100</v>
      </c>
      <c r="AH123" s="154">
        <f>IFERROR(VLOOKUP(AC123,LISTS!$AU$2:$AV$1000,2,FALSE()),"")</f>
        <v>0</v>
      </c>
      <c r="AI123" s="238">
        <f t="shared" si="8"/>
        <v>100</v>
      </c>
      <c r="AJ123" s="190" t="str">
        <f t="shared" si="9"/>
        <v>🌟 ممتاز جدًا</v>
      </c>
      <c r="AK123" s="157">
        <f t="shared" si="10"/>
        <v>5</v>
      </c>
      <c r="AL123" s="160">
        <f t="shared" si="11"/>
        <v>2026</v>
      </c>
      <c r="AM123" s="210"/>
      <c r="AN123" s="209"/>
    </row>
    <row r="124" spans="1:40" ht="27.95" customHeight="1">
      <c r="A124" s="134">
        <f>IF(I124&lt;&gt;"",COUNTA($I$2:I124),"")</f>
        <v>123</v>
      </c>
      <c r="B124" s="138" t="str">
        <f t="shared" si="12"/>
        <v>الأحد</v>
      </c>
      <c r="C124" s="93" t="str">
        <f t="array" ref="C124">IF(E124="","",IF(M124&lt;&gt;"",
M124&amp;"/"&amp;SUMPRODUCT((M$2:M124=M124)*1)&amp;" - "&amp;(ROW()-2),
"إداري/"&amp;SUMPRODUCT((M$2:M124="")*1)&amp;" - "&amp;(ROW()-2)))</f>
        <v>إداري/119 - 122</v>
      </c>
      <c r="D124" s="141" t="str">
        <f>IF(AND(G124="",H124="",I124=""),"",IF(COUNTIFS(LISTS!$A$2:$A$67,G124,LISTS!$B$2:$B$67,H124,LISTS!$C$2:$C$67,I124)=0,"✗ هرم",IF(NOT(OR(Z124="ممتاز 100%",Z124="جيد 80%",Z124="مقبول 60%",Z124="خطر 40%",Z124="")),"✗ قائمة R",IF(NOT(OR(AA124="ممتاز 100%",AA124="جيد 85%",AA124="مقبول 70%",AA124="ضعيف 50%",AA124="")),"✗ قائمة S",IF(NOT(OR(AB124="مكتمل 100%",AB124="جزئي 60%",AB124="معلق 30%",AB124="مفتوح 0%",AB124="")),"✗ قائمة T",IF(NOT(OR(AC124="لا خصم 0",AC124="تأخير −5",AC124="عجز −10",AC124="جودة −15",AC124="امتثال −20",AC124="مخالفة −25",AC124="")),"✗ قائمة U",IF(AND(X124="لا",AC124&lt;&gt;"",AC124&lt;&gt;"لا خصم 0"),"✗ خصم",IF(AND(X124="نعم",AC124="لا خصم 0"),"✗ خصم",IF(AND(Z124="ممتاز 100%",AA124="ممتاز 100%",AB124&lt;&gt;"",AB124&lt;&gt;"مكتمل 100%"),"✗ إغلاق",IFERROR(IF(LEN(_xlfn.TEXTJOIN("، ",TRUE,IF(E124="","التاريخ",""),IF(F124="","الوقت",""),IF(G124="","المركز",""),IF(H124="","الدائرة",""),IF(I124="","القسم",""),IF(J124="","المسؤول",""),IF(K124="","نوع النشاط",""),IF(L124="","المشروع",""),IF(N124="","الممول",""),IF(V124="","الموضوع",""),IF(W124="","الملاحظة",""),IF(X124="","مشكلة",""),IF(Y124="","الإجراء",""),IF(Z124="","التنفيذ",""),IF(AA124="","الجودة",""),IF(AB124="","الإغلاق",""),IF(AC124="","الخصم",""),IF(AND(COUNTA($O124:$U124)&gt;0,O124=""),"مدير المشروع",""),IF(AND(COUNTA($O124:$U124)&gt;0,P124=""),"المستفيدين",""),IF(AND(COUNTA($O124:$U124)&gt;0,Q124=""),"المناطق",""),IF(AND(COUNTA($O124:$U124)&gt;0,R124=""),"الميزانية",""),IF(AND(COUNTA($O124:$U124)&gt;0,S124=""),"نسبة الجاهزية",""),IF(AND(COUNTA($O124:$U124)&gt;0,T124=""),"حالة الجاهزية",""),IF(AND(COUNTA($O124:$U124)&gt;0,U124=""),"التوصيات","")))&gt;0,"✗ ناقص: "&amp;_xlfn.TEXTJOIN("، ",TRUE,IF(E124="","التاريخ",""),IF(F124="","الوقت",""),IF(G124="","المركز",""),IF(H124="","الدائرة",""),IF(I124="","القسم",""),IF(J124="","المسؤول",""),IF(K124="","نوع النشاط",""),IF(L124="","المشروع",""),IF(N124="","الممول",""),IF(V124="","الموضوع",""),IF(W124="","الملاحظة",""),IF(X124="","مشكلة",""),IF(Y124="","الإجراء",""),IF(Z124="","التنفيذ",""),IF(AA124="","الجودة",""),IF(AB124="","الإغلاق",""),IF(AC124="","الخصم",""),IF(AND(COUNTA($O124:$U124)&gt;0,O124=""),"مدير المشروع",""),IF(AND(COUNTA($O124:$U124)&gt;0,P124=""),"المستفيدين",""),IF(AND(COUNTA($O124:$U124)&gt;0,Q124=""),"المناطق",""),IF(AND(COUNTA($O124:$U124)&gt;0,R124=""),"الميزانية",""),IF(AND(COUNTA($O124:$U124)&gt;0,S124=""),"نسبة الجاهزية",""),IF(AND(COUNTA($O124:$U124)&gt;0,T124=""),"حالة الجاهزية",""),IF(AND(COUNTA($O124:$U124)&gt;0,U124=""),"التوصيات","")),"✓"),"✓"))))))))))</f>
        <v>✗ ناقص: الوقت، المسؤول</v>
      </c>
      <c r="E124" s="235">
        <v>46152</v>
      </c>
      <c r="F124" s="236"/>
      <c r="G124" s="90" t="s">
        <v>97</v>
      </c>
      <c r="H124" s="123" t="s">
        <v>102</v>
      </c>
      <c r="I124" s="89" t="s">
        <v>227</v>
      </c>
      <c r="J124" s="142"/>
      <c r="K124" s="90" t="s">
        <v>116</v>
      </c>
      <c r="L124" s="90" t="s">
        <v>118</v>
      </c>
      <c r="M124" s="90"/>
      <c r="N124" s="89" t="s">
        <v>655</v>
      </c>
      <c r="O124" s="200"/>
      <c r="P124" s="201"/>
      <c r="Q124" s="201"/>
      <c r="R124" s="237"/>
      <c r="S124" s="202"/>
      <c r="T124" s="200"/>
      <c r="U124" s="203"/>
      <c r="V124" s="89" t="s">
        <v>885</v>
      </c>
      <c r="W124" s="89" t="s">
        <v>886</v>
      </c>
      <c r="X124" s="145" t="s">
        <v>651</v>
      </c>
      <c r="Y124" s="89" t="s">
        <v>652</v>
      </c>
      <c r="Z124" s="90" t="s">
        <v>130</v>
      </c>
      <c r="AA124" s="90" t="s">
        <v>130</v>
      </c>
      <c r="AB124" s="90" t="s">
        <v>131</v>
      </c>
      <c r="AC124" s="90" t="s">
        <v>132</v>
      </c>
      <c r="AD124" s="92" t="s">
        <v>26</v>
      </c>
      <c r="AE124" s="149">
        <f>IFERROR(VLOOKUP(Z124,LISTS!$AL$2:$AM$1000,2,FALSE()),"")</f>
        <v>100</v>
      </c>
      <c r="AF124" s="151">
        <f>IFERROR(VLOOKUP(AA124,LISTS!$AO$2:$AP$1000,2,FALSE()),"")</f>
        <v>100</v>
      </c>
      <c r="AG124" s="152">
        <f>IFERROR(VLOOKUP(AB124,LISTS!$AR$2:$AS$1000,2,FALSE()),"")</f>
        <v>100</v>
      </c>
      <c r="AH124" s="154">
        <f>IFERROR(VLOOKUP(AC124,LISTS!$AU$2:$AV$1000,2,FALSE()),"")</f>
        <v>0</v>
      </c>
      <c r="AI124" s="238">
        <f t="shared" si="8"/>
        <v>100</v>
      </c>
      <c r="AJ124" s="190" t="str">
        <f t="shared" si="9"/>
        <v>🌟 ممتاز جدًا</v>
      </c>
      <c r="AK124" s="157">
        <f t="shared" si="10"/>
        <v>5</v>
      </c>
      <c r="AL124" s="160">
        <f t="shared" si="11"/>
        <v>2026</v>
      </c>
      <c r="AM124" s="210"/>
      <c r="AN124" s="209"/>
    </row>
    <row r="125" spans="1:40" ht="27.95" customHeight="1">
      <c r="A125" s="134">
        <f>IF(I125&lt;&gt;"",COUNTA($I$2:I125),"")</f>
        <v>124</v>
      </c>
      <c r="B125" s="138" t="str">
        <f t="shared" si="12"/>
        <v>الأحد</v>
      </c>
      <c r="C125" s="93" t="str">
        <f t="array" ref="C125">IF(E125="","",IF(M125&lt;&gt;"",
M125&amp;"/"&amp;SUMPRODUCT((M$2:M125=M125)*1)&amp;" - "&amp;(ROW()-2),
"إداري/"&amp;SUMPRODUCT((M$2:M125="")*1)&amp;" - "&amp;(ROW()-2)))</f>
        <v>إداري/120 - 123</v>
      </c>
      <c r="D125" s="141" t="str">
        <f>IF(AND(G125="",H125="",I125=""),"",IF(COUNTIFS(LISTS!$A$2:$A$67,G125,LISTS!$B$2:$B$67,H125,LISTS!$C$2:$C$67,I125)=0,"✗ هرم",IF(NOT(OR(Z125="ممتاز 100%",Z125="جيد 80%",Z125="مقبول 60%",Z125="خطر 40%",Z125="")),"✗ قائمة R",IF(NOT(OR(AA125="ممتاز 100%",AA125="جيد 85%",AA125="مقبول 70%",AA125="ضعيف 50%",AA125="")),"✗ قائمة S",IF(NOT(OR(AB125="مكتمل 100%",AB125="جزئي 60%",AB125="معلق 30%",AB125="مفتوح 0%",AB125="")),"✗ قائمة T",IF(NOT(OR(AC125="لا خصم 0",AC125="تأخير −5",AC125="عجز −10",AC125="جودة −15",AC125="امتثال −20",AC125="مخالفة −25",AC125="")),"✗ قائمة U",IF(AND(X125="لا",AC125&lt;&gt;"",AC125&lt;&gt;"لا خصم 0"),"✗ خصم",IF(AND(X125="نعم",AC125="لا خصم 0"),"✗ خصم",IF(AND(Z125="ممتاز 100%",AA125="ممتاز 100%",AB125&lt;&gt;"",AB125&lt;&gt;"مكتمل 100%"),"✗ إغلاق",IFERROR(IF(LEN(_xlfn.TEXTJOIN("، ",TRUE,IF(E125="","التاريخ",""),IF(F125="","الوقت",""),IF(G125="","المركز",""),IF(H125="","الدائرة",""),IF(I125="","القسم",""),IF(J125="","المسؤول",""),IF(K125="","نوع النشاط",""),IF(L125="","المشروع",""),IF(N125="","الممول",""),IF(V125="","الموضوع",""),IF(W125="","الملاحظة",""),IF(X125="","مشكلة",""),IF(Y125="","الإجراء",""),IF(Z125="","التنفيذ",""),IF(AA125="","الجودة",""),IF(AB125="","الإغلاق",""),IF(AC125="","الخصم",""),IF(AND(COUNTA($O125:$U125)&gt;0,O125=""),"مدير المشروع",""),IF(AND(COUNTA($O125:$U125)&gt;0,P125=""),"المستفيدين",""),IF(AND(COUNTA($O125:$U125)&gt;0,Q125=""),"المناطق",""),IF(AND(COUNTA($O125:$U125)&gt;0,R125=""),"الميزانية",""),IF(AND(COUNTA($O125:$U125)&gt;0,S125=""),"نسبة الجاهزية",""),IF(AND(COUNTA($O125:$U125)&gt;0,T125=""),"حالة الجاهزية",""),IF(AND(COUNTA($O125:$U125)&gt;0,U125=""),"التوصيات","")))&gt;0,"✗ ناقص: "&amp;_xlfn.TEXTJOIN("، ",TRUE,IF(E125="","التاريخ",""),IF(F125="","الوقت",""),IF(G125="","المركز",""),IF(H125="","الدائرة",""),IF(I125="","القسم",""),IF(J125="","المسؤول",""),IF(K125="","نوع النشاط",""),IF(L125="","المشروع",""),IF(N125="","الممول",""),IF(V125="","الموضوع",""),IF(W125="","الملاحظة",""),IF(X125="","مشكلة",""),IF(Y125="","الإجراء",""),IF(Z125="","التنفيذ",""),IF(AA125="","الجودة",""),IF(AB125="","الإغلاق",""),IF(AC125="","الخصم",""),IF(AND(COUNTA($O125:$U125)&gt;0,O125=""),"مدير المشروع",""),IF(AND(COUNTA($O125:$U125)&gt;0,P125=""),"المستفيدين",""),IF(AND(COUNTA($O125:$U125)&gt;0,Q125=""),"المناطق",""),IF(AND(COUNTA($O125:$U125)&gt;0,R125=""),"الميزانية",""),IF(AND(COUNTA($O125:$U125)&gt;0,S125=""),"نسبة الجاهزية",""),IF(AND(COUNTA($O125:$U125)&gt;0,T125=""),"حالة الجاهزية",""),IF(AND(COUNTA($O125:$U125)&gt;0,U125=""),"التوصيات","")),"✓"),"✓"))))))))))</f>
        <v>✗ ناقص: الوقت، المسؤول</v>
      </c>
      <c r="E125" s="235">
        <v>46152</v>
      </c>
      <c r="F125" s="236"/>
      <c r="G125" s="90" t="s">
        <v>97</v>
      </c>
      <c r="H125" s="123" t="s">
        <v>102</v>
      </c>
      <c r="I125" s="89" t="s">
        <v>227</v>
      </c>
      <c r="J125" s="142"/>
      <c r="K125" s="90" t="s">
        <v>116</v>
      </c>
      <c r="L125" s="90" t="s">
        <v>118</v>
      </c>
      <c r="M125" s="90"/>
      <c r="N125" s="89" t="s">
        <v>655</v>
      </c>
      <c r="O125" s="200"/>
      <c r="P125" s="201"/>
      <c r="Q125" s="201"/>
      <c r="R125" s="237"/>
      <c r="S125" s="202"/>
      <c r="T125" s="200"/>
      <c r="U125" s="203"/>
      <c r="V125" s="89" t="s">
        <v>887</v>
      </c>
      <c r="W125" s="89" t="s">
        <v>888</v>
      </c>
      <c r="X125" s="145" t="s">
        <v>651</v>
      </c>
      <c r="Y125" s="89" t="s">
        <v>652</v>
      </c>
      <c r="Z125" s="90" t="s">
        <v>130</v>
      </c>
      <c r="AA125" s="90" t="s">
        <v>130</v>
      </c>
      <c r="AB125" s="90" t="s">
        <v>131</v>
      </c>
      <c r="AC125" s="90" t="s">
        <v>132</v>
      </c>
      <c r="AD125" s="92" t="s">
        <v>26</v>
      </c>
      <c r="AE125" s="149">
        <f>IFERROR(VLOOKUP(Z125,LISTS!$AL$2:$AM$1000,2,FALSE()),"")</f>
        <v>100</v>
      </c>
      <c r="AF125" s="151">
        <f>IFERROR(VLOOKUP(AA125,LISTS!$AO$2:$AP$1000,2,FALSE()),"")</f>
        <v>100</v>
      </c>
      <c r="AG125" s="152">
        <f>IFERROR(VLOOKUP(AB125,LISTS!$AR$2:$AS$1000,2,FALSE()),"")</f>
        <v>100</v>
      </c>
      <c r="AH125" s="154">
        <f>IFERROR(VLOOKUP(AC125,LISTS!$AU$2:$AV$1000,2,FALSE()),"")</f>
        <v>0</v>
      </c>
      <c r="AI125" s="238">
        <f t="shared" si="8"/>
        <v>100</v>
      </c>
      <c r="AJ125" s="190" t="str">
        <f t="shared" si="9"/>
        <v>🌟 ممتاز جدًا</v>
      </c>
      <c r="AK125" s="157">
        <f t="shared" si="10"/>
        <v>5</v>
      </c>
      <c r="AL125" s="160">
        <f t="shared" si="11"/>
        <v>2026</v>
      </c>
      <c r="AM125" s="210"/>
      <c r="AN125" s="209"/>
    </row>
    <row r="126" spans="1:40" ht="27.95" customHeight="1">
      <c r="A126" s="134">
        <f>IF(I126&lt;&gt;"",COUNTA($I$2:I126),"")</f>
        <v>125</v>
      </c>
      <c r="B126" s="138" t="str">
        <f t="shared" si="12"/>
        <v>الأحد</v>
      </c>
      <c r="C126" s="93" t="str">
        <f t="array" ref="C126">IF(E126="","",IF(M126&lt;&gt;"",
M126&amp;"/"&amp;SUMPRODUCT((M$2:M126=M126)*1)&amp;" - "&amp;(ROW()-2),
"إداري/"&amp;SUMPRODUCT((M$2:M126="")*1)&amp;" - "&amp;(ROW()-2)))</f>
        <v>إداري/121 - 124</v>
      </c>
      <c r="D126" s="141" t="str">
        <f>IF(AND(G126="",H126="",I126=""),"",IF(COUNTIFS(LISTS!$A$2:$A$67,G126,LISTS!$B$2:$B$67,H126,LISTS!$C$2:$C$67,I126)=0,"✗ هرم",IF(NOT(OR(Z126="ممتاز 100%",Z126="جيد 80%",Z126="مقبول 60%",Z126="خطر 40%",Z126="")),"✗ قائمة R",IF(NOT(OR(AA126="ممتاز 100%",AA126="جيد 85%",AA126="مقبول 70%",AA126="ضعيف 50%",AA126="")),"✗ قائمة S",IF(NOT(OR(AB126="مكتمل 100%",AB126="جزئي 60%",AB126="معلق 30%",AB126="مفتوح 0%",AB126="")),"✗ قائمة T",IF(NOT(OR(AC126="لا خصم 0",AC126="تأخير −5",AC126="عجز −10",AC126="جودة −15",AC126="امتثال −20",AC126="مخالفة −25",AC126="")),"✗ قائمة U",IF(AND(X126="لا",AC126&lt;&gt;"",AC126&lt;&gt;"لا خصم 0"),"✗ خصم",IF(AND(X126="نعم",AC126="لا خصم 0"),"✗ خصم",IF(AND(Z126="ممتاز 100%",AA126="ممتاز 100%",AB126&lt;&gt;"",AB126&lt;&gt;"مكتمل 100%"),"✗ إغلاق",IFERROR(IF(LEN(_xlfn.TEXTJOIN("، ",TRUE,IF(E126="","التاريخ",""),IF(F126="","الوقت",""),IF(G126="","المركز",""),IF(H126="","الدائرة",""),IF(I126="","القسم",""),IF(J126="","المسؤول",""),IF(K126="","نوع النشاط",""),IF(L126="","المشروع",""),IF(N126="","الممول",""),IF(V126="","الموضوع",""),IF(W126="","الملاحظة",""),IF(X126="","مشكلة",""),IF(Y126="","الإجراء",""),IF(Z126="","التنفيذ",""),IF(AA126="","الجودة",""),IF(AB126="","الإغلاق",""),IF(AC126="","الخصم",""),IF(AND(COUNTA($O126:$U126)&gt;0,O126=""),"مدير المشروع",""),IF(AND(COUNTA($O126:$U126)&gt;0,P126=""),"المستفيدين",""),IF(AND(COUNTA($O126:$U126)&gt;0,Q126=""),"المناطق",""),IF(AND(COUNTA($O126:$U126)&gt;0,R126=""),"الميزانية",""),IF(AND(COUNTA($O126:$U126)&gt;0,S126=""),"نسبة الجاهزية",""),IF(AND(COUNTA($O126:$U126)&gt;0,T126=""),"حالة الجاهزية",""),IF(AND(COUNTA($O126:$U126)&gt;0,U126=""),"التوصيات","")))&gt;0,"✗ ناقص: "&amp;_xlfn.TEXTJOIN("، ",TRUE,IF(E126="","التاريخ",""),IF(F126="","الوقت",""),IF(G126="","المركز",""),IF(H126="","الدائرة",""),IF(I126="","القسم",""),IF(J126="","المسؤول",""),IF(K126="","نوع النشاط",""),IF(L126="","المشروع",""),IF(N126="","الممول",""),IF(V126="","الموضوع",""),IF(W126="","الملاحظة",""),IF(X126="","مشكلة",""),IF(Y126="","الإجراء",""),IF(Z126="","التنفيذ",""),IF(AA126="","الجودة",""),IF(AB126="","الإغلاق",""),IF(AC126="","الخصم",""),IF(AND(COUNTA($O126:$U126)&gt;0,O126=""),"مدير المشروع",""),IF(AND(COUNTA($O126:$U126)&gt;0,P126=""),"المستفيدين",""),IF(AND(COUNTA($O126:$U126)&gt;0,Q126=""),"المناطق",""),IF(AND(COUNTA($O126:$U126)&gt;0,R126=""),"الميزانية",""),IF(AND(COUNTA($O126:$U126)&gt;0,S126=""),"نسبة الجاهزية",""),IF(AND(COUNTA($O126:$U126)&gt;0,T126=""),"حالة الجاهزية",""),IF(AND(COUNTA($O126:$U126)&gt;0,U126=""),"التوصيات","")),"✓"),"✓"))))))))))</f>
        <v>✓</v>
      </c>
      <c r="E126" s="235">
        <v>46152</v>
      </c>
      <c r="F126" s="236">
        <v>0.47222222222222221</v>
      </c>
      <c r="G126" s="90" t="s">
        <v>97</v>
      </c>
      <c r="H126" s="123" t="s">
        <v>102</v>
      </c>
      <c r="I126" s="89" t="s">
        <v>124</v>
      </c>
      <c r="J126" s="142" t="s">
        <v>117</v>
      </c>
      <c r="K126" s="90" t="s">
        <v>116</v>
      </c>
      <c r="L126" s="90" t="s">
        <v>118</v>
      </c>
      <c r="M126" s="90"/>
      <c r="N126" s="89" t="s">
        <v>655</v>
      </c>
      <c r="O126" s="200"/>
      <c r="P126" s="201"/>
      <c r="Q126" s="201"/>
      <c r="R126" s="237"/>
      <c r="S126" s="202"/>
      <c r="T126" s="200"/>
      <c r="U126" s="203"/>
      <c r="V126" s="89" t="s">
        <v>889</v>
      </c>
      <c r="W126" s="89" t="s">
        <v>890</v>
      </c>
      <c r="X126" s="145" t="s">
        <v>651</v>
      </c>
      <c r="Y126" s="89" t="s">
        <v>652</v>
      </c>
      <c r="Z126" s="90" t="s">
        <v>130</v>
      </c>
      <c r="AA126" s="90" t="s">
        <v>130</v>
      </c>
      <c r="AB126" s="90" t="s">
        <v>131</v>
      </c>
      <c r="AC126" s="90" t="s">
        <v>132</v>
      </c>
      <c r="AD126" s="92" t="s">
        <v>26</v>
      </c>
      <c r="AE126" s="149">
        <f>IFERROR(VLOOKUP(Z126,LISTS!$AL$2:$AM$1000,2,FALSE()),"")</f>
        <v>100</v>
      </c>
      <c r="AF126" s="151">
        <f>IFERROR(VLOOKUP(AA126,LISTS!$AO$2:$AP$1000,2,FALSE()),"")</f>
        <v>100</v>
      </c>
      <c r="AG126" s="152">
        <f>IFERROR(VLOOKUP(AB126,LISTS!$AR$2:$AS$1000,2,FALSE()),"")</f>
        <v>100</v>
      </c>
      <c r="AH126" s="154">
        <f>IFERROR(VLOOKUP(AC126,LISTS!$AU$2:$AV$1000,2,FALSE()),"")</f>
        <v>0</v>
      </c>
      <c r="AI126" s="238">
        <f t="shared" si="8"/>
        <v>100</v>
      </c>
      <c r="AJ126" s="190" t="str">
        <f t="shared" si="9"/>
        <v>🌟 ممتاز جدًا</v>
      </c>
      <c r="AK126" s="157">
        <f t="shared" si="10"/>
        <v>5</v>
      </c>
      <c r="AL126" s="160">
        <f t="shared" si="11"/>
        <v>2026</v>
      </c>
      <c r="AM126" s="210"/>
      <c r="AN126" s="209"/>
    </row>
    <row r="127" spans="1:40" ht="27.95" customHeight="1">
      <c r="A127" s="134">
        <f>IF(I127&lt;&gt;"",COUNTA($I$2:I127),"")</f>
        <v>126</v>
      </c>
      <c r="B127" s="138" t="str">
        <f t="shared" si="12"/>
        <v>الأحد</v>
      </c>
      <c r="C127" s="93" t="str">
        <f t="array" ref="C127">IF(E127="","",IF(M127&lt;&gt;"",
M127&amp;"/"&amp;SUMPRODUCT((M$2:M127=M127)*1)&amp;" - "&amp;(ROW()-2),
"إداري/"&amp;SUMPRODUCT((M$2:M127="")*1)&amp;" - "&amp;(ROW()-2)))</f>
        <v>إداري/122 - 125</v>
      </c>
      <c r="D127" s="141" t="str">
        <f>IF(AND(G127="",H127="",I127=""),"",IF(COUNTIFS(LISTS!$A$2:$A$67,G127,LISTS!$B$2:$B$67,H127,LISTS!$C$2:$C$67,I127)=0,"✗ هرم",IF(NOT(OR(Z127="ممتاز 100%",Z127="جيد 80%",Z127="مقبول 60%",Z127="خطر 40%",Z127="")),"✗ قائمة R",IF(NOT(OR(AA127="ممتاز 100%",AA127="جيد 85%",AA127="مقبول 70%",AA127="ضعيف 50%",AA127="")),"✗ قائمة S",IF(NOT(OR(AB127="مكتمل 100%",AB127="جزئي 60%",AB127="معلق 30%",AB127="مفتوح 0%",AB127="")),"✗ قائمة T",IF(NOT(OR(AC127="لا خصم 0",AC127="تأخير −5",AC127="عجز −10",AC127="جودة −15",AC127="امتثال −20",AC127="مخالفة −25",AC127="")),"✗ قائمة U",IF(AND(X127="لا",AC127&lt;&gt;"",AC127&lt;&gt;"لا خصم 0"),"✗ خصم",IF(AND(X127="نعم",AC127="لا خصم 0"),"✗ خصم",IF(AND(Z127="ممتاز 100%",AA127="ممتاز 100%",AB127&lt;&gt;"",AB127&lt;&gt;"مكتمل 100%"),"✗ إغلاق",IFERROR(IF(LEN(_xlfn.TEXTJOIN("، ",TRUE,IF(E127="","التاريخ",""),IF(F127="","الوقت",""),IF(G127="","المركز",""),IF(H127="","الدائرة",""),IF(I127="","القسم",""),IF(J127="","المسؤول",""),IF(K127="","نوع النشاط",""),IF(L127="","المشروع",""),IF(N127="","الممول",""),IF(V127="","الموضوع",""),IF(W127="","الملاحظة",""),IF(X127="","مشكلة",""),IF(Y127="","الإجراء",""),IF(Z127="","التنفيذ",""),IF(AA127="","الجودة",""),IF(AB127="","الإغلاق",""),IF(AC127="","الخصم",""),IF(AND(COUNTA($O127:$U127)&gt;0,O127=""),"مدير المشروع",""),IF(AND(COUNTA($O127:$U127)&gt;0,P127=""),"المستفيدين",""),IF(AND(COUNTA($O127:$U127)&gt;0,Q127=""),"المناطق",""),IF(AND(COUNTA($O127:$U127)&gt;0,R127=""),"الميزانية",""),IF(AND(COUNTA($O127:$U127)&gt;0,S127=""),"نسبة الجاهزية",""),IF(AND(COUNTA($O127:$U127)&gt;0,T127=""),"حالة الجاهزية",""),IF(AND(COUNTA($O127:$U127)&gt;0,U127=""),"التوصيات","")))&gt;0,"✗ ناقص: "&amp;_xlfn.TEXTJOIN("، ",TRUE,IF(E127="","التاريخ",""),IF(F127="","الوقت",""),IF(G127="","المركز",""),IF(H127="","الدائرة",""),IF(I127="","القسم",""),IF(J127="","المسؤول",""),IF(K127="","نوع النشاط",""),IF(L127="","المشروع",""),IF(N127="","الممول",""),IF(V127="","الموضوع",""),IF(W127="","الملاحظة",""),IF(X127="","مشكلة",""),IF(Y127="","الإجراء",""),IF(Z127="","التنفيذ",""),IF(AA127="","الجودة",""),IF(AB127="","الإغلاق",""),IF(AC127="","الخصم",""),IF(AND(COUNTA($O127:$U127)&gt;0,O127=""),"مدير المشروع",""),IF(AND(COUNTA($O127:$U127)&gt;0,P127=""),"المستفيدين",""),IF(AND(COUNTA($O127:$U127)&gt;0,Q127=""),"المناطق",""),IF(AND(COUNTA($O127:$U127)&gt;0,R127=""),"الميزانية",""),IF(AND(COUNTA($O127:$U127)&gt;0,S127=""),"نسبة الجاهزية",""),IF(AND(COUNTA($O127:$U127)&gt;0,T127=""),"حالة الجاهزية",""),IF(AND(COUNTA($O127:$U127)&gt;0,U127=""),"التوصيات","")),"✓"),"✓"))))))))))</f>
        <v>✗ ناقص: المسؤول</v>
      </c>
      <c r="E127" s="235">
        <v>46152</v>
      </c>
      <c r="F127" s="236">
        <v>0.47222222222222221</v>
      </c>
      <c r="G127" s="90" t="s">
        <v>97</v>
      </c>
      <c r="H127" s="123" t="s">
        <v>102</v>
      </c>
      <c r="I127" s="89" t="s">
        <v>142</v>
      </c>
      <c r="J127" s="142"/>
      <c r="K127" s="90" t="s">
        <v>116</v>
      </c>
      <c r="L127" s="90" t="s">
        <v>118</v>
      </c>
      <c r="M127" s="90"/>
      <c r="N127" s="89" t="s">
        <v>655</v>
      </c>
      <c r="O127" s="200"/>
      <c r="P127" s="201"/>
      <c r="Q127" s="201"/>
      <c r="R127" s="237"/>
      <c r="S127" s="202"/>
      <c r="T127" s="200"/>
      <c r="U127" s="203"/>
      <c r="V127" s="89" t="s">
        <v>869</v>
      </c>
      <c r="W127" s="89" t="s">
        <v>891</v>
      </c>
      <c r="X127" s="145" t="s">
        <v>651</v>
      </c>
      <c r="Y127" s="89" t="s">
        <v>652</v>
      </c>
      <c r="Z127" s="90" t="s">
        <v>130</v>
      </c>
      <c r="AA127" s="90" t="s">
        <v>130</v>
      </c>
      <c r="AB127" s="90" t="s">
        <v>131</v>
      </c>
      <c r="AC127" s="90" t="s">
        <v>132</v>
      </c>
      <c r="AD127" s="92" t="s">
        <v>26</v>
      </c>
      <c r="AE127" s="149">
        <f>IFERROR(VLOOKUP(Z127,LISTS!$AL$2:$AM$1000,2,FALSE()),"")</f>
        <v>100</v>
      </c>
      <c r="AF127" s="151">
        <f>IFERROR(VLOOKUP(AA127,LISTS!$AO$2:$AP$1000,2,FALSE()),"")</f>
        <v>100</v>
      </c>
      <c r="AG127" s="152">
        <f>IFERROR(VLOOKUP(AB127,LISTS!$AR$2:$AS$1000,2,FALSE()),"")</f>
        <v>100</v>
      </c>
      <c r="AH127" s="154">
        <f>IFERROR(VLOOKUP(AC127,LISTS!$AU$2:$AV$1000,2,FALSE()),"")</f>
        <v>0</v>
      </c>
      <c r="AI127" s="238">
        <f t="shared" si="8"/>
        <v>100</v>
      </c>
      <c r="AJ127" s="190" t="str">
        <f t="shared" si="9"/>
        <v>🌟 ممتاز جدًا</v>
      </c>
      <c r="AK127" s="157">
        <f t="shared" si="10"/>
        <v>5</v>
      </c>
      <c r="AL127" s="160">
        <f t="shared" si="11"/>
        <v>2026</v>
      </c>
      <c r="AM127" s="210"/>
      <c r="AN127" s="209"/>
    </row>
    <row r="128" spans="1:40" ht="27.95" customHeight="1">
      <c r="A128" s="134">
        <f>IF(I128&lt;&gt;"",COUNTA($I$2:I128),"")</f>
        <v>127</v>
      </c>
      <c r="B128" s="138" t="str">
        <f t="shared" si="12"/>
        <v>الأحد</v>
      </c>
      <c r="C128" s="93" t="str">
        <f t="array" ref="C128">IF(E128="","",IF(M128&lt;&gt;"",
M128&amp;"/"&amp;SUMPRODUCT((M$2:M128=M128)*1)&amp;" - "&amp;(ROW()-2),
"إداري/"&amp;SUMPRODUCT((M$2:M128="")*1)&amp;" - "&amp;(ROW()-2)))</f>
        <v>إداري/123 - 126</v>
      </c>
      <c r="D128" s="141" t="str">
        <f>IF(AND(G128="",H128="",I128=""),"",IF(COUNTIFS(LISTS!$A$2:$A$67,G128,LISTS!$B$2:$B$67,H128,LISTS!$C$2:$C$67,I128)=0,"✗ هرم",IF(NOT(OR(Z128="ممتاز 100%",Z128="جيد 80%",Z128="مقبول 60%",Z128="خطر 40%",Z128="")),"✗ قائمة R",IF(NOT(OR(AA128="ممتاز 100%",AA128="جيد 85%",AA128="مقبول 70%",AA128="ضعيف 50%",AA128="")),"✗ قائمة S",IF(NOT(OR(AB128="مكتمل 100%",AB128="جزئي 60%",AB128="معلق 30%",AB128="مفتوح 0%",AB128="")),"✗ قائمة T",IF(NOT(OR(AC128="لا خصم 0",AC128="تأخير −5",AC128="عجز −10",AC128="جودة −15",AC128="امتثال −20",AC128="مخالفة −25",AC128="")),"✗ قائمة U",IF(AND(X128="لا",AC128&lt;&gt;"",AC128&lt;&gt;"لا خصم 0"),"✗ خصم",IF(AND(X128="نعم",AC128="لا خصم 0"),"✗ خصم",IF(AND(Z128="ممتاز 100%",AA128="ممتاز 100%",AB128&lt;&gt;"",AB128&lt;&gt;"مكتمل 100%"),"✗ إغلاق",IFERROR(IF(LEN(_xlfn.TEXTJOIN("، ",TRUE,IF(E128="","التاريخ",""),IF(F128="","الوقت",""),IF(G128="","المركز",""),IF(H128="","الدائرة",""),IF(I128="","القسم",""),IF(J128="","المسؤول",""),IF(K128="","نوع النشاط",""),IF(L128="","المشروع",""),IF(N128="","الممول",""),IF(V128="","الموضوع",""),IF(W128="","الملاحظة",""),IF(X128="","مشكلة",""),IF(Y128="","الإجراء",""),IF(Z128="","التنفيذ",""),IF(AA128="","الجودة",""),IF(AB128="","الإغلاق",""),IF(AC128="","الخصم",""),IF(AND(COUNTA($O128:$U128)&gt;0,O128=""),"مدير المشروع",""),IF(AND(COUNTA($O128:$U128)&gt;0,P128=""),"المستفيدين",""),IF(AND(COUNTA($O128:$U128)&gt;0,Q128=""),"المناطق",""),IF(AND(COUNTA($O128:$U128)&gt;0,R128=""),"الميزانية",""),IF(AND(COUNTA($O128:$U128)&gt;0,S128=""),"نسبة الجاهزية",""),IF(AND(COUNTA($O128:$U128)&gt;0,T128=""),"حالة الجاهزية",""),IF(AND(COUNTA($O128:$U128)&gt;0,U128=""),"التوصيات","")))&gt;0,"✗ ناقص: "&amp;_xlfn.TEXTJOIN("، ",TRUE,IF(E128="","التاريخ",""),IF(F128="","الوقت",""),IF(G128="","المركز",""),IF(H128="","الدائرة",""),IF(I128="","القسم",""),IF(J128="","المسؤول",""),IF(K128="","نوع النشاط",""),IF(L128="","المشروع",""),IF(N128="","الممول",""),IF(V128="","الموضوع",""),IF(W128="","الملاحظة",""),IF(X128="","مشكلة",""),IF(Y128="","الإجراء",""),IF(Z128="","التنفيذ",""),IF(AA128="","الجودة",""),IF(AB128="","الإغلاق",""),IF(AC128="","الخصم",""),IF(AND(COUNTA($O128:$U128)&gt;0,O128=""),"مدير المشروع",""),IF(AND(COUNTA($O128:$U128)&gt;0,P128=""),"المستفيدين",""),IF(AND(COUNTA($O128:$U128)&gt;0,Q128=""),"المناطق",""),IF(AND(COUNTA($O128:$U128)&gt;0,R128=""),"الميزانية",""),IF(AND(COUNTA($O128:$U128)&gt;0,S128=""),"نسبة الجاهزية",""),IF(AND(COUNTA($O128:$U128)&gt;0,T128=""),"حالة الجاهزية",""),IF(AND(COUNTA($O128:$U128)&gt;0,U128=""),"التوصيات","")),"✓"),"✓"))))))))))</f>
        <v>✗ ناقص: المسؤول</v>
      </c>
      <c r="E128" s="235">
        <v>46152</v>
      </c>
      <c r="F128" s="236">
        <v>0.47222222222222221</v>
      </c>
      <c r="G128" s="90" t="s">
        <v>97</v>
      </c>
      <c r="H128" s="123" t="s">
        <v>102</v>
      </c>
      <c r="I128" s="89" t="s">
        <v>142</v>
      </c>
      <c r="J128" s="142"/>
      <c r="K128" s="90" t="s">
        <v>116</v>
      </c>
      <c r="L128" s="90" t="s">
        <v>118</v>
      </c>
      <c r="M128" s="90"/>
      <c r="N128" s="89" t="s">
        <v>655</v>
      </c>
      <c r="O128" s="200"/>
      <c r="P128" s="201"/>
      <c r="Q128" s="201"/>
      <c r="R128" s="237"/>
      <c r="S128" s="202"/>
      <c r="T128" s="200"/>
      <c r="U128" s="203"/>
      <c r="V128" s="89" t="s">
        <v>871</v>
      </c>
      <c r="W128" s="89" t="s">
        <v>892</v>
      </c>
      <c r="X128" s="145" t="s">
        <v>651</v>
      </c>
      <c r="Y128" s="89" t="s">
        <v>652</v>
      </c>
      <c r="Z128" s="90" t="s">
        <v>130</v>
      </c>
      <c r="AA128" s="90" t="s">
        <v>130</v>
      </c>
      <c r="AB128" s="90" t="s">
        <v>131</v>
      </c>
      <c r="AC128" s="90" t="s">
        <v>132</v>
      </c>
      <c r="AD128" s="92" t="s">
        <v>26</v>
      </c>
      <c r="AE128" s="149">
        <f>IFERROR(VLOOKUP(Z128,LISTS!$AL$2:$AM$1000,2,FALSE()),"")</f>
        <v>100</v>
      </c>
      <c r="AF128" s="151">
        <f>IFERROR(VLOOKUP(AA128,LISTS!$AO$2:$AP$1000,2,FALSE()),"")</f>
        <v>100</v>
      </c>
      <c r="AG128" s="152">
        <f>IFERROR(VLOOKUP(AB128,LISTS!$AR$2:$AS$1000,2,FALSE()),"")</f>
        <v>100</v>
      </c>
      <c r="AH128" s="154">
        <f>IFERROR(VLOOKUP(AC128,LISTS!$AU$2:$AV$1000,2,FALSE()),"")</f>
        <v>0</v>
      </c>
      <c r="AI128" s="238">
        <f t="shared" si="8"/>
        <v>100</v>
      </c>
      <c r="AJ128" s="190" t="str">
        <f t="shared" si="9"/>
        <v>🌟 ممتاز جدًا</v>
      </c>
      <c r="AK128" s="157">
        <f t="shared" si="10"/>
        <v>5</v>
      </c>
      <c r="AL128" s="160">
        <f t="shared" si="11"/>
        <v>2026</v>
      </c>
      <c r="AM128" s="210"/>
      <c r="AN128" s="209"/>
    </row>
    <row r="129" spans="1:40" ht="27.95" customHeight="1">
      <c r="A129" s="134">
        <f>IF(I129&lt;&gt;"",COUNTA($I$2:I129),"")</f>
        <v>128</v>
      </c>
      <c r="B129" s="138" t="str">
        <f t="shared" si="12"/>
        <v>الأحد</v>
      </c>
      <c r="C129" s="93" t="str">
        <f t="array" ref="C129">IF(E129="","",IF(M129&lt;&gt;"",
M129&amp;"/"&amp;SUMPRODUCT((M$2:M129=M129)*1)&amp;" - "&amp;(ROW()-2),
"إداري/"&amp;SUMPRODUCT((M$2:M129="")*1)&amp;" - "&amp;(ROW()-2)))</f>
        <v>إداري/124 - 127</v>
      </c>
      <c r="D129" s="141" t="str">
        <f>IF(AND(G129="",H129="",I129=""),"",IF(COUNTIFS(LISTS!$A$2:$A$67,G129,LISTS!$B$2:$B$67,H129,LISTS!$C$2:$C$67,I129)=0,"✗ هرم",IF(NOT(OR(Z129="ممتاز 100%",Z129="جيد 80%",Z129="مقبول 60%",Z129="خطر 40%",Z129="")),"✗ قائمة R",IF(NOT(OR(AA129="ممتاز 100%",AA129="جيد 85%",AA129="مقبول 70%",AA129="ضعيف 50%",AA129="")),"✗ قائمة S",IF(NOT(OR(AB129="مكتمل 100%",AB129="جزئي 60%",AB129="معلق 30%",AB129="مفتوح 0%",AB129="")),"✗ قائمة T",IF(NOT(OR(AC129="لا خصم 0",AC129="تأخير −5",AC129="عجز −10",AC129="جودة −15",AC129="امتثال −20",AC129="مخالفة −25",AC129="")),"✗ قائمة U",IF(AND(X129="لا",AC129&lt;&gt;"",AC129&lt;&gt;"لا خصم 0"),"✗ خصم",IF(AND(X129="نعم",AC129="لا خصم 0"),"✗ خصم",IF(AND(Z129="ممتاز 100%",AA129="ممتاز 100%",AB129&lt;&gt;"",AB129&lt;&gt;"مكتمل 100%"),"✗ إغلاق",IFERROR(IF(LEN(_xlfn.TEXTJOIN("، ",TRUE,IF(E129="","التاريخ",""),IF(F129="","الوقت",""),IF(G129="","المركز",""),IF(H129="","الدائرة",""),IF(I129="","القسم",""),IF(J129="","المسؤول",""),IF(K129="","نوع النشاط",""),IF(L129="","المشروع",""),IF(N129="","الممول",""),IF(V129="","الموضوع",""),IF(W129="","الملاحظة",""),IF(X129="","مشكلة",""),IF(Y129="","الإجراء",""),IF(Z129="","التنفيذ",""),IF(AA129="","الجودة",""),IF(AB129="","الإغلاق",""),IF(AC129="","الخصم",""),IF(AND(COUNTA($O129:$U129)&gt;0,O129=""),"مدير المشروع",""),IF(AND(COUNTA($O129:$U129)&gt;0,P129=""),"المستفيدين",""),IF(AND(COUNTA($O129:$U129)&gt;0,Q129=""),"المناطق",""),IF(AND(COUNTA($O129:$U129)&gt;0,R129=""),"الميزانية",""),IF(AND(COUNTA($O129:$U129)&gt;0,S129=""),"نسبة الجاهزية",""),IF(AND(COUNTA($O129:$U129)&gt;0,T129=""),"حالة الجاهزية",""),IF(AND(COUNTA($O129:$U129)&gt;0,U129=""),"التوصيات","")))&gt;0,"✗ ناقص: "&amp;_xlfn.TEXTJOIN("، ",TRUE,IF(E129="","التاريخ",""),IF(F129="","الوقت",""),IF(G129="","المركز",""),IF(H129="","الدائرة",""),IF(I129="","القسم",""),IF(J129="","المسؤول",""),IF(K129="","نوع النشاط",""),IF(L129="","المشروع",""),IF(N129="","الممول",""),IF(V129="","الموضوع",""),IF(W129="","الملاحظة",""),IF(X129="","مشكلة",""),IF(Y129="","الإجراء",""),IF(Z129="","التنفيذ",""),IF(AA129="","الجودة",""),IF(AB129="","الإغلاق",""),IF(AC129="","الخصم",""),IF(AND(COUNTA($O129:$U129)&gt;0,O129=""),"مدير المشروع",""),IF(AND(COUNTA($O129:$U129)&gt;0,P129=""),"المستفيدين",""),IF(AND(COUNTA($O129:$U129)&gt;0,Q129=""),"المناطق",""),IF(AND(COUNTA($O129:$U129)&gt;0,R129=""),"الميزانية",""),IF(AND(COUNTA($O129:$U129)&gt;0,S129=""),"نسبة الجاهزية",""),IF(AND(COUNTA($O129:$U129)&gt;0,T129=""),"حالة الجاهزية",""),IF(AND(COUNTA($O129:$U129)&gt;0,U129=""),"التوصيات","")),"✓"),"✓"))))))))))</f>
        <v>✗ ناقص: المسؤول</v>
      </c>
      <c r="E129" s="235">
        <v>46152</v>
      </c>
      <c r="F129" s="236">
        <v>0.47222222222222221</v>
      </c>
      <c r="G129" s="90" t="s">
        <v>97</v>
      </c>
      <c r="H129" s="123" t="s">
        <v>102</v>
      </c>
      <c r="I129" s="89" t="s">
        <v>142</v>
      </c>
      <c r="J129" s="142"/>
      <c r="K129" s="90" t="s">
        <v>116</v>
      </c>
      <c r="L129" s="90" t="s">
        <v>118</v>
      </c>
      <c r="M129" s="90"/>
      <c r="N129" s="89" t="s">
        <v>655</v>
      </c>
      <c r="O129" s="200"/>
      <c r="P129" s="201"/>
      <c r="Q129" s="201"/>
      <c r="R129" s="237"/>
      <c r="S129" s="202"/>
      <c r="T129" s="200"/>
      <c r="U129" s="203"/>
      <c r="V129" s="89" t="s">
        <v>873</v>
      </c>
      <c r="W129" s="89" t="s">
        <v>893</v>
      </c>
      <c r="X129" s="145" t="s">
        <v>651</v>
      </c>
      <c r="Y129" s="89" t="s">
        <v>652</v>
      </c>
      <c r="Z129" s="90" t="s">
        <v>130</v>
      </c>
      <c r="AA129" s="90" t="s">
        <v>130</v>
      </c>
      <c r="AB129" s="90" t="s">
        <v>131</v>
      </c>
      <c r="AC129" s="90" t="s">
        <v>132</v>
      </c>
      <c r="AD129" s="92" t="s">
        <v>26</v>
      </c>
      <c r="AE129" s="149">
        <f>IFERROR(VLOOKUP(Z129,LISTS!$AL$2:$AM$1000,2,FALSE()),"")</f>
        <v>100</v>
      </c>
      <c r="AF129" s="151">
        <f>IFERROR(VLOOKUP(AA129,LISTS!$AO$2:$AP$1000,2,FALSE()),"")</f>
        <v>100</v>
      </c>
      <c r="AG129" s="152">
        <f>IFERROR(VLOOKUP(AB129,LISTS!$AR$2:$AS$1000,2,FALSE()),"")</f>
        <v>100</v>
      </c>
      <c r="AH129" s="154">
        <f>IFERROR(VLOOKUP(AC129,LISTS!$AU$2:$AV$1000,2,FALSE()),"")</f>
        <v>0</v>
      </c>
      <c r="AI129" s="238">
        <f t="shared" si="8"/>
        <v>100</v>
      </c>
      <c r="AJ129" s="190" t="str">
        <f t="shared" si="9"/>
        <v>🌟 ممتاز جدًا</v>
      </c>
      <c r="AK129" s="157">
        <f t="shared" si="10"/>
        <v>5</v>
      </c>
      <c r="AL129" s="160">
        <f t="shared" si="11"/>
        <v>2026</v>
      </c>
      <c r="AM129" s="210"/>
      <c r="AN129" s="209"/>
    </row>
    <row r="130" spans="1:40" ht="27.95" customHeight="1">
      <c r="A130" s="134">
        <f>IF(I130&lt;&gt;"",COUNTA($I$2:I130),"")</f>
        <v>129</v>
      </c>
      <c r="B130" s="138" t="str">
        <f t="shared" si="12"/>
        <v>الأحد</v>
      </c>
      <c r="C130" s="93" t="str">
        <f t="array" ref="C130">IF(E130="","",IF(M130&lt;&gt;"",
M130&amp;"/"&amp;SUMPRODUCT((M$2:M130=M130)*1)&amp;" - "&amp;(ROW()-2),
"إداري/"&amp;SUMPRODUCT((M$2:M130="")*1)&amp;" - "&amp;(ROW()-2)))</f>
        <v>إداري/125 - 128</v>
      </c>
      <c r="D130" s="141" t="str">
        <f>IF(AND(G130="",H130="",I130=""),"",IF(COUNTIFS(LISTS!$A$2:$A$67,G130,LISTS!$B$2:$B$67,H130,LISTS!$C$2:$C$67,I130)=0,"✗ هرم",IF(NOT(OR(Z130="ممتاز 100%",Z130="جيد 80%",Z130="مقبول 60%",Z130="خطر 40%",Z130="")),"✗ قائمة R",IF(NOT(OR(AA130="ممتاز 100%",AA130="جيد 85%",AA130="مقبول 70%",AA130="ضعيف 50%",AA130="")),"✗ قائمة S",IF(NOT(OR(AB130="مكتمل 100%",AB130="جزئي 60%",AB130="معلق 30%",AB130="مفتوح 0%",AB130="")),"✗ قائمة T",IF(NOT(OR(AC130="لا خصم 0",AC130="تأخير −5",AC130="عجز −10",AC130="جودة −15",AC130="امتثال −20",AC130="مخالفة −25",AC130="")),"✗ قائمة U",IF(AND(X130="لا",AC130&lt;&gt;"",AC130&lt;&gt;"لا خصم 0"),"✗ خصم",IF(AND(X130="نعم",AC130="لا خصم 0"),"✗ خصم",IF(AND(Z130="ممتاز 100%",AA130="ممتاز 100%",AB130&lt;&gt;"",AB130&lt;&gt;"مكتمل 100%"),"✗ إغلاق",IFERROR(IF(LEN(_xlfn.TEXTJOIN("، ",TRUE,IF(E130="","التاريخ",""),IF(F130="","الوقت",""),IF(G130="","المركز",""),IF(H130="","الدائرة",""),IF(I130="","القسم",""),IF(J130="","المسؤول",""),IF(K130="","نوع النشاط",""),IF(L130="","المشروع",""),IF(N130="","الممول",""),IF(V130="","الموضوع",""),IF(W130="","الملاحظة",""),IF(X130="","مشكلة",""),IF(Y130="","الإجراء",""),IF(Z130="","التنفيذ",""),IF(AA130="","الجودة",""),IF(AB130="","الإغلاق",""),IF(AC130="","الخصم",""),IF(AND(COUNTA($O130:$U130)&gt;0,O130=""),"مدير المشروع",""),IF(AND(COUNTA($O130:$U130)&gt;0,P130=""),"المستفيدين",""),IF(AND(COUNTA($O130:$U130)&gt;0,Q130=""),"المناطق",""),IF(AND(COUNTA($O130:$U130)&gt;0,R130=""),"الميزانية",""),IF(AND(COUNTA($O130:$U130)&gt;0,S130=""),"نسبة الجاهزية",""),IF(AND(COUNTA($O130:$U130)&gt;0,T130=""),"حالة الجاهزية",""),IF(AND(COUNTA($O130:$U130)&gt;0,U130=""),"التوصيات","")))&gt;0,"✗ ناقص: "&amp;_xlfn.TEXTJOIN("، ",TRUE,IF(E130="","التاريخ",""),IF(F130="","الوقت",""),IF(G130="","المركز",""),IF(H130="","الدائرة",""),IF(I130="","القسم",""),IF(J130="","المسؤول",""),IF(K130="","نوع النشاط",""),IF(L130="","المشروع",""),IF(N130="","الممول",""),IF(V130="","الموضوع",""),IF(W130="","الملاحظة",""),IF(X130="","مشكلة",""),IF(Y130="","الإجراء",""),IF(Z130="","التنفيذ",""),IF(AA130="","الجودة",""),IF(AB130="","الإغلاق",""),IF(AC130="","الخصم",""),IF(AND(COUNTA($O130:$U130)&gt;0,O130=""),"مدير المشروع",""),IF(AND(COUNTA($O130:$U130)&gt;0,P130=""),"المستفيدين",""),IF(AND(COUNTA($O130:$U130)&gt;0,Q130=""),"المناطق",""),IF(AND(COUNTA($O130:$U130)&gt;0,R130=""),"الميزانية",""),IF(AND(COUNTA($O130:$U130)&gt;0,S130=""),"نسبة الجاهزية",""),IF(AND(COUNTA($O130:$U130)&gt;0,T130=""),"حالة الجاهزية",""),IF(AND(COUNTA($O130:$U130)&gt;0,U130=""),"التوصيات","")),"✓"),"✓"))))))))))</f>
        <v>✗ ناقص: المسؤول</v>
      </c>
      <c r="E130" s="235">
        <v>46152</v>
      </c>
      <c r="F130" s="236">
        <v>0.47222222222222221</v>
      </c>
      <c r="G130" s="90" t="s">
        <v>97</v>
      </c>
      <c r="H130" s="123" t="s">
        <v>102</v>
      </c>
      <c r="I130" s="89" t="s">
        <v>142</v>
      </c>
      <c r="J130" s="142"/>
      <c r="K130" s="90" t="s">
        <v>116</v>
      </c>
      <c r="L130" s="90" t="s">
        <v>118</v>
      </c>
      <c r="M130" s="90"/>
      <c r="N130" s="89" t="s">
        <v>655</v>
      </c>
      <c r="O130" s="200"/>
      <c r="P130" s="201"/>
      <c r="Q130" s="201"/>
      <c r="R130" s="237"/>
      <c r="S130" s="202"/>
      <c r="T130" s="200"/>
      <c r="U130" s="203"/>
      <c r="V130" s="89" t="s">
        <v>894</v>
      </c>
      <c r="W130" s="89" t="s">
        <v>895</v>
      </c>
      <c r="X130" s="145" t="s">
        <v>651</v>
      </c>
      <c r="Y130" s="89" t="s">
        <v>652</v>
      </c>
      <c r="Z130" s="90" t="s">
        <v>130</v>
      </c>
      <c r="AA130" s="90" t="s">
        <v>130</v>
      </c>
      <c r="AB130" s="90" t="s">
        <v>131</v>
      </c>
      <c r="AC130" s="90" t="s">
        <v>132</v>
      </c>
      <c r="AD130" s="92" t="s">
        <v>26</v>
      </c>
      <c r="AE130" s="149">
        <f>IFERROR(VLOOKUP(Z130,LISTS!$AL$2:$AM$1000,2,FALSE()),"")</f>
        <v>100</v>
      </c>
      <c r="AF130" s="151">
        <f>IFERROR(VLOOKUP(AA130,LISTS!$AO$2:$AP$1000,2,FALSE()),"")</f>
        <v>100</v>
      </c>
      <c r="AG130" s="152">
        <f>IFERROR(VLOOKUP(AB130,LISTS!$AR$2:$AS$1000,2,FALSE()),"")</f>
        <v>100</v>
      </c>
      <c r="AH130" s="154">
        <f>IFERROR(VLOOKUP(AC130,LISTS!$AU$2:$AV$1000,2,FALSE()),"")</f>
        <v>0</v>
      </c>
      <c r="AI130" s="238">
        <f t="shared" ref="AI130:AI193" si="13">IF(OR(AE130="",AF130="",AG130=""),"—",IFERROR(ROUND(AE130*0.4+AF130*0.3+AG130*0.3-IF(ISNUMBER(AH130),AH130,0),1),"⚠️"))</f>
        <v>100</v>
      </c>
      <c r="AJ130" s="190" t="str">
        <f t="shared" ref="AJ130:AJ193" si="14">IF(AI130="—","—",IF(NOT(ISNUMBER(AI130)),"⚠️",IF(AI130&gt;=98,"🌟 ممتاز جدًا",IF(AI130&gt;=90,"⭐ ممتاز",IF(AI130&gt;=75,"🟢 جيد",IF(AI130&gt;=60,"🟡 مقبول",IF(AI130&gt;=40,"🔴 ضعيف","🚨 خطر شديد")))))))</f>
        <v>🌟 ممتاز جدًا</v>
      </c>
      <c r="AK130" s="157">
        <f t="shared" si="10"/>
        <v>5</v>
      </c>
      <c r="AL130" s="160">
        <f t="shared" si="11"/>
        <v>2026</v>
      </c>
      <c r="AM130" s="210"/>
      <c r="AN130" s="209"/>
    </row>
    <row r="131" spans="1:40" ht="27.95" customHeight="1">
      <c r="A131" s="134">
        <f>IF(I131&lt;&gt;"",COUNTA($I$2:I131),"")</f>
        <v>130</v>
      </c>
      <c r="B131" s="138" t="str">
        <f t="shared" si="12"/>
        <v>الأحد</v>
      </c>
      <c r="C131" s="93" t="str">
        <f t="array" ref="C131">IF(E131="","",IF(M131&lt;&gt;"",
M131&amp;"/"&amp;SUMPRODUCT((M$2:M131=M131)*1)&amp;" - "&amp;(ROW()-2),
"إداري/"&amp;SUMPRODUCT((M$2:M131="")*1)&amp;" - "&amp;(ROW()-2)))</f>
        <v>إداري/126 - 129</v>
      </c>
      <c r="D131" s="141" t="str">
        <f>IF(AND(G131="",H131="",I131=""),"",IF(COUNTIFS(LISTS!$A$2:$A$67,G131,LISTS!$B$2:$B$67,H131,LISTS!$C$2:$C$67,I131)=0,"✗ هرم",IF(NOT(OR(Z131="ممتاز 100%",Z131="جيد 80%",Z131="مقبول 60%",Z131="خطر 40%",Z131="")),"✗ قائمة R",IF(NOT(OR(AA131="ممتاز 100%",AA131="جيد 85%",AA131="مقبول 70%",AA131="ضعيف 50%",AA131="")),"✗ قائمة S",IF(NOT(OR(AB131="مكتمل 100%",AB131="جزئي 60%",AB131="معلق 30%",AB131="مفتوح 0%",AB131="")),"✗ قائمة T",IF(NOT(OR(AC131="لا خصم 0",AC131="تأخير −5",AC131="عجز −10",AC131="جودة −15",AC131="امتثال −20",AC131="مخالفة −25",AC131="")),"✗ قائمة U",IF(AND(X131="لا",AC131&lt;&gt;"",AC131&lt;&gt;"لا خصم 0"),"✗ خصم",IF(AND(X131="نعم",AC131="لا خصم 0"),"✗ خصم",IF(AND(Z131="ممتاز 100%",AA131="ممتاز 100%",AB131&lt;&gt;"",AB131&lt;&gt;"مكتمل 100%"),"✗ إغلاق",IFERROR(IF(LEN(_xlfn.TEXTJOIN("، ",TRUE,IF(E131="","التاريخ",""),IF(F131="","الوقت",""),IF(G131="","المركز",""),IF(H131="","الدائرة",""),IF(I131="","القسم",""),IF(J131="","المسؤول",""),IF(K131="","نوع النشاط",""),IF(L131="","المشروع",""),IF(N131="","الممول",""),IF(V131="","الموضوع",""),IF(W131="","الملاحظة",""),IF(X131="","مشكلة",""),IF(Y131="","الإجراء",""),IF(Z131="","التنفيذ",""),IF(AA131="","الجودة",""),IF(AB131="","الإغلاق",""),IF(AC131="","الخصم",""),IF(AND(COUNTA($O131:$U131)&gt;0,O131=""),"مدير المشروع",""),IF(AND(COUNTA($O131:$U131)&gt;0,P131=""),"المستفيدين",""),IF(AND(COUNTA($O131:$U131)&gt;0,Q131=""),"المناطق",""),IF(AND(COUNTA($O131:$U131)&gt;0,R131=""),"الميزانية",""),IF(AND(COUNTA($O131:$U131)&gt;0,S131=""),"نسبة الجاهزية",""),IF(AND(COUNTA($O131:$U131)&gt;0,T131=""),"حالة الجاهزية",""),IF(AND(COUNTA($O131:$U131)&gt;0,U131=""),"التوصيات","")))&gt;0,"✗ ناقص: "&amp;_xlfn.TEXTJOIN("، ",TRUE,IF(E131="","التاريخ",""),IF(F131="","الوقت",""),IF(G131="","المركز",""),IF(H131="","الدائرة",""),IF(I131="","القسم",""),IF(J131="","المسؤول",""),IF(K131="","نوع النشاط",""),IF(L131="","المشروع",""),IF(N131="","الممول",""),IF(V131="","الموضوع",""),IF(W131="","الملاحظة",""),IF(X131="","مشكلة",""),IF(Y131="","الإجراء",""),IF(Z131="","التنفيذ",""),IF(AA131="","الجودة",""),IF(AB131="","الإغلاق",""),IF(AC131="","الخصم",""),IF(AND(COUNTA($O131:$U131)&gt;0,O131=""),"مدير المشروع",""),IF(AND(COUNTA($O131:$U131)&gt;0,P131=""),"المستفيدين",""),IF(AND(COUNTA($O131:$U131)&gt;0,Q131=""),"المناطق",""),IF(AND(COUNTA($O131:$U131)&gt;0,R131=""),"الميزانية",""),IF(AND(COUNTA($O131:$U131)&gt;0,S131=""),"نسبة الجاهزية",""),IF(AND(COUNTA($O131:$U131)&gt;0,T131=""),"حالة الجاهزية",""),IF(AND(COUNTA($O131:$U131)&gt;0,U131=""),"التوصيات","")),"✓"),"✓"))))))))))</f>
        <v>✓</v>
      </c>
      <c r="E131" s="235">
        <v>46152</v>
      </c>
      <c r="F131" s="236">
        <v>0.58333333333333337</v>
      </c>
      <c r="G131" s="90" t="s">
        <v>97</v>
      </c>
      <c r="H131" s="123" t="s">
        <v>102</v>
      </c>
      <c r="I131" s="89" t="s">
        <v>124</v>
      </c>
      <c r="J131" s="142" t="s">
        <v>117</v>
      </c>
      <c r="K131" s="90" t="s">
        <v>116</v>
      </c>
      <c r="L131" s="90" t="s">
        <v>369</v>
      </c>
      <c r="M131" s="90"/>
      <c r="N131" s="89" t="s">
        <v>655</v>
      </c>
      <c r="O131" s="200"/>
      <c r="P131" s="201"/>
      <c r="Q131" s="201"/>
      <c r="R131" s="237"/>
      <c r="S131" s="202"/>
      <c r="T131" s="200"/>
      <c r="U131" s="203"/>
      <c r="V131" s="89" t="s">
        <v>823</v>
      </c>
      <c r="W131" s="89" t="s">
        <v>896</v>
      </c>
      <c r="X131" s="145" t="s">
        <v>651</v>
      </c>
      <c r="Y131" s="89" t="s">
        <v>652</v>
      </c>
      <c r="Z131" s="90" t="s">
        <v>130</v>
      </c>
      <c r="AA131" s="90" t="s">
        <v>130</v>
      </c>
      <c r="AB131" s="90" t="s">
        <v>131</v>
      </c>
      <c r="AC131" s="90" t="s">
        <v>132</v>
      </c>
      <c r="AD131" s="92" t="s">
        <v>26</v>
      </c>
      <c r="AE131" s="149">
        <f>IFERROR(VLOOKUP(Z131,LISTS!$AL$2:$AM$1000,2,FALSE()),"")</f>
        <v>100</v>
      </c>
      <c r="AF131" s="151">
        <f>IFERROR(VLOOKUP(AA131,LISTS!$AO$2:$AP$1000,2,FALSE()),"")</f>
        <v>100</v>
      </c>
      <c r="AG131" s="152">
        <f>IFERROR(VLOOKUP(AB131,LISTS!$AR$2:$AS$1000,2,FALSE()),"")</f>
        <v>100</v>
      </c>
      <c r="AH131" s="154">
        <f>IFERROR(VLOOKUP(AC131,LISTS!$AU$2:$AV$1000,2,FALSE()),"")</f>
        <v>0</v>
      </c>
      <c r="AI131" s="238">
        <f t="shared" si="13"/>
        <v>100</v>
      </c>
      <c r="AJ131" s="190" t="str">
        <f t="shared" si="14"/>
        <v>🌟 ممتاز جدًا</v>
      </c>
      <c r="AK131" s="157">
        <f t="shared" si="10"/>
        <v>5</v>
      </c>
      <c r="AL131" s="160">
        <f t="shared" si="11"/>
        <v>2026</v>
      </c>
      <c r="AM131" s="210"/>
      <c r="AN131" s="209"/>
    </row>
    <row r="132" spans="1:40" ht="27.95" customHeight="1">
      <c r="A132" s="134">
        <f>IF(I132&lt;&gt;"",COUNTA($I$2:I132),"")</f>
        <v>131</v>
      </c>
      <c r="B132" s="138" t="str">
        <f t="shared" si="12"/>
        <v>الأحد</v>
      </c>
      <c r="C132" s="93" t="str">
        <f t="array" ref="C132">IF(E132="","",IF(M132&lt;&gt;"",
M132&amp;"/"&amp;SUMPRODUCT((M$2:M132=M132)*1)&amp;" - "&amp;(ROW()-2),
"إداري/"&amp;SUMPRODUCT((M$2:M132="")*1)&amp;" - "&amp;(ROW()-2)))</f>
        <v>إداري/127 - 130</v>
      </c>
      <c r="D132" s="141" t="str">
        <f>IF(AND(G132="",H132="",I132=""),"",IF(COUNTIFS(LISTS!$A$2:$A$67,G132,LISTS!$B$2:$B$67,H132,LISTS!$C$2:$C$67,I132)=0,"✗ هرم",IF(NOT(OR(Z132="ممتاز 100%",Z132="جيد 80%",Z132="مقبول 60%",Z132="خطر 40%",Z132="")),"✗ قائمة R",IF(NOT(OR(AA132="ممتاز 100%",AA132="جيد 85%",AA132="مقبول 70%",AA132="ضعيف 50%",AA132="")),"✗ قائمة S",IF(NOT(OR(AB132="مكتمل 100%",AB132="جزئي 60%",AB132="معلق 30%",AB132="مفتوح 0%",AB132="")),"✗ قائمة T",IF(NOT(OR(AC132="لا خصم 0",AC132="تأخير −5",AC132="عجز −10",AC132="جودة −15",AC132="امتثال −20",AC132="مخالفة −25",AC132="")),"✗ قائمة U",IF(AND(X132="لا",AC132&lt;&gt;"",AC132&lt;&gt;"لا خصم 0"),"✗ خصم",IF(AND(X132="نعم",AC132="لا خصم 0"),"✗ خصم",IF(AND(Z132="ممتاز 100%",AA132="ممتاز 100%",AB132&lt;&gt;"",AB132&lt;&gt;"مكتمل 100%"),"✗ إغلاق",IFERROR(IF(LEN(_xlfn.TEXTJOIN("، ",TRUE,IF(E132="","التاريخ",""),IF(F132="","الوقت",""),IF(G132="","المركز",""),IF(H132="","الدائرة",""),IF(I132="","القسم",""),IF(J132="","المسؤول",""),IF(K132="","نوع النشاط",""),IF(L132="","المشروع",""),IF(N132="","الممول",""),IF(V132="","الموضوع",""),IF(W132="","الملاحظة",""),IF(X132="","مشكلة",""),IF(Y132="","الإجراء",""),IF(Z132="","التنفيذ",""),IF(AA132="","الجودة",""),IF(AB132="","الإغلاق",""),IF(AC132="","الخصم",""),IF(AND(COUNTA($O132:$U132)&gt;0,O132=""),"مدير المشروع",""),IF(AND(COUNTA($O132:$U132)&gt;0,P132=""),"المستفيدين",""),IF(AND(COUNTA($O132:$U132)&gt;0,Q132=""),"المناطق",""),IF(AND(COUNTA($O132:$U132)&gt;0,R132=""),"الميزانية",""),IF(AND(COUNTA($O132:$U132)&gt;0,S132=""),"نسبة الجاهزية",""),IF(AND(COUNTA($O132:$U132)&gt;0,T132=""),"حالة الجاهزية",""),IF(AND(COUNTA($O132:$U132)&gt;0,U132=""),"التوصيات","")))&gt;0,"✗ ناقص: "&amp;_xlfn.TEXTJOIN("، ",TRUE,IF(E132="","التاريخ",""),IF(F132="","الوقت",""),IF(G132="","المركز",""),IF(H132="","الدائرة",""),IF(I132="","القسم",""),IF(J132="","المسؤول",""),IF(K132="","نوع النشاط",""),IF(L132="","المشروع",""),IF(N132="","الممول",""),IF(V132="","الموضوع",""),IF(W132="","الملاحظة",""),IF(X132="","مشكلة",""),IF(Y132="","الإجراء",""),IF(Z132="","التنفيذ",""),IF(AA132="","الجودة",""),IF(AB132="","الإغلاق",""),IF(AC132="","الخصم",""),IF(AND(COUNTA($O132:$U132)&gt;0,O132=""),"مدير المشروع",""),IF(AND(COUNTA($O132:$U132)&gt;0,P132=""),"المستفيدين",""),IF(AND(COUNTA($O132:$U132)&gt;0,Q132=""),"المناطق",""),IF(AND(COUNTA($O132:$U132)&gt;0,R132=""),"الميزانية",""),IF(AND(COUNTA($O132:$U132)&gt;0,S132=""),"نسبة الجاهزية",""),IF(AND(COUNTA($O132:$U132)&gt;0,T132=""),"حالة الجاهزية",""),IF(AND(COUNTA($O132:$U132)&gt;0,U132=""),"التوصيات","")),"✓"),"✓"))))))))))</f>
        <v>✗ ناقص: الوقت، المشروع، الممول</v>
      </c>
      <c r="E132" s="235">
        <v>46152</v>
      </c>
      <c r="F132" s="236"/>
      <c r="G132" s="90" t="s">
        <v>97</v>
      </c>
      <c r="H132" s="123" t="s">
        <v>103</v>
      </c>
      <c r="I132" s="89" t="s">
        <v>160</v>
      </c>
      <c r="J132" s="142" t="s">
        <v>254</v>
      </c>
      <c r="K132" s="90" t="s">
        <v>169</v>
      </c>
      <c r="L132" s="90"/>
      <c r="M132" s="90"/>
      <c r="N132" s="89"/>
      <c r="O132" s="200"/>
      <c r="P132" s="201"/>
      <c r="Q132" s="201"/>
      <c r="R132" s="237"/>
      <c r="S132" s="202"/>
      <c r="T132" s="200"/>
      <c r="U132" s="203"/>
      <c r="V132" s="89" t="s">
        <v>897</v>
      </c>
      <c r="W132" s="89" t="s">
        <v>898</v>
      </c>
      <c r="X132" s="145" t="s">
        <v>651</v>
      </c>
      <c r="Y132" s="89" t="s">
        <v>652</v>
      </c>
      <c r="Z132" s="90" t="s">
        <v>130</v>
      </c>
      <c r="AA132" s="90" t="s">
        <v>130</v>
      </c>
      <c r="AB132" s="90" t="s">
        <v>131</v>
      </c>
      <c r="AC132" s="90" t="s">
        <v>132</v>
      </c>
      <c r="AD132" s="92" t="s">
        <v>134</v>
      </c>
      <c r="AE132" s="149">
        <f>IFERROR(VLOOKUP(Z132,LISTS!$AL$2:$AM$1000,2,FALSE()),"")</f>
        <v>100</v>
      </c>
      <c r="AF132" s="151">
        <f>IFERROR(VLOOKUP(AA132,LISTS!$AO$2:$AP$1000,2,FALSE()),"")</f>
        <v>100</v>
      </c>
      <c r="AG132" s="152">
        <f>IFERROR(VLOOKUP(AB132,LISTS!$AR$2:$AS$1000,2,FALSE()),"")</f>
        <v>100</v>
      </c>
      <c r="AH132" s="154">
        <f>IFERROR(VLOOKUP(AC132,LISTS!$AU$2:$AV$1000,2,FALSE()),"")</f>
        <v>0</v>
      </c>
      <c r="AI132" s="238">
        <f t="shared" si="13"/>
        <v>100</v>
      </c>
      <c r="AJ132" s="190" t="str">
        <f t="shared" si="14"/>
        <v>🌟 ممتاز جدًا</v>
      </c>
      <c r="AK132" s="157">
        <f t="shared" si="10"/>
        <v>5</v>
      </c>
      <c r="AL132" s="160">
        <f t="shared" si="11"/>
        <v>2026</v>
      </c>
      <c r="AM132" s="210"/>
      <c r="AN132" s="209"/>
    </row>
    <row r="133" spans="1:40" ht="27.95" customHeight="1">
      <c r="A133" s="134">
        <f>IF(I133&lt;&gt;"",COUNTA($I$2:I133),"")</f>
        <v>132</v>
      </c>
      <c r="B133" s="138" t="str">
        <f t="shared" si="12"/>
        <v>الاثنين</v>
      </c>
      <c r="C133" s="93" t="str">
        <f t="array" ref="C133">IF(E133="","",IF(M133&lt;&gt;"",
M133&amp;"/"&amp;SUMPRODUCT((M$2:M133=M133)*1)&amp;" - "&amp;(ROW()-2),
"إداري/"&amp;SUMPRODUCT((M$2:M133="")*1)&amp;" - "&amp;(ROW()-2)))</f>
        <v>إداري/128 - 131</v>
      </c>
      <c r="D133" s="141" t="str">
        <f>IF(AND(G133="",H133="",I133=""),"",IF(COUNTIFS(LISTS!$A$2:$A$67,G133,LISTS!$B$2:$B$67,H133,LISTS!$C$2:$C$67,I133)=0,"✗ هرم",IF(NOT(OR(Z133="ممتاز 100%",Z133="جيد 80%",Z133="مقبول 60%",Z133="خطر 40%",Z133="")),"✗ قائمة R",IF(NOT(OR(AA133="ممتاز 100%",AA133="جيد 85%",AA133="مقبول 70%",AA133="ضعيف 50%",AA133="")),"✗ قائمة S",IF(NOT(OR(AB133="مكتمل 100%",AB133="جزئي 60%",AB133="معلق 30%",AB133="مفتوح 0%",AB133="")),"✗ قائمة T",IF(NOT(OR(AC133="لا خصم 0",AC133="تأخير −5",AC133="عجز −10",AC133="جودة −15",AC133="امتثال −20",AC133="مخالفة −25",AC133="")),"✗ قائمة U",IF(AND(X133="لا",AC133&lt;&gt;"",AC133&lt;&gt;"لا خصم 0"),"✗ خصم",IF(AND(X133="نعم",AC133="لا خصم 0"),"✗ خصم",IF(AND(Z133="ممتاز 100%",AA133="ممتاز 100%",AB133&lt;&gt;"",AB133&lt;&gt;"مكتمل 100%"),"✗ إغلاق",IFERROR(IF(LEN(_xlfn.TEXTJOIN("، ",TRUE,IF(E133="","التاريخ",""),IF(F133="","الوقت",""),IF(G133="","المركز",""),IF(H133="","الدائرة",""),IF(I133="","القسم",""),IF(J133="","المسؤول",""),IF(K133="","نوع النشاط",""),IF(L133="","المشروع",""),IF(N133="","الممول",""),IF(V133="","الموضوع",""),IF(W133="","الملاحظة",""),IF(X133="","مشكلة",""),IF(Y133="","الإجراء",""),IF(Z133="","التنفيذ",""),IF(AA133="","الجودة",""),IF(AB133="","الإغلاق",""),IF(AC133="","الخصم",""),IF(AND(COUNTA($O133:$U133)&gt;0,O133=""),"مدير المشروع",""),IF(AND(COUNTA($O133:$U133)&gt;0,P133=""),"المستفيدين",""),IF(AND(COUNTA($O133:$U133)&gt;0,Q133=""),"المناطق",""),IF(AND(COUNTA($O133:$U133)&gt;0,R133=""),"الميزانية",""),IF(AND(COUNTA($O133:$U133)&gt;0,S133=""),"نسبة الجاهزية",""),IF(AND(COUNTA($O133:$U133)&gt;0,T133=""),"حالة الجاهزية",""),IF(AND(COUNTA($O133:$U133)&gt;0,U133=""),"التوصيات","")))&gt;0,"✗ ناقص: "&amp;_xlfn.TEXTJOIN("، ",TRUE,IF(E133="","التاريخ",""),IF(F133="","الوقت",""),IF(G133="","المركز",""),IF(H133="","الدائرة",""),IF(I133="","القسم",""),IF(J133="","المسؤول",""),IF(K133="","نوع النشاط",""),IF(L133="","المشروع",""),IF(N133="","الممول",""),IF(V133="","الموضوع",""),IF(W133="","الملاحظة",""),IF(X133="","مشكلة",""),IF(Y133="","الإجراء",""),IF(Z133="","التنفيذ",""),IF(AA133="","الجودة",""),IF(AB133="","الإغلاق",""),IF(AC133="","الخصم",""),IF(AND(COUNTA($O133:$U133)&gt;0,O133=""),"مدير المشروع",""),IF(AND(COUNTA($O133:$U133)&gt;0,P133=""),"المستفيدين",""),IF(AND(COUNTA($O133:$U133)&gt;0,Q133=""),"المناطق",""),IF(AND(COUNTA($O133:$U133)&gt;0,R133=""),"الميزانية",""),IF(AND(COUNTA($O133:$U133)&gt;0,S133=""),"نسبة الجاهزية",""),IF(AND(COUNTA($O133:$U133)&gt;0,T133=""),"حالة الجاهزية",""),IF(AND(COUNTA($O133:$U133)&gt;0,U133=""),"التوصيات","")),"✓"),"✓"))))))))))</f>
        <v>✓</v>
      </c>
      <c r="E133" s="235">
        <v>46153</v>
      </c>
      <c r="F133" s="236">
        <v>0.60763888888888884</v>
      </c>
      <c r="G133" s="90" t="s">
        <v>97</v>
      </c>
      <c r="H133" s="123" t="s">
        <v>102</v>
      </c>
      <c r="I133" s="89" t="s">
        <v>124</v>
      </c>
      <c r="J133" s="142" t="s">
        <v>117</v>
      </c>
      <c r="K133" s="90" t="s">
        <v>116</v>
      </c>
      <c r="L133" s="90" t="s">
        <v>369</v>
      </c>
      <c r="M133" s="90"/>
      <c r="N133" s="89" t="s">
        <v>655</v>
      </c>
      <c r="O133" s="200"/>
      <c r="P133" s="201"/>
      <c r="Q133" s="201"/>
      <c r="R133" s="237"/>
      <c r="S133" s="202"/>
      <c r="T133" s="200"/>
      <c r="U133" s="203"/>
      <c r="V133" s="89" t="s">
        <v>823</v>
      </c>
      <c r="W133" s="89" t="s">
        <v>899</v>
      </c>
      <c r="X133" s="145" t="s">
        <v>651</v>
      </c>
      <c r="Y133" s="89" t="s">
        <v>652</v>
      </c>
      <c r="Z133" s="90" t="s">
        <v>130</v>
      </c>
      <c r="AA133" s="90" t="s">
        <v>130</v>
      </c>
      <c r="AB133" s="90" t="s">
        <v>131</v>
      </c>
      <c r="AC133" s="90" t="s">
        <v>132</v>
      </c>
      <c r="AD133" s="92" t="s">
        <v>26</v>
      </c>
      <c r="AE133" s="149">
        <f>IFERROR(VLOOKUP(Z133,LISTS!$AL$2:$AM$1000,2,FALSE()),"")</f>
        <v>100</v>
      </c>
      <c r="AF133" s="151">
        <f>IFERROR(VLOOKUP(AA133,LISTS!$AO$2:$AP$1000,2,FALSE()),"")</f>
        <v>100</v>
      </c>
      <c r="AG133" s="152">
        <f>IFERROR(VLOOKUP(AB133,LISTS!$AR$2:$AS$1000,2,FALSE()),"")</f>
        <v>100</v>
      </c>
      <c r="AH133" s="154">
        <f>IFERROR(VLOOKUP(AC133,LISTS!$AU$2:$AV$1000,2,FALSE()),"")</f>
        <v>0</v>
      </c>
      <c r="AI133" s="238">
        <f t="shared" si="13"/>
        <v>100</v>
      </c>
      <c r="AJ133" s="190" t="str">
        <f t="shared" si="14"/>
        <v>🌟 ممتاز جدًا</v>
      </c>
      <c r="AK133" s="157">
        <f t="shared" si="10"/>
        <v>5</v>
      </c>
      <c r="AL133" s="160">
        <f t="shared" si="11"/>
        <v>2026</v>
      </c>
      <c r="AM133" s="210"/>
      <c r="AN133" s="209"/>
    </row>
    <row r="134" spans="1:40" ht="27.95" customHeight="1">
      <c r="A134" s="134">
        <f>IF(I134&lt;&gt;"",COUNTA($I$2:I134),"")</f>
        <v>133</v>
      </c>
      <c r="B134" s="138" t="str">
        <f t="shared" si="12"/>
        <v>الاثنين</v>
      </c>
      <c r="C134" s="93" t="str">
        <f t="array" ref="C134">IF(E134="","",IF(M134&lt;&gt;"",
M134&amp;"/"&amp;SUMPRODUCT((M$2:M134=M134)*1)&amp;" - "&amp;(ROW()-2),
"إداري/"&amp;SUMPRODUCT((M$2:M134="")*1)&amp;" - "&amp;(ROW()-2)))</f>
        <v>إداري/129 - 132</v>
      </c>
      <c r="D134" s="141" t="str">
        <f>IF(AND(G134="",H134="",I134=""),"",IF(COUNTIFS(LISTS!$A$2:$A$67,G134,LISTS!$B$2:$B$67,H134,LISTS!$C$2:$C$67,I134)=0,"✗ هرم",IF(NOT(OR(Z134="ممتاز 100%",Z134="جيد 80%",Z134="مقبول 60%",Z134="خطر 40%",Z134="")),"✗ قائمة R",IF(NOT(OR(AA134="ممتاز 100%",AA134="جيد 85%",AA134="مقبول 70%",AA134="ضعيف 50%",AA134="")),"✗ قائمة S",IF(NOT(OR(AB134="مكتمل 100%",AB134="جزئي 60%",AB134="معلق 30%",AB134="مفتوح 0%",AB134="")),"✗ قائمة T",IF(NOT(OR(AC134="لا خصم 0",AC134="تأخير −5",AC134="عجز −10",AC134="جودة −15",AC134="امتثال −20",AC134="مخالفة −25",AC134="")),"✗ قائمة U",IF(AND(X134="لا",AC134&lt;&gt;"",AC134&lt;&gt;"لا خصم 0"),"✗ خصم",IF(AND(X134="نعم",AC134="لا خصم 0"),"✗ خصم",IF(AND(Z134="ممتاز 100%",AA134="ممتاز 100%",AB134&lt;&gt;"",AB134&lt;&gt;"مكتمل 100%"),"✗ إغلاق",IFERROR(IF(LEN(_xlfn.TEXTJOIN("، ",TRUE,IF(E134="","التاريخ",""),IF(F134="","الوقت",""),IF(G134="","المركز",""),IF(H134="","الدائرة",""),IF(I134="","القسم",""),IF(J134="","المسؤول",""),IF(K134="","نوع النشاط",""),IF(L134="","المشروع",""),IF(N134="","الممول",""),IF(V134="","الموضوع",""),IF(W134="","الملاحظة",""),IF(X134="","مشكلة",""),IF(Y134="","الإجراء",""),IF(Z134="","التنفيذ",""),IF(AA134="","الجودة",""),IF(AB134="","الإغلاق",""),IF(AC134="","الخصم",""),IF(AND(COUNTA($O134:$U134)&gt;0,O134=""),"مدير المشروع",""),IF(AND(COUNTA($O134:$U134)&gt;0,P134=""),"المستفيدين",""),IF(AND(COUNTA($O134:$U134)&gt;0,Q134=""),"المناطق",""),IF(AND(COUNTA($O134:$U134)&gt;0,R134=""),"الميزانية",""),IF(AND(COUNTA($O134:$U134)&gt;0,S134=""),"نسبة الجاهزية",""),IF(AND(COUNTA($O134:$U134)&gt;0,T134=""),"حالة الجاهزية",""),IF(AND(COUNTA($O134:$U134)&gt;0,U134=""),"التوصيات","")))&gt;0,"✗ ناقص: "&amp;_xlfn.TEXTJOIN("، ",TRUE,IF(E134="","التاريخ",""),IF(F134="","الوقت",""),IF(G134="","المركز",""),IF(H134="","الدائرة",""),IF(I134="","القسم",""),IF(J134="","المسؤول",""),IF(K134="","نوع النشاط",""),IF(L134="","المشروع",""),IF(N134="","الممول",""),IF(V134="","الموضوع",""),IF(W134="","الملاحظة",""),IF(X134="","مشكلة",""),IF(Y134="","الإجراء",""),IF(Z134="","التنفيذ",""),IF(AA134="","الجودة",""),IF(AB134="","الإغلاق",""),IF(AC134="","الخصم",""),IF(AND(COUNTA($O134:$U134)&gt;0,O134=""),"مدير المشروع",""),IF(AND(COUNTA($O134:$U134)&gt;0,P134=""),"المستفيدين",""),IF(AND(COUNTA($O134:$U134)&gt;0,Q134=""),"المناطق",""),IF(AND(COUNTA($O134:$U134)&gt;0,R134=""),"الميزانية",""),IF(AND(COUNTA($O134:$U134)&gt;0,S134=""),"نسبة الجاهزية",""),IF(AND(COUNTA($O134:$U134)&gt;0,T134=""),"حالة الجاهزية",""),IF(AND(COUNTA($O134:$U134)&gt;0,U134=""),"التوصيات","")),"✓"),"✓"))))))))))</f>
        <v>✗ ناقص: المسؤول، الممول</v>
      </c>
      <c r="E134" s="235">
        <v>46153</v>
      </c>
      <c r="F134" s="236">
        <v>0.47222222222222221</v>
      </c>
      <c r="G134" s="90" t="s">
        <v>97</v>
      </c>
      <c r="H134" s="123" t="s">
        <v>101</v>
      </c>
      <c r="I134" s="89" t="s">
        <v>123</v>
      </c>
      <c r="J134" s="142"/>
      <c r="K134" s="90" t="s">
        <v>116</v>
      </c>
      <c r="L134" s="90" t="s">
        <v>312</v>
      </c>
      <c r="M134" s="90"/>
      <c r="N134" s="89"/>
      <c r="O134" s="200"/>
      <c r="P134" s="201"/>
      <c r="Q134" s="201"/>
      <c r="R134" s="237"/>
      <c r="S134" s="202"/>
      <c r="T134" s="200"/>
      <c r="U134" s="203"/>
      <c r="V134" s="89" t="s">
        <v>900</v>
      </c>
      <c r="W134" s="89" t="s">
        <v>901</v>
      </c>
      <c r="X134" s="145" t="s">
        <v>651</v>
      </c>
      <c r="Y134" s="89" t="s">
        <v>652</v>
      </c>
      <c r="Z134" s="90" t="s">
        <v>130</v>
      </c>
      <c r="AA134" s="90" t="s">
        <v>130</v>
      </c>
      <c r="AB134" s="90" t="s">
        <v>131</v>
      </c>
      <c r="AC134" s="90" t="s">
        <v>132</v>
      </c>
      <c r="AD134" s="92" t="s">
        <v>26</v>
      </c>
      <c r="AE134" s="149">
        <f>IFERROR(VLOOKUP(Z134,LISTS!$AL$2:$AM$1000,2,FALSE()),"")</f>
        <v>100</v>
      </c>
      <c r="AF134" s="151">
        <f>IFERROR(VLOOKUP(AA134,LISTS!$AO$2:$AP$1000,2,FALSE()),"")</f>
        <v>100</v>
      </c>
      <c r="AG134" s="152">
        <f>IFERROR(VLOOKUP(AB134,LISTS!$AR$2:$AS$1000,2,FALSE()),"")</f>
        <v>100</v>
      </c>
      <c r="AH134" s="154">
        <f>IFERROR(VLOOKUP(AC134,LISTS!$AU$2:$AV$1000,2,FALSE()),"")</f>
        <v>0</v>
      </c>
      <c r="AI134" s="238">
        <f t="shared" si="13"/>
        <v>100</v>
      </c>
      <c r="AJ134" s="190" t="str">
        <f t="shared" si="14"/>
        <v>🌟 ممتاز جدًا</v>
      </c>
      <c r="AK134" s="157">
        <f t="shared" si="10"/>
        <v>5</v>
      </c>
      <c r="AL134" s="160">
        <f t="shared" si="11"/>
        <v>2026</v>
      </c>
      <c r="AM134" s="210"/>
      <c r="AN134" s="209"/>
    </row>
    <row r="135" spans="1:40" ht="27.95" customHeight="1">
      <c r="A135" s="134">
        <f>IF(I135&lt;&gt;"",COUNTA($I$2:I135),"")</f>
        <v>134</v>
      </c>
      <c r="B135" s="138" t="str">
        <f t="shared" si="12"/>
        <v>الاثنين</v>
      </c>
      <c r="C135" s="93" t="str">
        <f t="array" ref="C135">IF(E135="","",IF(M135&lt;&gt;"",
M135&amp;"/"&amp;SUMPRODUCT((M$2:M135=M135)*1)&amp;" - "&amp;(ROW()-2),
"إداري/"&amp;SUMPRODUCT((M$2:M135="")*1)&amp;" - "&amp;(ROW()-2)))</f>
        <v>إداري/130 - 133</v>
      </c>
      <c r="D135" s="141" t="str">
        <f>IF(AND(G135="",H135="",I135=""),"",IF(COUNTIFS(LISTS!$A$2:$A$67,G135,LISTS!$B$2:$B$67,H135,LISTS!$C$2:$C$67,I135)=0,"✗ هرم",IF(NOT(OR(Z135="ممتاز 100%",Z135="جيد 80%",Z135="مقبول 60%",Z135="خطر 40%",Z135="")),"✗ قائمة R",IF(NOT(OR(AA135="ممتاز 100%",AA135="جيد 85%",AA135="مقبول 70%",AA135="ضعيف 50%",AA135="")),"✗ قائمة S",IF(NOT(OR(AB135="مكتمل 100%",AB135="جزئي 60%",AB135="معلق 30%",AB135="مفتوح 0%",AB135="")),"✗ قائمة T",IF(NOT(OR(AC135="لا خصم 0",AC135="تأخير −5",AC135="عجز −10",AC135="جودة −15",AC135="امتثال −20",AC135="مخالفة −25",AC135="")),"✗ قائمة U",IF(AND(X135="لا",AC135&lt;&gt;"",AC135&lt;&gt;"لا خصم 0"),"✗ خصم",IF(AND(X135="نعم",AC135="لا خصم 0"),"✗ خصم",IF(AND(Z135="ممتاز 100%",AA135="ممتاز 100%",AB135&lt;&gt;"",AB135&lt;&gt;"مكتمل 100%"),"✗ إغلاق",IFERROR(IF(LEN(_xlfn.TEXTJOIN("، ",TRUE,IF(E135="","التاريخ",""),IF(F135="","الوقت",""),IF(G135="","المركز",""),IF(H135="","الدائرة",""),IF(I135="","القسم",""),IF(J135="","المسؤول",""),IF(K135="","نوع النشاط",""),IF(L135="","المشروع",""),IF(N135="","الممول",""),IF(V135="","الموضوع",""),IF(W135="","الملاحظة",""),IF(X135="","مشكلة",""),IF(Y135="","الإجراء",""),IF(Z135="","التنفيذ",""),IF(AA135="","الجودة",""),IF(AB135="","الإغلاق",""),IF(AC135="","الخصم",""),IF(AND(COUNTA($O135:$U135)&gt;0,O135=""),"مدير المشروع",""),IF(AND(COUNTA($O135:$U135)&gt;0,P135=""),"المستفيدين",""),IF(AND(COUNTA($O135:$U135)&gt;0,Q135=""),"المناطق",""),IF(AND(COUNTA($O135:$U135)&gt;0,R135=""),"الميزانية",""),IF(AND(COUNTA($O135:$U135)&gt;0,S135=""),"نسبة الجاهزية",""),IF(AND(COUNTA($O135:$U135)&gt;0,T135=""),"حالة الجاهزية",""),IF(AND(COUNTA($O135:$U135)&gt;0,U135=""),"التوصيات","")))&gt;0,"✗ ناقص: "&amp;_xlfn.TEXTJOIN("، ",TRUE,IF(E135="","التاريخ",""),IF(F135="","الوقت",""),IF(G135="","المركز",""),IF(H135="","الدائرة",""),IF(I135="","القسم",""),IF(J135="","المسؤول",""),IF(K135="","نوع النشاط",""),IF(L135="","المشروع",""),IF(N135="","الممول",""),IF(V135="","الموضوع",""),IF(W135="","الملاحظة",""),IF(X135="","مشكلة",""),IF(Y135="","الإجراء",""),IF(Z135="","التنفيذ",""),IF(AA135="","الجودة",""),IF(AB135="","الإغلاق",""),IF(AC135="","الخصم",""),IF(AND(COUNTA($O135:$U135)&gt;0,O135=""),"مدير المشروع",""),IF(AND(COUNTA($O135:$U135)&gt;0,P135=""),"المستفيدين",""),IF(AND(COUNTA($O135:$U135)&gt;0,Q135=""),"المناطق",""),IF(AND(COUNTA($O135:$U135)&gt;0,R135=""),"الميزانية",""),IF(AND(COUNTA($O135:$U135)&gt;0,S135=""),"نسبة الجاهزية",""),IF(AND(COUNTA($O135:$U135)&gt;0,T135=""),"حالة الجاهزية",""),IF(AND(COUNTA($O135:$U135)&gt;0,U135=""),"التوصيات","")),"✓"),"✓"))))))))))</f>
        <v>✓</v>
      </c>
      <c r="E135" s="235">
        <v>46153</v>
      </c>
      <c r="F135" s="236">
        <v>0.44791666666666669</v>
      </c>
      <c r="G135" s="90" t="s">
        <v>97</v>
      </c>
      <c r="H135" s="123" t="s">
        <v>101</v>
      </c>
      <c r="I135" s="89" t="s">
        <v>123</v>
      </c>
      <c r="J135" s="142" t="s">
        <v>186</v>
      </c>
      <c r="K135" s="90" t="s">
        <v>215</v>
      </c>
      <c r="L135" s="90" t="s">
        <v>155</v>
      </c>
      <c r="M135" s="90"/>
      <c r="N135" s="89" t="s">
        <v>138</v>
      </c>
      <c r="O135" s="200"/>
      <c r="P135" s="201"/>
      <c r="Q135" s="201"/>
      <c r="R135" s="237"/>
      <c r="S135" s="202"/>
      <c r="T135" s="200"/>
      <c r="U135" s="203"/>
      <c r="V135" s="89" t="s">
        <v>902</v>
      </c>
      <c r="W135" s="89" t="s">
        <v>903</v>
      </c>
      <c r="X135" s="145" t="s">
        <v>651</v>
      </c>
      <c r="Y135" s="89" t="s">
        <v>652</v>
      </c>
      <c r="Z135" s="90" t="s">
        <v>130</v>
      </c>
      <c r="AA135" s="90" t="s">
        <v>130</v>
      </c>
      <c r="AB135" s="90" t="s">
        <v>131</v>
      </c>
      <c r="AC135" s="90" t="s">
        <v>132</v>
      </c>
      <c r="AD135" s="92" t="s">
        <v>26</v>
      </c>
      <c r="AE135" s="149">
        <f>IFERROR(VLOOKUP(Z135,LISTS!$AL$2:$AM$1000,2,FALSE()),"")</f>
        <v>100</v>
      </c>
      <c r="AF135" s="151">
        <f>IFERROR(VLOOKUP(AA135,LISTS!$AO$2:$AP$1000,2,FALSE()),"")</f>
        <v>100</v>
      </c>
      <c r="AG135" s="152">
        <f>IFERROR(VLOOKUP(AB135,LISTS!$AR$2:$AS$1000,2,FALSE()),"")</f>
        <v>100</v>
      </c>
      <c r="AH135" s="154">
        <f>IFERROR(VLOOKUP(AC135,LISTS!$AU$2:$AV$1000,2,FALSE()),"")</f>
        <v>0</v>
      </c>
      <c r="AI135" s="238">
        <f t="shared" si="13"/>
        <v>100</v>
      </c>
      <c r="AJ135" s="190" t="str">
        <f t="shared" si="14"/>
        <v>🌟 ممتاز جدًا</v>
      </c>
      <c r="AK135" s="157">
        <f t="shared" si="10"/>
        <v>5</v>
      </c>
      <c r="AL135" s="160">
        <f t="shared" si="11"/>
        <v>2026</v>
      </c>
      <c r="AM135" s="210"/>
      <c r="AN135" s="209"/>
    </row>
    <row r="136" spans="1:40" ht="27.95" customHeight="1">
      <c r="A136" s="134">
        <f>IF(I136&lt;&gt;"",COUNTA($I$2:I136),"")</f>
        <v>135</v>
      </c>
      <c r="B136" s="138" t="str">
        <f t="shared" si="12"/>
        <v>الاثنين</v>
      </c>
      <c r="C136" s="93" t="str">
        <f t="array" ref="C136">IF(E136="","",IF(M136&lt;&gt;"",
M136&amp;"/"&amp;SUMPRODUCT((M$2:M136=M136)*1)&amp;" - "&amp;(ROW()-2),
"إداري/"&amp;SUMPRODUCT((M$2:M136="")*1)&amp;" - "&amp;(ROW()-2)))</f>
        <v>إداري/131 - 134</v>
      </c>
      <c r="D136" s="141" t="str">
        <f>IF(AND(G136="",H136="",I136=""),"",IF(COUNTIFS(LISTS!$A$2:$A$67,G136,LISTS!$B$2:$B$67,H136,LISTS!$C$2:$C$67,I136)=0,"✗ هرم",IF(NOT(OR(Z136="ممتاز 100%",Z136="جيد 80%",Z136="مقبول 60%",Z136="خطر 40%",Z136="")),"✗ قائمة R",IF(NOT(OR(AA136="ممتاز 100%",AA136="جيد 85%",AA136="مقبول 70%",AA136="ضعيف 50%",AA136="")),"✗ قائمة S",IF(NOT(OR(AB136="مكتمل 100%",AB136="جزئي 60%",AB136="معلق 30%",AB136="مفتوح 0%",AB136="")),"✗ قائمة T",IF(NOT(OR(AC136="لا خصم 0",AC136="تأخير −5",AC136="عجز −10",AC136="جودة −15",AC136="امتثال −20",AC136="مخالفة −25",AC136="")),"✗ قائمة U",IF(AND(X136="لا",AC136&lt;&gt;"",AC136&lt;&gt;"لا خصم 0"),"✗ خصم",IF(AND(X136="نعم",AC136="لا خصم 0"),"✗ خصم",IF(AND(Z136="ممتاز 100%",AA136="ممتاز 100%",AB136&lt;&gt;"",AB136&lt;&gt;"مكتمل 100%"),"✗ إغلاق",IFERROR(IF(LEN(_xlfn.TEXTJOIN("، ",TRUE,IF(E136="","التاريخ",""),IF(F136="","الوقت",""),IF(G136="","المركز",""),IF(H136="","الدائرة",""),IF(I136="","القسم",""),IF(J136="","المسؤول",""),IF(K136="","نوع النشاط",""),IF(L136="","المشروع",""),IF(N136="","الممول",""),IF(V136="","الموضوع",""),IF(W136="","الملاحظة",""),IF(X136="","مشكلة",""),IF(Y136="","الإجراء",""),IF(Z136="","التنفيذ",""),IF(AA136="","الجودة",""),IF(AB136="","الإغلاق",""),IF(AC136="","الخصم",""),IF(AND(COUNTA($O136:$U136)&gt;0,O136=""),"مدير المشروع",""),IF(AND(COUNTA($O136:$U136)&gt;0,P136=""),"المستفيدين",""),IF(AND(COUNTA($O136:$U136)&gt;0,Q136=""),"المناطق",""),IF(AND(COUNTA($O136:$U136)&gt;0,R136=""),"الميزانية",""),IF(AND(COUNTA($O136:$U136)&gt;0,S136=""),"نسبة الجاهزية",""),IF(AND(COUNTA($O136:$U136)&gt;0,T136=""),"حالة الجاهزية",""),IF(AND(COUNTA($O136:$U136)&gt;0,U136=""),"التوصيات","")))&gt;0,"✗ ناقص: "&amp;_xlfn.TEXTJOIN("، ",TRUE,IF(E136="","التاريخ",""),IF(F136="","الوقت",""),IF(G136="","المركز",""),IF(H136="","الدائرة",""),IF(I136="","القسم",""),IF(J136="","المسؤول",""),IF(K136="","نوع النشاط",""),IF(L136="","المشروع",""),IF(N136="","الممول",""),IF(V136="","الموضوع",""),IF(W136="","الملاحظة",""),IF(X136="","مشكلة",""),IF(Y136="","الإجراء",""),IF(Z136="","التنفيذ",""),IF(AA136="","الجودة",""),IF(AB136="","الإغلاق",""),IF(AC136="","الخصم",""),IF(AND(COUNTA($O136:$U136)&gt;0,O136=""),"مدير المشروع",""),IF(AND(COUNTA($O136:$U136)&gt;0,P136=""),"المستفيدين",""),IF(AND(COUNTA($O136:$U136)&gt;0,Q136=""),"المناطق",""),IF(AND(COUNTA($O136:$U136)&gt;0,R136=""),"الميزانية",""),IF(AND(COUNTA($O136:$U136)&gt;0,S136=""),"نسبة الجاهزية",""),IF(AND(COUNTA($O136:$U136)&gt;0,T136=""),"حالة الجاهزية",""),IF(AND(COUNTA($O136:$U136)&gt;0,U136=""),"التوصيات","")),"✓"),"✓"))))))))))</f>
        <v>✗ ناقص: الممول</v>
      </c>
      <c r="E136" s="235">
        <v>46153</v>
      </c>
      <c r="F136" s="236">
        <v>0.45833333333333331</v>
      </c>
      <c r="G136" s="90" t="s">
        <v>97</v>
      </c>
      <c r="H136" s="123" t="s">
        <v>104</v>
      </c>
      <c r="I136" s="89" t="s">
        <v>177</v>
      </c>
      <c r="J136" s="142" t="s">
        <v>223</v>
      </c>
      <c r="K136" s="90" t="s">
        <v>133</v>
      </c>
      <c r="L136" s="90" t="s">
        <v>369</v>
      </c>
      <c r="M136" s="90"/>
      <c r="N136" s="89"/>
      <c r="O136" s="200"/>
      <c r="P136" s="201"/>
      <c r="Q136" s="201"/>
      <c r="R136" s="237"/>
      <c r="S136" s="202"/>
      <c r="T136" s="200"/>
      <c r="U136" s="203"/>
      <c r="V136" s="89" t="s">
        <v>904</v>
      </c>
      <c r="W136" s="89" t="s">
        <v>905</v>
      </c>
      <c r="X136" s="145" t="s">
        <v>651</v>
      </c>
      <c r="Y136" s="89" t="s">
        <v>652</v>
      </c>
      <c r="Z136" s="90" t="s">
        <v>130</v>
      </c>
      <c r="AA136" s="90" t="s">
        <v>130</v>
      </c>
      <c r="AB136" s="90" t="s">
        <v>131</v>
      </c>
      <c r="AC136" s="90" t="s">
        <v>132</v>
      </c>
      <c r="AD136" s="92" t="s">
        <v>134</v>
      </c>
      <c r="AE136" s="149">
        <f>IFERROR(VLOOKUP(Z136,LISTS!$AL$2:$AM$1000,2,FALSE()),"")</f>
        <v>100</v>
      </c>
      <c r="AF136" s="151">
        <f>IFERROR(VLOOKUP(AA136,LISTS!$AO$2:$AP$1000,2,FALSE()),"")</f>
        <v>100</v>
      </c>
      <c r="AG136" s="152">
        <f>IFERROR(VLOOKUP(AB136,LISTS!$AR$2:$AS$1000,2,FALSE()),"")</f>
        <v>100</v>
      </c>
      <c r="AH136" s="154">
        <f>IFERROR(VLOOKUP(AC136,LISTS!$AU$2:$AV$1000,2,FALSE()),"")</f>
        <v>0</v>
      </c>
      <c r="AI136" s="238">
        <f t="shared" si="13"/>
        <v>100</v>
      </c>
      <c r="AJ136" s="190" t="str">
        <f t="shared" si="14"/>
        <v>🌟 ممتاز جدًا</v>
      </c>
      <c r="AK136" s="157">
        <f t="shared" si="10"/>
        <v>5</v>
      </c>
      <c r="AL136" s="160">
        <f t="shared" si="11"/>
        <v>2026</v>
      </c>
      <c r="AM136" s="210"/>
      <c r="AN136" s="209"/>
    </row>
    <row r="137" spans="1:40" ht="27.95" customHeight="1">
      <c r="A137" s="134">
        <f>IF(I137&lt;&gt;"",COUNTA($I$2:I137),"")</f>
        <v>136</v>
      </c>
      <c r="B137" s="138" t="str">
        <f t="shared" si="12"/>
        <v>الثلاثاء</v>
      </c>
      <c r="C137" s="93" t="str">
        <f t="array" ref="C137">IF(E137="","",IF(M137&lt;&gt;"",
M137&amp;"/"&amp;SUMPRODUCT((M$2:M137=M137)*1)&amp;" - "&amp;(ROW()-2),
"إداري/"&amp;SUMPRODUCT((M$2:M137="")*1)&amp;" - "&amp;(ROW()-2)))</f>
        <v>إداري/132 - 135</v>
      </c>
      <c r="D137" s="141" t="str">
        <f>IF(AND(G137="",H137="",I137=""),"",IF(COUNTIFS(LISTS!$A$2:$A$67,G137,LISTS!$B$2:$B$67,H137,LISTS!$C$2:$C$67,I137)=0,"✗ هرم",IF(NOT(OR(Z137="ممتاز 100%",Z137="جيد 80%",Z137="مقبول 60%",Z137="خطر 40%",Z137="")),"✗ قائمة R",IF(NOT(OR(AA137="ممتاز 100%",AA137="جيد 85%",AA137="مقبول 70%",AA137="ضعيف 50%",AA137="")),"✗ قائمة S",IF(NOT(OR(AB137="مكتمل 100%",AB137="جزئي 60%",AB137="معلق 30%",AB137="مفتوح 0%",AB137="")),"✗ قائمة T",IF(NOT(OR(AC137="لا خصم 0",AC137="تأخير −5",AC137="عجز −10",AC137="جودة −15",AC137="امتثال −20",AC137="مخالفة −25",AC137="")),"✗ قائمة U",IF(AND(X137="لا",AC137&lt;&gt;"",AC137&lt;&gt;"لا خصم 0"),"✗ خصم",IF(AND(X137="نعم",AC137="لا خصم 0"),"✗ خصم",IF(AND(Z137="ممتاز 100%",AA137="ممتاز 100%",AB137&lt;&gt;"",AB137&lt;&gt;"مكتمل 100%"),"✗ إغلاق",IFERROR(IF(LEN(_xlfn.TEXTJOIN("، ",TRUE,IF(E137="","التاريخ",""),IF(F137="","الوقت",""),IF(G137="","المركز",""),IF(H137="","الدائرة",""),IF(I137="","القسم",""),IF(J137="","المسؤول",""),IF(K137="","نوع النشاط",""),IF(L137="","المشروع",""),IF(N137="","الممول",""),IF(V137="","الموضوع",""),IF(W137="","الملاحظة",""),IF(X137="","مشكلة",""),IF(Y137="","الإجراء",""),IF(Z137="","التنفيذ",""),IF(AA137="","الجودة",""),IF(AB137="","الإغلاق",""),IF(AC137="","الخصم",""),IF(AND(COUNTA($O137:$U137)&gt;0,O137=""),"مدير المشروع",""),IF(AND(COUNTA($O137:$U137)&gt;0,P137=""),"المستفيدين",""),IF(AND(COUNTA($O137:$U137)&gt;0,Q137=""),"المناطق",""),IF(AND(COUNTA($O137:$U137)&gt;0,R137=""),"الميزانية",""),IF(AND(COUNTA($O137:$U137)&gt;0,S137=""),"نسبة الجاهزية",""),IF(AND(COUNTA($O137:$U137)&gt;0,T137=""),"حالة الجاهزية",""),IF(AND(COUNTA($O137:$U137)&gt;0,U137=""),"التوصيات","")))&gt;0,"✗ ناقص: "&amp;_xlfn.TEXTJOIN("، ",TRUE,IF(E137="","التاريخ",""),IF(F137="","الوقت",""),IF(G137="","المركز",""),IF(H137="","الدائرة",""),IF(I137="","القسم",""),IF(J137="","المسؤول",""),IF(K137="","نوع النشاط",""),IF(L137="","المشروع",""),IF(N137="","الممول",""),IF(V137="","الموضوع",""),IF(W137="","الملاحظة",""),IF(X137="","مشكلة",""),IF(Y137="","الإجراء",""),IF(Z137="","التنفيذ",""),IF(AA137="","الجودة",""),IF(AB137="","الإغلاق",""),IF(AC137="","الخصم",""),IF(AND(COUNTA($O137:$U137)&gt;0,O137=""),"مدير المشروع",""),IF(AND(COUNTA($O137:$U137)&gt;0,P137=""),"المستفيدين",""),IF(AND(COUNTA($O137:$U137)&gt;0,Q137=""),"المناطق",""),IF(AND(COUNTA($O137:$U137)&gt;0,R137=""),"الميزانية",""),IF(AND(COUNTA($O137:$U137)&gt;0,S137=""),"نسبة الجاهزية",""),IF(AND(COUNTA($O137:$U137)&gt;0,T137=""),"حالة الجاهزية",""),IF(AND(COUNTA($O137:$U137)&gt;0,U137=""),"التوصيات","")),"✓"),"✓"))))))))))</f>
        <v>✗ ناقص: الممول</v>
      </c>
      <c r="E137" s="235">
        <v>46154</v>
      </c>
      <c r="F137" s="236">
        <v>0.43402777777777779</v>
      </c>
      <c r="G137" s="90" t="s">
        <v>97</v>
      </c>
      <c r="H137" s="123" t="s">
        <v>102</v>
      </c>
      <c r="I137" s="89" t="s">
        <v>227</v>
      </c>
      <c r="J137" s="142" t="s">
        <v>240</v>
      </c>
      <c r="K137" s="90" t="s">
        <v>169</v>
      </c>
      <c r="L137" s="90" t="s">
        <v>306</v>
      </c>
      <c r="M137" s="90"/>
      <c r="N137" s="89"/>
      <c r="O137" s="200"/>
      <c r="P137" s="201"/>
      <c r="Q137" s="201"/>
      <c r="R137" s="237"/>
      <c r="S137" s="202"/>
      <c r="T137" s="200"/>
      <c r="U137" s="203"/>
      <c r="V137" s="89" t="s">
        <v>906</v>
      </c>
      <c r="W137" s="89" t="s">
        <v>907</v>
      </c>
      <c r="X137" s="145" t="s">
        <v>651</v>
      </c>
      <c r="Y137" s="89" t="s">
        <v>652</v>
      </c>
      <c r="Z137" s="90" t="s">
        <v>130</v>
      </c>
      <c r="AA137" s="90" t="s">
        <v>130</v>
      </c>
      <c r="AB137" s="90" t="s">
        <v>131</v>
      </c>
      <c r="AC137" s="90" t="s">
        <v>132</v>
      </c>
      <c r="AD137" s="92" t="s">
        <v>26</v>
      </c>
      <c r="AE137" s="149">
        <f>IFERROR(VLOOKUP(Z137,LISTS!$AL$2:$AM$1000,2,FALSE()),"")</f>
        <v>100</v>
      </c>
      <c r="AF137" s="151">
        <f>IFERROR(VLOOKUP(AA137,LISTS!$AO$2:$AP$1000,2,FALSE()),"")</f>
        <v>100</v>
      </c>
      <c r="AG137" s="152">
        <f>IFERROR(VLOOKUP(AB137,LISTS!$AR$2:$AS$1000,2,FALSE()),"")</f>
        <v>100</v>
      </c>
      <c r="AH137" s="154">
        <f>IFERROR(VLOOKUP(AC137,LISTS!$AU$2:$AV$1000,2,FALSE()),"")</f>
        <v>0</v>
      </c>
      <c r="AI137" s="238">
        <f t="shared" si="13"/>
        <v>100</v>
      </c>
      <c r="AJ137" s="190" t="str">
        <f t="shared" si="14"/>
        <v>🌟 ممتاز جدًا</v>
      </c>
      <c r="AK137" s="157">
        <f t="shared" si="10"/>
        <v>5</v>
      </c>
      <c r="AL137" s="160">
        <f t="shared" si="11"/>
        <v>2026</v>
      </c>
      <c r="AM137" s="210"/>
      <c r="AN137" s="209"/>
    </row>
    <row r="138" spans="1:40" ht="27.95" customHeight="1">
      <c r="A138" s="134">
        <f>IF(I138&lt;&gt;"",COUNTA($I$2:I138),"")</f>
        <v>137</v>
      </c>
      <c r="B138" s="138" t="str">
        <f t="shared" si="12"/>
        <v>الثلاثاء</v>
      </c>
      <c r="C138" s="93" t="str">
        <f t="array" ref="C138">IF(E138="","",IF(M138&lt;&gt;"",
M138&amp;"/"&amp;SUMPRODUCT((M$2:M138=M138)*1)&amp;" - "&amp;(ROW()-2),
"إداري/"&amp;SUMPRODUCT((M$2:M138="")*1)&amp;" - "&amp;(ROW()-2)))</f>
        <v>إداري/133 - 136</v>
      </c>
      <c r="D138" s="141" t="str">
        <f>IF(AND(G138="",H138="",I138=""),"",IF(COUNTIFS(LISTS!$A$2:$A$67,G138,LISTS!$B$2:$B$67,H138,LISTS!$C$2:$C$67,I138)=0,"✗ هرم",IF(NOT(OR(Z138="ممتاز 100%",Z138="جيد 80%",Z138="مقبول 60%",Z138="خطر 40%",Z138="")),"✗ قائمة R",IF(NOT(OR(AA138="ممتاز 100%",AA138="جيد 85%",AA138="مقبول 70%",AA138="ضعيف 50%",AA138="")),"✗ قائمة S",IF(NOT(OR(AB138="مكتمل 100%",AB138="جزئي 60%",AB138="معلق 30%",AB138="مفتوح 0%",AB138="")),"✗ قائمة T",IF(NOT(OR(AC138="لا خصم 0",AC138="تأخير −5",AC138="عجز −10",AC138="جودة −15",AC138="امتثال −20",AC138="مخالفة −25",AC138="")),"✗ قائمة U",IF(AND(X138="لا",AC138&lt;&gt;"",AC138&lt;&gt;"لا خصم 0"),"✗ خصم",IF(AND(X138="نعم",AC138="لا خصم 0"),"✗ خصم",IF(AND(Z138="ممتاز 100%",AA138="ممتاز 100%",AB138&lt;&gt;"",AB138&lt;&gt;"مكتمل 100%"),"✗ إغلاق",IFERROR(IF(LEN(_xlfn.TEXTJOIN("، ",TRUE,IF(E138="","التاريخ",""),IF(F138="","الوقت",""),IF(G138="","المركز",""),IF(H138="","الدائرة",""),IF(I138="","القسم",""),IF(J138="","المسؤول",""),IF(K138="","نوع النشاط",""),IF(L138="","المشروع",""),IF(N138="","الممول",""),IF(V138="","الموضوع",""),IF(W138="","الملاحظة",""),IF(X138="","مشكلة",""),IF(Y138="","الإجراء",""),IF(Z138="","التنفيذ",""),IF(AA138="","الجودة",""),IF(AB138="","الإغلاق",""),IF(AC138="","الخصم",""),IF(AND(COUNTA($O138:$U138)&gt;0,O138=""),"مدير المشروع",""),IF(AND(COUNTA($O138:$U138)&gt;0,P138=""),"المستفيدين",""),IF(AND(COUNTA($O138:$U138)&gt;0,Q138=""),"المناطق",""),IF(AND(COUNTA($O138:$U138)&gt;0,R138=""),"الميزانية",""),IF(AND(COUNTA($O138:$U138)&gt;0,S138=""),"نسبة الجاهزية",""),IF(AND(COUNTA($O138:$U138)&gt;0,T138=""),"حالة الجاهزية",""),IF(AND(COUNTA($O138:$U138)&gt;0,U138=""),"التوصيات","")))&gt;0,"✗ ناقص: "&amp;_xlfn.TEXTJOIN("، ",TRUE,IF(E138="","التاريخ",""),IF(F138="","الوقت",""),IF(G138="","المركز",""),IF(H138="","الدائرة",""),IF(I138="","القسم",""),IF(J138="","المسؤول",""),IF(K138="","نوع النشاط",""),IF(L138="","المشروع",""),IF(N138="","الممول",""),IF(V138="","الموضوع",""),IF(W138="","الملاحظة",""),IF(X138="","مشكلة",""),IF(Y138="","الإجراء",""),IF(Z138="","التنفيذ",""),IF(AA138="","الجودة",""),IF(AB138="","الإغلاق",""),IF(AC138="","الخصم",""),IF(AND(COUNTA($O138:$U138)&gt;0,O138=""),"مدير المشروع",""),IF(AND(COUNTA($O138:$U138)&gt;0,P138=""),"المستفيدين",""),IF(AND(COUNTA($O138:$U138)&gt;0,Q138=""),"المناطق",""),IF(AND(COUNTA($O138:$U138)&gt;0,R138=""),"الميزانية",""),IF(AND(COUNTA($O138:$U138)&gt;0,S138=""),"نسبة الجاهزية",""),IF(AND(COUNTA($O138:$U138)&gt;0,T138=""),"حالة الجاهزية",""),IF(AND(COUNTA($O138:$U138)&gt;0,U138=""),"التوصيات","")),"✓"),"✓"))))))))))</f>
        <v>✓</v>
      </c>
      <c r="E138" s="235">
        <v>46154</v>
      </c>
      <c r="F138" s="236">
        <v>0.58680555555555558</v>
      </c>
      <c r="G138" s="90" t="s">
        <v>97</v>
      </c>
      <c r="H138" s="123" t="s">
        <v>102</v>
      </c>
      <c r="I138" s="89" t="s">
        <v>124</v>
      </c>
      <c r="J138" s="142" t="s">
        <v>117</v>
      </c>
      <c r="K138" s="90" t="s">
        <v>116</v>
      </c>
      <c r="L138" s="90" t="s">
        <v>369</v>
      </c>
      <c r="M138" s="90"/>
      <c r="N138" s="89" t="s">
        <v>655</v>
      </c>
      <c r="O138" s="200"/>
      <c r="P138" s="201"/>
      <c r="Q138" s="201"/>
      <c r="R138" s="237"/>
      <c r="S138" s="202"/>
      <c r="T138" s="200"/>
      <c r="U138" s="203"/>
      <c r="V138" s="89" t="s">
        <v>823</v>
      </c>
      <c r="W138" s="89" t="s">
        <v>908</v>
      </c>
      <c r="X138" s="145" t="s">
        <v>651</v>
      </c>
      <c r="Y138" s="89" t="s">
        <v>652</v>
      </c>
      <c r="Z138" s="90" t="s">
        <v>130</v>
      </c>
      <c r="AA138" s="90" t="s">
        <v>130</v>
      </c>
      <c r="AB138" s="90" t="s">
        <v>131</v>
      </c>
      <c r="AC138" s="90" t="s">
        <v>132</v>
      </c>
      <c r="AD138" s="92" t="s">
        <v>26</v>
      </c>
      <c r="AE138" s="149">
        <f>IFERROR(VLOOKUP(Z138,LISTS!$AL$2:$AM$1000,2,FALSE()),"")</f>
        <v>100</v>
      </c>
      <c r="AF138" s="151">
        <f>IFERROR(VLOOKUP(AA138,LISTS!$AO$2:$AP$1000,2,FALSE()),"")</f>
        <v>100</v>
      </c>
      <c r="AG138" s="152">
        <f>IFERROR(VLOOKUP(AB138,LISTS!$AR$2:$AS$1000,2,FALSE()),"")</f>
        <v>100</v>
      </c>
      <c r="AH138" s="154">
        <f>IFERROR(VLOOKUP(AC138,LISTS!$AU$2:$AV$1000,2,FALSE()),"")</f>
        <v>0</v>
      </c>
      <c r="AI138" s="238">
        <f t="shared" si="13"/>
        <v>100</v>
      </c>
      <c r="AJ138" s="190" t="str">
        <f t="shared" si="14"/>
        <v>🌟 ممتاز جدًا</v>
      </c>
      <c r="AK138" s="157">
        <f t="shared" si="10"/>
        <v>5</v>
      </c>
      <c r="AL138" s="160">
        <f t="shared" si="11"/>
        <v>2026</v>
      </c>
      <c r="AM138" s="210"/>
      <c r="AN138" s="209"/>
    </row>
    <row r="139" spans="1:40" ht="27.95" customHeight="1">
      <c r="A139" s="134">
        <f>IF(I139&lt;&gt;"",COUNTA($I$2:I139),"")</f>
        <v>138</v>
      </c>
      <c r="B139" s="138" t="str">
        <f t="shared" si="12"/>
        <v>الثلاثاء</v>
      </c>
      <c r="C139" s="93" t="str">
        <f t="array" ref="C139">IF(E139="","",IF(M139&lt;&gt;"",
M139&amp;"/"&amp;SUMPRODUCT((M$2:M139=M139)*1)&amp;" - "&amp;(ROW()-2),
"إداري/"&amp;SUMPRODUCT((M$2:M139="")*1)&amp;" - "&amp;(ROW()-2)))</f>
        <v>إداري/134 - 137</v>
      </c>
      <c r="D139" s="141" t="str">
        <f>IF(AND(G139="",H139="",I139=""),"",IF(COUNTIFS(LISTS!$A$2:$A$67,G139,LISTS!$B$2:$B$67,H139,LISTS!$C$2:$C$67,I139)=0,"✗ هرم",IF(NOT(OR(Z139="ممتاز 100%",Z139="جيد 80%",Z139="مقبول 60%",Z139="خطر 40%",Z139="")),"✗ قائمة R",IF(NOT(OR(AA139="ممتاز 100%",AA139="جيد 85%",AA139="مقبول 70%",AA139="ضعيف 50%",AA139="")),"✗ قائمة S",IF(NOT(OR(AB139="مكتمل 100%",AB139="جزئي 60%",AB139="معلق 30%",AB139="مفتوح 0%",AB139="")),"✗ قائمة T",IF(NOT(OR(AC139="لا خصم 0",AC139="تأخير −5",AC139="عجز −10",AC139="جودة −15",AC139="امتثال −20",AC139="مخالفة −25",AC139="")),"✗ قائمة U",IF(AND(X139="لا",AC139&lt;&gt;"",AC139&lt;&gt;"لا خصم 0"),"✗ خصم",IF(AND(X139="نعم",AC139="لا خصم 0"),"✗ خصم",IF(AND(Z139="ممتاز 100%",AA139="ممتاز 100%",AB139&lt;&gt;"",AB139&lt;&gt;"مكتمل 100%"),"✗ إغلاق",IFERROR(IF(LEN(_xlfn.TEXTJOIN("، ",TRUE,IF(E139="","التاريخ",""),IF(F139="","الوقت",""),IF(G139="","المركز",""),IF(H139="","الدائرة",""),IF(I139="","القسم",""),IF(J139="","المسؤول",""),IF(K139="","نوع النشاط",""),IF(L139="","المشروع",""),IF(N139="","الممول",""),IF(V139="","الموضوع",""),IF(W139="","الملاحظة",""),IF(X139="","مشكلة",""),IF(Y139="","الإجراء",""),IF(Z139="","التنفيذ",""),IF(AA139="","الجودة",""),IF(AB139="","الإغلاق",""),IF(AC139="","الخصم",""),IF(AND(COUNTA($O139:$U139)&gt;0,O139=""),"مدير المشروع",""),IF(AND(COUNTA($O139:$U139)&gt;0,P139=""),"المستفيدين",""),IF(AND(COUNTA($O139:$U139)&gt;0,Q139=""),"المناطق",""),IF(AND(COUNTA($O139:$U139)&gt;0,R139=""),"الميزانية",""),IF(AND(COUNTA($O139:$U139)&gt;0,S139=""),"نسبة الجاهزية",""),IF(AND(COUNTA($O139:$U139)&gt;0,T139=""),"حالة الجاهزية",""),IF(AND(COUNTA($O139:$U139)&gt;0,U139=""),"التوصيات","")))&gt;0,"✗ ناقص: "&amp;_xlfn.TEXTJOIN("، ",TRUE,IF(E139="","التاريخ",""),IF(F139="","الوقت",""),IF(G139="","المركز",""),IF(H139="","الدائرة",""),IF(I139="","القسم",""),IF(J139="","المسؤول",""),IF(K139="","نوع النشاط",""),IF(L139="","المشروع",""),IF(N139="","الممول",""),IF(V139="","الموضوع",""),IF(W139="","الملاحظة",""),IF(X139="","مشكلة",""),IF(Y139="","الإجراء",""),IF(Z139="","التنفيذ",""),IF(AA139="","الجودة",""),IF(AB139="","الإغلاق",""),IF(AC139="","الخصم",""),IF(AND(COUNTA($O139:$U139)&gt;0,O139=""),"مدير المشروع",""),IF(AND(COUNTA($O139:$U139)&gt;0,P139=""),"المستفيدين",""),IF(AND(COUNTA($O139:$U139)&gt;0,Q139=""),"المناطق",""),IF(AND(COUNTA($O139:$U139)&gt;0,R139=""),"الميزانية",""),IF(AND(COUNTA($O139:$U139)&gt;0,S139=""),"نسبة الجاهزية",""),IF(AND(COUNTA($O139:$U139)&gt;0,T139=""),"حالة الجاهزية",""),IF(AND(COUNTA($O139:$U139)&gt;0,U139=""),"التوصيات","")),"✓"),"✓"))))))))))</f>
        <v>✗ ناقص: الوقت، المسؤول</v>
      </c>
      <c r="E139" s="235">
        <v>46154</v>
      </c>
      <c r="F139" s="236"/>
      <c r="G139" s="90" t="s">
        <v>97</v>
      </c>
      <c r="H139" s="123" t="s">
        <v>102</v>
      </c>
      <c r="I139" s="89" t="s">
        <v>227</v>
      </c>
      <c r="J139" s="142"/>
      <c r="K139" s="90" t="s">
        <v>116</v>
      </c>
      <c r="L139" s="90" t="s">
        <v>118</v>
      </c>
      <c r="M139" s="90"/>
      <c r="N139" s="89" t="s">
        <v>655</v>
      </c>
      <c r="O139" s="200"/>
      <c r="P139" s="201"/>
      <c r="Q139" s="201"/>
      <c r="R139" s="237"/>
      <c r="S139" s="202"/>
      <c r="T139" s="200"/>
      <c r="U139" s="203"/>
      <c r="V139" s="89" t="s">
        <v>909</v>
      </c>
      <c r="W139" s="89" t="s">
        <v>888</v>
      </c>
      <c r="X139" s="145" t="s">
        <v>651</v>
      </c>
      <c r="Y139" s="89" t="s">
        <v>652</v>
      </c>
      <c r="Z139" s="90" t="s">
        <v>130</v>
      </c>
      <c r="AA139" s="90" t="s">
        <v>130</v>
      </c>
      <c r="AB139" s="90" t="s">
        <v>131</v>
      </c>
      <c r="AC139" s="90" t="s">
        <v>132</v>
      </c>
      <c r="AD139" s="92" t="s">
        <v>26</v>
      </c>
      <c r="AE139" s="149">
        <f>IFERROR(VLOOKUP(Z139,LISTS!$AL$2:$AM$1000,2,FALSE()),"")</f>
        <v>100</v>
      </c>
      <c r="AF139" s="151">
        <f>IFERROR(VLOOKUP(AA139,LISTS!$AO$2:$AP$1000,2,FALSE()),"")</f>
        <v>100</v>
      </c>
      <c r="AG139" s="152">
        <f>IFERROR(VLOOKUP(AB139,LISTS!$AR$2:$AS$1000,2,FALSE()),"")</f>
        <v>100</v>
      </c>
      <c r="AH139" s="154">
        <f>IFERROR(VLOOKUP(AC139,LISTS!$AU$2:$AV$1000,2,FALSE()),"")</f>
        <v>0</v>
      </c>
      <c r="AI139" s="238">
        <f t="shared" si="13"/>
        <v>100</v>
      </c>
      <c r="AJ139" s="190" t="str">
        <f t="shared" si="14"/>
        <v>🌟 ممتاز جدًا</v>
      </c>
      <c r="AK139" s="157">
        <f t="shared" si="10"/>
        <v>5</v>
      </c>
      <c r="AL139" s="160">
        <f t="shared" si="11"/>
        <v>2026</v>
      </c>
      <c r="AM139" s="210"/>
      <c r="AN139" s="209"/>
    </row>
    <row r="140" spans="1:40" ht="27.95" customHeight="1">
      <c r="A140" s="134">
        <f>IF(I140&lt;&gt;"",COUNTA($I$2:I140),"")</f>
        <v>139</v>
      </c>
      <c r="B140" s="138" t="str">
        <f t="shared" si="12"/>
        <v>الثلاثاء</v>
      </c>
      <c r="C140" s="93" t="str">
        <f t="array" ref="C140">IF(E140="","",IF(M140&lt;&gt;"",
M140&amp;"/"&amp;SUMPRODUCT((M$2:M140=M140)*1)&amp;" - "&amp;(ROW()-2),
"إداري/"&amp;SUMPRODUCT((M$2:M140="")*1)&amp;" - "&amp;(ROW()-2)))</f>
        <v>إداري/135 - 138</v>
      </c>
      <c r="D140" s="141" t="str">
        <f>IF(AND(G140="",H140="",I140=""),"",IF(COUNTIFS(LISTS!$A$2:$A$67,G140,LISTS!$B$2:$B$67,H140,LISTS!$C$2:$C$67,I140)=0,"✗ هرم",IF(NOT(OR(Z140="ممتاز 100%",Z140="جيد 80%",Z140="مقبول 60%",Z140="خطر 40%",Z140="")),"✗ قائمة R",IF(NOT(OR(AA140="ممتاز 100%",AA140="جيد 85%",AA140="مقبول 70%",AA140="ضعيف 50%",AA140="")),"✗ قائمة S",IF(NOT(OR(AB140="مكتمل 100%",AB140="جزئي 60%",AB140="معلق 30%",AB140="مفتوح 0%",AB140="")),"✗ قائمة T",IF(NOT(OR(AC140="لا خصم 0",AC140="تأخير −5",AC140="عجز −10",AC140="جودة −15",AC140="امتثال −20",AC140="مخالفة −25",AC140="")),"✗ قائمة U",IF(AND(X140="لا",AC140&lt;&gt;"",AC140&lt;&gt;"لا خصم 0"),"✗ خصم",IF(AND(X140="نعم",AC140="لا خصم 0"),"✗ خصم",IF(AND(Z140="ممتاز 100%",AA140="ممتاز 100%",AB140&lt;&gt;"",AB140&lt;&gt;"مكتمل 100%"),"✗ إغلاق",IFERROR(IF(LEN(_xlfn.TEXTJOIN("، ",TRUE,IF(E140="","التاريخ",""),IF(F140="","الوقت",""),IF(G140="","المركز",""),IF(H140="","الدائرة",""),IF(I140="","القسم",""),IF(J140="","المسؤول",""),IF(K140="","نوع النشاط",""),IF(L140="","المشروع",""),IF(N140="","الممول",""),IF(V140="","الموضوع",""),IF(W140="","الملاحظة",""),IF(X140="","مشكلة",""),IF(Y140="","الإجراء",""),IF(Z140="","التنفيذ",""),IF(AA140="","الجودة",""),IF(AB140="","الإغلاق",""),IF(AC140="","الخصم",""),IF(AND(COUNTA($O140:$U140)&gt;0,O140=""),"مدير المشروع",""),IF(AND(COUNTA($O140:$U140)&gt;0,P140=""),"المستفيدين",""),IF(AND(COUNTA($O140:$U140)&gt;0,Q140=""),"المناطق",""),IF(AND(COUNTA($O140:$U140)&gt;0,R140=""),"الميزانية",""),IF(AND(COUNTA($O140:$U140)&gt;0,S140=""),"نسبة الجاهزية",""),IF(AND(COUNTA($O140:$U140)&gt;0,T140=""),"حالة الجاهزية",""),IF(AND(COUNTA($O140:$U140)&gt;0,U140=""),"التوصيات","")))&gt;0,"✗ ناقص: "&amp;_xlfn.TEXTJOIN("، ",TRUE,IF(E140="","التاريخ",""),IF(F140="","الوقت",""),IF(G140="","المركز",""),IF(H140="","الدائرة",""),IF(I140="","القسم",""),IF(J140="","المسؤول",""),IF(K140="","نوع النشاط",""),IF(L140="","المشروع",""),IF(N140="","الممول",""),IF(V140="","الموضوع",""),IF(W140="","الملاحظة",""),IF(X140="","مشكلة",""),IF(Y140="","الإجراء",""),IF(Z140="","التنفيذ",""),IF(AA140="","الجودة",""),IF(AB140="","الإغلاق",""),IF(AC140="","الخصم",""),IF(AND(COUNTA($O140:$U140)&gt;0,O140=""),"مدير المشروع",""),IF(AND(COUNTA($O140:$U140)&gt;0,P140=""),"المستفيدين",""),IF(AND(COUNTA($O140:$U140)&gt;0,Q140=""),"المناطق",""),IF(AND(COUNTA($O140:$U140)&gt;0,R140=""),"الميزانية",""),IF(AND(COUNTA($O140:$U140)&gt;0,S140=""),"نسبة الجاهزية",""),IF(AND(COUNTA($O140:$U140)&gt;0,T140=""),"حالة الجاهزية",""),IF(AND(COUNTA($O140:$U140)&gt;0,U140=""),"التوصيات","")),"✓"),"✓"))))))))))</f>
        <v>✗ ناقص: المسؤول</v>
      </c>
      <c r="E140" s="235">
        <v>46154</v>
      </c>
      <c r="F140" s="236">
        <v>0.4201388888888889</v>
      </c>
      <c r="G140" s="90" t="s">
        <v>97</v>
      </c>
      <c r="H140" s="123" t="s">
        <v>102</v>
      </c>
      <c r="I140" s="89" t="s">
        <v>142</v>
      </c>
      <c r="J140" s="142"/>
      <c r="K140" s="90" t="s">
        <v>116</v>
      </c>
      <c r="L140" s="90" t="s">
        <v>118</v>
      </c>
      <c r="M140" s="90"/>
      <c r="N140" s="89" t="s">
        <v>655</v>
      </c>
      <c r="O140" s="200"/>
      <c r="P140" s="201"/>
      <c r="Q140" s="201"/>
      <c r="R140" s="237"/>
      <c r="S140" s="202"/>
      <c r="T140" s="200"/>
      <c r="U140" s="203"/>
      <c r="V140" s="89" t="s">
        <v>869</v>
      </c>
      <c r="W140" s="89" t="s">
        <v>910</v>
      </c>
      <c r="X140" s="145" t="s">
        <v>651</v>
      </c>
      <c r="Y140" s="89" t="s">
        <v>652</v>
      </c>
      <c r="Z140" s="90" t="s">
        <v>130</v>
      </c>
      <c r="AA140" s="90" t="s">
        <v>130</v>
      </c>
      <c r="AB140" s="90" t="s">
        <v>131</v>
      </c>
      <c r="AC140" s="90" t="s">
        <v>132</v>
      </c>
      <c r="AD140" s="92" t="s">
        <v>26</v>
      </c>
      <c r="AE140" s="149">
        <f>IFERROR(VLOOKUP(Z140,LISTS!$AL$2:$AM$1000,2,FALSE()),"")</f>
        <v>100</v>
      </c>
      <c r="AF140" s="151">
        <f>IFERROR(VLOOKUP(AA140,LISTS!$AO$2:$AP$1000,2,FALSE()),"")</f>
        <v>100</v>
      </c>
      <c r="AG140" s="152">
        <f>IFERROR(VLOOKUP(AB140,LISTS!$AR$2:$AS$1000,2,FALSE()),"")</f>
        <v>100</v>
      </c>
      <c r="AH140" s="154">
        <f>IFERROR(VLOOKUP(AC140,LISTS!$AU$2:$AV$1000,2,FALSE()),"")</f>
        <v>0</v>
      </c>
      <c r="AI140" s="238">
        <f t="shared" si="13"/>
        <v>100</v>
      </c>
      <c r="AJ140" s="190" t="str">
        <f t="shared" si="14"/>
        <v>🌟 ممتاز جدًا</v>
      </c>
      <c r="AK140" s="157">
        <f t="shared" si="10"/>
        <v>5</v>
      </c>
      <c r="AL140" s="160">
        <f t="shared" si="11"/>
        <v>2026</v>
      </c>
      <c r="AM140" s="210"/>
      <c r="AN140" s="209"/>
    </row>
    <row r="141" spans="1:40" ht="27.95" customHeight="1">
      <c r="A141" s="134">
        <f>IF(I141&lt;&gt;"",COUNTA($I$2:I141),"")</f>
        <v>140</v>
      </c>
      <c r="B141" s="138" t="str">
        <f t="shared" si="12"/>
        <v>الثلاثاء</v>
      </c>
      <c r="C141" s="93" t="str">
        <f t="array" ref="C141">IF(E141="","",IF(M141&lt;&gt;"",
M141&amp;"/"&amp;SUMPRODUCT((M$2:M141=M141)*1)&amp;" - "&amp;(ROW()-2),
"إداري/"&amp;SUMPRODUCT((M$2:M141="")*1)&amp;" - "&amp;(ROW()-2)))</f>
        <v>إداري/136 - 139</v>
      </c>
      <c r="D141" s="141" t="str">
        <f>IF(AND(G141="",H141="",I141=""),"",IF(COUNTIFS(LISTS!$A$2:$A$67,G141,LISTS!$B$2:$B$67,H141,LISTS!$C$2:$C$67,I141)=0,"✗ هرم",IF(NOT(OR(Z141="ممتاز 100%",Z141="جيد 80%",Z141="مقبول 60%",Z141="خطر 40%",Z141="")),"✗ قائمة R",IF(NOT(OR(AA141="ممتاز 100%",AA141="جيد 85%",AA141="مقبول 70%",AA141="ضعيف 50%",AA141="")),"✗ قائمة S",IF(NOT(OR(AB141="مكتمل 100%",AB141="جزئي 60%",AB141="معلق 30%",AB141="مفتوح 0%",AB141="")),"✗ قائمة T",IF(NOT(OR(AC141="لا خصم 0",AC141="تأخير −5",AC141="عجز −10",AC141="جودة −15",AC141="امتثال −20",AC141="مخالفة −25",AC141="")),"✗ قائمة U",IF(AND(X141="لا",AC141&lt;&gt;"",AC141&lt;&gt;"لا خصم 0"),"✗ خصم",IF(AND(X141="نعم",AC141="لا خصم 0"),"✗ خصم",IF(AND(Z141="ممتاز 100%",AA141="ممتاز 100%",AB141&lt;&gt;"",AB141&lt;&gt;"مكتمل 100%"),"✗ إغلاق",IFERROR(IF(LEN(_xlfn.TEXTJOIN("، ",TRUE,IF(E141="","التاريخ",""),IF(F141="","الوقت",""),IF(G141="","المركز",""),IF(H141="","الدائرة",""),IF(I141="","القسم",""),IF(J141="","المسؤول",""),IF(K141="","نوع النشاط",""),IF(L141="","المشروع",""),IF(N141="","الممول",""),IF(V141="","الموضوع",""),IF(W141="","الملاحظة",""),IF(X141="","مشكلة",""),IF(Y141="","الإجراء",""),IF(Z141="","التنفيذ",""),IF(AA141="","الجودة",""),IF(AB141="","الإغلاق",""),IF(AC141="","الخصم",""),IF(AND(COUNTA($O141:$U141)&gt;0,O141=""),"مدير المشروع",""),IF(AND(COUNTA($O141:$U141)&gt;0,P141=""),"المستفيدين",""),IF(AND(COUNTA($O141:$U141)&gt;0,Q141=""),"المناطق",""),IF(AND(COUNTA($O141:$U141)&gt;0,R141=""),"الميزانية",""),IF(AND(COUNTA($O141:$U141)&gt;0,S141=""),"نسبة الجاهزية",""),IF(AND(COUNTA($O141:$U141)&gt;0,T141=""),"حالة الجاهزية",""),IF(AND(COUNTA($O141:$U141)&gt;0,U141=""),"التوصيات","")))&gt;0,"✗ ناقص: "&amp;_xlfn.TEXTJOIN("، ",TRUE,IF(E141="","التاريخ",""),IF(F141="","الوقت",""),IF(G141="","المركز",""),IF(H141="","الدائرة",""),IF(I141="","القسم",""),IF(J141="","المسؤول",""),IF(K141="","نوع النشاط",""),IF(L141="","المشروع",""),IF(N141="","الممول",""),IF(V141="","الموضوع",""),IF(W141="","الملاحظة",""),IF(X141="","مشكلة",""),IF(Y141="","الإجراء",""),IF(Z141="","التنفيذ",""),IF(AA141="","الجودة",""),IF(AB141="","الإغلاق",""),IF(AC141="","الخصم",""),IF(AND(COUNTA($O141:$U141)&gt;0,O141=""),"مدير المشروع",""),IF(AND(COUNTA($O141:$U141)&gt;0,P141=""),"المستفيدين",""),IF(AND(COUNTA($O141:$U141)&gt;0,Q141=""),"المناطق",""),IF(AND(COUNTA($O141:$U141)&gt;0,R141=""),"الميزانية",""),IF(AND(COUNTA($O141:$U141)&gt;0,S141=""),"نسبة الجاهزية",""),IF(AND(COUNTA($O141:$U141)&gt;0,T141=""),"حالة الجاهزية",""),IF(AND(COUNTA($O141:$U141)&gt;0,U141=""),"التوصيات","")),"✓"),"✓"))))))))))</f>
        <v>✗ ناقص: المسؤول</v>
      </c>
      <c r="E141" s="235">
        <v>46154</v>
      </c>
      <c r="F141" s="236">
        <v>0.4513888888888889</v>
      </c>
      <c r="G141" s="90" t="s">
        <v>97</v>
      </c>
      <c r="H141" s="123" t="s">
        <v>102</v>
      </c>
      <c r="I141" s="89" t="s">
        <v>142</v>
      </c>
      <c r="J141" s="142"/>
      <c r="K141" s="90" t="s">
        <v>116</v>
      </c>
      <c r="L141" s="90" t="s">
        <v>118</v>
      </c>
      <c r="M141" s="90"/>
      <c r="N141" s="89" t="s">
        <v>655</v>
      </c>
      <c r="O141" s="200"/>
      <c r="P141" s="201"/>
      <c r="Q141" s="201"/>
      <c r="R141" s="237"/>
      <c r="S141" s="202"/>
      <c r="T141" s="200"/>
      <c r="U141" s="203"/>
      <c r="V141" s="89" t="s">
        <v>894</v>
      </c>
      <c r="W141" s="89" t="s">
        <v>911</v>
      </c>
      <c r="X141" s="145" t="s">
        <v>651</v>
      </c>
      <c r="Y141" s="89" t="s">
        <v>652</v>
      </c>
      <c r="Z141" s="90" t="s">
        <v>130</v>
      </c>
      <c r="AA141" s="90" t="s">
        <v>130</v>
      </c>
      <c r="AB141" s="90" t="s">
        <v>131</v>
      </c>
      <c r="AC141" s="90" t="s">
        <v>132</v>
      </c>
      <c r="AD141" s="92" t="s">
        <v>26</v>
      </c>
      <c r="AE141" s="149">
        <f>IFERROR(VLOOKUP(Z141,LISTS!$AL$2:$AM$1000,2,FALSE()),"")</f>
        <v>100</v>
      </c>
      <c r="AF141" s="151">
        <f>IFERROR(VLOOKUP(AA141,LISTS!$AO$2:$AP$1000,2,FALSE()),"")</f>
        <v>100</v>
      </c>
      <c r="AG141" s="152">
        <f>IFERROR(VLOOKUP(AB141,LISTS!$AR$2:$AS$1000,2,FALSE()),"")</f>
        <v>100</v>
      </c>
      <c r="AH141" s="154">
        <f>IFERROR(VLOOKUP(AC141,LISTS!$AU$2:$AV$1000,2,FALSE()),"")</f>
        <v>0</v>
      </c>
      <c r="AI141" s="238">
        <f t="shared" si="13"/>
        <v>100</v>
      </c>
      <c r="AJ141" s="190" t="str">
        <f t="shared" si="14"/>
        <v>🌟 ممتاز جدًا</v>
      </c>
      <c r="AK141" s="157">
        <f t="shared" si="10"/>
        <v>5</v>
      </c>
      <c r="AL141" s="160">
        <f t="shared" si="11"/>
        <v>2026</v>
      </c>
      <c r="AM141" s="210"/>
      <c r="AN141" s="209"/>
    </row>
    <row r="142" spans="1:40" ht="27.95" customHeight="1">
      <c r="A142" s="134">
        <f>IF(I142&lt;&gt;"",COUNTA($I$2:I142),"")</f>
        <v>141</v>
      </c>
      <c r="B142" s="138" t="str">
        <f t="shared" si="12"/>
        <v>الثلاثاء</v>
      </c>
      <c r="C142" s="93" t="str">
        <f t="array" ref="C142">IF(E142="","",IF(M142&lt;&gt;"",
M142&amp;"/"&amp;SUMPRODUCT((M$2:M142=M142)*1)&amp;" - "&amp;(ROW()-2),
"إداري/"&amp;SUMPRODUCT((M$2:M142="")*1)&amp;" - "&amp;(ROW()-2)))</f>
        <v>إداري/137 - 140</v>
      </c>
      <c r="D142" s="141" t="str">
        <f>IF(AND(G142="",H142="",I142=""),"",IF(COUNTIFS(LISTS!$A$2:$A$67,G142,LISTS!$B$2:$B$67,H142,LISTS!$C$2:$C$67,I142)=0,"✗ هرم",IF(NOT(OR(Z142="ممتاز 100%",Z142="جيد 80%",Z142="مقبول 60%",Z142="خطر 40%",Z142="")),"✗ قائمة R",IF(NOT(OR(AA142="ممتاز 100%",AA142="جيد 85%",AA142="مقبول 70%",AA142="ضعيف 50%",AA142="")),"✗ قائمة S",IF(NOT(OR(AB142="مكتمل 100%",AB142="جزئي 60%",AB142="معلق 30%",AB142="مفتوح 0%",AB142="")),"✗ قائمة T",IF(NOT(OR(AC142="لا خصم 0",AC142="تأخير −5",AC142="عجز −10",AC142="جودة −15",AC142="امتثال −20",AC142="مخالفة −25",AC142="")),"✗ قائمة U",IF(AND(X142="لا",AC142&lt;&gt;"",AC142&lt;&gt;"لا خصم 0"),"✗ خصم",IF(AND(X142="نعم",AC142="لا خصم 0"),"✗ خصم",IF(AND(Z142="ممتاز 100%",AA142="ممتاز 100%",AB142&lt;&gt;"",AB142&lt;&gt;"مكتمل 100%"),"✗ إغلاق",IFERROR(IF(LEN(_xlfn.TEXTJOIN("، ",TRUE,IF(E142="","التاريخ",""),IF(F142="","الوقت",""),IF(G142="","المركز",""),IF(H142="","الدائرة",""),IF(I142="","القسم",""),IF(J142="","المسؤول",""),IF(K142="","نوع النشاط",""),IF(L142="","المشروع",""),IF(N142="","الممول",""),IF(V142="","الموضوع",""),IF(W142="","الملاحظة",""),IF(X142="","مشكلة",""),IF(Y142="","الإجراء",""),IF(Z142="","التنفيذ",""),IF(AA142="","الجودة",""),IF(AB142="","الإغلاق",""),IF(AC142="","الخصم",""),IF(AND(COUNTA($O142:$U142)&gt;0,O142=""),"مدير المشروع",""),IF(AND(COUNTA($O142:$U142)&gt;0,P142=""),"المستفيدين",""),IF(AND(COUNTA($O142:$U142)&gt;0,Q142=""),"المناطق",""),IF(AND(COUNTA($O142:$U142)&gt;0,R142=""),"الميزانية",""),IF(AND(COUNTA($O142:$U142)&gt;0,S142=""),"نسبة الجاهزية",""),IF(AND(COUNTA($O142:$U142)&gt;0,T142=""),"حالة الجاهزية",""),IF(AND(COUNTA($O142:$U142)&gt;0,U142=""),"التوصيات","")))&gt;0,"✗ ناقص: "&amp;_xlfn.TEXTJOIN("، ",TRUE,IF(E142="","التاريخ",""),IF(F142="","الوقت",""),IF(G142="","المركز",""),IF(H142="","الدائرة",""),IF(I142="","القسم",""),IF(J142="","المسؤول",""),IF(K142="","نوع النشاط",""),IF(L142="","المشروع",""),IF(N142="","الممول",""),IF(V142="","الموضوع",""),IF(W142="","الملاحظة",""),IF(X142="","مشكلة",""),IF(Y142="","الإجراء",""),IF(Z142="","التنفيذ",""),IF(AA142="","الجودة",""),IF(AB142="","الإغلاق",""),IF(AC142="","الخصم",""),IF(AND(COUNTA($O142:$U142)&gt;0,O142=""),"مدير المشروع",""),IF(AND(COUNTA($O142:$U142)&gt;0,P142=""),"المستفيدين",""),IF(AND(COUNTA($O142:$U142)&gt;0,Q142=""),"المناطق",""),IF(AND(COUNTA($O142:$U142)&gt;0,R142=""),"الميزانية",""),IF(AND(COUNTA($O142:$U142)&gt;0,S142=""),"نسبة الجاهزية",""),IF(AND(COUNTA($O142:$U142)&gt;0,T142=""),"حالة الجاهزية",""),IF(AND(COUNTA($O142:$U142)&gt;0,U142=""),"التوصيات","")),"✓"),"✓"))))))))))</f>
        <v>✗ ناقص: المسؤول</v>
      </c>
      <c r="E142" s="235">
        <v>46154</v>
      </c>
      <c r="F142" s="236">
        <v>0.52083333333333337</v>
      </c>
      <c r="G142" s="90" t="s">
        <v>97</v>
      </c>
      <c r="H142" s="123" t="s">
        <v>102</v>
      </c>
      <c r="I142" s="89" t="s">
        <v>142</v>
      </c>
      <c r="J142" s="142"/>
      <c r="K142" s="90" t="s">
        <v>116</v>
      </c>
      <c r="L142" s="90" t="s">
        <v>118</v>
      </c>
      <c r="M142" s="90"/>
      <c r="N142" s="89" t="s">
        <v>655</v>
      </c>
      <c r="O142" s="200"/>
      <c r="P142" s="201"/>
      <c r="Q142" s="201"/>
      <c r="R142" s="237"/>
      <c r="S142" s="202"/>
      <c r="T142" s="200"/>
      <c r="U142" s="203"/>
      <c r="V142" s="89" t="s">
        <v>912</v>
      </c>
      <c r="W142" s="89" t="s">
        <v>913</v>
      </c>
      <c r="X142" s="145" t="s">
        <v>651</v>
      </c>
      <c r="Y142" s="89" t="s">
        <v>652</v>
      </c>
      <c r="Z142" s="90" t="s">
        <v>130</v>
      </c>
      <c r="AA142" s="90" t="s">
        <v>130</v>
      </c>
      <c r="AB142" s="90" t="s">
        <v>131</v>
      </c>
      <c r="AC142" s="90" t="s">
        <v>132</v>
      </c>
      <c r="AD142" s="92" t="s">
        <v>26</v>
      </c>
      <c r="AE142" s="149">
        <f>IFERROR(VLOOKUP(Z142,LISTS!$AL$2:$AM$1000,2,FALSE()),"")</f>
        <v>100</v>
      </c>
      <c r="AF142" s="151">
        <f>IFERROR(VLOOKUP(AA142,LISTS!$AO$2:$AP$1000,2,FALSE()),"")</f>
        <v>100</v>
      </c>
      <c r="AG142" s="152">
        <f>IFERROR(VLOOKUP(AB142,LISTS!$AR$2:$AS$1000,2,FALSE()),"")</f>
        <v>100</v>
      </c>
      <c r="AH142" s="154">
        <f>IFERROR(VLOOKUP(AC142,LISTS!$AU$2:$AV$1000,2,FALSE()),"")</f>
        <v>0</v>
      </c>
      <c r="AI142" s="238">
        <f t="shared" si="13"/>
        <v>100</v>
      </c>
      <c r="AJ142" s="190" t="str">
        <f t="shared" si="14"/>
        <v>🌟 ممتاز جدًا</v>
      </c>
      <c r="AK142" s="157">
        <f t="shared" si="10"/>
        <v>5</v>
      </c>
      <c r="AL142" s="160">
        <f t="shared" si="11"/>
        <v>2026</v>
      </c>
      <c r="AM142" s="210"/>
      <c r="AN142" s="209"/>
    </row>
    <row r="143" spans="1:40" ht="27.95" customHeight="1">
      <c r="A143" s="134">
        <f>IF(I143&lt;&gt;"",COUNTA($I$2:I143),"")</f>
        <v>142</v>
      </c>
      <c r="B143" s="138" t="str">
        <f t="shared" si="12"/>
        <v>الثلاثاء</v>
      </c>
      <c r="C143" s="93" t="str">
        <f t="array" ref="C143">IF(E143="","",IF(M143&lt;&gt;"",
M143&amp;"/"&amp;SUMPRODUCT((M$2:M143=M143)*1)&amp;" - "&amp;(ROW()-2),
"إداري/"&amp;SUMPRODUCT((M$2:M143="")*1)&amp;" - "&amp;(ROW()-2)))</f>
        <v>إداري/138 - 141</v>
      </c>
      <c r="D143" s="141" t="str">
        <f>IF(AND(G143="",H143="",I143=""),"",IF(COUNTIFS(LISTS!$A$2:$A$67,G143,LISTS!$B$2:$B$67,H143,LISTS!$C$2:$C$67,I143)=0,"✗ هرم",IF(NOT(OR(Z143="ممتاز 100%",Z143="جيد 80%",Z143="مقبول 60%",Z143="خطر 40%",Z143="")),"✗ قائمة R",IF(NOT(OR(AA143="ممتاز 100%",AA143="جيد 85%",AA143="مقبول 70%",AA143="ضعيف 50%",AA143="")),"✗ قائمة S",IF(NOT(OR(AB143="مكتمل 100%",AB143="جزئي 60%",AB143="معلق 30%",AB143="مفتوح 0%",AB143="")),"✗ قائمة T",IF(NOT(OR(AC143="لا خصم 0",AC143="تأخير −5",AC143="عجز −10",AC143="جودة −15",AC143="امتثال −20",AC143="مخالفة −25",AC143="")),"✗ قائمة U",IF(AND(X143="لا",AC143&lt;&gt;"",AC143&lt;&gt;"لا خصم 0"),"✗ خصم",IF(AND(X143="نعم",AC143="لا خصم 0"),"✗ خصم",IF(AND(Z143="ممتاز 100%",AA143="ممتاز 100%",AB143&lt;&gt;"",AB143&lt;&gt;"مكتمل 100%"),"✗ إغلاق",IFERROR(IF(LEN(_xlfn.TEXTJOIN("، ",TRUE,IF(E143="","التاريخ",""),IF(F143="","الوقت",""),IF(G143="","المركز",""),IF(H143="","الدائرة",""),IF(I143="","القسم",""),IF(J143="","المسؤول",""),IF(K143="","نوع النشاط",""),IF(L143="","المشروع",""),IF(N143="","الممول",""),IF(V143="","الموضوع",""),IF(W143="","الملاحظة",""),IF(X143="","مشكلة",""),IF(Y143="","الإجراء",""),IF(Z143="","التنفيذ",""),IF(AA143="","الجودة",""),IF(AB143="","الإغلاق",""),IF(AC143="","الخصم",""),IF(AND(COUNTA($O143:$U143)&gt;0,O143=""),"مدير المشروع",""),IF(AND(COUNTA($O143:$U143)&gt;0,P143=""),"المستفيدين",""),IF(AND(COUNTA($O143:$U143)&gt;0,Q143=""),"المناطق",""),IF(AND(COUNTA($O143:$U143)&gt;0,R143=""),"الميزانية",""),IF(AND(COUNTA($O143:$U143)&gt;0,S143=""),"نسبة الجاهزية",""),IF(AND(COUNTA($O143:$U143)&gt;0,T143=""),"حالة الجاهزية",""),IF(AND(COUNTA($O143:$U143)&gt;0,U143=""),"التوصيات","")))&gt;0,"✗ ناقص: "&amp;_xlfn.TEXTJOIN("، ",TRUE,IF(E143="","التاريخ",""),IF(F143="","الوقت",""),IF(G143="","المركز",""),IF(H143="","الدائرة",""),IF(I143="","القسم",""),IF(J143="","المسؤول",""),IF(K143="","نوع النشاط",""),IF(L143="","المشروع",""),IF(N143="","الممول",""),IF(V143="","الموضوع",""),IF(W143="","الملاحظة",""),IF(X143="","مشكلة",""),IF(Y143="","الإجراء",""),IF(Z143="","التنفيذ",""),IF(AA143="","الجودة",""),IF(AB143="","الإغلاق",""),IF(AC143="","الخصم",""),IF(AND(COUNTA($O143:$U143)&gt;0,O143=""),"مدير المشروع",""),IF(AND(COUNTA($O143:$U143)&gt;0,P143=""),"المستفيدين",""),IF(AND(COUNTA($O143:$U143)&gt;0,Q143=""),"المناطق",""),IF(AND(COUNTA($O143:$U143)&gt;0,R143=""),"الميزانية",""),IF(AND(COUNTA($O143:$U143)&gt;0,S143=""),"نسبة الجاهزية",""),IF(AND(COUNTA($O143:$U143)&gt;0,T143=""),"حالة الجاهزية",""),IF(AND(COUNTA($O143:$U143)&gt;0,U143=""),"التوصيات","")),"✓"),"✓"))))))))))</f>
        <v>✗ ناقص: المسؤول، المشروع، الممول</v>
      </c>
      <c r="E143" s="235">
        <v>46154</v>
      </c>
      <c r="F143" s="236">
        <v>0.79166666666666663</v>
      </c>
      <c r="G143" s="90" t="s">
        <v>97</v>
      </c>
      <c r="H143" s="123" t="s">
        <v>100</v>
      </c>
      <c r="I143" s="89" t="s">
        <v>190</v>
      </c>
      <c r="J143" s="142"/>
      <c r="K143" s="90" t="s">
        <v>152</v>
      </c>
      <c r="L143" s="90"/>
      <c r="M143" s="90"/>
      <c r="N143" s="89"/>
      <c r="O143" s="200"/>
      <c r="P143" s="201"/>
      <c r="Q143" s="201"/>
      <c r="R143" s="237"/>
      <c r="S143" s="202"/>
      <c r="T143" s="200"/>
      <c r="U143" s="203"/>
      <c r="V143" s="89" t="s">
        <v>914</v>
      </c>
      <c r="W143" s="89" t="s">
        <v>915</v>
      </c>
      <c r="X143" s="145" t="s">
        <v>651</v>
      </c>
      <c r="Y143" s="89" t="s">
        <v>652</v>
      </c>
      <c r="Z143" s="90" t="s">
        <v>130</v>
      </c>
      <c r="AA143" s="90" t="s">
        <v>130</v>
      </c>
      <c r="AB143" s="90" t="s">
        <v>131</v>
      </c>
      <c r="AC143" s="90" t="s">
        <v>132</v>
      </c>
      <c r="AD143" s="92" t="s">
        <v>134</v>
      </c>
      <c r="AE143" s="149">
        <f>IFERROR(VLOOKUP(Z143,LISTS!$AL$2:$AM$1000,2,FALSE()),"")</f>
        <v>100</v>
      </c>
      <c r="AF143" s="151">
        <f>IFERROR(VLOOKUP(AA143,LISTS!$AO$2:$AP$1000,2,FALSE()),"")</f>
        <v>100</v>
      </c>
      <c r="AG143" s="152">
        <f>IFERROR(VLOOKUP(AB143,LISTS!$AR$2:$AS$1000,2,FALSE()),"")</f>
        <v>100</v>
      </c>
      <c r="AH143" s="154">
        <f>IFERROR(VLOOKUP(AC143,LISTS!$AU$2:$AV$1000,2,FALSE()),"")</f>
        <v>0</v>
      </c>
      <c r="AI143" s="238">
        <f t="shared" si="13"/>
        <v>100</v>
      </c>
      <c r="AJ143" s="190" t="str">
        <f t="shared" si="14"/>
        <v>🌟 ممتاز جدًا</v>
      </c>
      <c r="AK143" s="157">
        <f t="shared" si="10"/>
        <v>5</v>
      </c>
      <c r="AL143" s="160">
        <f t="shared" si="11"/>
        <v>2026</v>
      </c>
      <c r="AM143" s="210"/>
      <c r="AN143" s="209"/>
    </row>
    <row r="144" spans="1:40" ht="27.95" customHeight="1">
      <c r="A144" s="134">
        <f>IF(I144&lt;&gt;"",COUNTA($I$2:I144),"")</f>
        <v>143</v>
      </c>
      <c r="B144" s="138" t="str">
        <f t="shared" si="12"/>
        <v>الأربعاء</v>
      </c>
      <c r="C144" s="93" t="str">
        <f t="array" ref="C144">IF(E144="","",IF(M144&lt;&gt;"",
M144&amp;"/"&amp;SUMPRODUCT((M$2:M144=M144)*1)&amp;" - "&amp;(ROW()-2),
"إداري/"&amp;SUMPRODUCT((M$2:M144="")*1)&amp;" - "&amp;(ROW()-2)))</f>
        <v>إداري/139 - 142</v>
      </c>
      <c r="D144" s="141" t="str">
        <f>IF(AND(G144="",H144="",I144=""),"",IF(COUNTIFS(LISTS!$A$2:$A$67,G144,LISTS!$B$2:$B$67,H144,LISTS!$C$2:$C$67,I144)=0,"✗ هرم",IF(NOT(OR(Z144="ممتاز 100%",Z144="جيد 80%",Z144="مقبول 60%",Z144="خطر 40%",Z144="")),"✗ قائمة R",IF(NOT(OR(AA144="ممتاز 100%",AA144="جيد 85%",AA144="مقبول 70%",AA144="ضعيف 50%",AA144="")),"✗ قائمة S",IF(NOT(OR(AB144="مكتمل 100%",AB144="جزئي 60%",AB144="معلق 30%",AB144="مفتوح 0%",AB144="")),"✗ قائمة T",IF(NOT(OR(AC144="لا خصم 0",AC144="تأخير −5",AC144="عجز −10",AC144="جودة −15",AC144="امتثال −20",AC144="مخالفة −25",AC144="")),"✗ قائمة U",IF(AND(X144="لا",AC144&lt;&gt;"",AC144&lt;&gt;"لا خصم 0"),"✗ خصم",IF(AND(X144="نعم",AC144="لا خصم 0"),"✗ خصم",IF(AND(Z144="ممتاز 100%",AA144="ممتاز 100%",AB144&lt;&gt;"",AB144&lt;&gt;"مكتمل 100%"),"✗ إغلاق",IFERROR(IF(LEN(_xlfn.TEXTJOIN("، ",TRUE,IF(E144="","التاريخ",""),IF(F144="","الوقت",""),IF(G144="","المركز",""),IF(H144="","الدائرة",""),IF(I144="","القسم",""),IF(J144="","المسؤول",""),IF(K144="","نوع النشاط",""),IF(L144="","المشروع",""),IF(N144="","الممول",""),IF(V144="","الموضوع",""),IF(W144="","الملاحظة",""),IF(X144="","مشكلة",""),IF(Y144="","الإجراء",""),IF(Z144="","التنفيذ",""),IF(AA144="","الجودة",""),IF(AB144="","الإغلاق",""),IF(AC144="","الخصم",""),IF(AND(COUNTA($O144:$U144)&gt;0,O144=""),"مدير المشروع",""),IF(AND(COUNTA($O144:$U144)&gt;0,P144=""),"المستفيدين",""),IF(AND(COUNTA($O144:$U144)&gt;0,Q144=""),"المناطق",""),IF(AND(COUNTA($O144:$U144)&gt;0,R144=""),"الميزانية",""),IF(AND(COUNTA($O144:$U144)&gt;0,S144=""),"نسبة الجاهزية",""),IF(AND(COUNTA($O144:$U144)&gt;0,T144=""),"حالة الجاهزية",""),IF(AND(COUNTA($O144:$U144)&gt;0,U144=""),"التوصيات","")))&gt;0,"✗ ناقص: "&amp;_xlfn.TEXTJOIN("، ",TRUE,IF(E144="","التاريخ",""),IF(F144="","الوقت",""),IF(G144="","المركز",""),IF(H144="","الدائرة",""),IF(I144="","القسم",""),IF(J144="","المسؤول",""),IF(K144="","نوع النشاط",""),IF(L144="","المشروع",""),IF(N144="","الممول",""),IF(V144="","الموضوع",""),IF(W144="","الملاحظة",""),IF(X144="","مشكلة",""),IF(Y144="","الإجراء",""),IF(Z144="","التنفيذ",""),IF(AA144="","الجودة",""),IF(AB144="","الإغلاق",""),IF(AC144="","الخصم",""),IF(AND(COUNTA($O144:$U144)&gt;0,O144=""),"مدير المشروع",""),IF(AND(COUNTA($O144:$U144)&gt;0,P144=""),"المستفيدين",""),IF(AND(COUNTA($O144:$U144)&gt;0,Q144=""),"المناطق",""),IF(AND(COUNTA($O144:$U144)&gt;0,R144=""),"الميزانية",""),IF(AND(COUNTA($O144:$U144)&gt;0,S144=""),"نسبة الجاهزية",""),IF(AND(COUNTA($O144:$U144)&gt;0,T144=""),"حالة الجاهزية",""),IF(AND(COUNTA($O144:$U144)&gt;0,U144=""),"التوصيات","")),"✓"),"✓"))))))))))</f>
        <v>✓</v>
      </c>
      <c r="E144" s="235">
        <v>46155</v>
      </c>
      <c r="F144" s="236">
        <v>0.56597222222222221</v>
      </c>
      <c r="G144" s="90" t="s">
        <v>97</v>
      </c>
      <c r="H144" s="123" t="s">
        <v>102</v>
      </c>
      <c r="I144" s="89" t="s">
        <v>124</v>
      </c>
      <c r="J144" s="142" t="s">
        <v>117</v>
      </c>
      <c r="K144" s="90" t="s">
        <v>116</v>
      </c>
      <c r="L144" s="90" t="s">
        <v>369</v>
      </c>
      <c r="M144" s="90"/>
      <c r="N144" s="89" t="s">
        <v>655</v>
      </c>
      <c r="O144" s="200"/>
      <c r="P144" s="201"/>
      <c r="Q144" s="201"/>
      <c r="R144" s="237"/>
      <c r="S144" s="202"/>
      <c r="T144" s="200"/>
      <c r="U144" s="203"/>
      <c r="V144" s="89" t="s">
        <v>823</v>
      </c>
      <c r="W144" s="89" t="s">
        <v>916</v>
      </c>
      <c r="X144" s="145" t="s">
        <v>651</v>
      </c>
      <c r="Y144" s="89" t="s">
        <v>652</v>
      </c>
      <c r="Z144" s="90" t="s">
        <v>130</v>
      </c>
      <c r="AA144" s="90" t="s">
        <v>130</v>
      </c>
      <c r="AB144" s="90" t="s">
        <v>131</v>
      </c>
      <c r="AC144" s="90" t="s">
        <v>132</v>
      </c>
      <c r="AD144" s="92" t="s">
        <v>26</v>
      </c>
      <c r="AE144" s="149">
        <f>IFERROR(VLOOKUP(Z144,LISTS!$AL$2:$AM$1000,2,FALSE()),"")</f>
        <v>100</v>
      </c>
      <c r="AF144" s="151">
        <f>IFERROR(VLOOKUP(AA144,LISTS!$AO$2:$AP$1000,2,FALSE()),"")</f>
        <v>100</v>
      </c>
      <c r="AG144" s="152">
        <f>IFERROR(VLOOKUP(AB144,LISTS!$AR$2:$AS$1000,2,FALSE()),"")</f>
        <v>100</v>
      </c>
      <c r="AH144" s="154">
        <f>IFERROR(VLOOKUP(AC144,LISTS!$AU$2:$AV$1000,2,FALSE()),"")</f>
        <v>0</v>
      </c>
      <c r="AI144" s="238">
        <f t="shared" si="13"/>
        <v>100</v>
      </c>
      <c r="AJ144" s="190" t="str">
        <f t="shared" si="14"/>
        <v>🌟 ممتاز جدًا</v>
      </c>
      <c r="AK144" s="157">
        <f t="shared" si="10"/>
        <v>5</v>
      </c>
      <c r="AL144" s="160">
        <f t="shared" si="11"/>
        <v>2026</v>
      </c>
      <c r="AM144" s="210"/>
      <c r="AN144" s="209"/>
    </row>
    <row r="145" spans="1:40" ht="27.95" customHeight="1">
      <c r="A145" s="134">
        <f>IF(I145&lt;&gt;"",COUNTA($I$2:I145),"")</f>
        <v>144</v>
      </c>
      <c r="B145" s="138" t="str">
        <f t="shared" si="12"/>
        <v>الخميس</v>
      </c>
      <c r="C145" s="93" t="str">
        <f t="array" ref="C145">IF(E145="","",IF(M145&lt;&gt;"",
M145&amp;"/"&amp;SUMPRODUCT((M$2:M145=M145)*1)&amp;" - "&amp;(ROW()-2),
"إداري/"&amp;SUMPRODUCT((M$2:M145="")*1)&amp;" - "&amp;(ROW()-2)))</f>
        <v>إداري/140 - 143</v>
      </c>
      <c r="D145" s="141" t="str">
        <f>IF(AND(G145="",H145="",I145=""),"",IF(COUNTIFS(LISTS!$A$2:$A$67,G145,LISTS!$B$2:$B$67,H145,LISTS!$C$2:$C$67,I145)=0,"✗ هرم",IF(NOT(OR(Z145="ممتاز 100%",Z145="جيد 80%",Z145="مقبول 60%",Z145="خطر 40%",Z145="")),"✗ قائمة R",IF(NOT(OR(AA145="ممتاز 100%",AA145="جيد 85%",AA145="مقبول 70%",AA145="ضعيف 50%",AA145="")),"✗ قائمة S",IF(NOT(OR(AB145="مكتمل 100%",AB145="جزئي 60%",AB145="معلق 30%",AB145="مفتوح 0%",AB145="")),"✗ قائمة T",IF(NOT(OR(AC145="لا خصم 0",AC145="تأخير −5",AC145="عجز −10",AC145="جودة −15",AC145="امتثال −20",AC145="مخالفة −25",AC145="")),"✗ قائمة U",IF(AND(X145="لا",AC145&lt;&gt;"",AC145&lt;&gt;"لا خصم 0"),"✗ خصم",IF(AND(X145="نعم",AC145="لا خصم 0"),"✗ خصم",IF(AND(Z145="ممتاز 100%",AA145="ممتاز 100%",AB145&lt;&gt;"",AB145&lt;&gt;"مكتمل 100%"),"✗ إغلاق",IFERROR(IF(LEN(_xlfn.TEXTJOIN("، ",TRUE,IF(E145="","التاريخ",""),IF(F145="","الوقت",""),IF(G145="","المركز",""),IF(H145="","الدائرة",""),IF(I145="","القسم",""),IF(J145="","المسؤول",""),IF(K145="","نوع النشاط",""),IF(L145="","المشروع",""),IF(N145="","الممول",""),IF(V145="","الموضوع",""),IF(W145="","الملاحظة",""),IF(X145="","مشكلة",""),IF(Y145="","الإجراء",""),IF(Z145="","التنفيذ",""),IF(AA145="","الجودة",""),IF(AB145="","الإغلاق",""),IF(AC145="","الخصم",""),IF(AND(COUNTA($O145:$U145)&gt;0,O145=""),"مدير المشروع",""),IF(AND(COUNTA($O145:$U145)&gt;0,P145=""),"المستفيدين",""),IF(AND(COUNTA($O145:$U145)&gt;0,Q145=""),"المناطق",""),IF(AND(COUNTA($O145:$U145)&gt;0,R145=""),"الميزانية",""),IF(AND(COUNTA($O145:$U145)&gt;0,S145=""),"نسبة الجاهزية",""),IF(AND(COUNTA($O145:$U145)&gt;0,T145=""),"حالة الجاهزية",""),IF(AND(COUNTA($O145:$U145)&gt;0,U145=""),"التوصيات","")))&gt;0,"✗ ناقص: "&amp;_xlfn.TEXTJOIN("، ",TRUE,IF(E145="","التاريخ",""),IF(F145="","الوقت",""),IF(G145="","المركز",""),IF(H145="","الدائرة",""),IF(I145="","القسم",""),IF(J145="","المسؤول",""),IF(K145="","نوع النشاط",""),IF(L145="","المشروع",""),IF(N145="","الممول",""),IF(V145="","الموضوع",""),IF(W145="","الملاحظة",""),IF(X145="","مشكلة",""),IF(Y145="","الإجراء",""),IF(Z145="","التنفيذ",""),IF(AA145="","الجودة",""),IF(AB145="","الإغلاق",""),IF(AC145="","الخصم",""),IF(AND(COUNTA($O145:$U145)&gt;0,O145=""),"مدير المشروع",""),IF(AND(COUNTA($O145:$U145)&gt;0,P145=""),"المستفيدين",""),IF(AND(COUNTA($O145:$U145)&gt;0,Q145=""),"المناطق",""),IF(AND(COUNTA($O145:$U145)&gt;0,R145=""),"الميزانية",""),IF(AND(COUNTA($O145:$U145)&gt;0,S145=""),"نسبة الجاهزية",""),IF(AND(COUNTA($O145:$U145)&gt;0,T145=""),"حالة الجاهزية",""),IF(AND(COUNTA($O145:$U145)&gt;0,U145=""),"التوصيات","")),"✓"),"✓"))))))))))</f>
        <v>✓</v>
      </c>
      <c r="E145" s="235">
        <v>46156</v>
      </c>
      <c r="F145" s="236">
        <v>0.56597222222222221</v>
      </c>
      <c r="G145" s="90" t="s">
        <v>97</v>
      </c>
      <c r="H145" s="123" t="s">
        <v>102</v>
      </c>
      <c r="I145" s="89" t="s">
        <v>124</v>
      </c>
      <c r="J145" s="142" t="s">
        <v>117</v>
      </c>
      <c r="K145" s="90" t="s">
        <v>116</v>
      </c>
      <c r="L145" s="90" t="s">
        <v>369</v>
      </c>
      <c r="M145" s="90"/>
      <c r="N145" s="89" t="s">
        <v>655</v>
      </c>
      <c r="O145" s="200"/>
      <c r="P145" s="201"/>
      <c r="Q145" s="201"/>
      <c r="R145" s="237"/>
      <c r="S145" s="202"/>
      <c r="T145" s="200"/>
      <c r="U145" s="203"/>
      <c r="V145" s="89" t="s">
        <v>823</v>
      </c>
      <c r="W145" s="89" t="s">
        <v>917</v>
      </c>
      <c r="X145" s="145" t="s">
        <v>651</v>
      </c>
      <c r="Y145" s="89" t="s">
        <v>652</v>
      </c>
      <c r="Z145" s="90" t="s">
        <v>130</v>
      </c>
      <c r="AA145" s="90" t="s">
        <v>130</v>
      </c>
      <c r="AB145" s="90" t="s">
        <v>131</v>
      </c>
      <c r="AC145" s="90" t="s">
        <v>132</v>
      </c>
      <c r="AD145" s="92" t="s">
        <v>26</v>
      </c>
      <c r="AE145" s="149">
        <f>IFERROR(VLOOKUP(Z145,LISTS!$AL$2:$AM$1000,2,FALSE()),"")</f>
        <v>100</v>
      </c>
      <c r="AF145" s="151">
        <f>IFERROR(VLOOKUP(AA145,LISTS!$AO$2:$AP$1000,2,FALSE()),"")</f>
        <v>100</v>
      </c>
      <c r="AG145" s="152">
        <f>IFERROR(VLOOKUP(AB145,LISTS!$AR$2:$AS$1000,2,FALSE()),"")</f>
        <v>100</v>
      </c>
      <c r="AH145" s="154">
        <f>IFERROR(VLOOKUP(AC145,LISTS!$AU$2:$AV$1000,2,FALSE()),"")</f>
        <v>0</v>
      </c>
      <c r="AI145" s="238">
        <f t="shared" si="13"/>
        <v>100</v>
      </c>
      <c r="AJ145" s="190" t="str">
        <f t="shared" si="14"/>
        <v>🌟 ممتاز جدًا</v>
      </c>
      <c r="AK145" s="157">
        <f t="shared" si="10"/>
        <v>5</v>
      </c>
      <c r="AL145" s="160">
        <f t="shared" si="11"/>
        <v>2026</v>
      </c>
      <c r="AM145" s="210"/>
      <c r="AN145" s="209"/>
    </row>
    <row r="146" spans="1:40" ht="27.95" customHeight="1">
      <c r="A146" s="134">
        <f>IF(I146&lt;&gt;"",COUNTA($I$2:I146),"")</f>
        <v>145</v>
      </c>
      <c r="B146" s="138" t="str">
        <f t="shared" si="12"/>
        <v>الخميس</v>
      </c>
      <c r="C146" s="93" t="str">
        <f t="array" ref="C146">IF(E146="","",IF(M146&lt;&gt;"",
M146&amp;"/"&amp;SUMPRODUCT((M$2:M146=M146)*1)&amp;" - "&amp;(ROW()-2),
"إداري/"&amp;SUMPRODUCT((M$2:M146="")*1)&amp;" - "&amp;(ROW()-2)))</f>
        <v>إداري/141 - 144</v>
      </c>
      <c r="D146" s="141" t="str">
        <f>IF(AND(G146="",H146="",I146=""),"",IF(COUNTIFS(LISTS!$A$2:$A$67,G146,LISTS!$B$2:$B$67,H146,LISTS!$C$2:$C$67,I146)=0,"✗ هرم",IF(NOT(OR(Z146="ممتاز 100%",Z146="جيد 80%",Z146="مقبول 60%",Z146="خطر 40%",Z146="")),"✗ قائمة R",IF(NOT(OR(AA146="ممتاز 100%",AA146="جيد 85%",AA146="مقبول 70%",AA146="ضعيف 50%",AA146="")),"✗ قائمة S",IF(NOT(OR(AB146="مكتمل 100%",AB146="جزئي 60%",AB146="معلق 30%",AB146="مفتوح 0%",AB146="")),"✗ قائمة T",IF(NOT(OR(AC146="لا خصم 0",AC146="تأخير −5",AC146="عجز −10",AC146="جودة −15",AC146="امتثال −20",AC146="مخالفة −25",AC146="")),"✗ قائمة U",IF(AND(X146="لا",AC146&lt;&gt;"",AC146&lt;&gt;"لا خصم 0"),"✗ خصم",IF(AND(X146="نعم",AC146="لا خصم 0"),"✗ خصم",IF(AND(Z146="ممتاز 100%",AA146="ممتاز 100%",AB146&lt;&gt;"",AB146&lt;&gt;"مكتمل 100%"),"✗ إغلاق",IFERROR(IF(LEN(_xlfn.TEXTJOIN("، ",TRUE,IF(E146="","التاريخ",""),IF(F146="","الوقت",""),IF(G146="","المركز",""),IF(H146="","الدائرة",""),IF(I146="","القسم",""),IF(J146="","المسؤول",""),IF(K146="","نوع النشاط",""),IF(L146="","المشروع",""),IF(N146="","الممول",""),IF(V146="","الموضوع",""),IF(W146="","الملاحظة",""),IF(X146="","مشكلة",""),IF(Y146="","الإجراء",""),IF(Z146="","التنفيذ",""),IF(AA146="","الجودة",""),IF(AB146="","الإغلاق",""),IF(AC146="","الخصم",""),IF(AND(COUNTA($O146:$U146)&gt;0,O146=""),"مدير المشروع",""),IF(AND(COUNTA($O146:$U146)&gt;0,P146=""),"المستفيدين",""),IF(AND(COUNTA($O146:$U146)&gt;0,Q146=""),"المناطق",""),IF(AND(COUNTA($O146:$U146)&gt;0,R146=""),"الميزانية",""),IF(AND(COUNTA($O146:$U146)&gt;0,S146=""),"نسبة الجاهزية",""),IF(AND(COUNTA($O146:$U146)&gt;0,T146=""),"حالة الجاهزية",""),IF(AND(COUNTA($O146:$U146)&gt;0,U146=""),"التوصيات","")))&gt;0,"✗ ناقص: "&amp;_xlfn.TEXTJOIN("، ",TRUE,IF(E146="","التاريخ",""),IF(F146="","الوقت",""),IF(G146="","المركز",""),IF(H146="","الدائرة",""),IF(I146="","القسم",""),IF(J146="","المسؤول",""),IF(K146="","نوع النشاط",""),IF(L146="","المشروع",""),IF(N146="","الممول",""),IF(V146="","الموضوع",""),IF(W146="","الملاحظة",""),IF(X146="","مشكلة",""),IF(Y146="","الإجراء",""),IF(Z146="","التنفيذ",""),IF(AA146="","الجودة",""),IF(AB146="","الإغلاق",""),IF(AC146="","الخصم",""),IF(AND(COUNTA($O146:$U146)&gt;0,O146=""),"مدير المشروع",""),IF(AND(COUNTA($O146:$U146)&gt;0,P146=""),"المستفيدين",""),IF(AND(COUNTA($O146:$U146)&gt;0,Q146=""),"المناطق",""),IF(AND(COUNTA($O146:$U146)&gt;0,R146=""),"الميزانية",""),IF(AND(COUNTA($O146:$U146)&gt;0,S146=""),"نسبة الجاهزية",""),IF(AND(COUNTA($O146:$U146)&gt;0,T146=""),"حالة الجاهزية",""),IF(AND(COUNTA($O146:$U146)&gt;0,U146=""),"التوصيات","")),"✓"),"✓"))))))))))</f>
        <v>✗ ناقص: الممول</v>
      </c>
      <c r="E146" s="235">
        <v>46156</v>
      </c>
      <c r="F146" s="236">
        <v>0.46875</v>
      </c>
      <c r="G146" s="90" t="s">
        <v>97</v>
      </c>
      <c r="H146" s="123" t="s">
        <v>101</v>
      </c>
      <c r="I146" s="89" t="s">
        <v>123</v>
      </c>
      <c r="J146" s="142" t="s">
        <v>216</v>
      </c>
      <c r="K146" s="90" t="s">
        <v>116</v>
      </c>
      <c r="L146" s="90" t="s">
        <v>155</v>
      </c>
      <c r="M146" s="90"/>
      <c r="N146" s="89"/>
      <c r="O146" s="200"/>
      <c r="P146" s="201"/>
      <c r="Q146" s="201"/>
      <c r="R146" s="237"/>
      <c r="S146" s="202"/>
      <c r="T146" s="200"/>
      <c r="U146" s="203"/>
      <c r="V146" s="89" t="s">
        <v>918</v>
      </c>
      <c r="W146" s="89" t="s">
        <v>919</v>
      </c>
      <c r="X146" s="145" t="s">
        <v>651</v>
      </c>
      <c r="Y146" s="89" t="s">
        <v>652</v>
      </c>
      <c r="Z146" s="90" t="s">
        <v>130</v>
      </c>
      <c r="AA146" s="90" t="s">
        <v>130</v>
      </c>
      <c r="AB146" s="90" t="s">
        <v>131</v>
      </c>
      <c r="AC146" s="90" t="s">
        <v>132</v>
      </c>
      <c r="AD146" s="92" t="s">
        <v>26</v>
      </c>
      <c r="AE146" s="149">
        <f>IFERROR(VLOOKUP(Z146,LISTS!$AL$2:$AM$1000,2,FALSE()),"")</f>
        <v>100</v>
      </c>
      <c r="AF146" s="151">
        <f>IFERROR(VLOOKUP(AA146,LISTS!$AO$2:$AP$1000,2,FALSE()),"")</f>
        <v>100</v>
      </c>
      <c r="AG146" s="152">
        <f>IFERROR(VLOOKUP(AB146,LISTS!$AR$2:$AS$1000,2,FALSE()),"")</f>
        <v>100</v>
      </c>
      <c r="AH146" s="154">
        <f>IFERROR(VLOOKUP(AC146,LISTS!$AU$2:$AV$1000,2,FALSE()),"")</f>
        <v>0</v>
      </c>
      <c r="AI146" s="238">
        <f t="shared" si="13"/>
        <v>100</v>
      </c>
      <c r="AJ146" s="190" t="str">
        <f t="shared" si="14"/>
        <v>🌟 ممتاز جدًا</v>
      </c>
      <c r="AK146" s="157">
        <f t="shared" si="10"/>
        <v>5</v>
      </c>
      <c r="AL146" s="160">
        <f t="shared" si="11"/>
        <v>2026</v>
      </c>
      <c r="AM146" s="210"/>
      <c r="AN146" s="209"/>
    </row>
    <row r="147" spans="1:40" ht="27.95" customHeight="1">
      <c r="A147" s="134">
        <f>IF(I147&lt;&gt;"",COUNTA($I$2:I147),"")</f>
        <v>146</v>
      </c>
      <c r="B147" s="138" t="str">
        <f t="shared" si="12"/>
        <v>الخميس</v>
      </c>
      <c r="C147" s="93" t="str">
        <f t="array" ref="C147">IF(E147="","",IF(M147&lt;&gt;"",
M147&amp;"/"&amp;SUMPRODUCT((M$2:M147=M147)*1)&amp;" - "&amp;(ROW()-2),
"إداري/"&amp;SUMPRODUCT((M$2:M147="")*1)&amp;" - "&amp;(ROW()-2)))</f>
        <v>إداري/142 - 145</v>
      </c>
      <c r="D147" s="141" t="str">
        <f>IF(AND(G147="",H147="",I147=""),"",IF(COUNTIFS(LISTS!$A$2:$A$67,G147,LISTS!$B$2:$B$67,H147,LISTS!$C$2:$C$67,I147)=0,"✗ هرم",IF(NOT(OR(Z147="ممتاز 100%",Z147="جيد 80%",Z147="مقبول 60%",Z147="خطر 40%",Z147="")),"✗ قائمة R",IF(NOT(OR(AA147="ممتاز 100%",AA147="جيد 85%",AA147="مقبول 70%",AA147="ضعيف 50%",AA147="")),"✗ قائمة S",IF(NOT(OR(AB147="مكتمل 100%",AB147="جزئي 60%",AB147="معلق 30%",AB147="مفتوح 0%",AB147="")),"✗ قائمة T",IF(NOT(OR(AC147="لا خصم 0",AC147="تأخير −5",AC147="عجز −10",AC147="جودة −15",AC147="امتثال −20",AC147="مخالفة −25",AC147="")),"✗ قائمة U",IF(AND(X147="لا",AC147&lt;&gt;"",AC147&lt;&gt;"لا خصم 0"),"✗ خصم",IF(AND(X147="نعم",AC147="لا خصم 0"),"✗ خصم",IF(AND(Z147="ممتاز 100%",AA147="ممتاز 100%",AB147&lt;&gt;"",AB147&lt;&gt;"مكتمل 100%"),"✗ إغلاق",IFERROR(IF(LEN(_xlfn.TEXTJOIN("، ",TRUE,IF(E147="","التاريخ",""),IF(F147="","الوقت",""),IF(G147="","المركز",""),IF(H147="","الدائرة",""),IF(I147="","القسم",""),IF(J147="","المسؤول",""),IF(K147="","نوع النشاط",""),IF(L147="","المشروع",""),IF(N147="","الممول",""),IF(V147="","الموضوع",""),IF(W147="","الملاحظة",""),IF(X147="","مشكلة",""),IF(Y147="","الإجراء",""),IF(Z147="","التنفيذ",""),IF(AA147="","الجودة",""),IF(AB147="","الإغلاق",""),IF(AC147="","الخصم",""),IF(AND(COUNTA($O147:$U147)&gt;0,O147=""),"مدير المشروع",""),IF(AND(COUNTA($O147:$U147)&gt;0,P147=""),"المستفيدين",""),IF(AND(COUNTA($O147:$U147)&gt;0,Q147=""),"المناطق",""),IF(AND(COUNTA($O147:$U147)&gt;0,R147=""),"الميزانية",""),IF(AND(COUNTA($O147:$U147)&gt;0,S147=""),"نسبة الجاهزية",""),IF(AND(COUNTA($O147:$U147)&gt;0,T147=""),"حالة الجاهزية",""),IF(AND(COUNTA($O147:$U147)&gt;0,U147=""),"التوصيات","")))&gt;0,"✗ ناقص: "&amp;_xlfn.TEXTJOIN("، ",TRUE,IF(E147="","التاريخ",""),IF(F147="","الوقت",""),IF(G147="","المركز",""),IF(H147="","الدائرة",""),IF(I147="","القسم",""),IF(J147="","المسؤول",""),IF(K147="","نوع النشاط",""),IF(L147="","المشروع",""),IF(N147="","الممول",""),IF(V147="","الموضوع",""),IF(W147="","الملاحظة",""),IF(X147="","مشكلة",""),IF(Y147="","الإجراء",""),IF(Z147="","التنفيذ",""),IF(AA147="","الجودة",""),IF(AB147="","الإغلاق",""),IF(AC147="","الخصم",""),IF(AND(COUNTA($O147:$U147)&gt;0,O147=""),"مدير المشروع",""),IF(AND(COUNTA($O147:$U147)&gt;0,P147=""),"المستفيدين",""),IF(AND(COUNTA($O147:$U147)&gt;0,Q147=""),"المناطق",""),IF(AND(COUNTA($O147:$U147)&gt;0,R147=""),"الميزانية",""),IF(AND(COUNTA($O147:$U147)&gt;0,S147=""),"نسبة الجاهزية",""),IF(AND(COUNTA($O147:$U147)&gt;0,T147=""),"حالة الجاهزية",""),IF(AND(COUNTA($O147:$U147)&gt;0,U147=""),"التوصيات","")),"✓"),"✓"))))))))))</f>
        <v>✓</v>
      </c>
      <c r="E147" s="235">
        <v>46156</v>
      </c>
      <c r="F147" s="236">
        <v>0.57291666666666663</v>
      </c>
      <c r="G147" s="90" t="s">
        <v>97</v>
      </c>
      <c r="H147" s="123" t="s">
        <v>102</v>
      </c>
      <c r="I147" s="89" t="s">
        <v>124</v>
      </c>
      <c r="J147" s="142" t="s">
        <v>117</v>
      </c>
      <c r="K147" s="90" t="s">
        <v>116</v>
      </c>
      <c r="L147" s="90" t="s">
        <v>118</v>
      </c>
      <c r="M147" s="90"/>
      <c r="N147" s="89" t="s">
        <v>655</v>
      </c>
      <c r="O147" s="200"/>
      <c r="P147" s="201"/>
      <c r="Q147" s="201"/>
      <c r="R147" s="237"/>
      <c r="S147" s="202"/>
      <c r="T147" s="200"/>
      <c r="U147" s="203"/>
      <c r="V147" s="89" t="s">
        <v>920</v>
      </c>
      <c r="W147" s="89" t="s">
        <v>921</v>
      </c>
      <c r="X147" s="145" t="s">
        <v>651</v>
      </c>
      <c r="Y147" s="89" t="s">
        <v>652</v>
      </c>
      <c r="Z147" s="90" t="s">
        <v>130</v>
      </c>
      <c r="AA147" s="90" t="s">
        <v>130</v>
      </c>
      <c r="AB147" s="90" t="s">
        <v>131</v>
      </c>
      <c r="AC147" s="90" t="s">
        <v>132</v>
      </c>
      <c r="AD147" s="92" t="s">
        <v>26</v>
      </c>
      <c r="AE147" s="149">
        <f>IFERROR(VLOOKUP(Z147,LISTS!$AL$2:$AM$1000,2,FALSE()),"")</f>
        <v>100</v>
      </c>
      <c r="AF147" s="151">
        <f>IFERROR(VLOOKUP(AA147,LISTS!$AO$2:$AP$1000,2,FALSE()),"")</f>
        <v>100</v>
      </c>
      <c r="AG147" s="152">
        <f>IFERROR(VLOOKUP(AB147,LISTS!$AR$2:$AS$1000,2,FALSE()),"")</f>
        <v>100</v>
      </c>
      <c r="AH147" s="154">
        <f>IFERROR(VLOOKUP(AC147,LISTS!$AU$2:$AV$1000,2,FALSE()),"")</f>
        <v>0</v>
      </c>
      <c r="AI147" s="238">
        <f t="shared" si="13"/>
        <v>100</v>
      </c>
      <c r="AJ147" s="190" t="str">
        <f t="shared" si="14"/>
        <v>🌟 ممتاز جدًا</v>
      </c>
      <c r="AK147" s="157">
        <f t="shared" si="10"/>
        <v>5</v>
      </c>
      <c r="AL147" s="160">
        <f t="shared" si="11"/>
        <v>2026</v>
      </c>
      <c r="AM147" s="210"/>
      <c r="AN147" s="209"/>
    </row>
    <row r="148" spans="1:40" ht="27.95" customHeight="1">
      <c r="A148" s="134">
        <f>IF(I148&lt;&gt;"",COUNTA($I$2:I148),"")</f>
        <v>147</v>
      </c>
      <c r="B148" s="138" t="str">
        <f t="shared" si="12"/>
        <v>السبت</v>
      </c>
      <c r="C148" s="93" t="str">
        <f t="array" ref="C148">IF(E148="","",IF(M148&lt;&gt;"",
M148&amp;"/"&amp;SUMPRODUCT((M$2:M148=M148)*1)&amp;" - "&amp;(ROW()-2),
"إداري/"&amp;SUMPRODUCT((M$2:M148="")*1)&amp;" - "&amp;(ROW()-2)))</f>
        <v>إداري/143 - 146</v>
      </c>
      <c r="D148" s="141" t="str">
        <f>IF(AND(G148="",H148="",I148=""),"",IF(COUNTIFS(LISTS!$A$2:$A$67,G148,LISTS!$B$2:$B$67,H148,LISTS!$C$2:$C$67,I148)=0,"✗ هرم",IF(NOT(OR(Z148="ممتاز 100%",Z148="جيد 80%",Z148="مقبول 60%",Z148="خطر 40%",Z148="")),"✗ قائمة R",IF(NOT(OR(AA148="ممتاز 100%",AA148="جيد 85%",AA148="مقبول 70%",AA148="ضعيف 50%",AA148="")),"✗ قائمة S",IF(NOT(OR(AB148="مكتمل 100%",AB148="جزئي 60%",AB148="معلق 30%",AB148="مفتوح 0%",AB148="")),"✗ قائمة T",IF(NOT(OR(AC148="لا خصم 0",AC148="تأخير −5",AC148="عجز −10",AC148="جودة −15",AC148="امتثال −20",AC148="مخالفة −25",AC148="")),"✗ قائمة U",IF(AND(X148="لا",AC148&lt;&gt;"",AC148&lt;&gt;"لا خصم 0"),"✗ خصم",IF(AND(X148="نعم",AC148="لا خصم 0"),"✗ خصم",IF(AND(Z148="ممتاز 100%",AA148="ممتاز 100%",AB148&lt;&gt;"",AB148&lt;&gt;"مكتمل 100%"),"✗ إغلاق",IFERROR(IF(LEN(_xlfn.TEXTJOIN("، ",TRUE,IF(E148="","التاريخ",""),IF(F148="","الوقت",""),IF(G148="","المركز",""),IF(H148="","الدائرة",""),IF(I148="","القسم",""),IF(J148="","المسؤول",""),IF(K148="","نوع النشاط",""),IF(L148="","المشروع",""),IF(N148="","الممول",""),IF(V148="","الموضوع",""),IF(W148="","الملاحظة",""),IF(X148="","مشكلة",""),IF(Y148="","الإجراء",""),IF(Z148="","التنفيذ",""),IF(AA148="","الجودة",""),IF(AB148="","الإغلاق",""),IF(AC148="","الخصم",""),IF(AND(COUNTA($O148:$U148)&gt;0,O148=""),"مدير المشروع",""),IF(AND(COUNTA($O148:$U148)&gt;0,P148=""),"المستفيدين",""),IF(AND(COUNTA($O148:$U148)&gt;0,Q148=""),"المناطق",""),IF(AND(COUNTA($O148:$U148)&gt;0,R148=""),"الميزانية",""),IF(AND(COUNTA($O148:$U148)&gt;0,S148=""),"نسبة الجاهزية",""),IF(AND(COUNTA($O148:$U148)&gt;0,T148=""),"حالة الجاهزية",""),IF(AND(COUNTA($O148:$U148)&gt;0,U148=""),"التوصيات","")))&gt;0,"✗ ناقص: "&amp;_xlfn.TEXTJOIN("، ",TRUE,IF(E148="","التاريخ",""),IF(F148="","الوقت",""),IF(G148="","المركز",""),IF(H148="","الدائرة",""),IF(I148="","القسم",""),IF(J148="","المسؤول",""),IF(K148="","نوع النشاط",""),IF(L148="","المشروع",""),IF(N148="","الممول",""),IF(V148="","الموضوع",""),IF(W148="","الملاحظة",""),IF(X148="","مشكلة",""),IF(Y148="","الإجراء",""),IF(Z148="","التنفيذ",""),IF(AA148="","الجودة",""),IF(AB148="","الإغلاق",""),IF(AC148="","الخصم",""),IF(AND(COUNTA($O148:$U148)&gt;0,O148=""),"مدير المشروع",""),IF(AND(COUNTA($O148:$U148)&gt;0,P148=""),"المستفيدين",""),IF(AND(COUNTA($O148:$U148)&gt;0,Q148=""),"المناطق",""),IF(AND(COUNTA($O148:$U148)&gt;0,R148=""),"الميزانية",""),IF(AND(COUNTA($O148:$U148)&gt;0,S148=""),"نسبة الجاهزية",""),IF(AND(COUNTA($O148:$U148)&gt;0,T148=""),"حالة الجاهزية",""),IF(AND(COUNTA($O148:$U148)&gt;0,U148=""),"التوصيات","")),"✓"),"✓"))))))))))</f>
        <v>✓</v>
      </c>
      <c r="E148" s="235">
        <v>46158</v>
      </c>
      <c r="F148" s="236">
        <v>0.56944444444444442</v>
      </c>
      <c r="G148" s="90" t="s">
        <v>97</v>
      </c>
      <c r="H148" s="123" t="s">
        <v>102</v>
      </c>
      <c r="I148" s="89" t="s">
        <v>124</v>
      </c>
      <c r="J148" s="142" t="s">
        <v>117</v>
      </c>
      <c r="K148" s="90" t="s">
        <v>116</v>
      </c>
      <c r="L148" s="90" t="s">
        <v>369</v>
      </c>
      <c r="M148" s="90"/>
      <c r="N148" s="89" t="s">
        <v>655</v>
      </c>
      <c r="O148" s="200"/>
      <c r="P148" s="201"/>
      <c r="Q148" s="201"/>
      <c r="R148" s="237"/>
      <c r="S148" s="202"/>
      <c r="T148" s="200"/>
      <c r="U148" s="203"/>
      <c r="V148" s="89" t="s">
        <v>823</v>
      </c>
      <c r="W148" s="89" t="s">
        <v>922</v>
      </c>
      <c r="X148" s="145" t="s">
        <v>651</v>
      </c>
      <c r="Y148" s="89" t="s">
        <v>652</v>
      </c>
      <c r="Z148" s="90" t="s">
        <v>130</v>
      </c>
      <c r="AA148" s="90" t="s">
        <v>130</v>
      </c>
      <c r="AB148" s="90" t="s">
        <v>131</v>
      </c>
      <c r="AC148" s="90" t="s">
        <v>132</v>
      </c>
      <c r="AD148" s="92" t="s">
        <v>26</v>
      </c>
      <c r="AE148" s="149">
        <f>IFERROR(VLOOKUP(Z148,LISTS!$AL$2:$AM$1000,2,FALSE()),"")</f>
        <v>100</v>
      </c>
      <c r="AF148" s="151">
        <f>IFERROR(VLOOKUP(AA148,LISTS!$AO$2:$AP$1000,2,FALSE()),"")</f>
        <v>100</v>
      </c>
      <c r="AG148" s="152">
        <f>IFERROR(VLOOKUP(AB148,LISTS!$AR$2:$AS$1000,2,FALSE()),"")</f>
        <v>100</v>
      </c>
      <c r="AH148" s="154">
        <f>IFERROR(VLOOKUP(AC148,LISTS!$AU$2:$AV$1000,2,FALSE()),"")</f>
        <v>0</v>
      </c>
      <c r="AI148" s="238">
        <f t="shared" si="13"/>
        <v>100</v>
      </c>
      <c r="AJ148" s="190" t="str">
        <f t="shared" si="14"/>
        <v>🌟 ممتاز جدًا</v>
      </c>
      <c r="AK148" s="157">
        <f t="shared" si="10"/>
        <v>5</v>
      </c>
      <c r="AL148" s="160">
        <f t="shared" si="11"/>
        <v>2026</v>
      </c>
      <c r="AM148" s="210"/>
      <c r="AN148" s="209"/>
    </row>
    <row r="149" spans="1:40" ht="27.95" customHeight="1">
      <c r="A149" s="134">
        <f>IF(I149&lt;&gt;"",COUNTA($I$2:I149),"")</f>
        <v>148</v>
      </c>
      <c r="B149" s="138" t="str">
        <f t="shared" si="12"/>
        <v>الأحد</v>
      </c>
      <c r="C149" s="93" t="str">
        <f t="array" ref="C149">IF(E149="","",IF(M149&lt;&gt;"",
M149&amp;"/"&amp;SUMPRODUCT((M$2:M149=M149)*1)&amp;" - "&amp;(ROW()-2),
"إداري/"&amp;SUMPRODUCT((M$2:M149="")*1)&amp;" - "&amp;(ROW()-2)))</f>
        <v>إداري/144 - 147</v>
      </c>
      <c r="D149" s="141" t="str">
        <f>IF(AND(G149="",H149="",I149=""),"",IF(COUNTIFS(LISTS!$A$2:$A$67,G149,LISTS!$B$2:$B$67,H149,LISTS!$C$2:$C$67,I149)=0,"✗ هرم",IF(NOT(OR(Z149="ممتاز 100%",Z149="جيد 80%",Z149="مقبول 60%",Z149="خطر 40%",Z149="")),"✗ قائمة R",IF(NOT(OR(AA149="ممتاز 100%",AA149="جيد 85%",AA149="مقبول 70%",AA149="ضعيف 50%",AA149="")),"✗ قائمة S",IF(NOT(OR(AB149="مكتمل 100%",AB149="جزئي 60%",AB149="معلق 30%",AB149="مفتوح 0%",AB149="")),"✗ قائمة T",IF(NOT(OR(AC149="لا خصم 0",AC149="تأخير −5",AC149="عجز −10",AC149="جودة −15",AC149="امتثال −20",AC149="مخالفة −25",AC149="")),"✗ قائمة U",IF(AND(X149="لا",AC149&lt;&gt;"",AC149&lt;&gt;"لا خصم 0"),"✗ خصم",IF(AND(X149="نعم",AC149="لا خصم 0"),"✗ خصم",IF(AND(Z149="ممتاز 100%",AA149="ممتاز 100%",AB149&lt;&gt;"",AB149&lt;&gt;"مكتمل 100%"),"✗ إغلاق",IFERROR(IF(LEN(_xlfn.TEXTJOIN("، ",TRUE,IF(E149="","التاريخ",""),IF(F149="","الوقت",""),IF(G149="","المركز",""),IF(H149="","الدائرة",""),IF(I149="","القسم",""),IF(J149="","المسؤول",""),IF(K149="","نوع النشاط",""),IF(L149="","المشروع",""),IF(N149="","الممول",""),IF(V149="","الموضوع",""),IF(W149="","الملاحظة",""),IF(X149="","مشكلة",""),IF(Y149="","الإجراء",""),IF(Z149="","التنفيذ",""),IF(AA149="","الجودة",""),IF(AB149="","الإغلاق",""),IF(AC149="","الخصم",""),IF(AND(COUNTA($O149:$U149)&gt;0,O149=""),"مدير المشروع",""),IF(AND(COUNTA($O149:$U149)&gt;0,P149=""),"المستفيدين",""),IF(AND(COUNTA($O149:$U149)&gt;0,Q149=""),"المناطق",""),IF(AND(COUNTA($O149:$U149)&gt;0,R149=""),"الميزانية",""),IF(AND(COUNTA($O149:$U149)&gt;0,S149=""),"نسبة الجاهزية",""),IF(AND(COUNTA($O149:$U149)&gt;0,T149=""),"حالة الجاهزية",""),IF(AND(COUNTA($O149:$U149)&gt;0,U149=""),"التوصيات","")))&gt;0,"✗ ناقص: "&amp;_xlfn.TEXTJOIN("، ",TRUE,IF(E149="","التاريخ",""),IF(F149="","الوقت",""),IF(G149="","المركز",""),IF(H149="","الدائرة",""),IF(I149="","القسم",""),IF(J149="","المسؤول",""),IF(K149="","نوع النشاط",""),IF(L149="","المشروع",""),IF(N149="","الممول",""),IF(V149="","الموضوع",""),IF(W149="","الملاحظة",""),IF(X149="","مشكلة",""),IF(Y149="","الإجراء",""),IF(Z149="","التنفيذ",""),IF(AA149="","الجودة",""),IF(AB149="","الإغلاق",""),IF(AC149="","الخصم",""),IF(AND(COUNTA($O149:$U149)&gt;0,O149=""),"مدير المشروع",""),IF(AND(COUNTA($O149:$U149)&gt;0,P149=""),"المستفيدين",""),IF(AND(COUNTA($O149:$U149)&gt;0,Q149=""),"المناطق",""),IF(AND(COUNTA($O149:$U149)&gt;0,R149=""),"الميزانية",""),IF(AND(COUNTA($O149:$U149)&gt;0,S149=""),"نسبة الجاهزية",""),IF(AND(COUNTA($O149:$U149)&gt;0,T149=""),"حالة الجاهزية",""),IF(AND(COUNTA($O149:$U149)&gt;0,U149=""),"التوصيات","")),"✓"),"✓"))))))))))</f>
        <v>✓</v>
      </c>
      <c r="E149" s="235">
        <v>46159</v>
      </c>
      <c r="F149" s="236">
        <v>0.55208333333333337</v>
      </c>
      <c r="G149" s="90" t="s">
        <v>97</v>
      </c>
      <c r="H149" s="123" t="s">
        <v>102</v>
      </c>
      <c r="I149" s="89" t="s">
        <v>124</v>
      </c>
      <c r="J149" s="142" t="s">
        <v>117</v>
      </c>
      <c r="K149" s="90" t="s">
        <v>116</v>
      </c>
      <c r="L149" s="90" t="s">
        <v>369</v>
      </c>
      <c r="M149" s="90"/>
      <c r="N149" s="89" t="s">
        <v>655</v>
      </c>
      <c r="O149" s="200"/>
      <c r="P149" s="201"/>
      <c r="Q149" s="201"/>
      <c r="R149" s="237"/>
      <c r="S149" s="202"/>
      <c r="T149" s="200"/>
      <c r="U149" s="203"/>
      <c r="V149" s="89" t="s">
        <v>823</v>
      </c>
      <c r="W149" s="89" t="s">
        <v>923</v>
      </c>
      <c r="X149" s="145" t="s">
        <v>651</v>
      </c>
      <c r="Y149" s="89" t="s">
        <v>652</v>
      </c>
      <c r="Z149" s="90" t="s">
        <v>130</v>
      </c>
      <c r="AA149" s="90" t="s">
        <v>130</v>
      </c>
      <c r="AB149" s="90" t="s">
        <v>131</v>
      </c>
      <c r="AC149" s="90" t="s">
        <v>132</v>
      </c>
      <c r="AD149" s="92" t="s">
        <v>26</v>
      </c>
      <c r="AE149" s="149">
        <f>IFERROR(VLOOKUP(Z149,LISTS!$AL$2:$AM$1000,2,FALSE()),"")</f>
        <v>100</v>
      </c>
      <c r="AF149" s="151">
        <f>IFERROR(VLOOKUP(AA149,LISTS!$AO$2:$AP$1000,2,FALSE()),"")</f>
        <v>100</v>
      </c>
      <c r="AG149" s="152">
        <f>IFERROR(VLOOKUP(AB149,LISTS!$AR$2:$AS$1000,2,FALSE()),"")</f>
        <v>100</v>
      </c>
      <c r="AH149" s="154">
        <f>IFERROR(VLOOKUP(AC149,LISTS!$AU$2:$AV$1000,2,FALSE()),"")</f>
        <v>0</v>
      </c>
      <c r="AI149" s="238">
        <f t="shared" si="13"/>
        <v>100</v>
      </c>
      <c r="AJ149" s="190" t="str">
        <f t="shared" si="14"/>
        <v>🌟 ممتاز جدًا</v>
      </c>
      <c r="AK149" s="157">
        <f t="shared" si="10"/>
        <v>5</v>
      </c>
      <c r="AL149" s="160">
        <f t="shared" si="11"/>
        <v>2026</v>
      </c>
      <c r="AM149" s="210"/>
      <c r="AN149" s="209"/>
    </row>
    <row r="150" spans="1:40" ht="27.95" customHeight="1">
      <c r="A150" s="134">
        <f>IF(I150&lt;&gt;"",COUNTA($I$2:I150),"")</f>
        <v>149</v>
      </c>
      <c r="B150" s="138" t="str">
        <f t="shared" si="12"/>
        <v>الاثنين</v>
      </c>
      <c r="C150" s="93" t="str">
        <f t="array" ref="C150">IF(E150="","",IF(M150&lt;&gt;"",
M150&amp;"/"&amp;SUMPRODUCT((M$2:M150=M150)*1)&amp;" - "&amp;(ROW()-2),
"إداري/"&amp;SUMPRODUCT((M$2:M150="")*1)&amp;" - "&amp;(ROW()-2)))</f>
        <v>إداري/145 - 148</v>
      </c>
      <c r="D150" s="141" t="str">
        <f>IF(AND(G150="",H150="",I150=""),"",IF(COUNTIFS(LISTS!$A$2:$A$67,G150,LISTS!$B$2:$B$67,H150,LISTS!$C$2:$C$67,I150)=0,"✗ هرم",IF(NOT(OR(Z150="ممتاز 100%",Z150="جيد 80%",Z150="مقبول 60%",Z150="خطر 40%",Z150="")),"✗ قائمة R",IF(NOT(OR(AA150="ممتاز 100%",AA150="جيد 85%",AA150="مقبول 70%",AA150="ضعيف 50%",AA150="")),"✗ قائمة S",IF(NOT(OR(AB150="مكتمل 100%",AB150="جزئي 60%",AB150="معلق 30%",AB150="مفتوح 0%",AB150="")),"✗ قائمة T",IF(NOT(OR(AC150="لا خصم 0",AC150="تأخير −5",AC150="عجز −10",AC150="جودة −15",AC150="امتثال −20",AC150="مخالفة −25",AC150="")),"✗ قائمة U",IF(AND(X150="لا",AC150&lt;&gt;"",AC150&lt;&gt;"لا خصم 0"),"✗ خصم",IF(AND(X150="نعم",AC150="لا خصم 0"),"✗ خصم",IF(AND(Z150="ممتاز 100%",AA150="ممتاز 100%",AB150&lt;&gt;"",AB150&lt;&gt;"مكتمل 100%"),"✗ إغلاق",IFERROR(IF(LEN(_xlfn.TEXTJOIN("، ",TRUE,IF(E150="","التاريخ",""),IF(F150="","الوقت",""),IF(G150="","المركز",""),IF(H150="","الدائرة",""),IF(I150="","القسم",""),IF(J150="","المسؤول",""),IF(K150="","نوع النشاط",""),IF(L150="","المشروع",""),IF(N150="","الممول",""),IF(V150="","الموضوع",""),IF(W150="","الملاحظة",""),IF(X150="","مشكلة",""),IF(Y150="","الإجراء",""),IF(Z150="","التنفيذ",""),IF(AA150="","الجودة",""),IF(AB150="","الإغلاق",""),IF(AC150="","الخصم",""),IF(AND(COUNTA($O150:$U150)&gt;0,O150=""),"مدير المشروع",""),IF(AND(COUNTA($O150:$U150)&gt;0,P150=""),"المستفيدين",""),IF(AND(COUNTA($O150:$U150)&gt;0,Q150=""),"المناطق",""),IF(AND(COUNTA($O150:$U150)&gt;0,R150=""),"الميزانية",""),IF(AND(COUNTA($O150:$U150)&gt;0,S150=""),"نسبة الجاهزية",""),IF(AND(COUNTA($O150:$U150)&gt;0,T150=""),"حالة الجاهزية",""),IF(AND(COUNTA($O150:$U150)&gt;0,U150=""),"التوصيات","")))&gt;0,"✗ ناقص: "&amp;_xlfn.TEXTJOIN("، ",TRUE,IF(E150="","التاريخ",""),IF(F150="","الوقت",""),IF(G150="","المركز",""),IF(H150="","الدائرة",""),IF(I150="","القسم",""),IF(J150="","المسؤول",""),IF(K150="","نوع النشاط",""),IF(L150="","المشروع",""),IF(N150="","الممول",""),IF(V150="","الموضوع",""),IF(W150="","الملاحظة",""),IF(X150="","مشكلة",""),IF(Y150="","الإجراء",""),IF(Z150="","التنفيذ",""),IF(AA150="","الجودة",""),IF(AB150="","الإغلاق",""),IF(AC150="","الخصم",""),IF(AND(COUNTA($O150:$U150)&gt;0,O150=""),"مدير المشروع",""),IF(AND(COUNTA($O150:$U150)&gt;0,P150=""),"المستفيدين",""),IF(AND(COUNTA($O150:$U150)&gt;0,Q150=""),"المناطق",""),IF(AND(COUNTA($O150:$U150)&gt;0,R150=""),"الميزانية",""),IF(AND(COUNTA($O150:$U150)&gt;0,S150=""),"نسبة الجاهزية",""),IF(AND(COUNTA($O150:$U150)&gt;0,T150=""),"حالة الجاهزية",""),IF(AND(COUNTA($O150:$U150)&gt;0,U150=""),"التوصيات","")),"✓"),"✓"))))))))))</f>
        <v>✓</v>
      </c>
      <c r="E150" s="235">
        <v>46160</v>
      </c>
      <c r="F150" s="236">
        <v>0.5625</v>
      </c>
      <c r="G150" s="90" t="s">
        <v>97</v>
      </c>
      <c r="H150" s="123" t="s">
        <v>102</v>
      </c>
      <c r="I150" s="89" t="s">
        <v>124</v>
      </c>
      <c r="J150" s="142" t="s">
        <v>117</v>
      </c>
      <c r="K150" s="90" t="s">
        <v>116</v>
      </c>
      <c r="L150" s="90" t="s">
        <v>369</v>
      </c>
      <c r="M150" s="90"/>
      <c r="N150" s="89" t="s">
        <v>655</v>
      </c>
      <c r="O150" s="200"/>
      <c r="P150" s="201"/>
      <c r="Q150" s="201"/>
      <c r="R150" s="237"/>
      <c r="S150" s="202"/>
      <c r="T150" s="200"/>
      <c r="U150" s="203"/>
      <c r="V150" s="89" t="s">
        <v>823</v>
      </c>
      <c r="W150" s="89" t="s">
        <v>924</v>
      </c>
      <c r="X150" s="145" t="s">
        <v>651</v>
      </c>
      <c r="Y150" s="89" t="s">
        <v>652</v>
      </c>
      <c r="Z150" s="90" t="s">
        <v>130</v>
      </c>
      <c r="AA150" s="90" t="s">
        <v>130</v>
      </c>
      <c r="AB150" s="90" t="s">
        <v>131</v>
      </c>
      <c r="AC150" s="90" t="s">
        <v>132</v>
      </c>
      <c r="AD150" s="92" t="s">
        <v>26</v>
      </c>
      <c r="AE150" s="149">
        <f>IFERROR(VLOOKUP(Z150,LISTS!$AL$2:$AM$1000,2,FALSE()),"")</f>
        <v>100</v>
      </c>
      <c r="AF150" s="151">
        <f>IFERROR(VLOOKUP(AA150,LISTS!$AO$2:$AP$1000,2,FALSE()),"")</f>
        <v>100</v>
      </c>
      <c r="AG150" s="152">
        <f>IFERROR(VLOOKUP(AB150,LISTS!$AR$2:$AS$1000,2,FALSE()),"")</f>
        <v>100</v>
      </c>
      <c r="AH150" s="154">
        <f>IFERROR(VLOOKUP(AC150,LISTS!$AU$2:$AV$1000,2,FALSE()),"")</f>
        <v>0</v>
      </c>
      <c r="AI150" s="238">
        <f t="shared" si="13"/>
        <v>100</v>
      </c>
      <c r="AJ150" s="190" t="str">
        <f t="shared" si="14"/>
        <v>🌟 ممتاز جدًا</v>
      </c>
      <c r="AK150" s="157">
        <f t="shared" si="10"/>
        <v>5</v>
      </c>
      <c r="AL150" s="160">
        <f t="shared" si="11"/>
        <v>2026</v>
      </c>
      <c r="AM150" s="210"/>
      <c r="AN150" s="209"/>
    </row>
    <row r="151" spans="1:40" ht="27.95" customHeight="1">
      <c r="A151" s="134">
        <f>IF(I151&lt;&gt;"",COUNTA($I$2:I151),"")</f>
        <v>150</v>
      </c>
      <c r="B151" s="138" t="str">
        <f t="shared" si="12"/>
        <v>الاثنين</v>
      </c>
      <c r="C151" s="93" t="str">
        <f t="array" ref="C151">IF(E151="","",IF(M151&lt;&gt;"",
M151&amp;"/"&amp;SUMPRODUCT((M$2:M151=M151)*1)&amp;" - "&amp;(ROW()-2),
"إداري/"&amp;SUMPRODUCT((M$2:M151="")*1)&amp;" - "&amp;(ROW()-2)))</f>
        <v>إداري/146 - 149</v>
      </c>
      <c r="D151" s="141" t="str">
        <f>IF(AND(G151="",H151="",I151=""),"",IF(COUNTIFS(LISTS!$A$2:$A$67,G151,LISTS!$B$2:$B$67,H151,LISTS!$C$2:$C$67,I151)=0,"✗ هرم",IF(NOT(OR(Z151="ممتاز 100%",Z151="جيد 80%",Z151="مقبول 60%",Z151="خطر 40%",Z151="")),"✗ قائمة R",IF(NOT(OR(AA151="ممتاز 100%",AA151="جيد 85%",AA151="مقبول 70%",AA151="ضعيف 50%",AA151="")),"✗ قائمة S",IF(NOT(OR(AB151="مكتمل 100%",AB151="جزئي 60%",AB151="معلق 30%",AB151="مفتوح 0%",AB151="")),"✗ قائمة T",IF(NOT(OR(AC151="لا خصم 0",AC151="تأخير −5",AC151="عجز −10",AC151="جودة −15",AC151="امتثال −20",AC151="مخالفة −25",AC151="")),"✗ قائمة U",IF(AND(X151="لا",AC151&lt;&gt;"",AC151&lt;&gt;"لا خصم 0"),"✗ خصم",IF(AND(X151="نعم",AC151="لا خصم 0"),"✗ خصم",IF(AND(Z151="ممتاز 100%",AA151="ممتاز 100%",AB151&lt;&gt;"",AB151&lt;&gt;"مكتمل 100%"),"✗ إغلاق",IFERROR(IF(LEN(_xlfn.TEXTJOIN("، ",TRUE,IF(E151="","التاريخ",""),IF(F151="","الوقت",""),IF(G151="","المركز",""),IF(H151="","الدائرة",""),IF(I151="","القسم",""),IF(J151="","المسؤول",""),IF(K151="","نوع النشاط",""),IF(L151="","المشروع",""),IF(N151="","الممول",""),IF(V151="","الموضوع",""),IF(W151="","الملاحظة",""),IF(X151="","مشكلة",""),IF(Y151="","الإجراء",""),IF(Z151="","التنفيذ",""),IF(AA151="","الجودة",""),IF(AB151="","الإغلاق",""),IF(AC151="","الخصم",""),IF(AND(COUNTA($O151:$U151)&gt;0,O151=""),"مدير المشروع",""),IF(AND(COUNTA($O151:$U151)&gt;0,P151=""),"المستفيدين",""),IF(AND(COUNTA($O151:$U151)&gt;0,Q151=""),"المناطق",""),IF(AND(COUNTA($O151:$U151)&gt;0,R151=""),"الميزانية",""),IF(AND(COUNTA($O151:$U151)&gt;0,S151=""),"نسبة الجاهزية",""),IF(AND(COUNTA($O151:$U151)&gt;0,T151=""),"حالة الجاهزية",""),IF(AND(COUNTA($O151:$U151)&gt;0,U151=""),"التوصيات","")))&gt;0,"✗ ناقص: "&amp;_xlfn.TEXTJOIN("، ",TRUE,IF(E151="","التاريخ",""),IF(F151="","الوقت",""),IF(G151="","المركز",""),IF(H151="","الدائرة",""),IF(I151="","القسم",""),IF(J151="","المسؤول",""),IF(K151="","نوع النشاط",""),IF(L151="","المشروع",""),IF(N151="","الممول",""),IF(V151="","الموضوع",""),IF(W151="","الملاحظة",""),IF(X151="","مشكلة",""),IF(Y151="","الإجراء",""),IF(Z151="","التنفيذ",""),IF(AA151="","الجودة",""),IF(AB151="","الإغلاق",""),IF(AC151="","الخصم",""),IF(AND(COUNTA($O151:$U151)&gt;0,O151=""),"مدير المشروع",""),IF(AND(COUNTA($O151:$U151)&gt;0,P151=""),"المستفيدين",""),IF(AND(COUNTA($O151:$U151)&gt;0,Q151=""),"المناطق",""),IF(AND(COUNTA($O151:$U151)&gt;0,R151=""),"الميزانية",""),IF(AND(COUNTA($O151:$U151)&gt;0,S151=""),"نسبة الجاهزية",""),IF(AND(COUNTA($O151:$U151)&gt;0,T151=""),"حالة الجاهزية",""),IF(AND(COUNTA($O151:$U151)&gt;0,U151=""),"التوصيات","")),"✓"),"✓"))))))))))</f>
        <v>✗ ناقص: الوقت، المشروع، الممول</v>
      </c>
      <c r="E151" s="235">
        <v>46160</v>
      </c>
      <c r="F151" s="236"/>
      <c r="G151" s="90" t="s">
        <v>97</v>
      </c>
      <c r="H151" s="123" t="s">
        <v>103</v>
      </c>
      <c r="I151" s="89" t="s">
        <v>160</v>
      </c>
      <c r="J151" s="142" t="s">
        <v>254</v>
      </c>
      <c r="K151" s="90" t="s">
        <v>169</v>
      </c>
      <c r="L151" s="90"/>
      <c r="M151" s="90"/>
      <c r="N151" s="89"/>
      <c r="O151" s="200"/>
      <c r="P151" s="201"/>
      <c r="Q151" s="201"/>
      <c r="R151" s="237"/>
      <c r="S151" s="202"/>
      <c r="T151" s="200"/>
      <c r="U151" s="203"/>
      <c r="V151" s="89" t="s">
        <v>897</v>
      </c>
      <c r="W151" s="89" t="s">
        <v>925</v>
      </c>
      <c r="X151" s="145" t="s">
        <v>647</v>
      </c>
      <c r="Y151" s="89" t="s">
        <v>666</v>
      </c>
      <c r="Z151" s="90" t="s">
        <v>165</v>
      </c>
      <c r="AA151" s="90" t="s">
        <v>166</v>
      </c>
      <c r="AB151" s="90" t="s">
        <v>131</v>
      </c>
      <c r="AC151" s="90" t="s">
        <v>206</v>
      </c>
      <c r="AD151" s="92" t="s">
        <v>134</v>
      </c>
      <c r="AE151" s="149">
        <f>IFERROR(VLOOKUP(Z151,LISTS!$AL$2:$AM$1000,2,FALSE()),"")</f>
        <v>80</v>
      </c>
      <c r="AF151" s="151">
        <f>IFERROR(VLOOKUP(AA151,LISTS!$AO$2:$AP$1000,2,FALSE()),"")</f>
        <v>70</v>
      </c>
      <c r="AG151" s="152">
        <f>IFERROR(VLOOKUP(AB151,LISTS!$AR$2:$AS$1000,2,FALSE()),"")</f>
        <v>100</v>
      </c>
      <c r="AH151" s="154">
        <f>IFERROR(VLOOKUP(AC151,LISTS!$AU$2:$AV$1000,2,FALSE()),"")</f>
        <v>15</v>
      </c>
      <c r="AI151" s="238">
        <f t="shared" si="13"/>
        <v>68</v>
      </c>
      <c r="AJ151" s="190" t="str">
        <f t="shared" si="14"/>
        <v>🟡 مقبول</v>
      </c>
      <c r="AK151" s="157">
        <f t="shared" si="10"/>
        <v>5</v>
      </c>
      <c r="AL151" s="160">
        <f t="shared" si="11"/>
        <v>2026</v>
      </c>
      <c r="AM151" s="210"/>
      <c r="AN151" s="209"/>
    </row>
    <row r="152" spans="1:40" ht="27.95" customHeight="1">
      <c r="A152" s="134">
        <f>IF(I152&lt;&gt;"",COUNTA($I$2:I152),"")</f>
        <v>151</v>
      </c>
      <c r="B152" s="138" t="str">
        <f t="shared" si="12"/>
        <v>الثلاثاء</v>
      </c>
      <c r="C152" s="93" t="str">
        <f t="array" ref="C152">IF(E152="","",IF(M152&lt;&gt;"",
M152&amp;"/"&amp;SUMPRODUCT((M$2:M152=M152)*1)&amp;" - "&amp;(ROW()-2),
"إداري/"&amp;SUMPRODUCT((M$2:M152="")*1)&amp;" - "&amp;(ROW()-2)))</f>
        <v>إداري/147 - 150</v>
      </c>
      <c r="D152" s="141" t="str">
        <f>IF(AND(G152="",H152="",I152=""),"",IF(COUNTIFS(LISTS!$A$2:$A$67,G152,LISTS!$B$2:$B$67,H152,LISTS!$C$2:$C$67,I152)=0,"✗ هرم",IF(NOT(OR(Z152="ممتاز 100%",Z152="جيد 80%",Z152="مقبول 60%",Z152="خطر 40%",Z152="")),"✗ قائمة R",IF(NOT(OR(AA152="ممتاز 100%",AA152="جيد 85%",AA152="مقبول 70%",AA152="ضعيف 50%",AA152="")),"✗ قائمة S",IF(NOT(OR(AB152="مكتمل 100%",AB152="جزئي 60%",AB152="معلق 30%",AB152="مفتوح 0%",AB152="")),"✗ قائمة T",IF(NOT(OR(AC152="لا خصم 0",AC152="تأخير −5",AC152="عجز −10",AC152="جودة −15",AC152="امتثال −20",AC152="مخالفة −25",AC152="")),"✗ قائمة U",IF(AND(X152="لا",AC152&lt;&gt;"",AC152&lt;&gt;"لا خصم 0"),"✗ خصم",IF(AND(X152="نعم",AC152="لا خصم 0"),"✗ خصم",IF(AND(Z152="ممتاز 100%",AA152="ممتاز 100%",AB152&lt;&gt;"",AB152&lt;&gt;"مكتمل 100%"),"✗ إغلاق",IFERROR(IF(LEN(_xlfn.TEXTJOIN("، ",TRUE,IF(E152="","التاريخ",""),IF(F152="","الوقت",""),IF(G152="","المركز",""),IF(H152="","الدائرة",""),IF(I152="","القسم",""),IF(J152="","المسؤول",""),IF(K152="","نوع النشاط",""),IF(L152="","المشروع",""),IF(N152="","الممول",""),IF(V152="","الموضوع",""),IF(W152="","الملاحظة",""),IF(X152="","مشكلة",""),IF(Y152="","الإجراء",""),IF(Z152="","التنفيذ",""),IF(AA152="","الجودة",""),IF(AB152="","الإغلاق",""),IF(AC152="","الخصم",""),IF(AND(COUNTA($O152:$U152)&gt;0,O152=""),"مدير المشروع",""),IF(AND(COUNTA($O152:$U152)&gt;0,P152=""),"المستفيدين",""),IF(AND(COUNTA($O152:$U152)&gt;0,Q152=""),"المناطق",""),IF(AND(COUNTA($O152:$U152)&gt;0,R152=""),"الميزانية",""),IF(AND(COUNTA($O152:$U152)&gt;0,S152=""),"نسبة الجاهزية",""),IF(AND(COUNTA($O152:$U152)&gt;0,T152=""),"حالة الجاهزية",""),IF(AND(COUNTA($O152:$U152)&gt;0,U152=""),"التوصيات","")))&gt;0,"✗ ناقص: "&amp;_xlfn.TEXTJOIN("، ",TRUE,IF(E152="","التاريخ",""),IF(F152="","الوقت",""),IF(G152="","المركز",""),IF(H152="","الدائرة",""),IF(I152="","القسم",""),IF(J152="","المسؤول",""),IF(K152="","نوع النشاط",""),IF(L152="","المشروع",""),IF(N152="","الممول",""),IF(V152="","الموضوع",""),IF(W152="","الملاحظة",""),IF(X152="","مشكلة",""),IF(Y152="","الإجراء",""),IF(Z152="","التنفيذ",""),IF(AA152="","الجودة",""),IF(AB152="","الإغلاق",""),IF(AC152="","الخصم",""),IF(AND(COUNTA($O152:$U152)&gt;0,O152=""),"مدير المشروع",""),IF(AND(COUNTA($O152:$U152)&gt;0,P152=""),"المستفيدين",""),IF(AND(COUNTA($O152:$U152)&gt;0,Q152=""),"المناطق",""),IF(AND(COUNTA($O152:$U152)&gt;0,R152=""),"الميزانية",""),IF(AND(COUNTA($O152:$U152)&gt;0,S152=""),"نسبة الجاهزية",""),IF(AND(COUNTA($O152:$U152)&gt;0,T152=""),"حالة الجاهزية",""),IF(AND(COUNTA($O152:$U152)&gt;0,U152=""),"التوصيات","")),"✓"),"✓"))))))))))</f>
        <v>✓</v>
      </c>
      <c r="E152" s="235">
        <v>46161</v>
      </c>
      <c r="F152" s="236">
        <v>0.54861111111111116</v>
      </c>
      <c r="G152" s="90" t="s">
        <v>97</v>
      </c>
      <c r="H152" s="123" t="s">
        <v>102</v>
      </c>
      <c r="I152" s="89" t="s">
        <v>124</v>
      </c>
      <c r="J152" s="142" t="s">
        <v>117</v>
      </c>
      <c r="K152" s="90" t="s">
        <v>116</v>
      </c>
      <c r="L152" s="90" t="s">
        <v>369</v>
      </c>
      <c r="M152" s="90"/>
      <c r="N152" s="89" t="s">
        <v>655</v>
      </c>
      <c r="O152" s="200"/>
      <c r="P152" s="201"/>
      <c r="Q152" s="201"/>
      <c r="R152" s="237"/>
      <c r="S152" s="202"/>
      <c r="T152" s="200"/>
      <c r="U152" s="203"/>
      <c r="V152" s="89" t="s">
        <v>823</v>
      </c>
      <c r="W152" s="89" t="s">
        <v>926</v>
      </c>
      <c r="X152" s="145" t="s">
        <v>651</v>
      </c>
      <c r="Y152" s="89" t="s">
        <v>652</v>
      </c>
      <c r="Z152" s="90" t="s">
        <v>130</v>
      </c>
      <c r="AA152" s="90" t="s">
        <v>130</v>
      </c>
      <c r="AB152" s="90" t="s">
        <v>131</v>
      </c>
      <c r="AC152" s="90" t="s">
        <v>132</v>
      </c>
      <c r="AD152" s="92" t="s">
        <v>26</v>
      </c>
      <c r="AE152" s="149">
        <f>IFERROR(VLOOKUP(Z152,LISTS!$AL$2:$AM$1000,2,FALSE()),"")</f>
        <v>100</v>
      </c>
      <c r="AF152" s="151">
        <f>IFERROR(VLOOKUP(AA152,LISTS!$AO$2:$AP$1000,2,FALSE()),"")</f>
        <v>100</v>
      </c>
      <c r="AG152" s="152">
        <f>IFERROR(VLOOKUP(AB152,LISTS!$AR$2:$AS$1000,2,FALSE()),"")</f>
        <v>100</v>
      </c>
      <c r="AH152" s="154">
        <f>IFERROR(VLOOKUP(AC152,LISTS!$AU$2:$AV$1000,2,FALSE()),"")</f>
        <v>0</v>
      </c>
      <c r="AI152" s="238">
        <f t="shared" si="13"/>
        <v>100</v>
      </c>
      <c r="AJ152" s="190" t="str">
        <f t="shared" si="14"/>
        <v>🌟 ممتاز جدًا</v>
      </c>
      <c r="AK152" s="157">
        <f t="shared" si="10"/>
        <v>5</v>
      </c>
      <c r="AL152" s="160">
        <f t="shared" si="11"/>
        <v>2026</v>
      </c>
      <c r="AM152" s="210"/>
      <c r="AN152" s="209"/>
    </row>
    <row r="153" spans="1:40" ht="27.95" customHeight="1">
      <c r="A153" s="134">
        <f>IF(I153&lt;&gt;"",COUNTA($I$2:I153),"")</f>
        <v>152</v>
      </c>
      <c r="B153" s="138" t="str">
        <f t="shared" si="12"/>
        <v>الثلاثاء</v>
      </c>
      <c r="C153" s="93" t="str">
        <f t="array" ref="C153">IF(E153="","",IF(M153&lt;&gt;"",
M153&amp;"/"&amp;SUMPRODUCT((M$2:M153=M153)*1)&amp;" - "&amp;(ROW()-2),
"إداري/"&amp;SUMPRODUCT((M$2:M153="")*1)&amp;" - "&amp;(ROW()-2)))</f>
        <v>إداري/148 - 151</v>
      </c>
      <c r="D153" s="141" t="str">
        <f>IF(AND(G153="",H153="",I153=""),"",IF(COUNTIFS(LISTS!$A$2:$A$67,G153,LISTS!$B$2:$B$67,H153,LISTS!$C$2:$C$67,I153)=0,"✗ هرم",IF(NOT(OR(Z153="ممتاز 100%",Z153="جيد 80%",Z153="مقبول 60%",Z153="خطر 40%",Z153="")),"✗ قائمة R",IF(NOT(OR(AA153="ممتاز 100%",AA153="جيد 85%",AA153="مقبول 70%",AA153="ضعيف 50%",AA153="")),"✗ قائمة S",IF(NOT(OR(AB153="مكتمل 100%",AB153="جزئي 60%",AB153="معلق 30%",AB153="مفتوح 0%",AB153="")),"✗ قائمة T",IF(NOT(OR(AC153="لا خصم 0",AC153="تأخير −5",AC153="عجز −10",AC153="جودة −15",AC153="امتثال −20",AC153="مخالفة −25",AC153="")),"✗ قائمة U",IF(AND(X153="لا",AC153&lt;&gt;"",AC153&lt;&gt;"لا خصم 0"),"✗ خصم",IF(AND(X153="نعم",AC153="لا خصم 0"),"✗ خصم",IF(AND(Z153="ممتاز 100%",AA153="ممتاز 100%",AB153&lt;&gt;"",AB153&lt;&gt;"مكتمل 100%"),"✗ إغلاق",IFERROR(IF(LEN(_xlfn.TEXTJOIN("، ",TRUE,IF(E153="","التاريخ",""),IF(F153="","الوقت",""),IF(G153="","المركز",""),IF(H153="","الدائرة",""),IF(I153="","القسم",""),IF(J153="","المسؤول",""),IF(K153="","نوع النشاط",""),IF(L153="","المشروع",""),IF(N153="","الممول",""),IF(V153="","الموضوع",""),IF(W153="","الملاحظة",""),IF(X153="","مشكلة",""),IF(Y153="","الإجراء",""),IF(Z153="","التنفيذ",""),IF(AA153="","الجودة",""),IF(AB153="","الإغلاق",""),IF(AC153="","الخصم",""),IF(AND(COUNTA($O153:$U153)&gt;0,O153=""),"مدير المشروع",""),IF(AND(COUNTA($O153:$U153)&gt;0,P153=""),"المستفيدين",""),IF(AND(COUNTA($O153:$U153)&gt;0,Q153=""),"المناطق",""),IF(AND(COUNTA($O153:$U153)&gt;0,R153=""),"الميزانية",""),IF(AND(COUNTA($O153:$U153)&gt;0,S153=""),"نسبة الجاهزية",""),IF(AND(COUNTA($O153:$U153)&gt;0,T153=""),"حالة الجاهزية",""),IF(AND(COUNTA($O153:$U153)&gt;0,U153=""),"التوصيات","")))&gt;0,"✗ ناقص: "&amp;_xlfn.TEXTJOIN("، ",TRUE,IF(E153="","التاريخ",""),IF(F153="","الوقت",""),IF(G153="","المركز",""),IF(H153="","الدائرة",""),IF(I153="","القسم",""),IF(J153="","المسؤول",""),IF(K153="","نوع النشاط",""),IF(L153="","المشروع",""),IF(N153="","الممول",""),IF(V153="","الموضوع",""),IF(W153="","الملاحظة",""),IF(X153="","مشكلة",""),IF(Y153="","الإجراء",""),IF(Z153="","التنفيذ",""),IF(AA153="","الجودة",""),IF(AB153="","الإغلاق",""),IF(AC153="","الخصم",""),IF(AND(COUNTA($O153:$U153)&gt;0,O153=""),"مدير المشروع",""),IF(AND(COUNTA($O153:$U153)&gt;0,P153=""),"المستفيدين",""),IF(AND(COUNTA($O153:$U153)&gt;0,Q153=""),"المناطق",""),IF(AND(COUNTA($O153:$U153)&gt;0,R153=""),"الميزانية",""),IF(AND(COUNTA($O153:$U153)&gt;0,S153=""),"نسبة الجاهزية",""),IF(AND(COUNTA($O153:$U153)&gt;0,T153=""),"حالة الجاهزية",""),IF(AND(COUNTA($O153:$U153)&gt;0,U153=""),"التوصيات","")),"✓"),"✓"))))))))))</f>
        <v>✗ ناقص: الممول</v>
      </c>
      <c r="E153" s="235">
        <v>46161</v>
      </c>
      <c r="F153" s="236">
        <v>0.47916666666666669</v>
      </c>
      <c r="G153" s="90" t="s">
        <v>97</v>
      </c>
      <c r="H153" s="123" t="s">
        <v>102</v>
      </c>
      <c r="I153" s="89" t="s">
        <v>124</v>
      </c>
      <c r="J153" s="142" t="s">
        <v>117</v>
      </c>
      <c r="K153" s="90" t="s">
        <v>116</v>
      </c>
      <c r="L153" s="90" t="s">
        <v>324</v>
      </c>
      <c r="M153" s="90"/>
      <c r="N153" s="89"/>
      <c r="O153" s="200"/>
      <c r="P153" s="201"/>
      <c r="Q153" s="201"/>
      <c r="R153" s="237"/>
      <c r="S153" s="202"/>
      <c r="T153" s="200"/>
      <c r="U153" s="203"/>
      <c r="V153" s="89" t="s">
        <v>927</v>
      </c>
      <c r="W153" s="89" t="s">
        <v>928</v>
      </c>
      <c r="X153" s="145" t="s">
        <v>651</v>
      </c>
      <c r="Y153" s="89" t="s">
        <v>652</v>
      </c>
      <c r="Z153" s="90" t="s">
        <v>130</v>
      </c>
      <c r="AA153" s="90" t="s">
        <v>130</v>
      </c>
      <c r="AB153" s="90" t="s">
        <v>131</v>
      </c>
      <c r="AC153" s="90" t="s">
        <v>132</v>
      </c>
      <c r="AD153" s="92" t="s">
        <v>26</v>
      </c>
      <c r="AE153" s="149">
        <f>IFERROR(VLOOKUP(Z153,LISTS!$AL$2:$AM$1000,2,FALSE()),"")</f>
        <v>100</v>
      </c>
      <c r="AF153" s="151">
        <f>IFERROR(VLOOKUP(AA153,LISTS!$AO$2:$AP$1000,2,FALSE()),"")</f>
        <v>100</v>
      </c>
      <c r="AG153" s="152">
        <f>IFERROR(VLOOKUP(AB153,LISTS!$AR$2:$AS$1000,2,FALSE()),"")</f>
        <v>100</v>
      </c>
      <c r="AH153" s="154">
        <f>IFERROR(VLOOKUP(AC153,LISTS!$AU$2:$AV$1000,2,FALSE()),"")</f>
        <v>0</v>
      </c>
      <c r="AI153" s="238">
        <f t="shared" si="13"/>
        <v>100</v>
      </c>
      <c r="AJ153" s="190" t="str">
        <f t="shared" si="14"/>
        <v>🌟 ممتاز جدًا</v>
      </c>
      <c r="AK153" s="157">
        <f t="shared" si="10"/>
        <v>5</v>
      </c>
      <c r="AL153" s="160">
        <f t="shared" si="11"/>
        <v>2026</v>
      </c>
      <c r="AM153" s="210"/>
      <c r="AN153" s="209"/>
    </row>
    <row r="154" spans="1:40" ht="27.95" customHeight="1">
      <c r="A154" s="134">
        <f>IF(I154&lt;&gt;"",COUNTA($I$2:I154),"")</f>
        <v>153</v>
      </c>
      <c r="B154" s="138" t="str">
        <f t="shared" si="12"/>
        <v>الثلاثاء</v>
      </c>
      <c r="C154" s="93" t="str">
        <f t="array" ref="C154">IF(E154="","",IF(M154&lt;&gt;"",
M154&amp;"/"&amp;SUMPRODUCT((M$2:M154=M154)*1)&amp;" - "&amp;(ROW()-2),
"إداري/"&amp;SUMPRODUCT((M$2:M154="")*1)&amp;" - "&amp;(ROW()-2)))</f>
        <v>إداري/149 - 152</v>
      </c>
      <c r="D154" s="141" t="str">
        <f>IF(AND(G154="",H154="",I154=""),"",IF(COUNTIFS(LISTS!$A$2:$A$67,G154,LISTS!$B$2:$B$67,H154,LISTS!$C$2:$C$67,I154)=0,"✗ هرم",IF(NOT(OR(Z154="ممتاز 100%",Z154="جيد 80%",Z154="مقبول 60%",Z154="خطر 40%",Z154="")),"✗ قائمة R",IF(NOT(OR(AA154="ممتاز 100%",AA154="جيد 85%",AA154="مقبول 70%",AA154="ضعيف 50%",AA154="")),"✗ قائمة S",IF(NOT(OR(AB154="مكتمل 100%",AB154="جزئي 60%",AB154="معلق 30%",AB154="مفتوح 0%",AB154="")),"✗ قائمة T",IF(NOT(OR(AC154="لا خصم 0",AC154="تأخير −5",AC154="عجز −10",AC154="جودة −15",AC154="امتثال −20",AC154="مخالفة −25",AC154="")),"✗ قائمة U",IF(AND(X154="لا",AC154&lt;&gt;"",AC154&lt;&gt;"لا خصم 0"),"✗ خصم",IF(AND(X154="نعم",AC154="لا خصم 0"),"✗ خصم",IF(AND(Z154="ممتاز 100%",AA154="ممتاز 100%",AB154&lt;&gt;"",AB154&lt;&gt;"مكتمل 100%"),"✗ إغلاق",IFERROR(IF(LEN(_xlfn.TEXTJOIN("، ",TRUE,IF(E154="","التاريخ",""),IF(F154="","الوقت",""),IF(G154="","المركز",""),IF(H154="","الدائرة",""),IF(I154="","القسم",""),IF(J154="","المسؤول",""),IF(K154="","نوع النشاط",""),IF(L154="","المشروع",""),IF(N154="","الممول",""),IF(V154="","الموضوع",""),IF(W154="","الملاحظة",""),IF(X154="","مشكلة",""),IF(Y154="","الإجراء",""),IF(Z154="","التنفيذ",""),IF(AA154="","الجودة",""),IF(AB154="","الإغلاق",""),IF(AC154="","الخصم",""),IF(AND(COUNTA($O154:$U154)&gt;0,O154=""),"مدير المشروع",""),IF(AND(COUNTA($O154:$U154)&gt;0,P154=""),"المستفيدين",""),IF(AND(COUNTA($O154:$U154)&gt;0,Q154=""),"المناطق",""),IF(AND(COUNTA($O154:$U154)&gt;0,R154=""),"الميزانية",""),IF(AND(COUNTA($O154:$U154)&gt;0,S154=""),"نسبة الجاهزية",""),IF(AND(COUNTA($O154:$U154)&gt;0,T154=""),"حالة الجاهزية",""),IF(AND(COUNTA($O154:$U154)&gt;0,U154=""),"التوصيات","")))&gt;0,"✗ ناقص: "&amp;_xlfn.TEXTJOIN("، ",TRUE,IF(E154="","التاريخ",""),IF(F154="","الوقت",""),IF(G154="","المركز",""),IF(H154="","الدائرة",""),IF(I154="","القسم",""),IF(J154="","المسؤول",""),IF(K154="","نوع النشاط",""),IF(L154="","المشروع",""),IF(N154="","الممول",""),IF(V154="","الموضوع",""),IF(W154="","الملاحظة",""),IF(X154="","مشكلة",""),IF(Y154="","الإجراء",""),IF(Z154="","التنفيذ",""),IF(AA154="","الجودة",""),IF(AB154="","الإغلاق",""),IF(AC154="","الخصم",""),IF(AND(COUNTA($O154:$U154)&gt;0,O154=""),"مدير المشروع",""),IF(AND(COUNTA($O154:$U154)&gt;0,P154=""),"المستفيدين",""),IF(AND(COUNTA($O154:$U154)&gt;0,Q154=""),"المناطق",""),IF(AND(COUNTA($O154:$U154)&gt;0,R154=""),"الميزانية",""),IF(AND(COUNTA($O154:$U154)&gt;0,S154=""),"نسبة الجاهزية",""),IF(AND(COUNTA($O154:$U154)&gt;0,T154=""),"حالة الجاهزية",""),IF(AND(COUNTA($O154:$U154)&gt;0,U154=""),"التوصيات","")),"✓"),"✓"))))))))))</f>
        <v>✗ ناقص: الممول</v>
      </c>
      <c r="E154" s="235">
        <v>46161</v>
      </c>
      <c r="F154" s="236">
        <v>0.45833333333333331</v>
      </c>
      <c r="G154" s="90" t="s">
        <v>97</v>
      </c>
      <c r="H154" s="123" t="s">
        <v>101</v>
      </c>
      <c r="I154" s="89" t="s">
        <v>123</v>
      </c>
      <c r="J154" s="142" t="s">
        <v>186</v>
      </c>
      <c r="K154" s="90" t="s">
        <v>116</v>
      </c>
      <c r="L154" s="90" t="s">
        <v>324</v>
      </c>
      <c r="M154" s="90"/>
      <c r="N154" s="89"/>
      <c r="O154" s="200"/>
      <c r="P154" s="201"/>
      <c r="Q154" s="201"/>
      <c r="R154" s="237"/>
      <c r="S154" s="202"/>
      <c r="T154" s="200"/>
      <c r="U154" s="203"/>
      <c r="V154" s="89" t="s">
        <v>929</v>
      </c>
      <c r="W154" s="89" t="s">
        <v>930</v>
      </c>
      <c r="X154" s="145" t="s">
        <v>651</v>
      </c>
      <c r="Y154" s="89" t="s">
        <v>652</v>
      </c>
      <c r="Z154" s="90" t="s">
        <v>130</v>
      </c>
      <c r="AA154" s="90" t="s">
        <v>130</v>
      </c>
      <c r="AB154" s="90" t="s">
        <v>131</v>
      </c>
      <c r="AC154" s="90" t="s">
        <v>132</v>
      </c>
      <c r="AD154" s="92" t="s">
        <v>26</v>
      </c>
      <c r="AE154" s="149">
        <f>IFERROR(VLOOKUP(Z154,LISTS!$AL$2:$AM$1000,2,FALSE()),"")</f>
        <v>100</v>
      </c>
      <c r="AF154" s="151">
        <f>IFERROR(VLOOKUP(AA154,LISTS!$AO$2:$AP$1000,2,FALSE()),"")</f>
        <v>100</v>
      </c>
      <c r="AG154" s="152">
        <f>IFERROR(VLOOKUP(AB154,LISTS!$AR$2:$AS$1000,2,FALSE()),"")</f>
        <v>100</v>
      </c>
      <c r="AH154" s="154">
        <f>IFERROR(VLOOKUP(AC154,LISTS!$AU$2:$AV$1000,2,FALSE()),"")</f>
        <v>0</v>
      </c>
      <c r="AI154" s="238">
        <f t="shared" si="13"/>
        <v>100</v>
      </c>
      <c r="AJ154" s="190" t="str">
        <f t="shared" si="14"/>
        <v>🌟 ممتاز جدًا</v>
      </c>
      <c r="AK154" s="157">
        <f t="shared" si="10"/>
        <v>5</v>
      </c>
      <c r="AL154" s="160">
        <f t="shared" si="11"/>
        <v>2026</v>
      </c>
      <c r="AM154" s="210"/>
      <c r="AN154" s="209"/>
    </row>
    <row r="155" spans="1:40" ht="27.95" customHeight="1">
      <c r="A155" s="134">
        <f>IF(I155&lt;&gt;"",COUNTA($I$2:I155),"")</f>
        <v>154</v>
      </c>
      <c r="B155" s="138" t="str">
        <f t="shared" si="12"/>
        <v>الثلاثاء</v>
      </c>
      <c r="C155" s="93" t="str">
        <f t="array" ref="C155">IF(E155="","",IF(M155&lt;&gt;"",
M155&amp;"/"&amp;SUMPRODUCT((M$2:M155=M155)*1)&amp;" - "&amp;(ROW()-2),
"إداري/"&amp;SUMPRODUCT((M$2:M155="")*1)&amp;" - "&amp;(ROW()-2)))</f>
        <v>إداري/150 - 153</v>
      </c>
      <c r="D155" s="141" t="str">
        <f>IF(AND(G155="",H155="",I155=""),"",IF(COUNTIFS(LISTS!$A$2:$A$67,G155,LISTS!$B$2:$B$67,H155,LISTS!$C$2:$C$67,I155)=0,"✗ هرم",IF(NOT(OR(Z155="ممتاز 100%",Z155="جيد 80%",Z155="مقبول 60%",Z155="خطر 40%",Z155="")),"✗ قائمة R",IF(NOT(OR(AA155="ممتاز 100%",AA155="جيد 85%",AA155="مقبول 70%",AA155="ضعيف 50%",AA155="")),"✗ قائمة S",IF(NOT(OR(AB155="مكتمل 100%",AB155="جزئي 60%",AB155="معلق 30%",AB155="مفتوح 0%",AB155="")),"✗ قائمة T",IF(NOT(OR(AC155="لا خصم 0",AC155="تأخير −5",AC155="عجز −10",AC155="جودة −15",AC155="امتثال −20",AC155="مخالفة −25",AC155="")),"✗ قائمة U",IF(AND(X155="لا",AC155&lt;&gt;"",AC155&lt;&gt;"لا خصم 0"),"✗ خصم",IF(AND(X155="نعم",AC155="لا خصم 0"),"✗ خصم",IF(AND(Z155="ممتاز 100%",AA155="ممتاز 100%",AB155&lt;&gt;"",AB155&lt;&gt;"مكتمل 100%"),"✗ إغلاق",IFERROR(IF(LEN(_xlfn.TEXTJOIN("، ",TRUE,IF(E155="","التاريخ",""),IF(F155="","الوقت",""),IF(G155="","المركز",""),IF(H155="","الدائرة",""),IF(I155="","القسم",""),IF(J155="","المسؤول",""),IF(K155="","نوع النشاط",""),IF(L155="","المشروع",""),IF(N155="","الممول",""),IF(V155="","الموضوع",""),IF(W155="","الملاحظة",""),IF(X155="","مشكلة",""),IF(Y155="","الإجراء",""),IF(Z155="","التنفيذ",""),IF(AA155="","الجودة",""),IF(AB155="","الإغلاق",""),IF(AC155="","الخصم",""),IF(AND(COUNTA($O155:$U155)&gt;0,O155=""),"مدير المشروع",""),IF(AND(COUNTA($O155:$U155)&gt;0,P155=""),"المستفيدين",""),IF(AND(COUNTA($O155:$U155)&gt;0,Q155=""),"المناطق",""),IF(AND(COUNTA($O155:$U155)&gt;0,R155=""),"الميزانية",""),IF(AND(COUNTA($O155:$U155)&gt;0,S155=""),"نسبة الجاهزية",""),IF(AND(COUNTA($O155:$U155)&gt;0,T155=""),"حالة الجاهزية",""),IF(AND(COUNTA($O155:$U155)&gt;0,U155=""),"التوصيات","")))&gt;0,"✗ ناقص: "&amp;_xlfn.TEXTJOIN("، ",TRUE,IF(E155="","التاريخ",""),IF(F155="","الوقت",""),IF(G155="","المركز",""),IF(H155="","الدائرة",""),IF(I155="","القسم",""),IF(J155="","المسؤول",""),IF(K155="","نوع النشاط",""),IF(L155="","المشروع",""),IF(N155="","الممول",""),IF(V155="","الموضوع",""),IF(W155="","الملاحظة",""),IF(X155="","مشكلة",""),IF(Y155="","الإجراء",""),IF(Z155="","التنفيذ",""),IF(AA155="","الجودة",""),IF(AB155="","الإغلاق",""),IF(AC155="","الخصم",""),IF(AND(COUNTA($O155:$U155)&gt;0,O155=""),"مدير المشروع",""),IF(AND(COUNTA($O155:$U155)&gt;0,P155=""),"المستفيدين",""),IF(AND(COUNTA($O155:$U155)&gt;0,Q155=""),"المناطق",""),IF(AND(COUNTA($O155:$U155)&gt;0,R155=""),"الميزانية",""),IF(AND(COUNTA($O155:$U155)&gt;0,S155=""),"نسبة الجاهزية",""),IF(AND(COUNTA($O155:$U155)&gt;0,T155=""),"حالة الجاهزية",""),IF(AND(COUNTA($O155:$U155)&gt;0,U155=""),"التوصيات","")),"✓"),"✓"))))))))))</f>
        <v>✓</v>
      </c>
      <c r="E155" s="235">
        <v>46161</v>
      </c>
      <c r="F155" s="236">
        <v>0.57291666666666663</v>
      </c>
      <c r="G155" s="90" t="s">
        <v>97</v>
      </c>
      <c r="H155" s="123" t="s">
        <v>102</v>
      </c>
      <c r="I155" s="89" t="s">
        <v>191</v>
      </c>
      <c r="J155" s="142" t="s">
        <v>154</v>
      </c>
      <c r="K155" s="90" t="s">
        <v>116</v>
      </c>
      <c r="L155" s="90" t="s">
        <v>118</v>
      </c>
      <c r="M155" s="90"/>
      <c r="N155" s="89" t="s">
        <v>120</v>
      </c>
      <c r="O155" s="200"/>
      <c r="P155" s="201"/>
      <c r="Q155" s="201"/>
      <c r="R155" s="237"/>
      <c r="S155" s="202"/>
      <c r="T155" s="200"/>
      <c r="U155" s="203"/>
      <c r="V155" s="89" t="s">
        <v>931</v>
      </c>
      <c r="W155" s="89" t="s">
        <v>932</v>
      </c>
      <c r="X155" s="145" t="s">
        <v>651</v>
      </c>
      <c r="Y155" s="89" t="s">
        <v>652</v>
      </c>
      <c r="Z155" s="90" t="s">
        <v>130</v>
      </c>
      <c r="AA155" s="90" t="s">
        <v>149</v>
      </c>
      <c r="AB155" s="90" t="s">
        <v>131</v>
      </c>
      <c r="AC155" s="90" t="s">
        <v>132</v>
      </c>
      <c r="AD155" s="92" t="s">
        <v>26</v>
      </c>
      <c r="AE155" s="149">
        <f>IFERROR(VLOOKUP(Z155,LISTS!$AL$2:$AM$1000,2,FALSE()),"")</f>
        <v>100</v>
      </c>
      <c r="AF155" s="151">
        <f>IFERROR(VLOOKUP(AA155,LISTS!$AO$2:$AP$1000,2,FALSE()),"")</f>
        <v>85</v>
      </c>
      <c r="AG155" s="152">
        <f>IFERROR(VLOOKUP(AB155,LISTS!$AR$2:$AS$1000,2,FALSE()),"")</f>
        <v>100</v>
      </c>
      <c r="AH155" s="154">
        <f>IFERROR(VLOOKUP(AC155,LISTS!$AU$2:$AV$1000,2,FALSE()),"")</f>
        <v>0</v>
      </c>
      <c r="AI155" s="238">
        <f t="shared" si="13"/>
        <v>95.5</v>
      </c>
      <c r="AJ155" s="190" t="str">
        <f t="shared" si="14"/>
        <v>⭐ ممتاز</v>
      </c>
      <c r="AK155" s="157">
        <f t="shared" si="10"/>
        <v>5</v>
      </c>
      <c r="AL155" s="160">
        <f t="shared" si="11"/>
        <v>2026</v>
      </c>
      <c r="AM155" s="210"/>
      <c r="AN155" s="209"/>
    </row>
    <row r="156" spans="1:40" ht="27.95" customHeight="1">
      <c r="A156" s="134">
        <f>IF(I156&lt;&gt;"",COUNTA($I$2:I156),"")</f>
        <v>155</v>
      </c>
      <c r="B156" s="138" t="str">
        <f t="shared" si="12"/>
        <v>الثلاثاء</v>
      </c>
      <c r="C156" s="93" t="str">
        <f t="array" ref="C156">IF(E156="","",IF(M156&lt;&gt;"",
M156&amp;"/"&amp;SUMPRODUCT((M$2:M156=M156)*1)&amp;" - "&amp;(ROW()-2),
"إداري/"&amp;SUMPRODUCT((M$2:M156="")*1)&amp;" - "&amp;(ROW()-2)))</f>
        <v>إداري/151 - 154</v>
      </c>
      <c r="D156" s="141" t="str">
        <f>IF(AND(G156="",H156="",I156=""),"",IF(COUNTIFS(LISTS!$A$2:$A$67,G156,LISTS!$B$2:$B$67,H156,LISTS!$C$2:$C$67,I156)=0,"✗ هرم",IF(NOT(OR(Z156="ممتاز 100%",Z156="جيد 80%",Z156="مقبول 60%",Z156="خطر 40%",Z156="")),"✗ قائمة R",IF(NOT(OR(AA156="ممتاز 100%",AA156="جيد 85%",AA156="مقبول 70%",AA156="ضعيف 50%",AA156="")),"✗ قائمة S",IF(NOT(OR(AB156="مكتمل 100%",AB156="جزئي 60%",AB156="معلق 30%",AB156="مفتوح 0%",AB156="")),"✗ قائمة T",IF(NOT(OR(AC156="لا خصم 0",AC156="تأخير −5",AC156="عجز −10",AC156="جودة −15",AC156="امتثال −20",AC156="مخالفة −25",AC156="")),"✗ قائمة U",IF(AND(X156="لا",AC156&lt;&gt;"",AC156&lt;&gt;"لا خصم 0"),"✗ خصم",IF(AND(X156="نعم",AC156="لا خصم 0"),"✗ خصم",IF(AND(Z156="ممتاز 100%",AA156="ممتاز 100%",AB156&lt;&gt;"",AB156&lt;&gt;"مكتمل 100%"),"✗ إغلاق",IFERROR(IF(LEN(_xlfn.TEXTJOIN("، ",TRUE,IF(E156="","التاريخ",""),IF(F156="","الوقت",""),IF(G156="","المركز",""),IF(H156="","الدائرة",""),IF(I156="","القسم",""),IF(J156="","المسؤول",""),IF(K156="","نوع النشاط",""),IF(L156="","المشروع",""),IF(N156="","الممول",""),IF(V156="","الموضوع",""),IF(W156="","الملاحظة",""),IF(X156="","مشكلة",""),IF(Y156="","الإجراء",""),IF(Z156="","التنفيذ",""),IF(AA156="","الجودة",""),IF(AB156="","الإغلاق",""),IF(AC156="","الخصم",""),IF(AND(COUNTA($O156:$U156)&gt;0,O156=""),"مدير المشروع",""),IF(AND(COUNTA($O156:$U156)&gt;0,P156=""),"المستفيدين",""),IF(AND(COUNTA($O156:$U156)&gt;0,Q156=""),"المناطق",""),IF(AND(COUNTA($O156:$U156)&gt;0,R156=""),"الميزانية",""),IF(AND(COUNTA($O156:$U156)&gt;0,S156=""),"نسبة الجاهزية",""),IF(AND(COUNTA($O156:$U156)&gt;0,T156=""),"حالة الجاهزية",""),IF(AND(COUNTA($O156:$U156)&gt;0,U156=""),"التوصيات","")))&gt;0,"✗ ناقص: "&amp;_xlfn.TEXTJOIN("، ",TRUE,IF(E156="","التاريخ",""),IF(F156="","الوقت",""),IF(G156="","المركز",""),IF(H156="","الدائرة",""),IF(I156="","القسم",""),IF(J156="","المسؤول",""),IF(K156="","نوع النشاط",""),IF(L156="","المشروع",""),IF(N156="","الممول",""),IF(V156="","الموضوع",""),IF(W156="","الملاحظة",""),IF(X156="","مشكلة",""),IF(Y156="","الإجراء",""),IF(Z156="","التنفيذ",""),IF(AA156="","الجودة",""),IF(AB156="","الإغلاق",""),IF(AC156="","الخصم",""),IF(AND(COUNTA($O156:$U156)&gt;0,O156=""),"مدير المشروع",""),IF(AND(COUNTA($O156:$U156)&gt;0,P156=""),"المستفيدين",""),IF(AND(COUNTA($O156:$U156)&gt;0,Q156=""),"المناطق",""),IF(AND(COUNTA($O156:$U156)&gt;0,R156=""),"الميزانية",""),IF(AND(COUNTA($O156:$U156)&gt;0,S156=""),"نسبة الجاهزية",""),IF(AND(COUNTA($O156:$U156)&gt;0,T156=""),"حالة الجاهزية",""),IF(AND(COUNTA($O156:$U156)&gt;0,U156=""),"التوصيات","")),"✓"),"✓"))))))))))</f>
        <v>✗ ناقص: المسؤول، الممول</v>
      </c>
      <c r="E156" s="235">
        <v>46161</v>
      </c>
      <c r="F156" s="236">
        <v>0.45833333333333331</v>
      </c>
      <c r="G156" s="90" t="s">
        <v>97</v>
      </c>
      <c r="H156" s="123" t="s">
        <v>102</v>
      </c>
      <c r="I156" s="89" t="s">
        <v>220</v>
      </c>
      <c r="J156" s="142"/>
      <c r="K156" s="90" t="s">
        <v>116</v>
      </c>
      <c r="L156" s="90" t="s">
        <v>324</v>
      </c>
      <c r="M156" s="90"/>
      <c r="N156" s="89"/>
      <c r="O156" s="200"/>
      <c r="P156" s="201"/>
      <c r="Q156" s="201"/>
      <c r="R156" s="237"/>
      <c r="S156" s="202"/>
      <c r="T156" s="200"/>
      <c r="U156" s="203"/>
      <c r="V156" s="89" t="s">
        <v>933</v>
      </c>
      <c r="W156" s="89" t="s">
        <v>934</v>
      </c>
      <c r="X156" s="145" t="s">
        <v>651</v>
      </c>
      <c r="Y156" s="89" t="s">
        <v>652</v>
      </c>
      <c r="Z156" s="90" t="s">
        <v>130</v>
      </c>
      <c r="AA156" s="90" t="s">
        <v>130</v>
      </c>
      <c r="AB156" s="90" t="s">
        <v>131</v>
      </c>
      <c r="AC156" s="90" t="s">
        <v>132</v>
      </c>
      <c r="AD156" s="92" t="s">
        <v>26</v>
      </c>
      <c r="AE156" s="149">
        <f>IFERROR(VLOOKUP(Z156,LISTS!$AL$2:$AM$1000,2,FALSE()),"")</f>
        <v>100</v>
      </c>
      <c r="AF156" s="151">
        <f>IFERROR(VLOOKUP(AA156,LISTS!$AO$2:$AP$1000,2,FALSE()),"")</f>
        <v>100</v>
      </c>
      <c r="AG156" s="152">
        <f>IFERROR(VLOOKUP(AB156,LISTS!$AR$2:$AS$1000,2,FALSE()),"")</f>
        <v>100</v>
      </c>
      <c r="AH156" s="154">
        <f>IFERROR(VLOOKUP(AC156,LISTS!$AU$2:$AV$1000,2,FALSE()),"")</f>
        <v>0</v>
      </c>
      <c r="AI156" s="238">
        <f t="shared" si="13"/>
        <v>100</v>
      </c>
      <c r="AJ156" s="190" t="str">
        <f t="shared" si="14"/>
        <v>🌟 ممتاز جدًا</v>
      </c>
      <c r="AK156" s="157">
        <f t="shared" si="10"/>
        <v>5</v>
      </c>
      <c r="AL156" s="160">
        <f t="shared" si="11"/>
        <v>2026</v>
      </c>
      <c r="AM156" s="210"/>
      <c r="AN156" s="209"/>
    </row>
    <row r="157" spans="1:40" ht="27.95" customHeight="1">
      <c r="A157" s="134">
        <f>IF(I157&lt;&gt;"",COUNTA($I$2:I157),"")</f>
        <v>156</v>
      </c>
      <c r="B157" s="138" t="str">
        <f t="shared" si="12"/>
        <v>الثلاثاء</v>
      </c>
      <c r="C157" s="93" t="str">
        <f t="array" ref="C157">IF(E157="","",IF(M157&lt;&gt;"",
M157&amp;"/"&amp;SUMPRODUCT((M$2:M157=M157)*1)&amp;" - "&amp;(ROW()-2),
"إداري/"&amp;SUMPRODUCT((M$2:M157="")*1)&amp;" - "&amp;(ROW()-2)))</f>
        <v>إداري/152 - 155</v>
      </c>
      <c r="D157" s="141" t="str">
        <f>IF(AND(G157="",H157="",I157=""),"",IF(COUNTIFS(LISTS!$A$2:$A$67,G157,LISTS!$B$2:$B$67,H157,LISTS!$C$2:$C$67,I157)=0,"✗ هرم",IF(NOT(OR(Z157="ممتاز 100%",Z157="جيد 80%",Z157="مقبول 60%",Z157="خطر 40%",Z157="")),"✗ قائمة R",IF(NOT(OR(AA157="ممتاز 100%",AA157="جيد 85%",AA157="مقبول 70%",AA157="ضعيف 50%",AA157="")),"✗ قائمة S",IF(NOT(OR(AB157="مكتمل 100%",AB157="جزئي 60%",AB157="معلق 30%",AB157="مفتوح 0%",AB157="")),"✗ قائمة T",IF(NOT(OR(AC157="لا خصم 0",AC157="تأخير −5",AC157="عجز −10",AC157="جودة −15",AC157="امتثال −20",AC157="مخالفة −25",AC157="")),"✗ قائمة U",IF(AND(X157="لا",AC157&lt;&gt;"",AC157&lt;&gt;"لا خصم 0"),"✗ خصم",IF(AND(X157="نعم",AC157="لا خصم 0"),"✗ خصم",IF(AND(Z157="ممتاز 100%",AA157="ممتاز 100%",AB157&lt;&gt;"",AB157&lt;&gt;"مكتمل 100%"),"✗ إغلاق",IFERROR(IF(LEN(_xlfn.TEXTJOIN("، ",TRUE,IF(E157="","التاريخ",""),IF(F157="","الوقت",""),IF(G157="","المركز",""),IF(H157="","الدائرة",""),IF(I157="","القسم",""),IF(J157="","المسؤول",""),IF(K157="","نوع النشاط",""),IF(L157="","المشروع",""),IF(N157="","الممول",""),IF(V157="","الموضوع",""),IF(W157="","الملاحظة",""),IF(X157="","مشكلة",""),IF(Y157="","الإجراء",""),IF(Z157="","التنفيذ",""),IF(AA157="","الجودة",""),IF(AB157="","الإغلاق",""),IF(AC157="","الخصم",""),IF(AND(COUNTA($O157:$U157)&gt;0,O157=""),"مدير المشروع",""),IF(AND(COUNTA($O157:$U157)&gt;0,P157=""),"المستفيدين",""),IF(AND(COUNTA($O157:$U157)&gt;0,Q157=""),"المناطق",""),IF(AND(COUNTA($O157:$U157)&gt;0,R157=""),"الميزانية",""),IF(AND(COUNTA($O157:$U157)&gt;0,S157=""),"نسبة الجاهزية",""),IF(AND(COUNTA($O157:$U157)&gt;0,T157=""),"حالة الجاهزية",""),IF(AND(COUNTA($O157:$U157)&gt;0,U157=""),"التوصيات","")))&gt;0,"✗ ناقص: "&amp;_xlfn.TEXTJOIN("، ",TRUE,IF(E157="","التاريخ",""),IF(F157="","الوقت",""),IF(G157="","المركز",""),IF(H157="","الدائرة",""),IF(I157="","القسم",""),IF(J157="","المسؤول",""),IF(K157="","نوع النشاط",""),IF(L157="","المشروع",""),IF(N157="","الممول",""),IF(V157="","الموضوع",""),IF(W157="","الملاحظة",""),IF(X157="","مشكلة",""),IF(Y157="","الإجراء",""),IF(Z157="","التنفيذ",""),IF(AA157="","الجودة",""),IF(AB157="","الإغلاق",""),IF(AC157="","الخصم",""),IF(AND(COUNTA($O157:$U157)&gt;0,O157=""),"مدير المشروع",""),IF(AND(COUNTA($O157:$U157)&gt;0,P157=""),"المستفيدين",""),IF(AND(COUNTA($O157:$U157)&gt;0,Q157=""),"المناطق",""),IF(AND(COUNTA($O157:$U157)&gt;0,R157=""),"الميزانية",""),IF(AND(COUNTA($O157:$U157)&gt;0,S157=""),"نسبة الجاهزية",""),IF(AND(COUNTA($O157:$U157)&gt;0,T157=""),"حالة الجاهزية",""),IF(AND(COUNTA($O157:$U157)&gt;0,U157=""),"التوصيات","")),"✓"),"✓"))))))))))</f>
        <v>✗ ناقص: الممول</v>
      </c>
      <c r="E157" s="235">
        <v>46161</v>
      </c>
      <c r="F157" s="236">
        <v>0.45833333333333331</v>
      </c>
      <c r="G157" s="90" t="s">
        <v>97</v>
      </c>
      <c r="H157" s="123" t="s">
        <v>104</v>
      </c>
      <c r="I157" s="89" t="s">
        <v>177</v>
      </c>
      <c r="J157" s="142" t="s">
        <v>223</v>
      </c>
      <c r="K157" s="90" t="s">
        <v>133</v>
      </c>
      <c r="L157" s="90" t="s">
        <v>369</v>
      </c>
      <c r="M157" s="90"/>
      <c r="N157" s="89"/>
      <c r="O157" s="200"/>
      <c r="P157" s="201"/>
      <c r="Q157" s="201"/>
      <c r="R157" s="237"/>
      <c r="S157" s="202"/>
      <c r="T157" s="200"/>
      <c r="U157" s="203"/>
      <c r="V157" s="89" t="s">
        <v>935</v>
      </c>
      <c r="W157" s="89" t="s">
        <v>936</v>
      </c>
      <c r="X157" s="145" t="s">
        <v>647</v>
      </c>
      <c r="Y157" s="89" t="s">
        <v>666</v>
      </c>
      <c r="Z157" s="90" t="s">
        <v>148</v>
      </c>
      <c r="AA157" s="90" t="s">
        <v>166</v>
      </c>
      <c r="AB157" s="90" t="s">
        <v>131</v>
      </c>
      <c r="AC157" s="90" t="s">
        <v>206</v>
      </c>
      <c r="AD157" s="92" t="s">
        <v>134</v>
      </c>
      <c r="AE157" s="149">
        <f>IFERROR(VLOOKUP(Z157,LISTS!$AL$2:$AM$1000,2,FALSE()),"")</f>
        <v>60</v>
      </c>
      <c r="AF157" s="151">
        <f>IFERROR(VLOOKUP(AA157,LISTS!$AO$2:$AP$1000,2,FALSE()),"")</f>
        <v>70</v>
      </c>
      <c r="AG157" s="152">
        <f>IFERROR(VLOOKUP(AB157,LISTS!$AR$2:$AS$1000,2,FALSE()),"")</f>
        <v>100</v>
      </c>
      <c r="AH157" s="154">
        <f>IFERROR(VLOOKUP(AC157,LISTS!$AU$2:$AV$1000,2,FALSE()),"")</f>
        <v>15</v>
      </c>
      <c r="AI157" s="238">
        <f t="shared" si="13"/>
        <v>60</v>
      </c>
      <c r="AJ157" s="190" t="str">
        <f t="shared" si="14"/>
        <v>🟡 مقبول</v>
      </c>
      <c r="AK157" s="157">
        <f t="shared" si="10"/>
        <v>5</v>
      </c>
      <c r="AL157" s="160">
        <f t="shared" si="11"/>
        <v>2026</v>
      </c>
      <c r="AM157" s="210"/>
      <c r="AN157" s="209"/>
    </row>
    <row r="158" spans="1:40" ht="27.95" customHeight="1">
      <c r="A158" s="134">
        <f>IF(I158&lt;&gt;"",COUNTA($I$2:I158),"")</f>
        <v>157</v>
      </c>
      <c r="B158" s="138" t="str">
        <f t="shared" si="12"/>
        <v>الأربعاء</v>
      </c>
      <c r="C158" s="93" t="str">
        <f t="array" ref="C158">IF(E158="","",IF(M158&lt;&gt;"",
M158&amp;"/"&amp;SUMPRODUCT((M$2:M158=M158)*1)&amp;" - "&amp;(ROW()-2),
"إداري/"&amp;SUMPRODUCT((M$2:M158="")*1)&amp;" - "&amp;(ROW()-2)))</f>
        <v>إداري/153 - 156</v>
      </c>
      <c r="D158" s="141" t="str">
        <f>IF(AND(G158="",H158="",I158=""),"",IF(COUNTIFS(LISTS!$A$2:$A$67,G158,LISTS!$B$2:$B$67,H158,LISTS!$C$2:$C$67,I158)=0,"✗ هرم",IF(NOT(OR(Z158="ممتاز 100%",Z158="جيد 80%",Z158="مقبول 60%",Z158="خطر 40%",Z158="")),"✗ قائمة R",IF(NOT(OR(AA158="ممتاز 100%",AA158="جيد 85%",AA158="مقبول 70%",AA158="ضعيف 50%",AA158="")),"✗ قائمة S",IF(NOT(OR(AB158="مكتمل 100%",AB158="جزئي 60%",AB158="معلق 30%",AB158="مفتوح 0%",AB158="")),"✗ قائمة T",IF(NOT(OR(AC158="لا خصم 0",AC158="تأخير −5",AC158="عجز −10",AC158="جودة −15",AC158="امتثال −20",AC158="مخالفة −25",AC158="")),"✗ قائمة U",IF(AND(X158="لا",AC158&lt;&gt;"",AC158&lt;&gt;"لا خصم 0"),"✗ خصم",IF(AND(X158="نعم",AC158="لا خصم 0"),"✗ خصم",IF(AND(Z158="ممتاز 100%",AA158="ممتاز 100%",AB158&lt;&gt;"",AB158&lt;&gt;"مكتمل 100%"),"✗ إغلاق",IFERROR(IF(LEN(_xlfn.TEXTJOIN("، ",TRUE,IF(E158="","التاريخ",""),IF(F158="","الوقت",""),IF(G158="","المركز",""),IF(H158="","الدائرة",""),IF(I158="","القسم",""),IF(J158="","المسؤول",""),IF(K158="","نوع النشاط",""),IF(L158="","المشروع",""),IF(N158="","الممول",""),IF(V158="","الموضوع",""),IF(W158="","الملاحظة",""),IF(X158="","مشكلة",""),IF(Y158="","الإجراء",""),IF(Z158="","التنفيذ",""),IF(AA158="","الجودة",""),IF(AB158="","الإغلاق",""),IF(AC158="","الخصم",""),IF(AND(COUNTA($O158:$U158)&gt;0,O158=""),"مدير المشروع",""),IF(AND(COUNTA($O158:$U158)&gt;0,P158=""),"المستفيدين",""),IF(AND(COUNTA($O158:$U158)&gt;0,Q158=""),"المناطق",""),IF(AND(COUNTA($O158:$U158)&gt;0,R158=""),"الميزانية",""),IF(AND(COUNTA($O158:$U158)&gt;0,S158=""),"نسبة الجاهزية",""),IF(AND(COUNTA($O158:$U158)&gt;0,T158=""),"حالة الجاهزية",""),IF(AND(COUNTA($O158:$U158)&gt;0,U158=""),"التوصيات","")))&gt;0,"✗ ناقص: "&amp;_xlfn.TEXTJOIN("، ",TRUE,IF(E158="","التاريخ",""),IF(F158="","الوقت",""),IF(G158="","المركز",""),IF(H158="","الدائرة",""),IF(I158="","القسم",""),IF(J158="","المسؤول",""),IF(K158="","نوع النشاط",""),IF(L158="","المشروع",""),IF(N158="","الممول",""),IF(V158="","الموضوع",""),IF(W158="","الملاحظة",""),IF(X158="","مشكلة",""),IF(Y158="","الإجراء",""),IF(Z158="","التنفيذ",""),IF(AA158="","الجودة",""),IF(AB158="","الإغلاق",""),IF(AC158="","الخصم",""),IF(AND(COUNTA($O158:$U158)&gt;0,O158=""),"مدير المشروع",""),IF(AND(COUNTA($O158:$U158)&gt;0,P158=""),"المستفيدين",""),IF(AND(COUNTA($O158:$U158)&gt;0,Q158=""),"المناطق",""),IF(AND(COUNTA($O158:$U158)&gt;0,R158=""),"الميزانية",""),IF(AND(COUNTA($O158:$U158)&gt;0,S158=""),"نسبة الجاهزية",""),IF(AND(COUNTA($O158:$U158)&gt;0,T158=""),"حالة الجاهزية",""),IF(AND(COUNTA($O158:$U158)&gt;0,U158=""),"التوصيات","")),"✓"),"✓"))))))))))</f>
        <v>✓</v>
      </c>
      <c r="E158" s="235">
        <v>46162</v>
      </c>
      <c r="F158" s="236">
        <v>0.56944444444444442</v>
      </c>
      <c r="G158" s="90" t="s">
        <v>97</v>
      </c>
      <c r="H158" s="123" t="s">
        <v>102</v>
      </c>
      <c r="I158" s="89" t="s">
        <v>124</v>
      </c>
      <c r="J158" s="142" t="s">
        <v>117</v>
      </c>
      <c r="K158" s="90" t="s">
        <v>116</v>
      </c>
      <c r="L158" s="90" t="s">
        <v>369</v>
      </c>
      <c r="M158" s="90"/>
      <c r="N158" s="89" t="s">
        <v>655</v>
      </c>
      <c r="O158" s="200"/>
      <c r="P158" s="201"/>
      <c r="Q158" s="201"/>
      <c r="R158" s="237"/>
      <c r="S158" s="202"/>
      <c r="T158" s="200"/>
      <c r="U158" s="203"/>
      <c r="V158" s="89" t="s">
        <v>823</v>
      </c>
      <c r="W158" s="89" t="s">
        <v>937</v>
      </c>
      <c r="X158" s="145" t="s">
        <v>651</v>
      </c>
      <c r="Y158" s="89" t="s">
        <v>652</v>
      </c>
      <c r="Z158" s="90" t="s">
        <v>130</v>
      </c>
      <c r="AA158" s="90" t="s">
        <v>130</v>
      </c>
      <c r="AB158" s="90" t="s">
        <v>131</v>
      </c>
      <c r="AC158" s="90" t="s">
        <v>132</v>
      </c>
      <c r="AD158" s="92" t="s">
        <v>26</v>
      </c>
      <c r="AE158" s="149">
        <f>IFERROR(VLOOKUP(Z158,LISTS!$AL$2:$AM$1000,2,FALSE()),"")</f>
        <v>100</v>
      </c>
      <c r="AF158" s="151">
        <f>IFERROR(VLOOKUP(AA158,LISTS!$AO$2:$AP$1000,2,FALSE()),"")</f>
        <v>100</v>
      </c>
      <c r="AG158" s="152">
        <f>IFERROR(VLOOKUP(AB158,LISTS!$AR$2:$AS$1000,2,FALSE()),"")</f>
        <v>100</v>
      </c>
      <c r="AH158" s="154">
        <f>IFERROR(VLOOKUP(AC158,LISTS!$AU$2:$AV$1000,2,FALSE()),"")</f>
        <v>0</v>
      </c>
      <c r="AI158" s="238">
        <f t="shared" si="13"/>
        <v>100</v>
      </c>
      <c r="AJ158" s="190" t="str">
        <f t="shared" si="14"/>
        <v>🌟 ممتاز جدًا</v>
      </c>
      <c r="AK158" s="157">
        <f t="shared" ref="AK158:AK221" si="15">IF(E158="","",MONTH(E158))</f>
        <v>5</v>
      </c>
      <c r="AL158" s="160">
        <f t="shared" ref="AL158:AL221" si="16">IF(E158="","",YEAR(E158))</f>
        <v>2026</v>
      </c>
      <c r="AM158" s="210"/>
      <c r="AN158" s="209"/>
    </row>
    <row r="159" spans="1:40" ht="27.95" customHeight="1">
      <c r="A159" s="134">
        <f>IF(I159&lt;&gt;"",COUNTA($I$2:I159),"")</f>
        <v>158</v>
      </c>
      <c r="B159" s="138" t="str">
        <f t="shared" ref="B159:B222" si="17">IF(E159="","",CHOOSE(WEEKDAY(E159,2),"الاثنين","الثلاثاء","الأربعاء","الخميس","الجمعة","السبت","الأحد"))</f>
        <v>الأربعاء</v>
      </c>
      <c r="C159" s="93" t="str">
        <f t="array" ref="C159">IF(E159="","",IF(M159&lt;&gt;"",
M159&amp;"/"&amp;SUMPRODUCT((M$2:M159=M159)*1)&amp;" - "&amp;(ROW()-2),
"إداري/"&amp;SUMPRODUCT((M$2:M159="")*1)&amp;" - "&amp;(ROW()-2)))</f>
        <v>إداري/154 - 157</v>
      </c>
      <c r="D159" s="141" t="str">
        <f>IF(AND(G159="",H159="",I159=""),"",IF(COUNTIFS(LISTS!$A$2:$A$67,G159,LISTS!$B$2:$B$67,H159,LISTS!$C$2:$C$67,I159)=0,"✗ هرم",IF(NOT(OR(Z159="ممتاز 100%",Z159="جيد 80%",Z159="مقبول 60%",Z159="خطر 40%",Z159="")),"✗ قائمة R",IF(NOT(OR(AA159="ممتاز 100%",AA159="جيد 85%",AA159="مقبول 70%",AA159="ضعيف 50%",AA159="")),"✗ قائمة S",IF(NOT(OR(AB159="مكتمل 100%",AB159="جزئي 60%",AB159="معلق 30%",AB159="مفتوح 0%",AB159="")),"✗ قائمة T",IF(NOT(OR(AC159="لا خصم 0",AC159="تأخير −5",AC159="عجز −10",AC159="جودة −15",AC159="امتثال −20",AC159="مخالفة −25",AC159="")),"✗ قائمة U",IF(AND(X159="لا",AC159&lt;&gt;"",AC159&lt;&gt;"لا خصم 0"),"✗ خصم",IF(AND(X159="نعم",AC159="لا خصم 0"),"✗ خصم",IF(AND(Z159="ممتاز 100%",AA159="ممتاز 100%",AB159&lt;&gt;"",AB159&lt;&gt;"مكتمل 100%"),"✗ إغلاق",IFERROR(IF(LEN(_xlfn.TEXTJOIN("، ",TRUE,IF(E159="","التاريخ",""),IF(F159="","الوقت",""),IF(G159="","المركز",""),IF(H159="","الدائرة",""),IF(I159="","القسم",""),IF(J159="","المسؤول",""),IF(K159="","نوع النشاط",""),IF(L159="","المشروع",""),IF(N159="","الممول",""),IF(V159="","الموضوع",""),IF(W159="","الملاحظة",""),IF(X159="","مشكلة",""),IF(Y159="","الإجراء",""),IF(Z159="","التنفيذ",""),IF(AA159="","الجودة",""),IF(AB159="","الإغلاق",""),IF(AC159="","الخصم",""),IF(AND(COUNTA($O159:$U159)&gt;0,O159=""),"مدير المشروع",""),IF(AND(COUNTA($O159:$U159)&gt;0,P159=""),"المستفيدين",""),IF(AND(COUNTA($O159:$U159)&gt;0,Q159=""),"المناطق",""),IF(AND(COUNTA($O159:$U159)&gt;0,R159=""),"الميزانية",""),IF(AND(COUNTA($O159:$U159)&gt;0,S159=""),"نسبة الجاهزية",""),IF(AND(COUNTA($O159:$U159)&gt;0,T159=""),"حالة الجاهزية",""),IF(AND(COUNTA($O159:$U159)&gt;0,U159=""),"التوصيات","")))&gt;0,"✗ ناقص: "&amp;_xlfn.TEXTJOIN("، ",TRUE,IF(E159="","التاريخ",""),IF(F159="","الوقت",""),IF(G159="","المركز",""),IF(H159="","الدائرة",""),IF(I159="","القسم",""),IF(J159="","المسؤول",""),IF(K159="","نوع النشاط",""),IF(L159="","المشروع",""),IF(N159="","الممول",""),IF(V159="","الموضوع",""),IF(W159="","الملاحظة",""),IF(X159="","مشكلة",""),IF(Y159="","الإجراء",""),IF(Z159="","التنفيذ",""),IF(AA159="","الجودة",""),IF(AB159="","الإغلاق",""),IF(AC159="","الخصم",""),IF(AND(COUNTA($O159:$U159)&gt;0,O159=""),"مدير المشروع",""),IF(AND(COUNTA($O159:$U159)&gt;0,P159=""),"المستفيدين",""),IF(AND(COUNTA($O159:$U159)&gt;0,Q159=""),"المناطق",""),IF(AND(COUNTA($O159:$U159)&gt;0,R159=""),"الميزانية",""),IF(AND(COUNTA($O159:$U159)&gt;0,S159=""),"نسبة الجاهزية",""),IF(AND(COUNTA($O159:$U159)&gt;0,T159=""),"حالة الجاهزية",""),IF(AND(COUNTA($O159:$U159)&gt;0,U159=""),"التوصيات","")),"✓"),"✓"))))))))))</f>
        <v>✗ ناقص: الممول</v>
      </c>
      <c r="E159" s="235">
        <v>46162</v>
      </c>
      <c r="F159" s="236">
        <v>0.52777777777777779</v>
      </c>
      <c r="G159" s="90" t="s">
        <v>97</v>
      </c>
      <c r="H159" s="123" t="s">
        <v>102</v>
      </c>
      <c r="I159" s="89" t="s">
        <v>142</v>
      </c>
      <c r="J159" s="142" t="s">
        <v>117</v>
      </c>
      <c r="K159" s="90" t="s">
        <v>116</v>
      </c>
      <c r="L159" s="90" t="s">
        <v>348</v>
      </c>
      <c r="M159" s="90"/>
      <c r="N159" s="89"/>
      <c r="O159" s="200"/>
      <c r="P159" s="201"/>
      <c r="Q159" s="201"/>
      <c r="R159" s="237"/>
      <c r="S159" s="202"/>
      <c r="T159" s="200"/>
      <c r="U159" s="203"/>
      <c r="V159" s="89" t="s">
        <v>938</v>
      </c>
      <c r="W159" s="89" t="s">
        <v>939</v>
      </c>
      <c r="X159" s="145" t="s">
        <v>651</v>
      </c>
      <c r="Y159" s="89" t="s">
        <v>652</v>
      </c>
      <c r="Z159" s="90" t="s">
        <v>130</v>
      </c>
      <c r="AA159" s="90" t="s">
        <v>149</v>
      </c>
      <c r="AB159" s="90" t="s">
        <v>131</v>
      </c>
      <c r="AC159" s="90" t="s">
        <v>132</v>
      </c>
      <c r="AD159" s="92" t="s">
        <v>26</v>
      </c>
      <c r="AE159" s="149">
        <f>IFERROR(VLOOKUP(Z159,LISTS!$AL$2:$AM$1000,2,FALSE()),"")</f>
        <v>100</v>
      </c>
      <c r="AF159" s="151">
        <f>IFERROR(VLOOKUP(AA159,LISTS!$AO$2:$AP$1000,2,FALSE()),"")</f>
        <v>85</v>
      </c>
      <c r="AG159" s="152">
        <f>IFERROR(VLOOKUP(AB159,LISTS!$AR$2:$AS$1000,2,FALSE()),"")</f>
        <v>100</v>
      </c>
      <c r="AH159" s="154">
        <f>IFERROR(VLOOKUP(AC159,LISTS!$AU$2:$AV$1000,2,FALSE()),"")</f>
        <v>0</v>
      </c>
      <c r="AI159" s="238">
        <f t="shared" si="13"/>
        <v>95.5</v>
      </c>
      <c r="AJ159" s="190" t="str">
        <f t="shared" si="14"/>
        <v>⭐ ممتاز</v>
      </c>
      <c r="AK159" s="157">
        <f t="shared" si="15"/>
        <v>5</v>
      </c>
      <c r="AL159" s="160">
        <f t="shared" si="16"/>
        <v>2026</v>
      </c>
      <c r="AM159" s="210"/>
      <c r="AN159" s="209"/>
    </row>
    <row r="160" spans="1:40" ht="27.95" customHeight="1">
      <c r="A160" s="134">
        <f>IF(I160&lt;&gt;"",COUNTA($I$2:I160),"")</f>
        <v>159</v>
      </c>
      <c r="B160" s="138" t="str">
        <f t="shared" si="17"/>
        <v>الأربعاء</v>
      </c>
      <c r="C160" s="93" t="str">
        <f t="array" ref="C160">IF(E160="","",IF(M160&lt;&gt;"",
M160&amp;"/"&amp;SUMPRODUCT((M$2:M160=M160)*1)&amp;" - "&amp;(ROW()-2),
"إداري/"&amp;SUMPRODUCT((M$2:M160="")*1)&amp;" - "&amp;(ROW()-2)))</f>
        <v>إداري/155 - 158</v>
      </c>
      <c r="D160" s="141" t="str">
        <f>IF(AND(G160="",H160="",I160=""),"",IF(COUNTIFS(LISTS!$A$2:$A$67,G160,LISTS!$B$2:$B$67,H160,LISTS!$C$2:$C$67,I160)=0,"✗ هرم",IF(NOT(OR(Z160="ممتاز 100%",Z160="جيد 80%",Z160="مقبول 60%",Z160="خطر 40%",Z160="")),"✗ قائمة R",IF(NOT(OR(AA160="ممتاز 100%",AA160="جيد 85%",AA160="مقبول 70%",AA160="ضعيف 50%",AA160="")),"✗ قائمة S",IF(NOT(OR(AB160="مكتمل 100%",AB160="جزئي 60%",AB160="معلق 30%",AB160="مفتوح 0%",AB160="")),"✗ قائمة T",IF(NOT(OR(AC160="لا خصم 0",AC160="تأخير −5",AC160="عجز −10",AC160="جودة −15",AC160="امتثال −20",AC160="مخالفة −25",AC160="")),"✗ قائمة U",IF(AND(X160="لا",AC160&lt;&gt;"",AC160&lt;&gt;"لا خصم 0"),"✗ خصم",IF(AND(X160="نعم",AC160="لا خصم 0"),"✗ خصم",IF(AND(Z160="ممتاز 100%",AA160="ممتاز 100%",AB160&lt;&gt;"",AB160&lt;&gt;"مكتمل 100%"),"✗ إغلاق",IFERROR(IF(LEN(_xlfn.TEXTJOIN("، ",TRUE,IF(E160="","التاريخ",""),IF(F160="","الوقت",""),IF(G160="","المركز",""),IF(H160="","الدائرة",""),IF(I160="","القسم",""),IF(J160="","المسؤول",""),IF(K160="","نوع النشاط",""),IF(L160="","المشروع",""),IF(N160="","الممول",""),IF(V160="","الموضوع",""),IF(W160="","الملاحظة",""),IF(X160="","مشكلة",""),IF(Y160="","الإجراء",""),IF(Z160="","التنفيذ",""),IF(AA160="","الجودة",""),IF(AB160="","الإغلاق",""),IF(AC160="","الخصم",""),IF(AND(COUNTA($O160:$U160)&gt;0,O160=""),"مدير المشروع",""),IF(AND(COUNTA($O160:$U160)&gt;0,P160=""),"المستفيدين",""),IF(AND(COUNTA($O160:$U160)&gt;0,Q160=""),"المناطق",""),IF(AND(COUNTA($O160:$U160)&gt;0,R160=""),"الميزانية",""),IF(AND(COUNTA($O160:$U160)&gt;0,S160=""),"نسبة الجاهزية",""),IF(AND(COUNTA($O160:$U160)&gt;0,T160=""),"حالة الجاهزية",""),IF(AND(COUNTA($O160:$U160)&gt;0,U160=""),"التوصيات","")))&gt;0,"✗ ناقص: "&amp;_xlfn.TEXTJOIN("، ",TRUE,IF(E160="","التاريخ",""),IF(F160="","الوقت",""),IF(G160="","المركز",""),IF(H160="","الدائرة",""),IF(I160="","القسم",""),IF(J160="","المسؤول",""),IF(K160="","نوع النشاط",""),IF(L160="","المشروع",""),IF(N160="","الممول",""),IF(V160="","الموضوع",""),IF(W160="","الملاحظة",""),IF(X160="","مشكلة",""),IF(Y160="","الإجراء",""),IF(Z160="","التنفيذ",""),IF(AA160="","الجودة",""),IF(AB160="","الإغلاق",""),IF(AC160="","الخصم",""),IF(AND(COUNTA($O160:$U160)&gt;0,O160=""),"مدير المشروع",""),IF(AND(COUNTA($O160:$U160)&gt;0,P160=""),"المستفيدين",""),IF(AND(COUNTA($O160:$U160)&gt;0,Q160=""),"المناطق",""),IF(AND(COUNTA($O160:$U160)&gt;0,R160=""),"الميزانية",""),IF(AND(COUNTA($O160:$U160)&gt;0,S160=""),"نسبة الجاهزية",""),IF(AND(COUNTA($O160:$U160)&gt;0,T160=""),"حالة الجاهزية",""),IF(AND(COUNTA($O160:$U160)&gt;0,U160=""),"التوصيات","")),"✓"),"✓"))))))))))</f>
        <v>✗ ناقص: الممول</v>
      </c>
      <c r="E160" s="235">
        <v>46162</v>
      </c>
      <c r="F160" s="236">
        <v>0.45833333333333331</v>
      </c>
      <c r="G160" s="90" t="s">
        <v>97</v>
      </c>
      <c r="H160" s="123" t="s">
        <v>101</v>
      </c>
      <c r="I160" s="89" t="s">
        <v>123</v>
      </c>
      <c r="J160" s="142" t="s">
        <v>216</v>
      </c>
      <c r="K160" s="90" t="s">
        <v>116</v>
      </c>
      <c r="L160" s="90" t="s">
        <v>324</v>
      </c>
      <c r="M160" s="90"/>
      <c r="N160" s="89"/>
      <c r="O160" s="200"/>
      <c r="P160" s="201"/>
      <c r="Q160" s="201"/>
      <c r="R160" s="237"/>
      <c r="S160" s="202"/>
      <c r="T160" s="200"/>
      <c r="U160" s="203"/>
      <c r="V160" s="89" t="s">
        <v>940</v>
      </c>
      <c r="W160" s="89" t="s">
        <v>941</v>
      </c>
      <c r="X160" s="145" t="s">
        <v>651</v>
      </c>
      <c r="Y160" s="89" t="s">
        <v>652</v>
      </c>
      <c r="Z160" s="90" t="s">
        <v>130</v>
      </c>
      <c r="AA160" s="90" t="s">
        <v>130</v>
      </c>
      <c r="AB160" s="90" t="s">
        <v>131</v>
      </c>
      <c r="AC160" s="90" t="s">
        <v>132</v>
      </c>
      <c r="AD160" s="92" t="s">
        <v>26</v>
      </c>
      <c r="AE160" s="149">
        <f>IFERROR(VLOOKUP(Z160,LISTS!$AL$2:$AM$1000,2,FALSE()),"")</f>
        <v>100</v>
      </c>
      <c r="AF160" s="151">
        <f>IFERROR(VLOOKUP(AA160,LISTS!$AO$2:$AP$1000,2,FALSE()),"")</f>
        <v>100</v>
      </c>
      <c r="AG160" s="152">
        <f>IFERROR(VLOOKUP(AB160,LISTS!$AR$2:$AS$1000,2,FALSE()),"")</f>
        <v>100</v>
      </c>
      <c r="AH160" s="154">
        <f>IFERROR(VLOOKUP(AC160,LISTS!$AU$2:$AV$1000,2,FALSE()),"")</f>
        <v>0</v>
      </c>
      <c r="AI160" s="238">
        <f t="shared" si="13"/>
        <v>100</v>
      </c>
      <c r="AJ160" s="190" t="str">
        <f t="shared" si="14"/>
        <v>🌟 ممتاز جدًا</v>
      </c>
      <c r="AK160" s="157">
        <f t="shared" si="15"/>
        <v>5</v>
      </c>
      <c r="AL160" s="160">
        <f t="shared" si="16"/>
        <v>2026</v>
      </c>
      <c r="AM160" s="210"/>
      <c r="AN160" s="209"/>
    </row>
    <row r="161" spans="1:40" ht="27.95" customHeight="1">
      <c r="A161" s="134">
        <f>IF(I161&lt;&gt;"",COUNTA($I$2:I161),"")</f>
        <v>160</v>
      </c>
      <c r="B161" s="138" t="str">
        <f t="shared" si="17"/>
        <v>الأربعاء</v>
      </c>
      <c r="C161" s="93" t="str">
        <f t="array" ref="C161">IF(E161="","",IF(M161&lt;&gt;"",
M161&amp;"/"&amp;SUMPRODUCT((M$2:M161=M161)*1)&amp;" - "&amp;(ROW()-2),
"إداري/"&amp;SUMPRODUCT((M$2:M161="")*1)&amp;" - "&amp;(ROW()-2)))</f>
        <v>إداري/156 - 159</v>
      </c>
      <c r="D161" s="141" t="str">
        <f>IF(AND(G161="",H161="",I161=""),"",IF(COUNTIFS(LISTS!$A$2:$A$67,G161,LISTS!$B$2:$B$67,H161,LISTS!$C$2:$C$67,I161)=0,"✗ هرم",IF(NOT(OR(Z161="ممتاز 100%",Z161="جيد 80%",Z161="مقبول 60%",Z161="خطر 40%",Z161="")),"✗ قائمة R",IF(NOT(OR(AA161="ممتاز 100%",AA161="جيد 85%",AA161="مقبول 70%",AA161="ضعيف 50%",AA161="")),"✗ قائمة S",IF(NOT(OR(AB161="مكتمل 100%",AB161="جزئي 60%",AB161="معلق 30%",AB161="مفتوح 0%",AB161="")),"✗ قائمة T",IF(NOT(OR(AC161="لا خصم 0",AC161="تأخير −5",AC161="عجز −10",AC161="جودة −15",AC161="امتثال −20",AC161="مخالفة −25",AC161="")),"✗ قائمة U",IF(AND(X161="لا",AC161&lt;&gt;"",AC161&lt;&gt;"لا خصم 0"),"✗ خصم",IF(AND(X161="نعم",AC161="لا خصم 0"),"✗ خصم",IF(AND(Z161="ممتاز 100%",AA161="ممتاز 100%",AB161&lt;&gt;"",AB161&lt;&gt;"مكتمل 100%"),"✗ إغلاق",IFERROR(IF(LEN(_xlfn.TEXTJOIN("، ",TRUE,IF(E161="","التاريخ",""),IF(F161="","الوقت",""),IF(G161="","المركز",""),IF(H161="","الدائرة",""),IF(I161="","القسم",""),IF(J161="","المسؤول",""),IF(K161="","نوع النشاط",""),IF(L161="","المشروع",""),IF(N161="","الممول",""),IF(V161="","الموضوع",""),IF(W161="","الملاحظة",""),IF(X161="","مشكلة",""),IF(Y161="","الإجراء",""),IF(Z161="","التنفيذ",""),IF(AA161="","الجودة",""),IF(AB161="","الإغلاق",""),IF(AC161="","الخصم",""),IF(AND(COUNTA($O161:$U161)&gt;0,O161=""),"مدير المشروع",""),IF(AND(COUNTA($O161:$U161)&gt;0,P161=""),"المستفيدين",""),IF(AND(COUNTA($O161:$U161)&gt;0,Q161=""),"المناطق",""),IF(AND(COUNTA($O161:$U161)&gt;0,R161=""),"الميزانية",""),IF(AND(COUNTA($O161:$U161)&gt;0,S161=""),"نسبة الجاهزية",""),IF(AND(COUNTA($O161:$U161)&gt;0,T161=""),"حالة الجاهزية",""),IF(AND(COUNTA($O161:$U161)&gt;0,U161=""),"التوصيات","")))&gt;0,"✗ ناقص: "&amp;_xlfn.TEXTJOIN("، ",TRUE,IF(E161="","التاريخ",""),IF(F161="","الوقت",""),IF(G161="","المركز",""),IF(H161="","الدائرة",""),IF(I161="","القسم",""),IF(J161="","المسؤول",""),IF(K161="","نوع النشاط",""),IF(L161="","المشروع",""),IF(N161="","الممول",""),IF(V161="","الموضوع",""),IF(W161="","الملاحظة",""),IF(X161="","مشكلة",""),IF(Y161="","الإجراء",""),IF(Z161="","التنفيذ",""),IF(AA161="","الجودة",""),IF(AB161="","الإغلاق",""),IF(AC161="","الخصم",""),IF(AND(COUNTA($O161:$U161)&gt;0,O161=""),"مدير المشروع",""),IF(AND(COUNTA($O161:$U161)&gt;0,P161=""),"المستفيدين",""),IF(AND(COUNTA($O161:$U161)&gt;0,Q161=""),"المناطق",""),IF(AND(COUNTA($O161:$U161)&gt;0,R161=""),"الميزانية",""),IF(AND(COUNTA($O161:$U161)&gt;0,S161=""),"نسبة الجاهزية",""),IF(AND(COUNTA($O161:$U161)&gt;0,T161=""),"حالة الجاهزية",""),IF(AND(COUNTA($O161:$U161)&gt;0,U161=""),"التوصيات","")),"✓"),"✓"))))))))))</f>
        <v>✓</v>
      </c>
      <c r="E161" s="235">
        <v>46162</v>
      </c>
      <c r="F161" s="236">
        <v>0.46527777777777779</v>
      </c>
      <c r="G161" s="90" t="s">
        <v>97</v>
      </c>
      <c r="H161" s="123" t="s">
        <v>101</v>
      </c>
      <c r="I161" s="89" t="s">
        <v>123</v>
      </c>
      <c r="J161" s="142" t="s">
        <v>880</v>
      </c>
      <c r="K161" s="90" t="s">
        <v>116</v>
      </c>
      <c r="L161" s="90" t="s">
        <v>155</v>
      </c>
      <c r="M161" s="90"/>
      <c r="N161" s="89" t="s">
        <v>138</v>
      </c>
      <c r="O161" s="200"/>
      <c r="P161" s="201"/>
      <c r="Q161" s="201"/>
      <c r="R161" s="237"/>
      <c r="S161" s="202"/>
      <c r="T161" s="200"/>
      <c r="U161" s="203"/>
      <c r="V161" s="89" t="s">
        <v>942</v>
      </c>
      <c r="W161" s="89" t="s">
        <v>943</v>
      </c>
      <c r="X161" s="145" t="s">
        <v>651</v>
      </c>
      <c r="Y161" s="89" t="s">
        <v>652</v>
      </c>
      <c r="Z161" s="90" t="s">
        <v>165</v>
      </c>
      <c r="AA161" s="90" t="s">
        <v>130</v>
      </c>
      <c r="AB161" s="90" t="s">
        <v>167</v>
      </c>
      <c r="AC161" s="90" t="s">
        <v>132</v>
      </c>
      <c r="AD161" s="92" t="s">
        <v>26</v>
      </c>
      <c r="AE161" s="149">
        <f>IFERROR(VLOOKUP(Z161,LISTS!$AL$2:$AM$1000,2,FALSE()),"")</f>
        <v>80</v>
      </c>
      <c r="AF161" s="151">
        <f>IFERROR(VLOOKUP(AA161,LISTS!$AO$2:$AP$1000,2,FALSE()),"")</f>
        <v>100</v>
      </c>
      <c r="AG161" s="152">
        <f>IFERROR(VLOOKUP(AB161,LISTS!$AR$2:$AS$1000,2,FALSE()),"")</f>
        <v>60</v>
      </c>
      <c r="AH161" s="154">
        <f>IFERROR(VLOOKUP(AC161,LISTS!$AU$2:$AV$1000,2,FALSE()),"")</f>
        <v>0</v>
      </c>
      <c r="AI161" s="238">
        <f t="shared" si="13"/>
        <v>80</v>
      </c>
      <c r="AJ161" s="190" t="str">
        <f t="shared" si="14"/>
        <v>🟢 جيد</v>
      </c>
      <c r="AK161" s="157">
        <f t="shared" si="15"/>
        <v>5</v>
      </c>
      <c r="AL161" s="160">
        <f t="shared" si="16"/>
        <v>2026</v>
      </c>
      <c r="AM161" s="210"/>
      <c r="AN161" s="209"/>
    </row>
    <row r="162" spans="1:40" ht="27.95" customHeight="1">
      <c r="A162" s="134">
        <f>IF(I162&lt;&gt;"",COUNTA($I$2:I162),"")</f>
        <v>161</v>
      </c>
      <c r="B162" s="138" t="str">
        <f t="shared" si="17"/>
        <v>الأربعاء</v>
      </c>
      <c r="C162" s="93" t="str">
        <f t="array" ref="C162">IF(E162="","",IF(M162&lt;&gt;"",
M162&amp;"/"&amp;SUMPRODUCT((M$2:M162=M162)*1)&amp;" - "&amp;(ROW()-2),
"إداري/"&amp;SUMPRODUCT((M$2:M162="")*1)&amp;" - "&amp;(ROW()-2)))</f>
        <v>إداري/157 - 160</v>
      </c>
      <c r="D162" s="141" t="str">
        <f>IF(AND(G162="",H162="",I162=""),"",IF(COUNTIFS(LISTS!$A$2:$A$67,G162,LISTS!$B$2:$B$67,H162,LISTS!$C$2:$C$67,I162)=0,"✗ هرم",IF(NOT(OR(Z162="ممتاز 100%",Z162="جيد 80%",Z162="مقبول 60%",Z162="خطر 40%",Z162="")),"✗ قائمة R",IF(NOT(OR(AA162="ممتاز 100%",AA162="جيد 85%",AA162="مقبول 70%",AA162="ضعيف 50%",AA162="")),"✗ قائمة S",IF(NOT(OR(AB162="مكتمل 100%",AB162="جزئي 60%",AB162="معلق 30%",AB162="مفتوح 0%",AB162="")),"✗ قائمة T",IF(NOT(OR(AC162="لا خصم 0",AC162="تأخير −5",AC162="عجز −10",AC162="جودة −15",AC162="امتثال −20",AC162="مخالفة −25",AC162="")),"✗ قائمة U",IF(AND(X162="لا",AC162&lt;&gt;"",AC162&lt;&gt;"لا خصم 0"),"✗ خصم",IF(AND(X162="نعم",AC162="لا خصم 0"),"✗ خصم",IF(AND(Z162="ممتاز 100%",AA162="ممتاز 100%",AB162&lt;&gt;"",AB162&lt;&gt;"مكتمل 100%"),"✗ إغلاق",IFERROR(IF(LEN(_xlfn.TEXTJOIN("، ",TRUE,IF(E162="","التاريخ",""),IF(F162="","الوقت",""),IF(G162="","المركز",""),IF(H162="","الدائرة",""),IF(I162="","القسم",""),IF(J162="","المسؤول",""),IF(K162="","نوع النشاط",""),IF(L162="","المشروع",""),IF(N162="","الممول",""),IF(V162="","الموضوع",""),IF(W162="","الملاحظة",""),IF(X162="","مشكلة",""),IF(Y162="","الإجراء",""),IF(Z162="","التنفيذ",""),IF(AA162="","الجودة",""),IF(AB162="","الإغلاق",""),IF(AC162="","الخصم",""),IF(AND(COUNTA($O162:$U162)&gt;0,O162=""),"مدير المشروع",""),IF(AND(COUNTA($O162:$U162)&gt;0,P162=""),"المستفيدين",""),IF(AND(COUNTA($O162:$U162)&gt;0,Q162=""),"المناطق",""),IF(AND(COUNTA($O162:$U162)&gt;0,R162=""),"الميزانية",""),IF(AND(COUNTA($O162:$U162)&gt;0,S162=""),"نسبة الجاهزية",""),IF(AND(COUNTA($O162:$U162)&gt;0,T162=""),"حالة الجاهزية",""),IF(AND(COUNTA($O162:$U162)&gt;0,U162=""),"التوصيات","")))&gt;0,"✗ ناقص: "&amp;_xlfn.TEXTJOIN("، ",TRUE,IF(E162="","التاريخ",""),IF(F162="","الوقت",""),IF(G162="","المركز",""),IF(H162="","الدائرة",""),IF(I162="","القسم",""),IF(J162="","المسؤول",""),IF(K162="","نوع النشاط",""),IF(L162="","المشروع",""),IF(N162="","الممول",""),IF(V162="","الموضوع",""),IF(W162="","الملاحظة",""),IF(X162="","مشكلة",""),IF(Y162="","الإجراء",""),IF(Z162="","التنفيذ",""),IF(AA162="","الجودة",""),IF(AB162="","الإغلاق",""),IF(AC162="","الخصم",""),IF(AND(COUNTA($O162:$U162)&gt;0,O162=""),"مدير المشروع",""),IF(AND(COUNTA($O162:$U162)&gt;0,P162=""),"المستفيدين",""),IF(AND(COUNTA($O162:$U162)&gt;0,Q162=""),"المناطق",""),IF(AND(COUNTA($O162:$U162)&gt;0,R162=""),"الميزانية",""),IF(AND(COUNTA($O162:$U162)&gt;0,S162=""),"نسبة الجاهزية",""),IF(AND(COUNTA($O162:$U162)&gt;0,T162=""),"حالة الجاهزية",""),IF(AND(COUNTA($O162:$U162)&gt;0,U162=""),"التوصيات","")),"✓"),"✓"))))))))))</f>
        <v>✗ ناقص: الممول</v>
      </c>
      <c r="E162" s="235">
        <v>46162</v>
      </c>
      <c r="F162" s="236">
        <v>0.47916666666666669</v>
      </c>
      <c r="G162" s="90" t="s">
        <v>97</v>
      </c>
      <c r="H162" s="123" t="s">
        <v>104</v>
      </c>
      <c r="I162" s="89" t="s">
        <v>177</v>
      </c>
      <c r="J162" s="142" t="s">
        <v>223</v>
      </c>
      <c r="K162" s="90" t="s">
        <v>133</v>
      </c>
      <c r="L162" s="90" t="s">
        <v>369</v>
      </c>
      <c r="M162" s="90"/>
      <c r="N162" s="89"/>
      <c r="O162" s="200"/>
      <c r="P162" s="201"/>
      <c r="Q162" s="201"/>
      <c r="R162" s="237"/>
      <c r="S162" s="202"/>
      <c r="T162" s="200"/>
      <c r="U162" s="203"/>
      <c r="V162" s="89" t="s">
        <v>935</v>
      </c>
      <c r="W162" s="89" t="s">
        <v>936</v>
      </c>
      <c r="X162" s="145" t="s">
        <v>647</v>
      </c>
      <c r="Y162" s="89" t="s">
        <v>666</v>
      </c>
      <c r="Z162" s="90" t="s">
        <v>148</v>
      </c>
      <c r="AA162" s="90" t="s">
        <v>166</v>
      </c>
      <c r="AB162" s="90" t="s">
        <v>131</v>
      </c>
      <c r="AC162" s="90" t="s">
        <v>206</v>
      </c>
      <c r="AD162" s="92" t="s">
        <v>134</v>
      </c>
      <c r="AE162" s="149">
        <f>IFERROR(VLOOKUP(Z162,LISTS!$AL$2:$AM$1000,2,FALSE()),"")</f>
        <v>60</v>
      </c>
      <c r="AF162" s="151">
        <f>IFERROR(VLOOKUP(AA162,LISTS!$AO$2:$AP$1000,2,FALSE()),"")</f>
        <v>70</v>
      </c>
      <c r="AG162" s="152">
        <f>IFERROR(VLOOKUP(AB162,LISTS!$AR$2:$AS$1000,2,FALSE()),"")</f>
        <v>100</v>
      </c>
      <c r="AH162" s="154">
        <f>IFERROR(VLOOKUP(AC162,LISTS!$AU$2:$AV$1000,2,FALSE()),"")</f>
        <v>15</v>
      </c>
      <c r="AI162" s="238">
        <f t="shared" si="13"/>
        <v>60</v>
      </c>
      <c r="AJ162" s="190" t="str">
        <f t="shared" si="14"/>
        <v>🟡 مقبول</v>
      </c>
      <c r="AK162" s="157">
        <f t="shared" si="15"/>
        <v>5</v>
      </c>
      <c r="AL162" s="160">
        <f t="shared" si="16"/>
        <v>2026</v>
      </c>
      <c r="AM162" s="210"/>
      <c r="AN162" s="209"/>
    </row>
    <row r="163" spans="1:40" ht="27.95" customHeight="1">
      <c r="A163" s="134">
        <f>IF(I163&lt;&gt;"",COUNTA($I$2:I163),"")</f>
        <v>162</v>
      </c>
      <c r="B163" s="138" t="str">
        <f t="shared" si="17"/>
        <v>الأربعاء</v>
      </c>
      <c r="C163" s="93" t="str">
        <f t="array" ref="C163">IF(E163="","",IF(M163&lt;&gt;"",
M163&amp;"/"&amp;SUMPRODUCT((M$2:M163=M163)*1)&amp;" - "&amp;(ROW()-2),
"إداري/"&amp;SUMPRODUCT((M$2:M163="")*1)&amp;" - "&amp;(ROW()-2)))</f>
        <v>إداري/158 - 161</v>
      </c>
      <c r="D163" s="141" t="str">
        <f>IF(AND(G163="",H163="",I163=""),"",IF(COUNTIFS(LISTS!$A$2:$A$67,G163,LISTS!$B$2:$B$67,H163,LISTS!$C$2:$C$67,I163)=0,"✗ هرم",IF(NOT(OR(Z163="ممتاز 100%",Z163="جيد 80%",Z163="مقبول 60%",Z163="خطر 40%",Z163="")),"✗ قائمة R",IF(NOT(OR(AA163="ممتاز 100%",AA163="جيد 85%",AA163="مقبول 70%",AA163="ضعيف 50%",AA163="")),"✗ قائمة S",IF(NOT(OR(AB163="مكتمل 100%",AB163="جزئي 60%",AB163="معلق 30%",AB163="مفتوح 0%",AB163="")),"✗ قائمة T",IF(NOT(OR(AC163="لا خصم 0",AC163="تأخير −5",AC163="عجز −10",AC163="جودة −15",AC163="امتثال −20",AC163="مخالفة −25",AC163="")),"✗ قائمة U",IF(AND(X163="لا",AC163&lt;&gt;"",AC163&lt;&gt;"لا خصم 0"),"✗ خصم",IF(AND(X163="نعم",AC163="لا خصم 0"),"✗ خصم",IF(AND(Z163="ممتاز 100%",AA163="ممتاز 100%",AB163&lt;&gt;"",AB163&lt;&gt;"مكتمل 100%"),"✗ إغلاق",IFERROR(IF(LEN(_xlfn.TEXTJOIN("، ",TRUE,IF(E163="","التاريخ",""),IF(F163="","الوقت",""),IF(G163="","المركز",""),IF(H163="","الدائرة",""),IF(I163="","القسم",""),IF(J163="","المسؤول",""),IF(K163="","نوع النشاط",""),IF(L163="","المشروع",""),IF(N163="","الممول",""),IF(V163="","الموضوع",""),IF(W163="","الملاحظة",""),IF(X163="","مشكلة",""),IF(Y163="","الإجراء",""),IF(Z163="","التنفيذ",""),IF(AA163="","الجودة",""),IF(AB163="","الإغلاق",""),IF(AC163="","الخصم",""),IF(AND(COUNTA($O163:$U163)&gt;0,O163=""),"مدير المشروع",""),IF(AND(COUNTA($O163:$U163)&gt;0,P163=""),"المستفيدين",""),IF(AND(COUNTA($O163:$U163)&gt;0,Q163=""),"المناطق",""),IF(AND(COUNTA($O163:$U163)&gt;0,R163=""),"الميزانية",""),IF(AND(COUNTA($O163:$U163)&gt;0,S163=""),"نسبة الجاهزية",""),IF(AND(COUNTA($O163:$U163)&gt;0,T163=""),"حالة الجاهزية",""),IF(AND(COUNTA($O163:$U163)&gt;0,U163=""),"التوصيات","")))&gt;0,"✗ ناقص: "&amp;_xlfn.TEXTJOIN("، ",TRUE,IF(E163="","التاريخ",""),IF(F163="","الوقت",""),IF(G163="","المركز",""),IF(H163="","الدائرة",""),IF(I163="","القسم",""),IF(J163="","المسؤول",""),IF(K163="","نوع النشاط",""),IF(L163="","المشروع",""),IF(N163="","الممول",""),IF(V163="","الموضوع",""),IF(W163="","الملاحظة",""),IF(X163="","مشكلة",""),IF(Y163="","الإجراء",""),IF(Z163="","التنفيذ",""),IF(AA163="","الجودة",""),IF(AB163="","الإغلاق",""),IF(AC163="","الخصم",""),IF(AND(COUNTA($O163:$U163)&gt;0,O163=""),"مدير المشروع",""),IF(AND(COUNTA($O163:$U163)&gt;0,P163=""),"المستفيدين",""),IF(AND(COUNTA($O163:$U163)&gt;0,Q163=""),"المناطق",""),IF(AND(COUNTA($O163:$U163)&gt;0,R163=""),"الميزانية",""),IF(AND(COUNTA($O163:$U163)&gt;0,S163=""),"نسبة الجاهزية",""),IF(AND(COUNTA($O163:$U163)&gt;0,T163=""),"حالة الجاهزية",""),IF(AND(COUNTA($O163:$U163)&gt;0,U163=""),"التوصيات","")),"✓"),"✓"))))))))))</f>
        <v>✗ ناقص: المسؤول، الممول</v>
      </c>
      <c r="E163" s="235">
        <v>46162</v>
      </c>
      <c r="F163" s="236">
        <v>0.47916666666666669</v>
      </c>
      <c r="G163" s="90" t="s">
        <v>97</v>
      </c>
      <c r="H163" s="123" t="s">
        <v>102</v>
      </c>
      <c r="I163" s="89" t="s">
        <v>159</v>
      </c>
      <c r="J163" s="142"/>
      <c r="K163" s="90" t="s">
        <v>133</v>
      </c>
      <c r="L163" s="90" t="s">
        <v>369</v>
      </c>
      <c r="M163" s="90"/>
      <c r="N163" s="89"/>
      <c r="O163" s="200"/>
      <c r="P163" s="201"/>
      <c r="Q163" s="201"/>
      <c r="R163" s="237"/>
      <c r="S163" s="202"/>
      <c r="T163" s="200"/>
      <c r="U163" s="203"/>
      <c r="V163" s="89" t="s">
        <v>944</v>
      </c>
      <c r="W163" s="89" t="s">
        <v>945</v>
      </c>
      <c r="X163" s="145" t="s">
        <v>651</v>
      </c>
      <c r="Y163" s="89" t="s">
        <v>652</v>
      </c>
      <c r="Z163" s="90" t="s">
        <v>130</v>
      </c>
      <c r="AA163" s="90" t="s">
        <v>149</v>
      </c>
      <c r="AB163" s="90" t="s">
        <v>131</v>
      </c>
      <c r="AC163" s="90" t="s">
        <v>132</v>
      </c>
      <c r="AD163" s="92" t="s">
        <v>134</v>
      </c>
      <c r="AE163" s="149">
        <f>IFERROR(VLOOKUP(Z163,LISTS!$AL$2:$AM$1000,2,FALSE()),"")</f>
        <v>100</v>
      </c>
      <c r="AF163" s="151">
        <f>IFERROR(VLOOKUP(AA163,LISTS!$AO$2:$AP$1000,2,FALSE()),"")</f>
        <v>85</v>
      </c>
      <c r="AG163" s="152">
        <f>IFERROR(VLOOKUP(AB163,LISTS!$AR$2:$AS$1000,2,FALSE()),"")</f>
        <v>100</v>
      </c>
      <c r="AH163" s="154">
        <f>IFERROR(VLOOKUP(AC163,LISTS!$AU$2:$AV$1000,2,FALSE()),"")</f>
        <v>0</v>
      </c>
      <c r="AI163" s="238">
        <f t="shared" si="13"/>
        <v>95.5</v>
      </c>
      <c r="AJ163" s="190" t="str">
        <f t="shared" si="14"/>
        <v>⭐ ممتاز</v>
      </c>
      <c r="AK163" s="157">
        <f t="shared" si="15"/>
        <v>5</v>
      </c>
      <c r="AL163" s="160">
        <f t="shared" si="16"/>
        <v>2026</v>
      </c>
      <c r="AM163" s="210"/>
      <c r="AN163" s="209"/>
    </row>
    <row r="164" spans="1:40" ht="27.95" customHeight="1">
      <c r="A164" s="134">
        <f>IF(I164&lt;&gt;"",COUNTA($I$2:I164),"")</f>
        <v>163</v>
      </c>
      <c r="B164" s="138" t="str">
        <f t="shared" si="17"/>
        <v>الخميس</v>
      </c>
      <c r="C164" s="93" t="str">
        <f t="array" ref="C164">IF(E164="","",IF(M164&lt;&gt;"",
M164&amp;"/"&amp;SUMPRODUCT((M$2:M164=M164)*1)&amp;" - "&amp;(ROW()-2),
"إداري/"&amp;SUMPRODUCT((M$2:M164="")*1)&amp;" - "&amp;(ROW()-2)))</f>
        <v>إداري/159 - 162</v>
      </c>
      <c r="D164" s="141" t="str">
        <f>IF(AND(G164="",H164="",I164=""),"",IF(COUNTIFS(LISTS!$A$2:$A$67,G164,LISTS!$B$2:$B$67,H164,LISTS!$C$2:$C$67,I164)=0,"✗ هرم",IF(NOT(OR(Z164="ممتاز 100%",Z164="جيد 80%",Z164="مقبول 60%",Z164="خطر 40%",Z164="")),"✗ قائمة R",IF(NOT(OR(AA164="ممتاز 100%",AA164="جيد 85%",AA164="مقبول 70%",AA164="ضعيف 50%",AA164="")),"✗ قائمة S",IF(NOT(OR(AB164="مكتمل 100%",AB164="جزئي 60%",AB164="معلق 30%",AB164="مفتوح 0%",AB164="")),"✗ قائمة T",IF(NOT(OR(AC164="لا خصم 0",AC164="تأخير −5",AC164="عجز −10",AC164="جودة −15",AC164="امتثال −20",AC164="مخالفة −25",AC164="")),"✗ قائمة U",IF(AND(X164="لا",AC164&lt;&gt;"",AC164&lt;&gt;"لا خصم 0"),"✗ خصم",IF(AND(X164="نعم",AC164="لا خصم 0"),"✗ خصم",IF(AND(Z164="ممتاز 100%",AA164="ممتاز 100%",AB164&lt;&gt;"",AB164&lt;&gt;"مكتمل 100%"),"✗ إغلاق",IFERROR(IF(LEN(_xlfn.TEXTJOIN("، ",TRUE,IF(E164="","التاريخ",""),IF(F164="","الوقت",""),IF(G164="","المركز",""),IF(H164="","الدائرة",""),IF(I164="","القسم",""),IF(J164="","المسؤول",""),IF(K164="","نوع النشاط",""),IF(L164="","المشروع",""),IF(N164="","الممول",""),IF(V164="","الموضوع",""),IF(W164="","الملاحظة",""),IF(X164="","مشكلة",""),IF(Y164="","الإجراء",""),IF(Z164="","التنفيذ",""),IF(AA164="","الجودة",""),IF(AB164="","الإغلاق",""),IF(AC164="","الخصم",""),IF(AND(COUNTA($O164:$U164)&gt;0,O164=""),"مدير المشروع",""),IF(AND(COUNTA($O164:$U164)&gt;0,P164=""),"المستفيدين",""),IF(AND(COUNTA($O164:$U164)&gt;0,Q164=""),"المناطق",""),IF(AND(COUNTA($O164:$U164)&gt;0,R164=""),"الميزانية",""),IF(AND(COUNTA($O164:$U164)&gt;0,S164=""),"نسبة الجاهزية",""),IF(AND(COUNTA($O164:$U164)&gt;0,T164=""),"حالة الجاهزية",""),IF(AND(COUNTA($O164:$U164)&gt;0,U164=""),"التوصيات","")))&gt;0,"✗ ناقص: "&amp;_xlfn.TEXTJOIN("، ",TRUE,IF(E164="","التاريخ",""),IF(F164="","الوقت",""),IF(G164="","المركز",""),IF(H164="","الدائرة",""),IF(I164="","القسم",""),IF(J164="","المسؤول",""),IF(K164="","نوع النشاط",""),IF(L164="","المشروع",""),IF(N164="","الممول",""),IF(V164="","الموضوع",""),IF(W164="","الملاحظة",""),IF(X164="","مشكلة",""),IF(Y164="","الإجراء",""),IF(Z164="","التنفيذ",""),IF(AA164="","الجودة",""),IF(AB164="","الإغلاق",""),IF(AC164="","الخصم",""),IF(AND(COUNTA($O164:$U164)&gt;0,O164=""),"مدير المشروع",""),IF(AND(COUNTA($O164:$U164)&gt;0,P164=""),"المستفيدين",""),IF(AND(COUNTA($O164:$U164)&gt;0,Q164=""),"المناطق",""),IF(AND(COUNTA($O164:$U164)&gt;0,R164=""),"الميزانية",""),IF(AND(COUNTA($O164:$U164)&gt;0,S164=""),"نسبة الجاهزية",""),IF(AND(COUNTA($O164:$U164)&gt;0,T164=""),"حالة الجاهزية",""),IF(AND(COUNTA($O164:$U164)&gt;0,U164=""),"التوصيات","")),"✓"),"✓"))))))))))</f>
        <v>✓</v>
      </c>
      <c r="E164" s="235">
        <v>46163</v>
      </c>
      <c r="F164" s="236">
        <v>0.54513888888888884</v>
      </c>
      <c r="G164" s="90" t="s">
        <v>97</v>
      </c>
      <c r="H164" s="123" t="s">
        <v>102</v>
      </c>
      <c r="I164" s="89" t="s">
        <v>124</v>
      </c>
      <c r="J164" s="142" t="s">
        <v>117</v>
      </c>
      <c r="K164" s="90" t="s">
        <v>116</v>
      </c>
      <c r="L164" s="90" t="s">
        <v>369</v>
      </c>
      <c r="M164" s="90"/>
      <c r="N164" s="89" t="s">
        <v>655</v>
      </c>
      <c r="O164" s="200"/>
      <c r="P164" s="201"/>
      <c r="Q164" s="201"/>
      <c r="R164" s="237"/>
      <c r="S164" s="202"/>
      <c r="T164" s="200"/>
      <c r="U164" s="203"/>
      <c r="V164" s="89" t="s">
        <v>823</v>
      </c>
      <c r="W164" s="89" t="s">
        <v>946</v>
      </c>
      <c r="X164" s="145" t="s">
        <v>651</v>
      </c>
      <c r="Y164" s="89" t="s">
        <v>652</v>
      </c>
      <c r="Z164" s="90" t="s">
        <v>130</v>
      </c>
      <c r="AA164" s="90" t="s">
        <v>130</v>
      </c>
      <c r="AB164" s="90" t="s">
        <v>131</v>
      </c>
      <c r="AC164" s="90" t="s">
        <v>132</v>
      </c>
      <c r="AD164" s="92" t="s">
        <v>26</v>
      </c>
      <c r="AE164" s="149">
        <f>IFERROR(VLOOKUP(Z164,LISTS!$AL$2:$AM$1000,2,FALSE()),"")</f>
        <v>100</v>
      </c>
      <c r="AF164" s="151">
        <f>IFERROR(VLOOKUP(AA164,LISTS!$AO$2:$AP$1000,2,FALSE()),"")</f>
        <v>100</v>
      </c>
      <c r="AG164" s="152">
        <f>IFERROR(VLOOKUP(AB164,LISTS!$AR$2:$AS$1000,2,FALSE()),"")</f>
        <v>100</v>
      </c>
      <c r="AH164" s="154">
        <f>IFERROR(VLOOKUP(AC164,LISTS!$AU$2:$AV$1000,2,FALSE()),"")</f>
        <v>0</v>
      </c>
      <c r="AI164" s="238">
        <f t="shared" si="13"/>
        <v>100</v>
      </c>
      <c r="AJ164" s="190" t="str">
        <f t="shared" si="14"/>
        <v>🌟 ممتاز جدًا</v>
      </c>
      <c r="AK164" s="157">
        <f t="shared" si="15"/>
        <v>5</v>
      </c>
      <c r="AL164" s="160">
        <f t="shared" si="16"/>
        <v>2026</v>
      </c>
      <c r="AM164" s="210"/>
      <c r="AN164" s="209"/>
    </row>
    <row r="165" spans="1:40" ht="27.95" customHeight="1">
      <c r="A165" s="134">
        <f>IF(I165&lt;&gt;"",COUNTA($I$2:I165),"")</f>
        <v>164</v>
      </c>
      <c r="B165" s="138" t="str">
        <f t="shared" si="17"/>
        <v>الخميس</v>
      </c>
      <c r="C165" s="93" t="str">
        <f t="array" ref="C165">IF(E165="","",IF(M165&lt;&gt;"",
M165&amp;"/"&amp;SUMPRODUCT((M$2:M165=M165)*1)&amp;" - "&amp;(ROW()-2),
"إداري/"&amp;SUMPRODUCT((M$2:M165="")*1)&amp;" - "&amp;(ROW()-2)))</f>
        <v>إداري/160 - 163</v>
      </c>
      <c r="D165" s="141" t="str">
        <f>IF(AND(G165="",H165="",I165=""),"",IF(COUNTIFS(LISTS!$A$2:$A$67,G165,LISTS!$B$2:$B$67,H165,LISTS!$C$2:$C$67,I165)=0,"✗ هرم",IF(NOT(OR(Z165="ممتاز 100%",Z165="جيد 80%",Z165="مقبول 60%",Z165="خطر 40%",Z165="")),"✗ قائمة R",IF(NOT(OR(AA165="ممتاز 100%",AA165="جيد 85%",AA165="مقبول 70%",AA165="ضعيف 50%",AA165="")),"✗ قائمة S",IF(NOT(OR(AB165="مكتمل 100%",AB165="جزئي 60%",AB165="معلق 30%",AB165="مفتوح 0%",AB165="")),"✗ قائمة T",IF(NOT(OR(AC165="لا خصم 0",AC165="تأخير −5",AC165="عجز −10",AC165="جودة −15",AC165="امتثال −20",AC165="مخالفة −25",AC165="")),"✗ قائمة U",IF(AND(X165="لا",AC165&lt;&gt;"",AC165&lt;&gt;"لا خصم 0"),"✗ خصم",IF(AND(X165="نعم",AC165="لا خصم 0"),"✗ خصم",IF(AND(Z165="ممتاز 100%",AA165="ممتاز 100%",AB165&lt;&gt;"",AB165&lt;&gt;"مكتمل 100%"),"✗ إغلاق",IFERROR(IF(LEN(_xlfn.TEXTJOIN("، ",TRUE,IF(E165="","التاريخ",""),IF(F165="","الوقت",""),IF(G165="","المركز",""),IF(H165="","الدائرة",""),IF(I165="","القسم",""),IF(J165="","المسؤول",""),IF(K165="","نوع النشاط",""),IF(L165="","المشروع",""),IF(N165="","الممول",""),IF(V165="","الموضوع",""),IF(W165="","الملاحظة",""),IF(X165="","مشكلة",""),IF(Y165="","الإجراء",""),IF(Z165="","التنفيذ",""),IF(AA165="","الجودة",""),IF(AB165="","الإغلاق",""),IF(AC165="","الخصم",""),IF(AND(COUNTA($O165:$U165)&gt;0,O165=""),"مدير المشروع",""),IF(AND(COUNTA($O165:$U165)&gt;0,P165=""),"المستفيدين",""),IF(AND(COUNTA($O165:$U165)&gt;0,Q165=""),"المناطق",""),IF(AND(COUNTA($O165:$U165)&gt;0,R165=""),"الميزانية",""),IF(AND(COUNTA($O165:$U165)&gt;0,S165=""),"نسبة الجاهزية",""),IF(AND(COUNTA($O165:$U165)&gt;0,T165=""),"حالة الجاهزية",""),IF(AND(COUNTA($O165:$U165)&gt;0,U165=""),"التوصيات","")))&gt;0,"✗ ناقص: "&amp;_xlfn.TEXTJOIN("، ",TRUE,IF(E165="","التاريخ",""),IF(F165="","الوقت",""),IF(G165="","المركز",""),IF(H165="","الدائرة",""),IF(I165="","القسم",""),IF(J165="","المسؤول",""),IF(K165="","نوع النشاط",""),IF(L165="","المشروع",""),IF(N165="","الممول",""),IF(V165="","الموضوع",""),IF(W165="","الملاحظة",""),IF(X165="","مشكلة",""),IF(Y165="","الإجراء",""),IF(Z165="","التنفيذ",""),IF(AA165="","الجودة",""),IF(AB165="","الإغلاق",""),IF(AC165="","الخصم",""),IF(AND(COUNTA($O165:$U165)&gt;0,O165=""),"مدير المشروع",""),IF(AND(COUNTA($O165:$U165)&gt;0,P165=""),"المستفيدين",""),IF(AND(COUNTA($O165:$U165)&gt;0,Q165=""),"المناطق",""),IF(AND(COUNTA($O165:$U165)&gt;0,R165=""),"الميزانية",""),IF(AND(COUNTA($O165:$U165)&gt;0,S165=""),"نسبة الجاهزية",""),IF(AND(COUNTA($O165:$U165)&gt;0,T165=""),"حالة الجاهزية",""),IF(AND(COUNTA($O165:$U165)&gt;0,U165=""),"التوصيات","")),"✓"),"✓"))))))))))</f>
        <v>✓</v>
      </c>
      <c r="E165" s="235">
        <v>46163</v>
      </c>
      <c r="F165" s="236">
        <v>0.45833333333333331</v>
      </c>
      <c r="G165" s="90" t="s">
        <v>97</v>
      </c>
      <c r="H165" s="123" t="s">
        <v>101</v>
      </c>
      <c r="I165" s="89" t="s">
        <v>123</v>
      </c>
      <c r="J165" s="142" t="s">
        <v>186</v>
      </c>
      <c r="K165" s="90" t="s">
        <v>116</v>
      </c>
      <c r="L165" s="90" t="s">
        <v>155</v>
      </c>
      <c r="M165" s="90"/>
      <c r="N165" s="89" t="s">
        <v>138</v>
      </c>
      <c r="O165" s="200"/>
      <c r="P165" s="201"/>
      <c r="Q165" s="201"/>
      <c r="R165" s="237"/>
      <c r="S165" s="202"/>
      <c r="T165" s="200"/>
      <c r="U165" s="203"/>
      <c r="V165" s="89" t="s">
        <v>947</v>
      </c>
      <c r="W165" s="89" t="s">
        <v>948</v>
      </c>
      <c r="X165" s="145" t="s">
        <v>651</v>
      </c>
      <c r="Y165" s="89" t="s">
        <v>652</v>
      </c>
      <c r="Z165" s="90" t="s">
        <v>130</v>
      </c>
      <c r="AA165" s="90" t="s">
        <v>130</v>
      </c>
      <c r="AB165" s="90" t="s">
        <v>131</v>
      </c>
      <c r="AC165" s="90" t="s">
        <v>132</v>
      </c>
      <c r="AD165" s="92" t="s">
        <v>26</v>
      </c>
      <c r="AE165" s="149">
        <f>IFERROR(VLOOKUP(Z165,LISTS!$AL$2:$AM$1000,2,FALSE()),"")</f>
        <v>100</v>
      </c>
      <c r="AF165" s="151">
        <f>IFERROR(VLOOKUP(AA165,LISTS!$AO$2:$AP$1000,2,FALSE()),"")</f>
        <v>100</v>
      </c>
      <c r="AG165" s="152">
        <f>IFERROR(VLOOKUP(AB165,LISTS!$AR$2:$AS$1000,2,FALSE()),"")</f>
        <v>100</v>
      </c>
      <c r="AH165" s="154">
        <f>IFERROR(VLOOKUP(AC165,LISTS!$AU$2:$AV$1000,2,FALSE()),"")</f>
        <v>0</v>
      </c>
      <c r="AI165" s="238">
        <f t="shared" si="13"/>
        <v>100</v>
      </c>
      <c r="AJ165" s="190" t="str">
        <f t="shared" si="14"/>
        <v>🌟 ممتاز جدًا</v>
      </c>
      <c r="AK165" s="157">
        <f t="shared" si="15"/>
        <v>5</v>
      </c>
      <c r="AL165" s="160">
        <f t="shared" si="16"/>
        <v>2026</v>
      </c>
      <c r="AM165" s="210"/>
      <c r="AN165" s="209"/>
    </row>
    <row r="166" spans="1:40" ht="27.95" customHeight="1">
      <c r="A166" s="134">
        <f>IF(I166&lt;&gt;"",COUNTA($I$2:I166),"")</f>
        <v>165</v>
      </c>
      <c r="B166" s="138" t="str">
        <f t="shared" si="17"/>
        <v>الخميس</v>
      </c>
      <c r="C166" s="93" t="str">
        <f t="array" ref="C166">IF(E166="","",IF(M166&lt;&gt;"",
M166&amp;"/"&amp;SUMPRODUCT((M$2:M166=M166)*1)&amp;" - "&amp;(ROW()-2),
"إداري/"&amp;SUMPRODUCT((M$2:M166="")*1)&amp;" - "&amp;(ROW()-2)))</f>
        <v>إداري/161 - 164</v>
      </c>
      <c r="D166" s="141" t="str">
        <f>IF(AND(G166="",H166="",I166=""),"",IF(COUNTIFS(LISTS!$A$2:$A$67,G166,LISTS!$B$2:$B$67,H166,LISTS!$C$2:$C$67,I166)=0,"✗ هرم",IF(NOT(OR(Z166="ممتاز 100%",Z166="جيد 80%",Z166="مقبول 60%",Z166="خطر 40%",Z166="")),"✗ قائمة R",IF(NOT(OR(AA166="ممتاز 100%",AA166="جيد 85%",AA166="مقبول 70%",AA166="ضعيف 50%",AA166="")),"✗ قائمة S",IF(NOT(OR(AB166="مكتمل 100%",AB166="جزئي 60%",AB166="معلق 30%",AB166="مفتوح 0%",AB166="")),"✗ قائمة T",IF(NOT(OR(AC166="لا خصم 0",AC166="تأخير −5",AC166="عجز −10",AC166="جودة −15",AC166="امتثال −20",AC166="مخالفة −25",AC166="")),"✗ قائمة U",IF(AND(X166="لا",AC166&lt;&gt;"",AC166&lt;&gt;"لا خصم 0"),"✗ خصم",IF(AND(X166="نعم",AC166="لا خصم 0"),"✗ خصم",IF(AND(Z166="ممتاز 100%",AA166="ممتاز 100%",AB166&lt;&gt;"",AB166&lt;&gt;"مكتمل 100%"),"✗ إغلاق",IFERROR(IF(LEN(_xlfn.TEXTJOIN("، ",TRUE,IF(E166="","التاريخ",""),IF(F166="","الوقت",""),IF(G166="","المركز",""),IF(H166="","الدائرة",""),IF(I166="","القسم",""),IF(J166="","المسؤول",""),IF(K166="","نوع النشاط",""),IF(L166="","المشروع",""),IF(N166="","الممول",""),IF(V166="","الموضوع",""),IF(W166="","الملاحظة",""),IF(X166="","مشكلة",""),IF(Y166="","الإجراء",""),IF(Z166="","التنفيذ",""),IF(AA166="","الجودة",""),IF(AB166="","الإغلاق",""),IF(AC166="","الخصم",""),IF(AND(COUNTA($O166:$U166)&gt;0,O166=""),"مدير المشروع",""),IF(AND(COUNTA($O166:$U166)&gt;0,P166=""),"المستفيدين",""),IF(AND(COUNTA($O166:$U166)&gt;0,Q166=""),"المناطق",""),IF(AND(COUNTA($O166:$U166)&gt;0,R166=""),"الميزانية",""),IF(AND(COUNTA($O166:$U166)&gt;0,S166=""),"نسبة الجاهزية",""),IF(AND(COUNTA($O166:$U166)&gt;0,T166=""),"حالة الجاهزية",""),IF(AND(COUNTA($O166:$U166)&gt;0,U166=""),"التوصيات","")))&gt;0,"✗ ناقص: "&amp;_xlfn.TEXTJOIN("، ",TRUE,IF(E166="","التاريخ",""),IF(F166="","الوقت",""),IF(G166="","المركز",""),IF(H166="","الدائرة",""),IF(I166="","القسم",""),IF(J166="","المسؤول",""),IF(K166="","نوع النشاط",""),IF(L166="","المشروع",""),IF(N166="","الممول",""),IF(V166="","الموضوع",""),IF(W166="","الملاحظة",""),IF(X166="","مشكلة",""),IF(Y166="","الإجراء",""),IF(Z166="","التنفيذ",""),IF(AA166="","الجودة",""),IF(AB166="","الإغلاق",""),IF(AC166="","الخصم",""),IF(AND(COUNTA($O166:$U166)&gt;0,O166=""),"مدير المشروع",""),IF(AND(COUNTA($O166:$U166)&gt;0,P166=""),"المستفيدين",""),IF(AND(COUNTA($O166:$U166)&gt;0,Q166=""),"المناطق",""),IF(AND(COUNTA($O166:$U166)&gt;0,R166=""),"الميزانية",""),IF(AND(COUNTA($O166:$U166)&gt;0,S166=""),"نسبة الجاهزية",""),IF(AND(COUNTA($O166:$U166)&gt;0,T166=""),"حالة الجاهزية",""),IF(AND(COUNTA($O166:$U166)&gt;0,U166=""),"التوصيات","")),"✓"),"✓"))))))))))</f>
        <v>✓</v>
      </c>
      <c r="E166" s="235">
        <v>46163</v>
      </c>
      <c r="F166" s="236">
        <v>0.39583333333333331</v>
      </c>
      <c r="G166" s="90" t="s">
        <v>97</v>
      </c>
      <c r="H166" s="123" t="s">
        <v>102</v>
      </c>
      <c r="I166" s="89" t="s">
        <v>124</v>
      </c>
      <c r="J166" s="142" t="s">
        <v>880</v>
      </c>
      <c r="K166" s="90" t="s">
        <v>116</v>
      </c>
      <c r="L166" s="90" t="s">
        <v>155</v>
      </c>
      <c r="M166" s="90"/>
      <c r="N166" s="89" t="s">
        <v>138</v>
      </c>
      <c r="O166" s="200"/>
      <c r="P166" s="201"/>
      <c r="Q166" s="201"/>
      <c r="R166" s="237"/>
      <c r="S166" s="202"/>
      <c r="T166" s="200"/>
      <c r="U166" s="203"/>
      <c r="V166" s="89" t="s">
        <v>949</v>
      </c>
      <c r="W166" s="89" t="s">
        <v>950</v>
      </c>
      <c r="X166" s="145" t="s">
        <v>651</v>
      </c>
      <c r="Y166" s="89" t="s">
        <v>652</v>
      </c>
      <c r="Z166" s="90" t="s">
        <v>130</v>
      </c>
      <c r="AA166" s="90" t="s">
        <v>130</v>
      </c>
      <c r="AB166" s="90" t="s">
        <v>131</v>
      </c>
      <c r="AC166" s="90" t="s">
        <v>132</v>
      </c>
      <c r="AD166" s="92" t="s">
        <v>26</v>
      </c>
      <c r="AE166" s="149">
        <f>IFERROR(VLOOKUP(Z166,LISTS!$AL$2:$AM$1000,2,FALSE()),"")</f>
        <v>100</v>
      </c>
      <c r="AF166" s="151">
        <f>IFERROR(VLOOKUP(AA166,LISTS!$AO$2:$AP$1000,2,FALSE()),"")</f>
        <v>100</v>
      </c>
      <c r="AG166" s="152">
        <f>IFERROR(VLOOKUP(AB166,LISTS!$AR$2:$AS$1000,2,FALSE()),"")</f>
        <v>100</v>
      </c>
      <c r="AH166" s="154">
        <f>IFERROR(VLOOKUP(AC166,LISTS!$AU$2:$AV$1000,2,FALSE()),"")</f>
        <v>0</v>
      </c>
      <c r="AI166" s="238">
        <f t="shared" si="13"/>
        <v>100</v>
      </c>
      <c r="AJ166" s="190" t="str">
        <f t="shared" si="14"/>
        <v>🌟 ممتاز جدًا</v>
      </c>
      <c r="AK166" s="157">
        <f t="shared" si="15"/>
        <v>5</v>
      </c>
      <c r="AL166" s="160">
        <f t="shared" si="16"/>
        <v>2026</v>
      </c>
      <c r="AM166" s="210"/>
      <c r="AN166" s="209"/>
    </row>
    <row r="167" spans="1:40" ht="27.95" customHeight="1">
      <c r="A167" s="134">
        <f>IF(I167&lt;&gt;"",COUNTA($I$2:I167),"")</f>
        <v>166</v>
      </c>
      <c r="B167" s="138" t="str">
        <f t="shared" si="17"/>
        <v>الخميس</v>
      </c>
      <c r="C167" s="93" t="str">
        <f t="array" ref="C167">IF(E167="","",IF(M167&lt;&gt;"",
M167&amp;"/"&amp;SUMPRODUCT((M$2:M167=M167)*1)&amp;" - "&amp;(ROW()-2),
"إداري/"&amp;SUMPRODUCT((M$2:M167="")*1)&amp;" - "&amp;(ROW()-2)))</f>
        <v>إداري/162 - 165</v>
      </c>
      <c r="D167" s="141" t="str">
        <f>IF(AND(G167="",H167="",I167=""),"",IF(COUNTIFS(LISTS!$A$2:$A$67,G167,LISTS!$B$2:$B$67,H167,LISTS!$C$2:$C$67,I167)=0,"✗ هرم",IF(NOT(OR(Z167="ممتاز 100%",Z167="جيد 80%",Z167="مقبول 60%",Z167="خطر 40%",Z167="")),"✗ قائمة R",IF(NOT(OR(AA167="ممتاز 100%",AA167="جيد 85%",AA167="مقبول 70%",AA167="ضعيف 50%",AA167="")),"✗ قائمة S",IF(NOT(OR(AB167="مكتمل 100%",AB167="جزئي 60%",AB167="معلق 30%",AB167="مفتوح 0%",AB167="")),"✗ قائمة T",IF(NOT(OR(AC167="لا خصم 0",AC167="تأخير −5",AC167="عجز −10",AC167="جودة −15",AC167="امتثال −20",AC167="مخالفة −25",AC167="")),"✗ قائمة U",IF(AND(X167="لا",AC167&lt;&gt;"",AC167&lt;&gt;"لا خصم 0"),"✗ خصم",IF(AND(X167="نعم",AC167="لا خصم 0"),"✗ خصم",IF(AND(Z167="ممتاز 100%",AA167="ممتاز 100%",AB167&lt;&gt;"",AB167&lt;&gt;"مكتمل 100%"),"✗ إغلاق",IFERROR(IF(LEN(_xlfn.TEXTJOIN("، ",TRUE,IF(E167="","التاريخ",""),IF(F167="","الوقت",""),IF(G167="","المركز",""),IF(H167="","الدائرة",""),IF(I167="","القسم",""),IF(J167="","المسؤول",""),IF(K167="","نوع النشاط",""),IF(L167="","المشروع",""),IF(N167="","الممول",""),IF(V167="","الموضوع",""),IF(W167="","الملاحظة",""),IF(X167="","مشكلة",""),IF(Y167="","الإجراء",""),IF(Z167="","التنفيذ",""),IF(AA167="","الجودة",""),IF(AB167="","الإغلاق",""),IF(AC167="","الخصم",""),IF(AND(COUNTA($O167:$U167)&gt;0,O167=""),"مدير المشروع",""),IF(AND(COUNTA($O167:$U167)&gt;0,P167=""),"المستفيدين",""),IF(AND(COUNTA($O167:$U167)&gt;0,Q167=""),"المناطق",""),IF(AND(COUNTA($O167:$U167)&gt;0,R167=""),"الميزانية",""),IF(AND(COUNTA($O167:$U167)&gt;0,S167=""),"نسبة الجاهزية",""),IF(AND(COUNTA($O167:$U167)&gt;0,T167=""),"حالة الجاهزية",""),IF(AND(COUNTA($O167:$U167)&gt;0,U167=""),"التوصيات","")))&gt;0,"✗ ناقص: "&amp;_xlfn.TEXTJOIN("، ",TRUE,IF(E167="","التاريخ",""),IF(F167="","الوقت",""),IF(G167="","المركز",""),IF(H167="","الدائرة",""),IF(I167="","القسم",""),IF(J167="","المسؤول",""),IF(K167="","نوع النشاط",""),IF(L167="","المشروع",""),IF(N167="","الممول",""),IF(V167="","الموضوع",""),IF(W167="","الملاحظة",""),IF(X167="","مشكلة",""),IF(Y167="","الإجراء",""),IF(Z167="","التنفيذ",""),IF(AA167="","الجودة",""),IF(AB167="","الإغلاق",""),IF(AC167="","الخصم",""),IF(AND(COUNTA($O167:$U167)&gt;0,O167=""),"مدير المشروع",""),IF(AND(COUNTA($O167:$U167)&gt;0,P167=""),"المستفيدين",""),IF(AND(COUNTA($O167:$U167)&gt;0,Q167=""),"المناطق",""),IF(AND(COUNTA($O167:$U167)&gt;0,R167=""),"الميزانية",""),IF(AND(COUNTA($O167:$U167)&gt;0,S167=""),"نسبة الجاهزية",""),IF(AND(COUNTA($O167:$U167)&gt;0,T167=""),"حالة الجاهزية",""),IF(AND(COUNTA($O167:$U167)&gt;0,U167=""),"التوصيات","")),"✓"),"✓"))))))))))</f>
        <v>✗ ناقص: المسؤول، الممول</v>
      </c>
      <c r="E167" s="235">
        <v>46163</v>
      </c>
      <c r="F167" s="236">
        <v>0.4375</v>
      </c>
      <c r="G167" s="90" t="s">
        <v>97</v>
      </c>
      <c r="H167" s="123" t="s">
        <v>101</v>
      </c>
      <c r="I167" s="89" t="s">
        <v>123</v>
      </c>
      <c r="J167" s="142"/>
      <c r="K167" s="90" t="s">
        <v>116</v>
      </c>
      <c r="L167" s="90" t="s">
        <v>155</v>
      </c>
      <c r="M167" s="90"/>
      <c r="N167" s="89"/>
      <c r="O167" s="200"/>
      <c r="P167" s="201"/>
      <c r="Q167" s="201"/>
      <c r="R167" s="237"/>
      <c r="S167" s="202"/>
      <c r="T167" s="200"/>
      <c r="U167" s="203"/>
      <c r="V167" s="89" t="s">
        <v>951</v>
      </c>
      <c r="W167" s="89" t="s">
        <v>952</v>
      </c>
      <c r="X167" s="145" t="s">
        <v>651</v>
      </c>
      <c r="Y167" s="89" t="s">
        <v>652</v>
      </c>
      <c r="Z167" s="90" t="s">
        <v>130</v>
      </c>
      <c r="AA167" s="90" t="s">
        <v>130</v>
      </c>
      <c r="AB167" s="90" t="s">
        <v>131</v>
      </c>
      <c r="AC167" s="90" t="s">
        <v>132</v>
      </c>
      <c r="AD167" s="92" t="s">
        <v>134</v>
      </c>
      <c r="AE167" s="149">
        <f>IFERROR(VLOOKUP(Z167,LISTS!$AL$2:$AM$1000,2,FALSE()),"")</f>
        <v>100</v>
      </c>
      <c r="AF167" s="151">
        <f>IFERROR(VLOOKUP(AA167,LISTS!$AO$2:$AP$1000,2,FALSE()),"")</f>
        <v>100</v>
      </c>
      <c r="AG167" s="152">
        <f>IFERROR(VLOOKUP(AB167,LISTS!$AR$2:$AS$1000,2,FALSE()),"")</f>
        <v>100</v>
      </c>
      <c r="AH167" s="154">
        <f>IFERROR(VLOOKUP(AC167,LISTS!$AU$2:$AV$1000,2,FALSE()),"")</f>
        <v>0</v>
      </c>
      <c r="AI167" s="238">
        <f t="shared" si="13"/>
        <v>100</v>
      </c>
      <c r="AJ167" s="190" t="str">
        <f t="shared" si="14"/>
        <v>🌟 ممتاز جدًا</v>
      </c>
      <c r="AK167" s="157">
        <f t="shared" si="15"/>
        <v>5</v>
      </c>
      <c r="AL167" s="160">
        <f t="shared" si="16"/>
        <v>2026</v>
      </c>
      <c r="AM167" s="210"/>
      <c r="AN167" s="209"/>
    </row>
    <row r="168" spans="1:40" ht="27.95" customHeight="1">
      <c r="A168" s="134">
        <f>IF(I168&lt;&gt;"",COUNTA($I$2:I168),"")</f>
        <v>167</v>
      </c>
      <c r="B168" s="138" t="str">
        <f t="shared" si="17"/>
        <v>السبت</v>
      </c>
      <c r="C168" s="93" t="str">
        <f t="array" ref="C168">IF(E168="","",IF(M168&lt;&gt;"",
M168&amp;"/"&amp;SUMPRODUCT((M$2:M168=M168)*1)&amp;" - "&amp;(ROW()-2),
"إداري/"&amp;SUMPRODUCT((M$2:M168="")*1)&amp;" - "&amp;(ROW()-2)))</f>
        <v>إداري/163 - 166</v>
      </c>
      <c r="D168" s="141" t="str">
        <f>IF(AND(G168="",H168="",I168=""),"",IF(COUNTIFS(LISTS!$A$2:$A$67,G168,LISTS!$B$2:$B$67,H168,LISTS!$C$2:$C$67,I168)=0,"✗ هرم",IF(NOT(OR(Z168="ممتاز 100%",Z168="جيد 80%",Z168="مقبول 60%",Z168="خطر 40%",Z168="")),"✗ قائمة R",IF(NOT(OR(AA168="ممتاز 100%",AA168="جيد 85%",AA168="مقبول 70%",AA168="ضعيف 50%",AA168="")),"✗ قائمة S",IF(NOT(OR(AB168="مكتمل 100%",AB168="جزئي 60%",AB168="معلق 30%",AB168="مفتوح 0%",AB168="")),"✗ قائمة T",IF(NOT(OR(AC168="لا خصم 0",AC168="تأخير −5",AC168="عجز −10",AC168="جودة −15",AC168="امتثال −20",AC168="مخالفة −25",AC168="")),"✗ قائمة U",IF(AND(X168="لا",AC168&lt;&gt;"",AC168&lt;&gt;"لا خصم 0"),"✗ خصم",IF(AND(X168="نعم",AC168="لا خصم 0"),"✗ خصم",IF(AND(Z168="ممتاز 100%",AA168="ممتاز 100%",AB168&lt;&gt;"",AB168&lt;&gt;"مكتمل 100%"),"✗ إغلاق",IFERROR(IF(LEN(_xlfn.TEXTJOIN("، ",TRUE,IF(E168="","التاريخ",""),IF(F168="","الوقت",""),IF(G168="","المركز",""),IF(H168="","الدائرة",""),IF(I168="","القسم",""),IF(J168="","المسؤول",""),IF(K168="","نوع النشاط",""),IF(L168="","المشروع",""),IF(N168="","الممول",""),IF(V168="","الموضوع",""),IF(W168="","الملاحظة",""),IF(X168="","مشكلة",""),IF(Y168="","الإجراء",""),IF(Z168="","التنفيذ",""),IF(AA168="","الجودة",""),IF(AB168="","الإغلاق",""),IF(AC168="","الخصم",""),IF(AND(COUNTA($O168:$U168)&gt;0,O168=""),"مدير المشروع",""),IF(AND(COUNTA($O168:$U168)&gt;0,P168=""),"المستفيدين",""),IF(AND(COUNTA($O168:$U168)&gt;0,Q168=""),"المناطق",""),IF(AND(COUNTA($O168:$U168)&gt;0,R168=""),"الميزانية",""),IF(AND(COUNTA($O168:$U168)&gt;0,S168=""),"نسبة الجاهزية",""),IF(AND(COUNTA($O168:$U168)&gt;0,T168=""),"حالة الجاهزية",""),IF(AND(COUNTA($O168:$U168)&gt;0,U168=""),"التوصيات","")))&gt;0,"✗ ناقص: "&amp;_xlfn.TEXTJOIN("، ",TRUE,IF(E168="","التاريخ",""),IF(F168="","الوقت",""),IF(G168="","المركز",""),IF(H168="","الدائرة",""),IF(I168="","القسم",""),IF(J168="","المسؤول",""),IF(K168="","نوع النشاط",""),IF(L168="","المشروع",""),IF(N168="","الممول",""),IF(V168="","الموضوع",""),IF(W168="","الملاحظة",""),IF(X168="","مشكلة",""),IF(Y168="","الإجراء",""),IF(Z168="","التنفيذ",""),IF(AA168="","الجودة",""),IF(AB168="","الإغلاق",""),IF(AC168="","الخصم",""),IF(AND(COUNTA($O168:$U168)&gt;0,O168=""),"مدير المشروع",""),IF(AND(COUNTA($O168:$U168)&gt;0,P168=""),"المستفيدين",""),IF(AND(COUNTA($O168:$U168)&gt;0,Q168=""),"المناطق",""),IF(AND(COUNTA($O168:$U168)&gt;0,R168=""),"الميزانية",""),IF(AND(COUNTA($O168:$U168)&gt;0,S168=""),"نسبة الجاهزية",""),IF(AND(COUNTA($O168:$U168)&gt;0,T168=""),"حالة الجاهزية",""),IF(AND(COUNTA($O168:$U168)&gt;0,U168=""),"التوصيات","")),"✓"),"✓"))))))))))</f>
        <v>✓</v>
      </c>
      <c r="E168" s="235">
        <v>46165</v>
      </c>
      <c r="F168" s="236">
        <v>0.56944444444444442</v>
      </c>
      <c r="G168" s="90" t="s">
        <v>97</v>
      </c>
      <c r="H168" s="123" t="s">
        <v>102</v>
      </c>
      <c r="I168" s="89" t="s">
        <v>124</v>
      </c>
      <c r="J168" s="142" t="s">
        <v>117</v>
      </c>
      <c r="K168" s="90" t="s">
        <v>116</v>
      </c>
      <c r="L168" s="90" t="s">
        <v>369</v>
      </c>
      <c r="M168" s="90"/>
      <c r="N168" s="89" t="s">
        <v>655</v>
      </c>
      <c r="O168" s="200"/>
      <c r="P168" s="201"/>
      <c r="Q168" s="201"/>
      <c r="R168" s="237"/>
      <c r="S168" s="202"/>
      <c r="T168" s="200"/>
      <c r="U168" s="203"/>
      <c r="V168" s="89" t="s">
        <v>823</v>
      </c>
      <c r="W168" s="89" t="s">
        <v>953</v>
      </c>
      <c r="X168" s="145" t="s">
        <v>651</v>
      </c>
      <c r="Y168" s="89" t="s">
        <v>652</v>
      </c>
      <c r="Z168" s="90" t="s">
        <v>130</v>
      </c>
      <c r="AA168" s="90" t="s">
        <v>130</v>
      </c>
      <c r="AB168" s="90" t="s">
        <v>131</v>
      </c>
      <c r="AC168" s="90" t="s">
        <v>132</v>
      </c>
      <c r="AD168" s="92" t="s">
        <v>26</v>
      </c>
      <c r="AE168" s="149">
        <f>IFERROR(VLOOKUP(Z168,LISTS!$AL$2:$AM$1000,2,FALSE()),"")</f>
        <v>100</v>
      </c>
      <c r="AF168" s="151">
        <f>IFERROR(VLOOKUP(AA168,LISTS!$AO$2:$AP$1000,2,FALSE()),"")</f>
        <v>100</v>
      </c>
      <c r="AG168" s="152">
        <f>IFERROR(VLOOKUP(AB168,LISTS!$AR$2:$AS$1000,2,FALSE()),"")</f>
        <v>100</v>
      </c>
      <c r="AH168" s="154">
        <f>IFERROR(VLOOKUP(AC168,LISTS!$AU$2:$AV$1000,2,FALSE()),"")</f>
        <v>0</v>
      </c>
      <c r="AI168" s="238">
        <f t="shared" si="13"/>
        <v>100</v>
      </c>
      <c r="AJ168" s="190" t="str">
        <f t="shared" si="14"/>
        <v>🌟 ممتاز جدًا</v>
      </c>
      <c r="AK168" s="157">
        <f t="shared" si="15"/>
        <v>5</v>
      </c>
      <c r="AL168" s="160">
        <f t="shared" si="16"/>
        <v>2026</v>
      </c>
      <c r="AM168" s="210"/>
      <c r="AN168" s="209"/>
    </row>
    <row r="169" spans="1:40" ht="27.95" customHeight="1">
      <c r="A169" s="134">
        <f>IF(I169&lt;&gt;"",COUNTA($I$2:I169),"")</f>
        <v>168</v>
      </c>
      <c r="B169" s="138" t="str">
        <f t="shared" si="17"/>
        <v>الأحد</v>
      </c>
      <c r="C169" s="93" t="str">
        <f t="array" ref="C169">IF(E169="","",IF(M169&lt;&gt;"",
M169&amp;"/"&amp;SUMPRODUCT((M$2:M169=M169)*1)&amp;" - "&amp;(ROW()-2),
"إداري/"&amp;SUMPRODUCT((M$2:M169="")*1)&amp;" - "&amp;(ROW()-2)))</f>
        <v>إداري/164 - 167</v>
      </c>
      <c r="D169" s="141" t="str">
        <f>IF(AND(G169="",H169="",I169=""),"",IF(COUNTIFS(LISTS!$A$2:$A$67,G169,LISTS!$B$2:$B$67,H169,LISTS!$C$2:$C$67,I169)=0,"✗ هرم",IF(NOT(OR(Z169="ممتاز 100%",Z169="جيد 80%",Z169="مقبول 60%",Z169="خطر 40%",Z169="")),"✗ قائمة R",IF(NOT(OR(AA169="ممتاز 100%",AA169="جيد 85%",AA169="مقبول 70%",AA169="ضعيف 50%",AA169="")),"✗ قائمة S",IF(NOT(OR(AB169="مكتمل 100%",AB169="جزئي 60%",AB169="معلق 30%",AB169="مفتوح 0%",AB169="")),"✗ قائمة T",IF(NOT(OR(AC169="لا خصم 0",AC169="تأخير −5",AC169="عجز −10",AC169="جودة −15",AC169="امتثال −20",AC169="مخالفة −25",AC169="")),"✗ قائمة U",IF(AND(X169="لا",AC169&lt;&gt;"",AC169&lt;&gt;"لا خصم 0"),"✗ خصم",IF(AND(X169="نعم",AC169="لا خصم 0"),"✗ خصم",IF(AND(Z169="ممتاز 100%",AA169="ممتاز 100%",AB169&lt;&gt;"",AB169&lt;&gt;"مكتمل 100%"),"✗ إغلاق",IFERROR(IF(LEN(_xlfn.TEXTJOIN("، ",TRUE,IF(E169="","التاريخ",""),IF(F169="","الوقت",""),IF(G169="","المركز",""),IF(H169="","الدائرة",""),IF(I169="","القسم",""),IF(J169="","المسؤول",""),IF(K169="","نوع النشاط",""),IF(L169="","المشروع",""),IF(N169="","الممول",""),IF(V169="","الموضوع",""),IF(W169="","الملاحظة",""),IF(X169="","مشكلة",""),IF(Y169="","الإجراء",""),IF(Z169="","التنفيذ",""),IF(AA169="","الجودة",""),IF(AB169="","الإغلاق",""),IF(AC169="","الخصم",""),IF(AND(COUNTA($O169:$U169)&gt;0,O169=""),"مدير المشروع",""),IF(AND(COUNTA($O169:$U169)&gt;0,P169=""),"المستفيدين",""),IF(AND(COUNTA($O169:$U169)&gt;0,Q169=""),"المناطق",""),IF(AND(COUNTA($O169:$U169)&gt;0,R169=""),"الميزانية",""),IF(AND(COUNTA($O169:$U169)&gt;0,S169=""),"نسبة الجاهزية",""),IF(AND(COUNTA($O169:$U169)&gt;0,T169=""),"حالة الجاهزية",""),IF(AND(COUNTA($O169:$U169)&gt;0,U169=""),"التوصيات","")))&gt;0,"✗ ناقص: "&amp;_xlfn.TEXTJOIN("، ",TRUE,IF(E169="","التاريخ",""),IF(F169="","الوقت",""),IF(G169="","المركز",""),IF(H169="","الدائرة",""),IF(I169="","القسم",""),IF(J169="","المسؤول",""),IF(K169="","نوع النشاط",""),IF(L169="","المشروع",""),IF(N169="","الممول",""),IF(V169="","الموضوع",""),IF(W169="","الملاحظة",""),IF(X169="","مشكلة",""),IF(Y169="","الإجراء",""),IF(Z169="","التنفيذ",""),IF(AA169="","الجودة",""),IF(AB169="","الإغلاق",""),IF(AC169="","الخصم",""),IF(AND(COUNTA($O169:$U169)&gt;0,O169=""),"مدير المشروع",""),IF(AND(COUNTA($O169:$U169)&gt;0,P169=""),"المستفيدين",""),IF(AND(COUNTA($O169:$U169)&gt;0,Q169=""),"المناطق",""),IF(AND(COUNTA($O169:$U169)&gt;0,R169=""),"الميزانية",""),IF(AND(COUNTA($O169:$U169)&gt;0,S169=""),"نسبة الجاهزية",""),IF(AND(COUNTA($O169:$U169)&gt;0,T169=""),"حالة الجاهزية",""),IF(AND(COUNTA($O169:$U169)&gt;0,U169=""),"التوصيات","")),"✓"),"✓"))))))))))</f>
        <v>✗ ناقص: الممول</v>
      </c>
      <c r="E169" s="235">
        <v>46166</v>
      </c>
      <c r="F169" s="236">
        <v>0.5625</v>
      </c>
      <c r="G169" s="90" t="s">
        <v>97</v>
      </c>
      <c r="H169" s="123" t="s">
        <v>102</v>
      </c>
      <c r="I169" s="89" t="s">
        <v>136</v>
      </c>
      <c r="J169" s="142" t="s">
        <v>724</v>
      </c>
      <c r="K169" s="90" t="s">
        <v>152</v>
      </c>
      <c r="L169" s="90" t="s">
        <v>136</v>
      </c>
      <c r="M169" s="90"/>
      <c r="N169" s="89"/>
      <c r="O169" s="200"/>
      <c r="P169" s="201"/>
      <c r="Q169" s="201"/>
      <c r="R169" s="237"/>
      <c r="S169" s="202"/>
      <c r="T169" s="200"/>
      <c r="U169" s="203"/>
      <c r="V169" s="89" t="s">
        <v>954</v>
      </c>
      <c r="W169" s="89" t="s">
        <v>955</v>
      </c>
      <c r="X169" s="145" t="s">
        <v>647</v>
      </c>
      <c r="Y169" s="89" t="s">
        <v>682</v>
      </c>
      <c r="Z169" s="90" t="s">
        <v>181</v>
      </c>
      <c r="AA169" s="90" t="s">
        <v>182</v>
      </c>
      <c r="AB169" s="90" t="s">
        <v>150</v>
      </c>
      <c r="AC169" s="90" t="s">
        <v>151</v>
      </c>
      <c r="AD169" s="92" t="s">
        <v>26</v>
      </c>
      <c r="AE169" s="149">
        <f>IFERROR(VLOOKUP(Z169,LISTS!$AL$2:$AM$1000,2,FALSE()),"")</f>
        <v>40</v>
      </c>
      <c r="AF169" s="151">
        <f>IFERROR(VLOOKUP(AA169,LISTS!$AO$2:$AP$1000,2,FALSE()),"")</f>
        <v>50</v>
      </c>
      <c r="AG169" s="152">
        <f>IFERROR(VLOOKUP(AB169,LISTS!$AR$2:$AS$1000,2,FALSE()),"")</f>
        <v>30</v>
      </c>
      <c r="AH169" s="154">
        <f>IFERROR(VLOOKUP(AC169,LISTS!$AU$2:$AV$1000,2,FALSE()),"")</f>
        <v>25</v>
      </c>
      <c r="AI169" s="238">
        <f t="shared" si="13"/>
        <v>15</v>
      </c>
      <c r="AJ169" s="190" t="str">
        <f t="shared" si="14"/>
        <v>🚨 خطر شديد</v>
      </c>
      <c r="AK169" s="157">
        <f t="shared" si="15"/>
        <v>5</v>
      </c>
      <c r="AL169" s="160">
        <f t="shared" si="16"/>
        <v>2026</v>
      </c>
      <c r="AM169" s="210"/>
      <c r="AN169" s="209"/>
    </row>
    <row r="170" spans="1:40" ht="27.95" customHeight="1">
      <c r="A170" s="134">
        <f>IF(I170&lt;&gt;"",COUNTA($I$2:I170),"")</f>
        <v>169</v>
      </c>
      <c r="B170" s="138" t="str">
        <f t="shared" si="17"/>
        <v>الأحد</v>
      </c>
      <c r="C170" s="93" t="str">
        <f t="array" ref="C170">IF(E170="","",IF(M170&lt;&gt;"",
M170&amp;"/"&amp;SUMPRODUCT((M$2:M170=M170)*1)&amp;" - "&amp;(ROW()-2),
"إداري/"&amp;SUMPRODUCT((M$2:M170="")*1)&amp;" - "&amp;(ROW()-2)))</f>
        <v>إداري/165 - 168</v>
      </c>
      <c r="D170" s="141" t="str">
        <f>IF(AND(G170="",H170="",I170=""),"",IF(COUNTIFS(LISTS!$A$2:$A$67,G170,LISTS!$B$2:$B$67,H170,LISTS!$C$2:$C$67,I170)=0,"✗ هرم",IF(NOT(OR(Z170="ممتاز 100%",Z170="جيد 80%",Z170="مقبول 60%",Z170="خطر 40%",Z170="")),"✗ قائمة R",IF(NOT(OR(AA170="ممتاز 100%",AA170="جيد 85%",AA170="مقبول 70%",AA170="ضعيف 50%",AA170="")),"✗ قائمة S",IF(NOT(OR(AB170="مكتمل 100%",AB170="جزئي 60%",AB170="معلق 30%",AB170="مفتوح 0%",AB170="")),"✗ قائمة T",IF(NOT(OR(AC170="لا خصم 0",AC170="تأخير −5",AC170="عجز −10",AC170="جودة −15",AC170="امتثال −20",AC170="مخالفة −25",AC170="")),"✗ قائمة U",IF(AND(X170="لا",AC170&lt;&gt;"",AC170&lt;&gt;"لا خصم 0"),"✗ خصم",IF(AND(X170="نعم",AC170="لا خصم 0"),"✗ خصم",IF(AND(Z170="ممتاز 100%",AA170="ممتاز 100%",AB170&lt;&gt;"",AB170&lt;&gt;"مكتمل 100%"),"✗ إغلاق",IFERROR(IF(LEN(_xlfn.TEXTJOIN("، ",TRUE,IF(E170="","التاريخ",""),IF(F170="","الوقت",""),IF(G170="","المركز",""),IF(H170="","الدائرة",""),IF(I170="","القسم",""),IF(J170="","المسؤول",""),IF(K170="","نوع النشاط",""),IF(L170="","المشروع",""),IF(N170="","الممول",""),IF(V170="","الموضوع",""),IF(W170="","الملاحظة",""),IF(X170="","مشكلة",""),IF(Y170="","الإجراء",""),IF(Z170="","التنفيذ",""),IF(AA170="","الجودة",""),IF(AB170="","الإغلاق",""),IF(AC170="","الخصم",""),IF(AND(COUNTA($O170:$U170)&gt;0,O170=""),"مدير المشروع",""),IF(AND(COUNTA($O170:$U170)&gt;0,P170=""),"المستفيدين",""),IF(AND(COUNTA($O170:$U170)&gt;0,Q170=""),"المناطق",""),IF(AND(COUNTA($O170:$U170)&gt;0,R170=""),"الميزانية",""),IF(AND(COUNTA($O170:$U170)&gt;0,S170=""),"نسبة الجاهزية",""),IF(AND(COUNTA($O170:$U170)&gt;0,T170=""),"حالة الجاهزية",""),IF(AND(COUNTA($O170:$U170)&gt;0,U170=""),"التوصيات","")))&gt;0,"✗ ناقص: "&amp;_xlfn.TEXTJOIN("، ",TRUE,IF(E170="","التاريخ",""),IF(F170="","الوقت",""),IF(G170="","المركز",""),IF(H170="","الدائرة",""),IF(I170="","القسم",""),IF(J170="","المسؤول",""),IF(K170="","نوع النشاط",""),IF(L170="","المشروع",""),IF(N170="","الممول",""),IF(V170="","الموضوع",""),IF(W170="","الملاحظة",""),IF(X170="","مشكلة",""),IF(Y170="","الإجراء",""),IF(Z170="","التنفيذ",""),IF(AA170="","الجودة",""),IF(AB170="","الإغلاق",""),IF(AC170="","الخصم",""),IF(AND(COUNTA($O170:$U170)&gt;0,O170=""),"مدير المشروع",""),IF(AND(COUNTA($O170:$U170)&gt;0,P170=""),"المستفيدين",""),IF(AND(COUNTA($O170:$U170)&gt;0,Q170=""),"المناطق",""),IF(AND(COUNTA($O170:$U170)&gt;0,R170=""),"الميزانية",""),IF(AND(COUNTA($O170:$U170)&gt;0,S170=""),"نسبة الجاهزية",""),IF(AND(COUNTA($O170:$U170)&gt;0,T170=""),"حالة الجاهزية",""),IF(AND(COUNTA($O170:$U170)&gt;0,U170=""),"التوصيات","")),"✓"),"✓"))))))))))</f>
        <v>✗ ناقص: الممول</v>
      </c>
      <c r="E170" s="235">
        <v>46166</v>
      </c>
      <c r="F170" s="236">
        <v>0.58333333333333337</v>
      </c>
      <c r="G170" s="90" t="s">
        <v>97</v>
      </c>
      <c r="H170" s="123" t="s">
        <v>102</v>
      </c>
      <c r="I170" s="89" t="s">
        <v>136</v>
      </c>
      <c r="J170" s="142" t="s">
        <v>230</v>
      </c>
      <c r="K170" s="90" t="s">
        <v>152</v>
      </c>
      <c r="L170" s="90" t="s">
        <v>136</v>
      </c>
      <c r="M170" s="90"/>
      <c r="N170" s="89"/>
      <c r="O170" s="200"/>
      <c r="P170" s="201"/>
      <c r="Q170" s="201"/>
      <c r="R170" s="237"/>
      <c r="S170" s="202"/>
      <c r="T170" s="200"/>
      <c r="U170" s="203"/>
      <c r="V170" s="89" t="s">
        <v>861</v>
      </c>
      <c r="W170" s="89" t="s">
        <v>956</v>
      </c>
      <c r="X170" s="145" t="s">
        <v>647</v>
      </c>
      <c r="Y170" s="89" t="s">
        <v>682</v>
      </c>
      <c r="Z170" s="90" t="s">
        <v>181</v>
      </c>
      <c r="AA170" s="90" t="s">
        <v>182</v>
      </c>
      <c r="AB170" s="90" t="s">
        <v>150</v>
      </c>
      <c r="AC170" s="90" t="s">
        <v>151</v>
      </c>
      <c r="AD170" s="92" t="s">
        <v>26</v>
      </c>
      <c r="AE170" s="149">
        <f>IFERROR(VLOOKUP(Z170,LISTS!$AL$2:$AM$1000,2,FALSE()),"")</f>
        <v>40</v>
      </c>
      <c r="AF170" s="151">
        <f>IFERROR(VLOOKUP(AA170,LISTS!$AO$2:$AP$1000,2,FALSE()),"")</f>
        <v>50</v>
      </c>
      <c r="AG170" s="152">
        <f>IFERROR(VLOOKUP(AB170,LISTS!$AR$2:$AS$1000,2,FALSE()),"")</f>
        <v>30</v>
      </c>
      <c r="AH170" s="154">
        <f>IFERROR(VLOOKUP(AC170,LISTS!$AU$2:$AV$1000,2,FALSE()),"")</f>
        <v>25</v>
      </c>
      <c r="AI170" s="238">
        <f t="shared" si="13"/>
        <v>15</v>
      </c>
      <c r="AJ170" s="190" t="str">
        <f t="shared" si="14"/>
        <v>🚨 خطر شديد</v>
      </c>
      <c r="AK170" s="157">
        <f t="shared" si="15"/>
        <v>5</v>
      </c>
      <c r="AL170" s="160">
        <f t="shared" si="16"/>
        <v>2026</v>
      </c>
      <c r="AM170" s="210"/>
      <c r="AN170" s="209"/>
    </row>
    <row r="171" spans="1:40" ht="27.95" customHeight="1">
      <c r="A171" s="134">
        <f>IF(I171&lt;&gt;"",COUNTA($I$2:I171),"")</f>
        <v>170</v>
      </c>
      <c r="B171" s="138" t="str">
        <f t="shared" si="17"/>
        <v>الأحد</v>
      </c>
      <c r="C171" s="93" t="str">
        <f t="array" ref="C171">IF(E171="","",IF(M171&lt;&gt;"",
M171&amp;"/"&amp;SUMPRODUCT((M$2:M171=M171)*1)&amp;" - "&amp;(ROW()-2),
"إداري/"&amp;SUMPRODUCT((M$2:M171="")*1)&amp;" - "&amp;(ROW()-2)))</f>
        <v>إداري/166 - 169</v>
      </c>
      <c r="D171" s="141" t="str">
        <f>IF(AND(G171="",H171="",I171=""),"",IF(COUNTIFS(LISTS!$A$2:$A$67,G171,LISTS!$B$2:$B$67,H171,LISTS!$C$2:$C$67,I171)=0,"✗ هرم",IF(NOT(OR(Z171="ممتاز 100%",Z171="جيد 80%",Z171="مقبول 60%",Z171="خطر 40%",Z171="")),"✗ قائمة R",IF(NOT(OR(AA171="ممتاز 100%",AA171="جيد 85%",AA171="مقبول 70%",AA171="ضعيف 50%",AA171="")),"✗ قائمة S",IF(NOT(OR(AB171="مكتمل 100%",AB171="جزئي 60%",AB171="معلق 30%",AB171="مفتوح 0%",AB171="")),"✗ قائمة T",IF(NOT(OR(AC171="لا خصم 0",AC171="تأخير −5",AC171="عجز −10",AC171="جودة −15",AC171="امتثال −20",AC171="مخالفة −25",AC171="")),"✗ قائمة U",IF(AND(X171="لا",AC171&lt;&gt;"",AC171&lt;&gt;"لا خصم 0"),"✗ خصم",IF(AND(X171="نعم",AC171="لا خصم 0"),"✗ خصم",IF(AND(Z171="ممتاز 100%",AA171="ممتاز 100%",AB171&lt;&gt;"",AB171&lt;&gt;"مكتمل 100%"),"✗ إغلاق",IFERROR(IF(LEN(_xlfn.TEXTJOIN("، ",TRUE,IF(E171="","التاريخ",""),IF(F171="","الوقت",""),IF(G171="","المركز",""),IF(H171="","الدائرة",""),IF(I171="","القسم",""),IF(J171="","المسؤول",""),IF(K171="","نوع النشاط",""),IF(L171="","المشروع",""),IF(N171="","الممول",""),IF(V171="","الموضوع",""),IF(W171="","الملاحظة",""),IF(X171="","مشكلة",""),IF(Y171="","الإجراء",""),IF(Z171="","التنفيذ",""),IF(AA171="","الجودة",""),IF(AB171="","الإغلاق",""),IF(AC171="","الخصم",""),IF(AND(COUNTA($O171:$U171)&gt;0,O171=""),"مدير المشروع",""),IF(AND(COUNTA($O171:$U171)&gt;0,P171=""),"المستفيدين",""),IF(AND(COUNTA($O171:$U171)&gt;0,Q171=""),"المناطق",""),IF(AND(COUNTA($O171:$U171)&gt;0,R171=""),"الميزانية",""),IF(AND(COUNTA($O171:$U171)&gt;0,S171=""),"نسبة الجاهزية",""),IF(AND(COUNTA($O171:$U171)&gt;0,T171=""),"حالة الجاهزية",""),IF(AND(COUNTA($O171:$U171)&gt;0,U171=""),"التوصيات","")))&gt;0,"✗ ناقص: "&amp;_xlfn.TEXTJOIN("، ",TRUE,IF(E171="","التاريخ",""),IF(F171="","الوقت",""),IF(G171="","المركز",""),IF(H171="","الدائرة",""),IF(I171="","القسم",""),IF(J171="","المسؤول",""),IF(K171="","نوع النشاط",""),IF(L171="","المشروع",""),IF(N171="","الممول",""),IF(V171="","الموضوع",""),IF(W171="","الملاحظة",""),IF(X171="","مشكلة",""),IF(Y171="","الإجراء",""),IF(Z171="","التنفيذ",""),IF(AA171="","الجودة",""),IF(AB171="","الإغلاق",""),IF(AC171="","الخصم",""),IF(AND(COUNTA($O171:$U171)&gt;0,O171=""),"مدير المشروع",""),IF(AND(COUNTA($O171:$U171)&gt;0,P171=""),"المستفيدين",""),IF(AND(COUNTA($O171:$U171)&gt;0,Q171=""),"المناطق",""),IF(AND(COUNTA($O171:$U171)&gt;0,R171=""),"الميزانية",""),IF(AND(COUNTA($O171:$U171)&gt;0,S171=""),"نسبة الجاهزية",""),IF(AND(COUNTA($O171:$U171)&gt;0,T171=""),"حالة الجاهزية",""),IF(AND(COUNTA($O171:$U171)&gt;0,U171=""),"التوصيات","")),"✓"),"✓"))))))))))</f>
        <v>✗ ناقص: الممول</v>
      </c>
      <c r="E171" s="235">
        <v>46166</v>
      </c>
      <c r="F171" s="236">
        <v>0.57638888888888884</v>
      </c>
      <c r="G171" s="90" t="s">
        <v>97</v>
      </c>
      <c r="H171" s="123" t="s">
        <v>102</v>
      </c>
      <c r="I171" s="89" t="s">
        <v>136</v>
      </c>
      <c r="J171" s="142" t="s">
        <v>208</v>
      </c>
      <c r="K171" s="90" t="s">
        <v>152</v>
      </c>
      <c r="L171" s="90" t="s">
        <v>136</v>
      </c>
      <c r="M171" s="90"/>
      <c r="N171" s="89"/>
      <c r="O171" s="200"/>
      <c r="P171" s="201"/>
      <c r="Q171" s="201"/>
      <c r="R171" s="237"/>
      <c r="S171" s="202"/>
      <c r="T171" s="200"/>
      <c r="U171" s="203"/>
      <c r="V171" s="89" t="s">
        <v>863</v>
      </c>
      <c r="W171" s="89" t="s">
        <v>957</v>
      </c>
      <c r="X171" s="145" t="s">
        <v>647</v>
      </c>
      <c r="Y171" s="89" t="s">
        <v>682</v>
      </c>
      <c r="Z171" s="90" t="s">
        <v>148</v>
      </c>
      <c r="AA171" s="90" t="s">
        <v>182</v>
      </c>
      <c r="AB171" s="90" t="s">
        <v>150</v>
      </c>
      <c r="AC171" s="90" t="s">
        <v>168</v>
      </c>
      <c r="AD171" s="92" t="s">
        <v>26</v>
      </c>
      <c r="AE171" s="149">
        <f>IFERROR(VLOOKUP(Z171,LISTS!$AL$2:$AM$1000,2,FALSE()),"")</f>
        <v>60</v>
      </c>
      <c r="AF171" s="151">
        <f>IFERROR(VLOOKUP(AA171,LISTS!$AO$2:$AP$1000,2,FALSE()),"")</f>
        <v>50</v>
      </c>
      <c r="AG171" s="152">
        <f>IFERROR(VLOOKUP(AB171,LISTS!$AR$2:$AS$1000,2,FALSE()),"")</f>
        <v>30</v>
      </c>
      <c r="AH171" s="154">
        <f>IFERROR(VLOOKUP(AC171,LISTS!$AU$2:$AV$1000,2,FALSE()),"")</f>
        <v>20</v>
      </c>
      <c r="AI171" s="238">
        <f t="shared" si="13"/>
        <v>28</v>
      </c>
      <c r="AJ171" s="190" t="str">
        <f t="shared" si="14"/>
        <v>🚨 خطر شديد</v>
      </c>
      <c r="AK171" s="157">
        <f t="shared" si="15"/>
        <v>5</v>
      </c>
      <c r="AL171" s="160">
        <f t="shared" si="16"/>
        <v>2026</v>
      </c>
      <c r="AM171" s="210"/>
      <c r="AN171" s="209"/>
    </row>
    <row r="172" spans="1:40" ht="27.95" customHeight="1">
      <c r="A172" s="134">
        <f>IF(I172&lt;&gt;"",COUNTA($I$2:I172),"")</f>
        <v>171</v>
      </c>
      <c r="B172" s="138" t="str">
        <f t="shared" si="17"/>
        <v>الأحد</v>
      </c>
      <c r="C172" s="93" t="str">
        <f t="array" ref="C172">IF(E172="","",IF(M172&lt;&gt;"",
M172&amp;"/"&amp;SUMPRODUCT((M$2:M172=M172)*1)&amp;" - "&amp;(ROW()-2),
"إداري/"&amp;SUMPRODUCT((M$2:M172="")*1)&amp;" - "&amp;(ROW()-2)))</f>
        <v>إداري/167 - 170</v>
      </c>
      <c r="D172" s="141" t="str">
        <f>IF(AND(G172="",H172="",I172=""),"",IF(COUNTIFS(LISTS!$A$2:$A$67,G172,LISTS!$B$2:$B$67,H172,LISTS!$C$2:$C$67,I172)=0,"✗ هرم",IF(NOT(OR(Z172="ممتاز 100%",Z172="جيد 80%",Z172="مقبول 60%",Z172="خطر 40%",Z172="")),"✗ قائمة R",IF(NOT(OR(AA172="ممتاز 100%",AA172="جيد 85%",AA172="مقبول 70%",AA172="ضعيف 50%",AA172="")),"✗ قائمة S",IF(NOT(OR(AB172="مكتمل 100%",AB172="جزئي 60%",AB172="معلق 30%",AB172="مفتوح 0%",AB172="")),"✗ قائمة T",IF(NOT(OR(AC172="لا خصم 0",AC172="تأخير −5",AC172="عجز −10",AC172="جودة −15",AC172="امتثال −20",AC172="مخالفة −25",AC172="")),"✗ قائمة U",IF(AND(X172="لا",AC172&lt;&gt;"",AC172&lt;&gt;"لا خصم 0"),"✗ خصم",IF(AND(X172="نعم",AC172="لا خصم 0"),"✗ خصم",IF(AND(Z172="ممتاز 100%",AA172="ممتاز 100%",AB172&lt;&gt;"",AB172&lt;&gt;"مكتمل 100%"),"✗ إغلاق",IFERROR(IF(LEN(_xlfn.TEXTJOIN("، ",TRUE,IF(E172="","التاريخ",""),IF(F172="","الوقت",""),IF(G172="","المركز",""),IF(H172="","الدائرة",""),IF(I172="","القسم",""),IF(J172="","المسؤول",""),IF(K172="","نوع النشاط",""),IF(L172="","المشروع",""),IF(N172="","الممول",""),IF(V172="","الموضوع",""),IF(W172="","الملاحظة",""),IF(X172="","مشكلة",""),IF(Y172="","الإجراء",""),IF(Z172="","التنفيذ",""),IF(AA172="","الجودة",""),IF(AB172="","الإغلاق",""),IF(AC172="","الخصم",""),IF(AND(COUNTA($O172:$U172)&gt;0,O172=""),"مدير المشروع",""),IF(AND(COUNTA($O172:$U172)&gt;0,P172=""),"المستفيدين",""),IF(AND(COUNTA($O172:$U172)&gt;0,Q172=""),"المناطق",""),IF(AND(COUNTA($O172:$U172)&gt;0,R172=""),"الميزانية",""),IF(AND(COUNTA($O172:$U172)&gt;0,S172=""),"نسبة الجاهزية",""),IF(AND(COUNTA($O172:$U172)&gt;0,T172=""),"حالة الجاهزية",""),IF(AND(COUNTA($O172:$U172)&gt;0,U172=""),"التوصيات","")))&gt;0,"✗ ناقص: "&amp;_xlfn.TEXTJOIN("، ",TRUE,IF(E172="","التاريخ",""),IF(F172="","الوقت",""),IF(G172="","المركز",""),IF(H172="","الدائرة",""),IF(I172="","القسم",""),IF(J172="","المسؤول",""),IF(K172="","نوع النشاط",""),IF(L172="","المشروع",""),IF(N172="","الممول",""),IF(V172="","الموضوع",""),IF(W172="","الملاحظة",""),IF(X172="","مشكلة",""),IF(Y172="","الإجراء",""),IF(Z172="","التنفيذ",""),IF(AA172="","الجودة",""),IF(AB172="","الإغلاق",""),IF(AC172="","الخصم",""),IF(AND(COUNTA($O172:$U172)&gt;0,O172=""),"مدير المشروع",""),IF(AND(COUNTA($O172:$U172)&gt;0,P172=""),"المستفيدين",""),IF(AND(COUNTA($O172:$U172)&gt;0,Q172=""),"المناطق",""),IF(AND(COUNTA($O172:$U172)&gt;0,R172=""),"الميزانية",""),IF(AND(COUNTA($O172:$U172)&gt;0,S172=""),"نسبة الجاهزية",""),IF(AND(COUNTA($O172:$U172)&gt;0,T172=""),"حالة الجاهزية",""),IF(AND(COUNTA($O172:$U172)&gt;0,U172=""),"التوصيات","")),"✓"),"✓"))))))))))</f>
        <v>✓</v>
      </c>
      <c r="E172" s="235">
        <v>46166</v>
      </c>
      <c r="F172" s="236">
        <v>0.56597222222222221</v>
      </c>
      <c r="G172" s="90" t="s">
        <v>97</v>
      </c>
      <c r="H172" s="123" t="s">
        <v>102</v>
      </c>
      <c r="I172" s="89" t="s">
        <v>124</v>
      </c>
      <c r="J172" s="142" t="s">
        <v>117</v>
      </c>
      <c r="K172" s="90" t="s">
        <v>116</v>
      </c>
      <c r="L172" s="90" t="s">
        <v>369</v>
      </c>
      <c r="M172" s="90"/>
      <c r="N172" s="89" t="s">
        <v>655</v>
      </c>
      <c r="O172" s="200"/>
      <c r="P172" s="201"/>
      <c r="Q172" s="201"/>
      <c r="R172" s="237"/>
      <c r="S172" s="202"/>
      <c r="T172" s="200"/>
      <c r="U172" s="203"/>
      <c r="V172" s="89" t="s">
        <v>823</v>
      </c>
      <c r="W172" s="89" t="s">
        <v>958</v>
      </c>
      <c r="X172" s="145" t="s">
        <v>651</v>
      </c>
      <c r="Y172" s="89" t="s">
        <v>652</v>
      </c>
      <c r="Z172" s="90" t="s">
        <v>130</v>
      </c>
      <c r="AA172" s="90" t="s">
        <v>130</v>
      </c>
      <c r="AB172" s="90" t="s">
        <v>131</v>
      </c>
      <c r="AC172" s="90" t="s">
        <v>132</v>
      </c>
      <c r="AD172" s="92" t="s">
        <v>26</v>
      </c>
      <c r="AE172" s="149">
        <f>IFERROR(VLOOKUP(Z172,LISTS!$AL$2:$AM$1000,2,FALSE()),"")</f>
        <v>100</v>
      </c>
      <c r="AF172" s="151">
        <f>IFERROR(VLOOKUP(AA172,LISTS!$AO$2:$AP$1000,2,FALSE()),"")</f>
        <v>100</v>
      </c>
      <c r="AG172" s="152">
        <f>IFERROR(VLOOKUP(AB172,LISTS!$AR$2:$AS$1000,2,FALSE()),"")</f>
        <v>100</v>
      </c>
      <c r="AH172" s="154">
        <f>IFERROR(VLOOKUP(AC172,LISTS!$AU$2:$AV$1000,2,FALSE()),"")</f>
        <v>0</v>
      </c>
      <c r="AI172" s="238">
        <f t="shared" si="13"/>
        <v>100</v>
      </c>
      <c r="AJ172" s="190" t="str">
        <f t="shared" si="14"/>
        <v>🌟 ممتاز جدًا</v>
      </c>
      <c r="AK172" s="157">
        <f t="shared" si="15"/>
        <v>5</v>
      </c>
      <c r="AL172" s="160">
        <f t="shared" si="16"/>
        <v>2026</v>
      </c>
      <c r="AM172" s="210"/>
      <c r="AN172" s="209"/>
    </row>
    <row r="173" spans="1:40" ht="27.95" customHeight="1">
      <c r="A173" s="134">
        <f>IF(I173&lt;&gt;"",COUNTA($I$2:I173),"")</f>
        <v>172</v>
      </c>
      <c r="B173" s="138" t="str">
        <f t="shared" si="17"/>
        <v>الأحد</v>
      </c>
      <c r="C173" s="93" t="str">
        <f t="array" ref="C173">IF(E173="","",IF(M173&lt;&gt;"",
M173&amp;"/"&amp;SUMPRODUCT((M$2:M173=M173)*1)&amp;" - "&amp;(ROW()-2),
"إداري/"&amp;SUMPRODUCT((M$2:M173="")*1)&amp;" - "&amp;(ROW()-2)))</f>
        <v>إداري/168 - 171</v>
      </c>
      <c r="D173" s="141" t="str">
        <f>IF(AND(G173="",H173="",I173=""),"",IF(COUNTIFS(LISTS!$A$2:$A$67,G173,LISTS!$B$2:$B$67,H173,LISTS!$C$2:$C$67,I173)=0,"✗ هرم",IF(NOT(OR(Z173="ممتاز 100%",Z173="جيد 80%",Z173="مقبول 60%",Z173="خطر 40%",Z173="")),"✗ قائمة R",IF(NOT(OR(AA173="ممتاز 100%",AA173="جيد 85%",AA173="مقبول 70%",AA173="ضعيف 50%",AA173="")),"✗ قائمة S",IF(NOT(OR(AB173="مكتمل 100%",AB173="جزئي 60%",AB173="معلق 30%",AB173="مفتوح 0%",AB173="")),"✗ قائمة T",IF(NOT(OR(AC173="لا خصم 0",AC173="تأخير −5",AC173="عجز −10",AC173="جودة −15",AC173="امتثال −20",AC173="مخالفة −25",AC173="")),"✗ قائمة U",IF(AND(X173="لا",AC173&lt;&gt;"",AC173&lt;&gt;"لا خصم 0"),"✗ خصم",IF(AND(X173="نعم",AC173="لا خصم 0"),"✗ خصم",IF(AND(Z173="ممتاز 100%",AA173="ممتاز 100%",AB173&lt;&gt;"",AB173&lt;&gt;"مكتمل 100%"),"✗ إغلاق",IFERROR(IF(LEN(_xlfn.TEXTJOIN("، ",TRUE,IF(E173="","التاريخ",""),IF(F173="","الوقت",""),IF(G173="","المركز",""),IF(H173="","الدائرة",""),IF(I173="","القسم",""),IF(J173="","المسؤول",""),IF(K173="","نوع النشاط",""),IF(L173="","المشروع",""),IF(N173="","الممول",""),IF(V173="","الموضوع",""),IF(W173="","الملاحظة",""),IF(X173="","مشكلة",""),IF(Y173="","الإجراء",""),IF(Z173="","التنفيذ",""),IF(AA173="","الجودة",""),IF(AB173="","الإغلاق",""),IF(AC173="","الخصم",""),IF(AND(COUNTA($O173:$U173)&gt;0,O173=""),"مدير المشروع",""),IF(AND(COUNTA($O173:$U173)&gt;0,P173=""),"المستفيدين",""),IF(AND(COUNTA($O173:$U173)&gt;0,Q173=""),"المناطق",""),IF(AND(COUNTA($O173:$U173)&gt;0,R173=""),"الميزانية",""),IF(AND(COUNTA($O173:$U173)&gt;0,S173=""),"نسبة الجاهزية",""),IF(AND(COUNTA($O173:$U173)&gt;0,T173=""),"حالة الجاهزية",""),IF(AND(COUNTA($O173:$U173)&gt;0,U173=""),"التوصيات","")))&gt;0,"✗ ناقص: "&amp;_xlfn.TEXTJOIN("، ",TRUE,IF(E173="","التاريخ",""),IF(F173="","الوقت",""),IF(G173="","المركز",""),IF(H173="","الدائرة",""),IF(I173="","القسم",""),IF(J173="","المسؤول",""),IF(K173="","نوع النشاط",""),IF(L173="","المشروع",""),IF(N173="","الممول",""),IF(V173="","الموضوع",""),IF(W173="","الملاحظة",""),IF(X173="","مشكلة",""),IF(Y173="","الإجراء",""),IF(Z173="","التنفيذ",""),IF(AA173="","الجودة",""),IF(AB173="","الإغلاق",""),IF(AC173="","الخصم",""),IF(AND(COUNTA($O173:$U173)&gt;0,O173=""),"مدير المشروع",""),IF(AND(COUNTA($O173:$U173)&gt;0,P173=""),"المستفيدين",""),IF(AND(COUNTA($O173:$U173)&gt;0,Q173=""),"المناطق",""),IF(AND(COUNTA($O173:$U173)&gt;0,R173=""),"الميزانية",""),IF(AND(COUNTA($O173:$U173)&gt;0,S173=""),"نسبة الجاهزية",""),IF(AND(COUNTA($O173:$U173)&gt;0,T173=""),"حالة الجاهزية",""),IF(AND(COUNTA($O173:$U173)&gt;0,U173=""),"التوصيات","")),"✓"),"✓"))))))))))</f>
        <v>✗ ناقص: الوقت، المسؤول، الممول</v>
      </c>
      <c r="E173" s="235">
        <v>46166</v>
      </c>
      <c r="F173" s="236"/>
      <c r="G173" s="90" t="s">
        <v>97</v>
      </c>
      <c r="H173" s="123" t="s">
        <v>102</v>
      </c>
      <c r="I173" s="89" t="s">
        <v>220</v>
      </c>
      <c r="J173" s="142"/>
      <c r="K173" s="90" t="s">
        <v>116</v>
      </c>
      <c r="L173" s="90" t="s">
        <v>292</v>
      </c>
      <c r="M173" s="90"/>
      <c r="N173" s="89"/>
      <c r="O173" s="200"/>
      <c r="P173" s="201"/>
      <c r="Q173" s="201"/>
      <c r="R173" s="237"/>
      <c r="S173" s="202"/>
      <c r="T173" s="200"/>
      <c r="U173" s="203"/>
      <c r="V173" s="89" t="s">
        <v>959</v>
      </c>
      <c r="W173" s="89" t="s">
        <v>960</v>
      </c>
      <c r="X173" s="145" t="s">
        <v>651</v>
      </c>
      <c r="Y173" s="89" t="s">
        <v>652</v>
      </c>
      <c r="Z173" s="90" t="s">
        <v>130</v>
      </c>
      <c r="AA173" s="90" t="s">
        <v>130</v>
      </c>
      <c r="AB173" s="90" t="s">
        <v>131</v>
      </c>
      <c r="AC173" s="90" t="s">
        <v>132</v>
      </c>
      <c r="AD173" s="92" t="s">
        <v>26</v>
      </c>
      <c r="AE173" s="149">
        <f>IFERROR(VLOOKUP(Z173,LISTS!$AL$2:$AM$1000,2,FALSE()),"")</f>
        <v>100</v>
      </c>
      <c r="AF173" s="151">
        <f>IFERROR(VLOOKUP(AA173,LISTS!$AO$2:$AP$1000,2,FALSE()),"")</f>
        <v>100</v>
      </c>
      <c r="AG173" s="152">
        <f>IFERROR(VLOOKUP(AB173,LISTS!$AR$2:$AS$1000,2,FALSE()),"")</f>
        <v>100</v>
      </c>
      <c r="AH173" s="154">
        <f>IFERROR(VLOOKUP(AC173,LISTS!$AU$2:$AV$1000,2,FALSE()),"")</f>
        <v>0</v>
      </c>
      <c r="AI173" s="238">
        <f t="shared" si="13"/>
        <v>100</v>
      </c>
      <c r="AJ173" s="190" t="str">
        <f t="shared" si="14"/>
        <v>🌟 ممتاز جدًا</v>
      </c>
      <c r="AK173" s="157">
        <f t="shared" si="15"/>
        <v>5</v>
      </c>
      <c r="AL173" s="160">
        <f t="shared" si="16"/>
        <v>2026</v>
      </c>
      <c r="AM173" s="210"/>
      <c r="AN173" s="209"/>
    </row>
    <row r="174" spans="1:40" ht="27.95" customHeight="1">
      <c r="A174" s="134">
        <f>IF(I174&lt;&gt;"",COUNTA($I$2:I174),"")</f>
        <v>173</v>
      </c>
      <c r="B174" s="138" t="str">
        <f t="shared" si="17"/>
        <v>الأحد</v>
      </c>
      <c r="C174" s="93" t="str">
        <f t="array" ref="C174">IF(E174="","",IF(M174&lt;&gt;"",
M174&amp;"/"&amp;SUMPRODUCT((M$2:M174=M174)*1)&amp;" - "&amp;(ROW()-2),
"إداري/"&amp;SUMPRODUCT((M$2:M174="")*1)&amp;" - "&amp;(ROW()-2)))</f>
        <v>إداري/169 - 172</v>
      </c>
      <c r="D174" s="141" t="str">
        <f>IF(AND(G174="",H174="",I174=""),"",IF(COUNTIFS(LISTS!$A$2:$A$67,G174,LISTS!$B$2:$B$67,H174,LISTS!$C$2:$C$67,I174)=0,"✗ هرم",IF(NOT(OR(Z174="ممتاز 100%",Z174="جيد 80%",Z174="مقبول 60%",Z174="خطر 40%",Z174="")),"✗ قائمة R",IF(NOT(OR(AA174="ممتاز 100%",AA174="جيد 85%",AA174="مقبول 70%",AA174="ضعيف 50%",AA174="")),"✗ قائمة S",IF(NOT(OR(AB174="مكتمل 100%",AB174="جزئي 60%",AB174="معلق 30%",AB174="مفتوح 0%",AB174="")),"✗ قائمة T",IF(NOT(OR(AC174="لا خصم 0",AC174="تأخير −5",AC174="عجز −10",AC174="جودة −15",AC174="امتثال −20",AC174="مخالفة −25",AC174="")),"✗ قائمة U",IF(AND(X174="لا",AC174&lt;&gt;"",AC174&lt;&gt;"لا خصم 0"),"✗ خصم",IF(AND(X174="نعم",AC174="لا خصم 0"),"✗ خصم",IF(AND(Z174="ممتاز 100%",AA174="ممتاز 100%",AB174&lt;&gt;"",AB174&lt;&gt;"مكتمل 100%"),"✗ إغلاق",IFERROR(IF(LEN(_xlfn.TEXTJOIN("، ",TRUE,IF(E174="","التاريخ",""),IF(F174="","الوقت",""),IF(G174="","المركز",""),IF(H174="","الدائرة",""),IF(I174="","القسم",""),IF(J174="","المسؤول",""),IF(K174="","نوع النشاط",""),IF(L174="","المشروع",""),IF(N174="","الممول",""),IF(V174="","الموضوع",""),IF(W174="","الملاحظة",""),IF(X174="","مشكلة",""),IF(Y174="","الإجراء",""),IF(Z174="","التنفيذ",""),IF(AA174="","الجودة",""),IF(AB174="","الإغلاق",""),IF(AC174="","الخصم",""),IF(AND(COUNTA($O174:$U174)&gt;0,O174=""),"مدير المشروع",""),IF(AND(COUNTA($O174:$U174)&gt;0,P174=""),"المستفيدين",""),IF(AND(COUNTA($O174:$U174)&gt;0,Q174=""),"المناطق",""),IF(AND(COUNTA($O174:$U174)&gt;0,R174=""),"الميزانية",""),IF(AND(COUNTA($O174:$U174)&gt;0,S174=""),"نسبة الجاهزية",""),IF(AND(COUNTA($O174:$U174)&gt;0,T174=""),"حالة الجاهزية",""),IF(AND(COUNTA($O174:$U174)&gt;0,U174=""),"التوصيات","")))&gt;0,"✗ ناقص: "&amp;_xlfn.TEXTJOIN("، ",TRUE,IF(E174="","التاريخ",""),IF(F174="","الوقت",""),IF(G174="","المركز",""),IF(H174="","الدائرة",""),IF(I174="","القسم",""),IF(J174="","المسؤول",""),IF(K174="","نوع النشاط",""),IF(L174="","المشروع",""),IF(N174="","الممول",""),IF(V174="","الموضوع",""),IF(W174="","الملاحظة",""),IF(X174="","مشكلة",""),IF(Y174="","الإجراء",""),IF(Z174="","التنفيذ",""),IF(AA174="","الجودة",""),IF(AB174="","الإغلاق",""),IF(AC174="","الخصم",""),IF(AND(COUNTA($O174:$U174)&gt;0,O174=""),"مدير المشروع",""),IF(AND(COUNTA($O174:$U174)&gt;0,P174=""),"المستفيدين",""),IF(AND(COUNTA($O174:$U174)&gt;0,Q174=""),"المناطق",""),IF(AND(COUNTA($O174:$U174)&gt;0,R174=""),"الميزانية",""),IF(AND(COUNTA($O174:$U174)&gt;0,S174=""),"نسبة الجاهزية",""),IF(AND(COUNTA($O174:$U174)&gt;0,T174=""),"حالة الجاهزية",""),IF(AND(COUNTA($O174:$U174)&gt;0,U174=""),"التوصيات","")),"✓"),"✓"))))))))))</f>
        <v>✗ ناقص: الممول</v>
      </c>
      <c r="E174" s="235">
        <v>46166</v>
      </c>
      <c r="F174" s="236">
        <v>0.47916666666666669</v>
      </c>
      <c r="G174" s="90" t="s">
        <v>97</v>
      </c>
      <c r="H174" s="123" t="s">
        <v>102</v>
      </c>
      <c r="I174" s="89" t="s">
        <v>202</v>
      </c>
      <c r="J174" s="142" t="s">
        <v>135</v>
      </c>
      <c r="K174" s="90" t="s">
        <v>116</v>
      </c>
      <c r="L174" s="90" t="s">
        <v>292</v>
      </c>
      <c r="M174" s="90"/>
      <c r="N174" s="89"/>
      <c r="O174" s="200"/>
      <c r="P174" s="201"/>
      <c r="Q174" s="201"/>
      <c r="R174" s="237"/>
      <c r="S174" s="202"/>
      <c r="T174" s="200"/>
      <c r="U174" s="203"/>
      <c r="V174" s="89" t="s">
        <v>961</v>
      </c>
      <c r="W174" s="89" t="s">
        <v>962</v>
      </c>
      <c r="X174" s="145" t="s">
        <v>651</v>
      </c>
      <c r="Y174" s="89" t="s">
        <v>652</v>
      </c>
      <c r="Z174" s="90" t="s">
        <v>130</v>
      </c>
      <c r="AA174" s="90" t="s">
        <v>130</v>
      </c>
      <c r="AB174" s="90" t="s">
        <v>131</v>
      </c>
      <c r="AC174" s="90" t="s">
        <v>132</v>
      </c>
      <c r="AD174" s="92" t="s">
        <v>26</v>
      </c>
      <c r="AE174" s="149">
        <f>IFERROR(VLOOKUP(Z174,LISTS!$AL$2:$AM$1000,2,FALSE()),"")</f>
        <v>100</v>
      </c>
      <c r="AF174" s="151">
        <f>IFERROR(VLOOKUP(AA174,LISTS!$AO$2:$AP$1000,2,FALSE()),"")</f>
        <v>100</v>
      </c>
      <c r="AG174" s="152">
        <f>IFERROR(VLOOKUP(AB174,LISTS!$AR$2:$AS$1000,2,FALSE()),"")</f>
        <v>100</v>
      </c>
      <c r="AH174" s="154">
        <f>IFERROR(VLOOKUP(AC174,LISTS!$AU$2:$AV$1000,2,FALSE()),"")</f>
        <v>0</v>
      </c>
      <c r="AI174" s="238">
        <f t="shared" si="13"/>
        <v>100</v>
      </c>
      <c r="AJ174" s="190" t="str">
        <f t="shared" si="14"/>
        <v>🌟 ممتاز جدًا</v>
      </c>
      <c r="AK174" s="157">
        <f t="shared" si="15"/>
        <v>5</v>
      </c>
      <c r="AL174" s="160">
        <f t="shared" si="16"/>
        <v>2026</v>
      </c>
      <c r="AM174" s="210"/>
      <c r="AN174" s="209"/>
    </row>
    <row r="175" spans="1:40" ht="27.95" customHeight="1">
      <c r="A175" s="134">
        <f>IF(I175&lt;&gt;"",COUNTA($I$2:I175),"")</f>
        <v>174</v>
      </c>
      <c r="B175" s="138" t="str">
        <f t="shared" si="17"/>
        <v>الاثنين</v>
      </c>
      <c r="C175" s="93" t="str">
        <f t="array" ref="C175">IF(E175="","",IF(M175&lt;&gt;"",
M175&amp;"/"&amp;SUMPRODUCT((M$2:M175=M175)*1)&amp;" - "&amp;(ROW()-2),
"إداري/"&amp;SUMPRODUCT((M$2:M175="")*1)&amp;" - "&amp;(ROW()-2)))</f>
        <v>إداري/170 - 173</v>
      </c>
      <c r="D175" s="141" t="str">
        <f>IF(AND(G175="",H175="",I175=""),"",IF(COUNTIFS(LISTS!$A$2:$A$67,G175,LISTS!$B$2:$B$67,H175,LISTS!$C$2:$C$67,I175)=0,"✗ هرم",IF(NOT(OR(Z175="ممتاز 100%",Z175="جيد 80%",Z175="مقبول 60%",Z175="خطر 40%",Z175="")),"✗ قائمة R",IF(NOT(OR(AA175="ممتاز 100%",AA175="جيد 85%",AA175="مقبول 70%",AA175="ضعيف 50%",AA175="")),"✗ قائمة S",IF(NOT(OR(AB175="مكتمل 100%",AB175="جزئي 60%",AB175="معلق 30%",AB175="مفتوح 0%",AB175="")),"✗ قائمة T",IF(NOT(OR(AC175="لا خصم 0",AC175="تأخير −5",AC175="عجز −10",AC175="جودة −15",AC175="امتثال −20",AC175="مخالفة −25",AC175="")),"✗ قائمة U",IF(AND(X175="لا",AC175&lt;&gt;"",AC175&lt;&gt;"لا خصم 0"),"✗ خصم",IF(AND(X175="نعم",AC175="لا خصم 0"),"✗ خصم",IF(AND(Z175="ممتاز 100%",AA175="ممتاز 100%",AB175&lt;&gt;"",AB175&lt;&gt;"مكتمل 100%"),"✗ إغلاق",IFERROR(IF(LEN(_xlfn.TEXTJOIN("، ",TRUE,IF(E175="","التاريخ",""),IF(F175="","الوقت",""),IF(G175="","المركز",""),IF(H175="","الدائرة",""),IF(I175="","القسم",""),IF(J175="","المسؤول",""),IF(K175="","نوع النشاط",""),IF(L175="","المشروع",""),IF(N175="","الممول",""),IF(V175="","الموضوع",""),IF(W175="","الملاحظة",""),IF(X175="","مشكلة",""),IF(Y175="","الإجراء",""),IF(Z175="","التنفيذ",""),IF(AA175="","الجودة",""),IF(AB175="","الإغلاق",""),IF(AC175="","الخصم",""),IF(AND(COUNTA($O175:$U175)&gt;0,O175=""),"مدير المشروع",""),IF(AND(COUNTA($O175:$U175)&gt;0,P175=""),"المستفيدين",""),IF(AND(COUNTA($O175:$U175)&gt;0,Q175=""),"المناطق",""),IF(AND(COUNTA($O175:$U175)&gt;0,R175=""),"الميزانية",""),IF(AND(COUNTA($O175:$U175)&gt;0,S175=""),"نسبة الجاهزية",""),IF(AND(COUNTA($O175:$U175)&gt;0,T175=""),"حالة الجاهزية",""),IF(AND(COUNTA($O175:$U175)&gt;0,U175=""),"التوصيات","")))&gt;0,"✗ ناقص: "&amp;_xlfn.TEXTJOIN("، ",TRUE,IF(E175="","التاريخ",""),IF(F175="","الوقت",""),IF(G175="","المركز",""),IF(H175="","الدائرة",""),IF(I175="","القسم",""),IF(J175="","المسؤول",""),IF(K175="","نوع النشاط",""),IF(L175="","المشروع",""),IF(N175="","الممول",""),IF(V175="","الموضوع",""),IF(W175="","الملاحظة",""),IF(X175="","مشكلة",""),IF(Y175="","الإجراء",""),IF(Z175="","التنفيذ",""),IF(AA175="","الجودة",""),IF(AB175="","الإغلاق",""),IF(AC175="","الخصم",""),IF(AND(COUNTA($O175:$U175)&gt;0,O175=""),"مدير المشروع",""),IF(AND(COUNTA($O175:$U175)&gt;0,P175=""),"المستفيدين",""),IF(AND(COUNTA($O175:$U175)&gt;0,Q175=""),"المناطق",""),IF(AND(COUNTA($O175:$U175)&gt;0,R175=""),"الميزانية",""),IF(AND(COUNTA($O175:$U175)&gt;0,S175=""),"نسبة الجاهزية",""),IF(AND(COUNTA($O175:$U175)&gt;0,T175=""),"حالة الجاهزية",""),IF(AND(COUNTA($O175:$U175)&gt;0,U175=""),"التوصيات","")),"✓"),"✓"))))))))))</f>
        <v>✗ ناقص: الممول</v>
      </c>
      <c r="E175" s="235">
        <v>46167</v>
      </c>
      <c r="F175" s="236">
        <v>0.50694444444444442</v>
      </c>
      <c r="G175" s="90" t="s">
        <v>97</v>
      </c>
      <c r="H175" s="123" t="s">
        <v>102</v>
      </c>
      <c r="I175" s="89" t="s">
        <v>202</v>
      </c>
      <c r="J175" s="142" t="s">
        <v>135</v>
      </c>
      <c r="K175" s="90" t="s">
        <v>116</v>
      </c>
      <c r="L175" s="90" t="s">
        <v>292</v>
      </c>
      <c r="M175" s="90"/>
      <c r="N175" s="89"/>
      <c r="O175" s="200"/>
      <c r="P175" s="201"/>
      <c r="Q175" s="201"/>
      <c r="R175" s="237"/>
      <c r="S175" s="202"/>
      <c r="T175" s="200"/>
      <c r="U175" s="203"/>
      <c r="V175" s="89" t="s">
        <v>963</v>
      </c>
      <c r="W175" s="89" t="s">
        <v>964</v>
      </c>
      <c r="X175" s="145" t="s">
        <v>651</v>
      </c>
      <c r="Y175" s="89" t="s">
        <v>652</v>
      </c>
      <c r="Z175" s="90" t="s">
        <v>130</v>
      </c>
      <c r="AA175" s="90" t="s">
        <v>130</v>
      </c>
      <c r="AB175" s="90" t="s">
        <v>131</v>
      </c>
      <c r="AC175" s="90" t="s">
        <v>132</v>
      </c>
      <c r="AD175" s="92" t="s">
        <v>26</v>
      </c>
      <c r="AE175" s="149">
        <f>IFERROR(VLOOKUP(Z175,LISTS!$AL$2:$AM$1000,2,FALSE()),"")</f>
        <v>100</v>
      </c>
      <c r="AF175" s="151">
        <f>IFERROR(VLOOKUP(AA175,LISTS!$AO$2:$AP$1000,2,FALSE()),"")</f>
        <v>100</v>
      </c>
      <c r="AG175" s="152">
        <f>IFERROR(VLOOKUP(AB175,LISTS!$AR$2:$AS$1000,2,FALSE()),"")</f>
        <v>100</v>
      </c>
      <c r="AH175" s="154">
        <f>IFERROR(VLOOKUP(AC175,LISTS!$AU$2:$AV$1000,2,FALSE()),"")</f>
        <v>0</v>
      </c>
      <c r="AI175" s="238">
        <f t="shared" si="13"/>
        <v>100</v>
      </c>
      <c r="AJ175" s="190" t="str">
        <f t="shared" si="14"/>
        <v>🌟 ممتاز جدًا</v>
      </c>
      <c r="AK175" s="157">
        <f t="shared" si="15"/>
        <v>5</v>
      </c>
      <c r="AL175" s="160">
        <f t="shared" si="16"/>
        <v>2026</v>
      </c>
      <c r="AM175" s="210"/>
      <c r="AN175" s="209"/>
    </row>
    <row r="176" spans="1:40" ht="27.95" customHeight="1">
      <c r="A176" s="134">
        <f>IF(I176&lt;&gt;"",COUNTA($I$2:I176),"")</f>
        <v>175</v>
      </c>
      <c r="B176" s="138" t="str">
        <f t="shared" si="17"/>
        <v>الاثنين</v>
      </c>
      <c r="C176" s="93" t="str">
        <f t="array" ref="C176">IF(E176="","",IF(M176&lt;&gt;"",
M176&amp;"/"&amp;SUMPRODUCT((M$2:M176=M176)*1)&amp;" - "&amp;(ROW()-2),
"إداري/"&amp;SUMPRODUCT((M$2:M176="")*1)&amp;" - "&amp;(ROW()-2)))</f>
        <v>إداري/171 - 174</v>
      </c>
      <c r="D176" s="141" t="str">
        <f>IF(AND(G176="",H176="",I176=""),"",IF(COUNTIFS(LISTS!$A$2:$A$67,G176,LISTS!$B$2:$B$67,H176,LISTS!$C$2:$C$67,I176)=0,"✗ هرم",IF(NOT(OR(Z176="ممتاز 100%",Z176="جيد 80%",Z176="مقبول 60%",Z176="خطر 40%",Z176="")),"✗ قائمة R",IF(NOT(OR(AA176="ممتاز 100%",AA176="جيد 85%",AA176="مقبول 70%",AA176="ضعيف 50%",AA176="")),"✗ قائمة S",IF(NOT(OR(AB176="مكتمل 100%",AB176="جزئي 60%",AB176="معلق 30%",AB176="مفتوح 0%",AB176="")),"✗ قائمة T",IF(NOT(OR(AC176="لا خصم 0",AC176="تأخير −5",AC176="عجز −10",AC176="جودة −15",AC176="امتثال −20",AC176="مخالفة −25",AC176="")),"✗ قائمة U",IF(AND(X176="لا",AC176&lt;&gt;"",AC176&lt;&gt;"لا خصم 0"),"✗ خصم",IF(AND(X176="نعم",AC176="لا خصم 0"),"✗ خصم",IF(AND(Z176="ممتاز 100%",AA176="ممتاز 100%",AB176&lt;&gt;"",AB176&lt;&gt;"مكتمل 100%"),"✗ إغلاق",IFERROR(IF(LEN(_xlfn.TEXTJOIN("، ",TRUE,IF(E176="","التاريخ",""),IF(F176="","الوقت",""),IF(G176="","المركز",""),IF(H176="","الدائرة",""),IF(I176="","القسم",""),IF(J176="","المسؤول",""),IF(K176="","نوع النشاط",""),IF(L176="","المشروع",""),IF(N176="","الممول",""),IF(V176="","الموضوع",""),IF(W176="","الملاحظة",""),IF(X176="","مشكلة",""),IF(Y176="","الإجراء",""),IF(Z176="","التنفيذ",""),IF(AA176="","الجودة",""),IF(AB176="","الإغلاق",""),IF(AC176="","الخصم",""),IF(AND(COUNTA($O176:$U176)&gt;0,O176=""),"مدير المشروع",""),IF(AND(COUNTA($O176:$U176)&gt;0,P176=""),"المستفيدين",""),IF(AND(COUNTA($O176:$U176)&gt;0,Q176=""),"المناطق",""),IF(AND(COUNTA($O176:$U176)&gt;0,R176=""),"الميزانية",""),IF(AND(COUNTA($O176:$U176)&gt;0,S176=""),"نسبة الجاهزية",""),IF(AND(COUNTA($O176:$U176)&gt;0,T176=""),"حالة الجاهزية",""),IF(AND(COUNTA($O176:$U176)&gt;0,U176=""),"التوصيات","")))&gt;0,"✗ ناقص: "&amp;_xlfn.TEXTJOIN("، ",TRUE,IF(E176="","التاريخ",""),IF(F176="","الوقت",""),IF(G176="","المركز",""),IF(H176="","الدائرة",""),IF(I176="","القسم",""),IF(J176="","المسؤول",""),IF(K176="","نوع النشاط",""),IF(L176="","المشروع",""),IF(N176="","الممول",""),IF(V176="","الموضوع",""),IF(W176="","الملاحظة",""),IF(X176="","مشكلة",""),IF(Y176="","الإجراء",""),IF(Z176="","التنفيذ",""),IF(AA176="","الجودة",""),IF(AB176="","الإغلاق",""),IF(AC176="","الخصم",""),IF(AND(COUNTA($O176:$U176)&gt;0,O176=""),"مدير المشروع",""),IF(AND(COUNTA($O176:$U176)&gt;0,P176=""),"المستفيدين",""),IF(AND(COUNTA($O176:$U176)&gt;0,Q176=""),"المناطق",""),IF(AND(COUNTA($O176:$U176)&gt;0,R176=""),"الميزانية",""),IF(AND(COUNTA($O176:$U176)&gt;0,S176=""),"نسبة الجاهزية",""),IF(AND(COUNTA($O176:$U176)&gt;0,T176=""),"حالة الجاهزية",""),IF(AND(COUNTA($O176:$U176)&gt;0,U176=""),"التوصيات","")),"✓"),"✓"))))))))))</f>
        <v>✓</v>
      </c>
      <c r="E176" s="235">
        <v>46167</v>
      </c>
      <c r="F176" s="236">
        <v>0.54166666666666663</v>
      </c>
      <c r="G176" s="90" t="s">
        <v>97</v>
      </c>
      <c r="H176" s="123" t="s">
        <v>102</v>
      </c>
      <c r="I176" s="89" t="s">
        <v>124</v>
      </c>
      <c r="J176" s="142" t="s">
        <v>117</v>
      </c>
      <c r="K176" s="90" t="s">
        <v>116</v>
      </c>
      <c r="L176" s="90" t="s">
        <v>369</v>
      </c>
      <c r="M176" s="90"/>
      <c r="N176" s="89" t="s">
        <v>655</v>
      </c>
      <c r="O176" s="200"/>
      <c r="P176" s="201"/>
      <c r="Q176" s="201"/>
      <c r="R176" s="237"/>
      <c r="S176" s="202"/>
      <c r="T176" s="200"/>
      <c r="U176" s="203"/>
      <c r="V176" s="89" t="s">
        <v>823</v>
      </c>
      <c r="W176" s="89" t="s">
        <v>965</v>
      </c>
      <c r="X176" s="145" t="s">
        <v>651</v>
      </c>
      <c r="Y176" s="89" t="s">
        <v>652</v>
      </c>
      <c r="Z176" s="90" t="s">
        <v>130</v>
      </c>
      <c r="AA176" s="90" t="s">
        <v>130</v>
      </c>
      <c r="AB176" s="90" t="s">
        <v>131</v>
      </c>
      <c r="AC176" s="90" t="s">
        <v>132</v>
      </c>
      <c r="AD176" s="92" t="s">
        <v>26</v>
      </c>
      <c r="AE176" s="149">
        <f>IFERROR(VLOOKUP(Z176,LISTS!$AL$2:$AM$1000,2,FALSE()),"")</f>
        <v>100</v>
      </c>
      <c r="AF176" s="151">
        <f>IFERROR(VLOOKUP(AA176,LISTS!$AO$2:$AP$1000,2,FALSE()),"")</f>
        <v>100</v>
      </c>
      <c r="AG176" s="152">
        <f>IFERROR(VLOOKUP(AB176,LISTS!$AR$2:$AS$1000,2,FALSE()),"")</f>
        <v>100</v>
      </c>
      <c r="AH176" s="154">
        <f>IFERROR(VLOOKUP(AC176,LISTS!$AU$2:$AV$1000,2,FALSE()),"")</f>
        <v>0</v>
      </c>
      <c r="AI176" s="238">
        <f t="shared" si="13"/>
        <v>100</v>
      </c>
      <c r="AJ176" s="190" t="str">
        <f t="shared" si="14"/>
        <v>🌟 ممتاز جدًا</v>
      </c>
      <c r="AK176" s="157">
        <f t="shared" si="15"/>
        <v>5</v>
      </c>
      <c r="AL176" s="160">
        <f t="shared" si="16"/>
        <v>2026</v>
      </c>
      <c r="AM176" s="210"/>
      <c r="AN176" s="209"/>
    </row>
    <row r="177" spans="1:40" ht="27.95" customHeight="1">
      <c r="A177" s="134">
        <f>IF(I177&lt;&gt;"",COUNTA($I$2:I177),"")</f>
        <v>176</v>
      </c>
      <c r="B177" s="138" t="str">
        <f t="shared" si="17"/>
        <v>الاثنين</v>
      </c>
      <c r="C177" s="93" t="str">
        <f t="array" ref="C177">IF(E177="","",IF(M177&lt;&gt;"",
M177&amp;"/"&amp;SUMPRODUCT((M$2:M177=M177)*1)&amp;" - "&amp;(ROW()-2),
"إداري/"&amp;SUMPRODUCT((M$2:M177="")*1)&amp;" - "&amp;(ROW()-2)))</f>
        <v>إداري/172 - 175</v>
      </c>
      <c r="D177" s="141" t="str">
        <f>IF(AND(G177="",H177="",I177=""),"",IF(COUNTIFS(LISTS!$A$2:$A$67,G177,LISTS!$B$2:$B$67,H177,LISTS!$C$2:$C$67,I177)=0,"✗ هرم",IF(NOT(OR(Z177="ممتاز 100%",Z177="جيد 80%",Z177="مقبول 60%",Z177="خطر 40%",Z177="")),"✗ قائمة R",IF(NOT(OR(AA177="ممتاز 100%",AA177="جيد 85%",AA177="مقبول 70%",AA177="ضعيف 50%",AA177="")),"✗ قائمة S",IF(NOT(OR(AB177="مكتمل 100%",AB177="جزئي 60%",AB177="معلق 30%",AB177="مفتوح 0%",AB177="")),"✗ قائمة T",IF(NOT(OR(AC177="لا خصم 0",AC177="تأخير −5",AC177="عجز −10",AC177="جودة −15",AC177="امتثال −20",AC177="مخالفة −25",AC177="")),"✗ قائمة U",IF(AND(X177="لا",AC177&lt;&gt;"",AC177&lt;&gt;"لا خصم 0"),"✗ خصم",IF(AND(X177="نعم",AC177="لا خصم 0"),"✗ خصم",IF(AND(Z177="ممتاز 100%",AA177="ممتاز 100%",AB177&lt;&gt;"",AB177&lt;&gt;"مكتمل 100%"),"✗ إغلاق",IFERROR(IF(LEN(_xlfn.TEXTJOIN("، ",TRUE,IF(E177="","التاريخ",""),IF(F177="","الوقت",""),IF(G177="","المركز",""),IF(H177="","الدائرة",""),IF(I177="","القسم",""),IF(J177="","المسؤول",""),IF(K177="","نوع النشاط",""),IF(L177="","المشروع",""),IF(N177="","الممول",""),IF(V177="","الموضوع",""),IF(W177="","الملاحظة",""),IF(X177="","مشكلة",""),IF(Y177="","الإجراء",""),IF(Z177="","التنفيذ",""),IF(AA177="","الجودة",""),IF(AB177="","الإغلاق",""),IF(AC177="","الخصم",""),IF(AND(COUNTA($O177:$U177)&gt;0,O177=""),"مدير المشروع",""),IF(AND(COUNTA($O177:$U177)&gt;0,P177=""),"المستفيدين",""),IF(AND(COUNTA($O177:$U177)&gt;0,Q177=""),"المناطق",""),IF(AND(COUNTA($O177:$U177)&gt;0,R177=""),"الميزانية",""),IF(AND(COUNTA($O177:$U177)&gt;0,S177=""),"نسبة الجاهزية",""),IF(AND(COUNTA($O177:$U177)&gt;0,T177=""),"حالة الجاهزية",""),IF(AND(COUNTA($O177:$U177)&gt;0,U177=""),"التوصيات","")))&gt;0,"✗ ناقص: "&amp;_xlfn.TEXTJOIN("، ",TRUE,IF(E177="","التاريخ",""),IF(F177="","الوقت",""),IF(G177="","المركز",""),IF(H177="","الدائرة",""),IF(I177="","القسم",""),IF(J177="","المسؤول",""),IF(K177="","نوع النشاط",""),IF(L177="","المشروع",""),IF(N177="","الممول",""),IF(V177="","الموضوع",""),IF(W177="","الملاحظة",""),IF(X177="","مشكلة",""),IF(Y177="","الإجراء",""),IF(Z177="","التنفيذ",""),IF(AA177="","الجودة",""),IF(AB177="","الإغلاق",""),IF(AC177="","الخصم",""),IF(AND(COUNTA($O177:$U177)&gt;0,O177=""),"مدير المشروع",""),IF(AND(COUNTA($O177:$U177)&gt;0,P177=""),"المستفيدين",""),IF(AND(COUNTA($O177:$U177)&gt;0,Q177=""),"المناطق",""),IF(AND(COUNTA($O177:$U177)&gt;0,R177=""),"الميزانية",""),IF(AND(COUNTA($O177:$U177)&gt;0,S177=""),"نسبة الجاهزية",""),IF(AND(COUNTA($O177:$U177)&gt;0,T177=""),"حالة الجاهزية",""),IF(AND(COUNTA($O177:$U177)&gt;0,U177=""),"التوصيات","")),"✓"),"✓"))))))))))</f>
        <v>✗ ناقص: الممول</v>
      </c>
      <c r="E177" s="235">
        <v>46167</v>
      </c>
      <c r="F177" s="236">
        <v>0.47569444444444442</v>
      </c>
      <c r="G177" s="90" t="s">
        <v>97</v>
      </c>
      <c r="H177" s="123" t="s">
        <v>102</v>
      </c>
      <c r="I177" s="89" t="s">
        <v>124</v>
      </c>
      <c r="J177" s="142" t="s">
        <v>117</v>
      </c>
      <c r="K177" s="90" t="s">
        <v>116</v>
      </c>
      <c r="L177" s="90" t="s">
        <v>381</v>
      </c>
      <c r="M177" s="90"/>
      <c r="N177" s="89"/>
      <c r="O177" s="200"/>
      <c r="P177" s="201"/>
      <c r="Q177" s="201"/>
      <c r="R177" s="237"/>
      <c r="S177" s="202"/>
      <c r="T177" s="200"/>
      <c r="U177" s="203"/>
      <c r="V177" s="89" t="s">
        <v>966</v>
      </c>
      <c r="W177" s="89" t="s">
        <v>967</v>
      </c>
      <c r="X177" s="145" t="s">
        <v>651</v>
      </c>
      <c r="Y177" s="89" t="s">
        <v>652</v>
      </c>
      <c r="Z177" s="90" t="s">
        <v>130</v>
      </c>
      <c r="AA177" s="90" t="s">
        <v>130</v>
      </c>
      <c r="AB177" s="90" t="s">
        <v>131</v>
      </c>
      <c r="AC177" s="90" t="s">
        <v>132</v>
      </c>
      <c r="AD177" s="92" t="s">
        <v>26</v>
      </c>
      <c r="AE177" s="149">
        <f>IFERROR(VLOOKUP(Z177,LISTS!$AL$2:$AM$1000,2,FALSE()),"")</f>
        <v>100</v>
      </c>
      <c r="AF177" s="151">
        <f>IFERROR(VLOOKUP(AA177,LISTS!$AO$2:$AP$1000,2,FALSE()),"")</f>
        <v>100</v>
      </c>
      <c r="AG177" s="152">
        <f>IFERROR(VLOOKUP(AB177,LISTS!$AR$2:$AS$1000,2,FALSE()),"")</f>
        <v>100</v>
      </c>
      <c r="AH177" s="154">
        <f>IFERROR(VLOOKUP(AC177,LISTS!$AU$2:$AV$1000,2,FALSE()),"")</f>
        <v>0</v>
      </c>
      <c r="AI177" s="238">
        <f t="shared" si="13"/>
        <v>100</v>
      </c>
      <c r="AJ177" s="190" t="str">
        <f t="shared" si="14"/>
        <v>🌟 ممتاز جدًا</v>
      </c>
      <c r="AK177" s="157">
        <f t="shared" si="15"/>
        <v>5</v>
      </c>
      <c r="AL177" s="160">
        <f t="shared" si="16"/>
        <v>2026</v>
      </c>
      <c r="AM177" s="210"/>
      <c r="AN177" s="209"/>
    </row>
    <row r="178" spans="1:40" ht="27.95" customHeight="1">
      <c r="A178" s="134">
        <f>IF(I178&lt;&gt;"",COUNTA($I$2:I178),"")</f>
        <v>177</v>
      </c>
      <c r="B178" s="138" t="str">
        <f t="shared" si="17"/>
        <v>الاثنين</v>
      </c>
      <c r="C178" s="93" t="str">
        <f t="array" ref="C178">IF(E178="","",IF(M178&lt;&gt;"",
M178&amp;"/"&amp;SUMPRODUCT((M$2:M178=M178)*1)&amp;" - "&amp;(ROW()-2),
"إداري/"&amp;SUMPRODUCT((M$2:M178="")*1)&amp;" - "&amp;(ROW()-2)))</f>
        <v>إداري/173 - 176</v>
      </c>
      <c r="D178" s="141" t="str">
        <f>IF(AND(G178="",H178="",I178=""),"",IF(COUNTIFS(LISTS!$A$2:$A$67,G178,LISTS!$B$2:$B$67,H178,LISTS!$C$2:$C$67,I178)=0,"✗ هرم",IF(NOT(OR(Z178="ممتاز 100%",Z178="جيد 80%",Z178="مقبول 60%",Z178="خطر 40%",Z178="")),"✗ قائمة R",IF(NOT(OR(AA178="ممتاز 100%",AA178="جيد 85%",AA178="مقبول 70%",AA178="ضعيف 50%",AA178="")),"✗ قائمة S",IF(NOT(OR(AB178="مكتمل 100%",AB178="جزئي 60%",AB178="معلق 30%",AB178="مفتوح 0%",AB178="")),"✗ قائمة T",IF(NOT(OR(AC178="لا خصم 0",AC178="تأخير −5",AC178="عجز −10",AC178="جودة −15",AC178="امتثال −20",AC178="مخالفة −25",AC178="")),"✗ قائمة U",IF(AND(X178="لا",AC178&lt;&gt;"",AC178&lt;&gt;"لا خصم 0"),"✗ خصم",IF(AND(X178="نعم",AC178="لا خصم 0"),"✗ خصم",IF(AND(Z178="ممتاز 100%",AA178="ممتاز 100%",AB178&lt;&gt;"",AB178&lt;&gt;"مكتمل 100%"),"✗ إغلاق",IFERROR(IF(LEN(_xlfn.TEXTJOIN("، ",TRUE,IF(E178="","التاريخ",""),IF(F178="","الوقت",""),IF(G178="","المركز",""),IF(H178="","الدائرة",""),IF(I178="","القسم",""),IF(J178="","المسؤول",""),IF(K178="","نوع النشاط",""),IF(L178="","المشروع",""),IF(N178="","الممول",""),IF(V178="","الموضوع",""),IF(W178="","الملاحظة",""),IF(X178="","مشكلة",""),IF(Y178="","الإجراء",""),IF(Z178="","التنفيذ",""),IF(AA178="","الجودة",""),IF(AB178="","الإغلاق",""),IF(AC178="","الخصم",""),IF(AND(COUNTA($O178:$U178)&gt;0,O178=""),"مدير المشروع",""),IF(AND(COUNTA($O178:$U178)&gt;0,P178=""),"المستفيدين",""),IF(AND(COUNTA($O178:$U178)&gt;0,Q178=""),"المناطق",""),IF(AND(COUNTA($O178:$U178)&gt;0,R178=""),"الميزانية",""),IF(AND(COUNTA($O178:$U178)&gt;0,S178=""),"نسبة الجاهزية",""),IF(AND(COUNTA($O178:$U178)&gt;0,T178=""),"حالة الجاهزية",""),IF(AND(COUNTA($O178:$U178)&gt;0,U178=""),"التوصيات","")))&gt;0,"✗ ناقص: "&amp;_xlfn.TEXTJOIN("، ",TRUE,IF(E178="","التاريخ",""),IF(F178="","الوقت",""),IF(G178="","المركز",""),IF(H178="","الدائرة",""),IF(I178="","القسم",""),IF(J178="","المسؤول",""),IF(K178="","نوع النشاط",""),IF(L178="","المشروع",""),IF(N178="","الممول",""),IF(V178="","الموضوع",""),IF(W178="","الملاحظة",""),IF(X178="","مشكلة",""),IF(Y178="","الإجراء",""),IF(Z178="","التنفيذ",""),IF(AA178="","الجودة",""),IF(AB178="","الإغلاق",""),IF(AC178="","الخصم",""),IF(AND(COUNTA($O178:$U178)&gt;0,O178=""),"مدير المشروع",""),IF(AND(COUNTA($O178:$U178)&gt;0,P178=""),"المستفيدين",""),IF(AND(COUNTA($O178:$U178)&gt;0,Q178=""),"المناطق",""),IF(AND(COUNTA($O178:$U178)&gt;0,R178=""),"الميزانية",""),IF(AND(COUNTA($O178:$U178)&gt;0,S178=""),"نسبة الجاهزية",""),IF(AND(COUNTA($O178:$U178)&gt;0,T178=""),"حالة الجاهزية",""),IF(AND(COUNTA($O178:$U178)&gt;0,U178=""),"التوصيات","")),"✓"),"✓"))))))))))</f>
        <v>✗ ناقص: الممول</v>
      </c>
      <c r="E178" s="235">
        <v>46167</v>
      </c>
      <c r="F178" s="236">
        <v>0.50694444444444442</v>
      </c>
      <c r="G178" s="90" t="s">
        <v>97</v>
      </c>
      <c r="H178" s="123" t="s">
        <v>102</v>
      </c>
      <c r="I178" s="89" t="s">
        <v>124</v>
      </c>
      <c r="J178" s="142" t="s">
        <v>117</v>
      </c>
      <c r="K178" s="90" t="s">
        <v>116</v>
      </c>
      <c r="L178" s="90" t="s">
        <v>381</v>
      </c>
      <c r="M178" s="90"/>
      <c r="N178" s="89"/>
      <c r="O178" s="200"/>
      <c r="P178" s="201"/>
      <c r="Q178" s="201"/>
      <c r="R178" s="237"/>
      <c r="S178" s="202"/>
      <c r="T178" s="200"/>
      <c r="U178" s="203"/>
      <c r="V178" s="89" t="s">
        <v>968</v>
      </c>
      <c r="W178" s="89" t="s">
        <v>969</v>
      </c>
      <c r="X178" s="145" t="s">
        <v>651</v>
      </c>
      <c r="Y178" s="89" t="s">
        <v>652</v>
      </c>
      <c r="Z178" s="90" t="s">
        <v>130</v>
      </c>
      <c r="AA178" s="90" t="s">
        <v>130</v>
      </c>
      <c r="AB178" s="90" t="s">
        <v>131</v>
      </c>
      <c r="AC178" s="90" t="s">
        <v>132</v>
      </c>
      <c r="AD178" s="92" t="s">
        <v>26</v>
      </c>
      <c r="AE178" s="149">
        <f>IFERROR(VLOOKUP(Z178,LISTS!$AL$2:$AM$1000,2,FALSE()),"")</f>
        <v>100</v>
      </c>
      <c r="AF178" s="151">
        <f>IFERROR(VLOOKUP(AA178,LISTS!$AO$2:$AP$1000,2,FALSE()),"")</f>
        <v>100</v>
      </c>
      <c r="AG178" s="152">
        <f>IFERROR(VLOOKUP(AB178,LISTS!$AR$2:$AS$1000,2,FALSE()),"")</f>
        <v>100</v>
      </c>
      <c r="AH178" s="154">
        <f>IFERROR(VLOOKUP(AC178,LISTS!$AU$2:$AV$1000,2,FALSE()),"")</f>
        <v>0</v>
      </c>
      <c r="AI178" s="238">
        <f t="shared" si="13"/>
        <v>100</v>
      </c>
      <c r="AJ178" s="190" t="str">
        <f t="shared" si="14"/>
        <v>🌟 ممتاز جدًا</v>
      </c>
      <c r="AK178" s="157">
        <f t="shared" si="15"/>
        <v>5</v>
      </c>
      <c r="AL178" s="160">
        <f t="shared" si="16"/>
        <v>2026</v>
      </c>
      <c r="AM178" s="210"/>
      <c r="AN178" s="209"/>
    </row>
    <row r="179" spans="1:40" ht="27.95" customHeight="1">
      <c r="A179" s="134">
        <f>IF(I179&lt;&gt;"",COUNTA($I$2:I179),"")</f>
        <v>178</v>
      </c>
      <c r="B179" s="138" t="str">
        <f t="shared" si="17"/>
        <v>الاثنين</v>
      </c>
      <c r="C179" s="93" t="str">
        <f t="array" ref="C179">IF(E179="","",IF(M179&lt;&gt;"",
M179&amp;"/"&amp;SUMPRODUCT((M$2:M179=M179)*1)&amp;" - "&amp;(ROW()-2),
"إداري/"&amp;SUMPRODUCT((M$2:M179="")*1)&amp;" - "&amp;(ROW()-2)))</f>
        <v>إداري/174 - 177</v>
      </c>
      <c r="D179" s="141" t="str">
        <f>IF(AND(G179="",H179="",I179=""),"",IF(COUNTIFS(LISTS!$A$2:$A$67,G179,LISTS!$B$2:$B$67,H179,LISTS!$C$2:$C$67,I179)=0,"✗ هرم",IF(NOT(OR(Z179="ممتاز 100%",Z179="جيد 80%",Z179="مقبول 60%",Z179="خطر 40%",Z179="")),"✗ قائمة R",IF(NOT(OR(AA179="ممتاز 100%",AA179="جيد 85%",AA179="مقبول 70%",AA179="ضعيف 50%",AA179="")),"✗ قائمة S",IF(NOT(OR(AB179="مكتمل 100%",AB179="جزئي 60%",AB179="معلق 30%",AB179="مفتوح 0%",AB179="")),"✗ قائمة T",IF(NOT(OR(AC179="لا خصم 0",AC179="تأخير −5",AC179="عجز −10",AC179="جودة −15",AC179="امتثال −20",AC179="مخالفة −25",AC179="")),"✗ قائمة U",IF(AND(X179="لا",AC179&lt;&gt;"",AC179&lt;&gt;"لا خصم 0"),"✗ خصم",IF(AND(X179="نعم",AC179="لا خصم 0"),"✗ خصم",IF(AND(Z179="ممتاز 100%",AA179="ممتاز 100%",AB179&lt;&gt;"",AB179&lt;&gt;"مكتمل 100%"),"✗ إغلاق",IFERROR(IF(LEN(_xlfn.TEXTJOIN("، ",TRUE,IF(E179="","التاريخ",""),IF(F179="","الوقت",""),IF(G179="","المركز",""),IF(H179="","الدائرة",""),IF(I179="","القسم",""),IF(J179="","المسؤول",""),IF(K179="","نوع النشاط",""),IF(L179="","المشروع",""),IF(N179="","الممول",""),IF(V179="","الموضوع",""),IF(W179="","الملاحظة",""),IF(X179="","مشكلة",""),IF(Y179="","الإجراء",""),IF(Z179="","التنفيذ",""),IF(AA179="","الجودة",""),IF(AB179="","الإغلاق",""),IF(AC179="","الخصم",""),IF(AND(COUNTA($O179:$U179)&gt;0,O179=""),"مدير المشروع",""),IF(AND(COUNTA($O179:$U179)&gt;0,P179=""),"المستفيدين",""),IF(AND(COUNTA($O179:$U179)&gt;0,Q179=""),"المناطق",""),IF(AND(COUNTA($O179:$U179)&gt;0,R179=""),"الميزانية",""),IF(AND(COUNTA($O179:$U179)&gt;0,S179=""),"نسبة الجاهزية",""),IF(AND(COUNTA($O179:$U179)&gt;0,T179=""),"حالة الجاهزية",""),IF(AND(COUNTA($O179:$U179)&gt;0,U179=""),"التوصيات","")))&gt;0,"✗ ناقص: "&amp;_xlfn.TEXTJOIN("، ",TRUE,IF(E179="","التاريخ",""),IF(F179="","الوقت",""),IF(G179="","المركز",""),IF(H179="","الدائرة",""),IF(I179="","القسم",""),IF(J179="","المسؤول",""),IF(K179="","نوع النشاط",""),IF(L179="","المشروع",""),IF(N179="","الممول",""),IF(V179="","الموضوع",""),IF(W179="","الملاحظة",""),IF(X179="","مشكلة",""),IF(Y179="","الإجراء",""),IF(Z179="","التنفيذ",""),IF(AA179="","الجودة",""),IF(AB179="","الإغلاق",""),IF(AC179="","الخصم",""),IF(AND(COUNTA($O179:$U179)&gt;0,O179=""),"مدير المشروع",""),IF(AND(COUNTA($O179:$U179)&gt;0,P179=""),"المستفيدين",""),IF(AND(COUNTA($O179:$U179)&gt;0,Q179=""),"المناطق",""),IF(AND(COUNTA($O179:$U179)&gt;0,R179=""),"الميزانية",""),IF(AND(COUNTA($O179:$U179)&gt;0,S179=""),"نسبة الجاهزية",""),IF(AND(COUNTA($O179:$U179)&gt;0,T179=""),"حالة الجاهزية",""),IF(AND(COUNTA($O179:$U179)&gt;0,U179=""),"التوصيات","")),"✓"),"✓"))))))))))</f>
        <v>✗ ناقص: الممول</v>
      </c>
      <c r="E179" s="235">
        <v>46167</v>
      </c>
      <c r="F179" s="236">
        <v>0.54861111111111116</v>
      </c>
      <c r="G179" s="90" t="s">
        <v>97</v>
      </c>
      <c r="H179" s="123" t="s">
        <v>102</v>
      </c>
      <c r="I179" s="89" t="s">
        <v>124</v>
      </c>
      <c r="J179" s="142" t="s">
        <v>117</v>
      </c>
      <c r="K179" s="90" t="s">
        <v>116</v>
      </c>
      <c r="L179" s="90" t="s">
        <v>381</v>
      </c>
      <c r="M179" s="90"/>
      <c r="N179" s="89"/>
      <c r="O179" s="200"/>
      <c r="P179" s="201"/>
      <c r="Q179" s="201"/>
      <c r="R179" s="237"/>
      <c r="S179" s="202"/>
      <c r="T179" s="200"/>
      <c r="U179" s="203"/>
      <c r="V179" s="89" t="s">
        <v>970</v>
      </c>
      <c r="W179" s="89" t="s">
        <v>971</v>
      </c>
      <c r="X179" s="145" t="s">
        <v>651</v>
      </c>
      <c r="Y179" s="89" t="s">
        <v>652</v>
      </c>
      <c r="Z179" s="90" t="s">
        <v>130</v>
      </c>
      <c r="AA179" s="90" t="s">
        <v>130</v>
      </c>
      <c r="AB179" s="90" t="s">
        <v>131</v>
      </c>
      <c r="AC179" s="90" t="s">
        <v>132</v>
      </c>
      <c r="AD179" s="92" t="s">
        <v>26</v>
      </c>
      <c r="AE179" s="149">
        <f>IFERROR(VLOOKUP(Z179,LISTS!$AL$2:$AM$1000,2,FALSE()),"")</f>
        <v>100</v>
      </c>
      <c r="AF179" s="151">
        <f>IFERROR(VLOOKUP(AA179,LISTS!$AO$2:$AP$1000,2,FALSE()),"")</f>
        <v>100</v>
      </c>
      <c r="AG179" s="152">
        <f>IFERROR(VLOOKUP(AB179,LISTS!$AR$2:$AS$1000,2,FALSE()),"")</f>
        <v>100</v>
      </c>
      <c r="AH179" s="154">
        <f>IFERROR(VLOOKUP(AC179,LISTS!$AU$2:$AV$1000,2,FALSE()),"")</f>
        <v>0</v>
      </c>
      <c r="AI179" s="238">
        <f t="shared" si="13"/>
        <v>100</v>
      </c>
      <c r="AJ179" s="190" t="str">
        <f t="shared" si="14"/>
        <v>🌟 ممتاز جدًا</v>
      </c>
      <c r="AK179" s="157">
        <f t="shared" si="15"/>
        <v>5</v>
      </c>
      <c r="AL179" s="160">
        <f t="shared" si="16"/>
        <v>2026</v>
      </c>
      <c r="AM179" s="210"/>
      <c r="AN179" s="209"/>
    </row>
    <row r="180" spans="1:40" ht="27.95" customHeight="1">
      <c r="A180" s="134">
        <f>IF(I180&lt;&gt;"",COUNTA($I$2:I180),"")</f>
        <v>179</v>
      </c>
      <c r="B180" s="138" t="str">
        <f t="shared" si="17"/>
        <v>الاثنين</v>
      </c>
      <c r="C180" s="93" t="str">
        <f t="array" ref="C180">IF(E180="","",IF(M180&lt;&gt;"",
M180&amp;"/"&amp;SUMPRODUCT((M$2:M180=M180)*1)&amp;" - "&amp;(ROW()-2),
"إداري/"&amp;SUMPRODUCT((M$2:M180="")*1)&amp;" - "&amp;(ROW()-2)))</f>
        <v>إداري/175 - 178</v>
      </c>
      <c r="D180" s="141" t="str">
        <f>IF(AND(G180="",H180="",I180=""),"",IF(COUNTIFS(LISTS!$A$2:$A$67,G180,LISTS!$B$2:$B$67,H180,LISTS!$C$2:$C$67,I180)=0,"✗ هرم",IF(NOT(OR(Z180="ممتاز 100%",Z180="جيد 80%",Z180="مقبول 60%",Z180="خطر 40%",Z180="")),"✗ قائمة R",IF(NOT(OR(AA180="ممتاز 100%",AA180="جيد 85%",AA180="مقبول 70%",AA180="ضعيف 50%",AA180="")),"✗ قائمة S",IF(NOT(OR(AB180="مكتمل 100%",AB180="جزئي 60%",AB180="معلق 30%",AB180="مفتوح 0%",AB180="")),"✗ قائمة T",IF(NOT(OR(AC180="لا خصم 0",AC180="تأخير −5",AC180="عجز −10",AC180="جودة −15",AC180="امتثال −20",AC180="مخالفة −25",AC180="")),"✗ قائمة U",IF(AND(X180="لا",AC180&lt;&gt;"",AC180&lt;&gt;"لا خصم 0"),"✗ خصم",IF(AND(X180="نعم",AC180="لا خصم 0"),"✗ خصم",IF(AND(Z180="ممتاز 100%",AA180="ممتاز 100%",AB180&lt;&gt;"",AB180&lt;&gt;"مكتمل 100%"),"✗ إغلاق",IFERROR(IF(LEN(_xlfn.TEXTJOIN("، ",TRUE,IF(E180="","التاريخ",""),IF(F180="","الوقت",""),IF(G180="","المركز",""),IF(H180="","الدائرة",""),IF(I180="","القسم",""),IF(J180="","المسؤول",""),IF(K180="","نوع النشاط",""),IF(L180="","المشروع",""),IF(N180="","الممول",""),IF(V180="","الموضوع",""),IF(W180="","الملاحظة",""),IF(X180="","مشكلة",""),IF(Y180="","الإجراء",""),IF(Z180="","التنفيذ",""),IF(AA180="","الجودة",""),IF(AB180="","الإغلاق",""),IF(AC180="","الخصم",""),IF(AND(COUNTA($O180:$U180)&gt;0,O180=""),"مدير المشروع",""),IF(AND(COUNTA($O180:$U180)&gt;0,P180=""),"المستفيدين",""),IF(AND(COUNTA($O180:$U180)&gt;0,Q180=""),"المناطق",""),IF(AND(COUNTA($O180:$U180)&gt;0,R180=""),"الميزانية",""),IF(AND(COUNTA($O180:$U180)&gt;0,S180=""),"نسبة الجاهزية",""),IF(AND(COUNTA($O180:$U180)&gt;0,T180=""),"حالة الجاهزية",""),IF(AND(COUNTA($O180:$U180)&gt;0,U180=""),"التوصيات","")))&gt;0,"✗ ناقص: "&amp;_xlfn.TEXTJOIN("، ",TRUE,IF(E180="","التاريخ",""),IF(F180="","الوقت",""),IF(G180="","المركز",""),IF(H180="","الدائرة",""),IF(I180="","القسم",""),IF(J180="","المسؤول",""),IF(K180="","نوع النشاط",""),IF(L180="","المشروع",""),IF(N180="","الممول",""),IF(V180="","الموضوع",""),IF(W180="","الملاحظة",""),IF(X180="","مشكلة",""),IF(Y180="","الإجراء",""),IF(Z180="","التنفيذ",""),IF(AA180="","الجودة",""),IF(AB180="","الإغلاق",""),IF(AC180="","الخصم",""),IF(AND(COUNTA($O180:$U180)&gt;0,O180=""),"مدير المشروع",""),IF(AND(COUNTA($O180:$U180)&gt;0,P180=""),"المستفيدين",""),IF(AND(COUNTA($O180:$U180)&gt;0,Q180=""),"المناطق",""),IF(AND(COUNTA($O180:$U180)&gt;0,R180=""),"الميزانية",""),IF(AND(COUNTA($O180:$U180)&gt;0,S180=""),"نسبة الجاهزية",""),IF(AND(COUNTA($O180:$U180)&gt;0,T180=""),"حالة الجاهزية",""),IF(AND(COUNTA($O180:$U180)&gt;0,U180=""),"التوصيات","")),"✓"),"✓"))))))))))</f>
        <v>✗ ناقص: الممول</v>
      </c>
      <c r="E180" s="235">
        <v>46167</v>
      </c>
      <c r="F180" s="236">
        <v>0.59027777777777779</v>
      </c>
      <c r="G180" s="90" t="s">
        <v>97</v>
      </c>
      <c r="H180" s="123" t="s">
        <v>102</v>
      </c>
      <c r="I180" s="89" t="s">
        <v>124</v>
      </c>
      <c r="J180" s="142" t="s">
        <v>117</v>
      </c>
      <c r="K180" s="90" t="s">
        <v>116</v>
      </c>
      <c r="L180" s="90" t="s">
        <v>155</v>
      </c>
      <c r="M180" s="90"/>
      <c r="N180" s="89"/>
      <c r="O180" s="200"/>
      <c r="P180" s="201"/>
      <c r="Q180" s="201"/>
      <c r="R180" s="237"/>
      <c r="S180" s="202"/>
      <c r="T180" s="200"/>
      <c r="U180" s="203"/>
      <c r="V180" s="89" t="s">
        <v>972</v>
      </c>
      <c r="W180" s="89" t="s">
        <v>973</v>
      </c>
      <c r="X180" s="145" t="s">
        <v>651</v>
      </c>
      <c r="Y180" s="89" t="s">
        <v>652</v>
      </c>
      <c r="Z180" s="90" t="s">
        <v>130</v>
      </c>
      <c r="AA180" s="90" t="s">
        <v>130</v>
      </c>
      <c r="AB180" s="90" t="s">
        <v>131</v>
      </c>
      <c r="AC180" s="90" t="s">
        <v>132</v>
      </c>
      <c r="AD180" s="92" t="s">
        <v>26</v>
      </c>
      <c r="AE180" s="149">
        <f>IFERROR(VLOOKUP(Z180,LISTS!$AL$2:$AM$1000,2,FALSE()),"")</f>
        <v>100</v>
      </c>
      <c r="AF180" s="151">
        <f>IFERROR(VLOOKUP(AA180,LISTS!$AO$2:$AP$1000,2,FALSE()),"")</f>
        <v>100</v>
      </c>
      <c r="AG180" s="152">
        <f>IFERROR(VLOOKUP(AB180,LISTS!$AR$2:$AS$1000,2,FALSE()),"")</f>
        <v>100</v>
      </c>
      <c r="AH180" s="154">
        <f>IFERROR(VLOOKUP(AC180,LISTS!$AU$2:$AV$1000,2,FALSE()),"")</f>
        <v>0</v>
      </c>
      <c r="AI180" s="238">
        <f t="shared" si="13"/>
        <v>100</v>
      </c>
      <c r="AJ180" s="190" t="str">
        <f t="shared" si="14"/>
        <v>🌟 ممتاز جدًا</v>
      </c>
      <c r="AK180" s="157">
        <f t="shared" si="15"/>
        <v>5</v>
      </c>
      <c r="AL180" s="160">
        <f t="shared" si="16"/>
        <v>2026</v>
      </c>
      <c r="AM180" s="210"/>
      <c r="AN180" s="209"/>
    </row>
    <row r="181" spans="1:40" ht="27.95" customHeight="1">
      <c r="A181" s="134">
        <f>IF(I181&lt;&gt;"",COUNTA($I$2:I181),"")</f>
        <v>180</v>
      </c>
      <c r="B181" s="138" t="str">
        <f t="shared" si="17"/>
        <v>الاثنين</v>
      </c>
      <c r="C181" s="93" t="str">
        <f t="array" ref="C181">IF(E181="","",IF(M181&lt;&gt;"",
M181&amp;"/"&amp;SUMPRODUCT((M$2:M181=M181)*1)&amp;" - "&amp;(ROW()-2),
"إداري/"&amp;SUMPRODUCT((M$2:M181="")*1)&amp;" - "&amp;(ROW()-2)))</f>
        <v>إداري/176 - 179</v>
      </c>
      <c r="D181" s="141" t="str">
        <f>IF(AND(G181="",H181="",I181=""),"",IF(COUNTIFS(LISTS!$A$2:$A$67,G181,LISTS!$B$2:$B$67,H181,LISTS!$C$2:$C$67,I181)=0,"✗ هرم",IF(NOT(OR(Z181="ممتاز 100%",Z181="جيد 80%",Z181="مقبول 60%",Z181="خطر 40%",Z181="")),"✗ قائمة R",IF(NOT(OR(AA181="ممتاز 100%",AA181="جيد 85%",AA181="مقبول 70%",AA181="ضعيف 50%",AA181="")),"✗ قائمة S",IF(NOT(OR(AB181="مكتمل 100%",AB181="جزئي 60%",AB181="معلق 30%",AB181="مفتوح 0%",AB181="")),"✗ قائمة T",IF(NOT(OR(AC181="لا خصم 0",AC181="تأخير −5",AC181="عجز −10",AC181="جودة −15",AC181="امتثال −20",AC181="مخالفة −25",AC181="")),"✗ قائمة U",IF(AND(X181="لا",AC181&lt;&gt;"",AC181&lt;&gt;"لا خصم 0"),"✗ خصم",IF(AND(X181="نعم",AC181="لا خصم 0"),"✗ خصم",IF(AND(Z181="ممتاز 100%",AA181="ممتاز 100%",AB181&lt;&gt;"",AB181&lt;&gt;"مكتمل 100%"),"✗ إغلاق",IFERROR(IF(LEN(_xlfn.TEXTJOIN("، ",TRUE,IF(E181="","التاريخ",""),IF(F181="","الوقت",""),IF(G181="","المركز",""),IF(H181="","الدائرة",""),IF(I181="","القسم",""),IF(J181="","المسؤول",""),IF(K181="","نوع النشاط",""),IF(L181="","المشروع",""),IF(N181="","الممول",""),IF(V181="","الموضوع",""),IF(W181="","الملاحظة",""),IF(X181="","مشكلة",""),IF(Y181="","الإجراء",""),IF(Z181="","التنفيذ",""),IF(AA181="","الجودة",""),IF(AB181="","الإغلاق",""),IF(AC181="","الخصم",""),IF(AND(COUNTA($O181:$U181)&gt;0,O181=""),"مدير المشروع",""),IF(AND(COUNTA($O181:$U181)&gt;0,P181=""),"المستفيدين",""),IF(AND(COUNTA($O181:$U181)&gt;0,Q181=""),"المناطق",""),IF(AND(COUNTA($O181:$U181)&gt;0,R181=""),"الميزانية",""),IF(AND(COUNTA($O181:$U181)&gt;0,S181=""),"نسبة الجاهزية",""),IF(AND(COUNTA($O181:$U181)&gt;0,T181=""),"حالة الجاهزية",""),IF(AND(COUNTA($O181:$U181)&gt;0,U181=""),"التوصيات","")))&gt;0,"✗ ناقص: "&amp;_xlfn.TEXTJOIN("، ",TRUE,IF(E181="","التاريخ",""),IF(F181="","الوقت",""),IF(G181="","المركز",""),IF(H181="","الدائرة",""),IF(I181="","القسم",""),IF(J181="","المسؤول",""),IF(K181="","نوع النشاط",""),IF(L181="","المشروع",""),IF(N181="","الممول",""),IF(V181="","الموضوع",""),IF(W181="","الملاحظة",""),IF(X181="","مشكلة",""),IF(Y181="","الإجراء",""),IF(Z181="","التنفيذ",""),IF(AA181="","الجودة",""),IF(AB181="","الإغلاق",""),IF(AC181="","الخصم",""),IF(AND(COUNTA($O181:$U181)&gt;0,O181=""),"مدير المشروع",""),IF(AND(COUNTA($O181:$U181)&gt;0,P181=""),"المستفيدين",""),IF(AND(COUNTA($O181:$U181)&gt;0,Q181=""),"المناطق",""),IF(AND(COUNTA($O181:$U181)&gt;0,R181=""),"الميزانية",""),IF(AND(COUNTA($O181:$U181)&gt;0,S181=""),"نسبة الجاهزية",""),IF(AND(COUNTA($O181:$U181)&gt;0,T181=""),"حالة الجاهزية",""),IF(AND(COUNTA($O181:$U181)&gt;0,U181=""),"التوصيات","")),"✓"),"✓"))))))))))</f>
        <v>✗ ناقص: الممول</v>
      </c>
      <c r="E181" s="235">
        <v>46167</v>
      </c>
      <c r="F181" s="236">
        <v>0.55208333333333337</v>
      </c>
      <c r="G181" s="90" t="s">
        <v>97</v>
      </c>
      <c r="H181" s="123" t="s">
        <v>102</v>
      </c>
      <c r="I181" s="89" t="s">
        <v>175</v>
      </c>
      <c r="J181" s="142" t="s">
        <v>170</v>
      </c>
      <c r="K181" s="90" t="s">
        <v>116</v>
      </c>
      <c r="L181" s="90" t="s">
        <v>309</v>
      </c>
      <c r="M181" s="90"/>
      <c r="N181" s="89"/>
      <c r="O181" s="200"/>
      <c r="P181" s="201"/>
      <c r="Q181" s="201"/>
      <c r="R181" s="237"/>
      <c r="S181" s="202"/>
      <c r="T181" s="200"/>
      <c r="U181" s="203"/>
      <c r="V181" s="89" t="s">
        <v>974</v>
      </c>
      <c r="W181" s="89" t="s">
        <v>975</v>
      </c>
      <c r="X181" s="145" t="s">
        <v>976</v>
      </c>
      <c r="Y181" s="89" t="s">
        <v>652</v>
      </c>
      <c r="Z181" s="90" t="s">
        <v>165</v>
      </c>
      <c r="AA181" s="90" t="s">
        <v>149</v>
      </c>
      <c r="AB181" s="90" t="s">
        <v>131</v>
      </c>
      <c r="AC181" s="90" t="s">
        <v>196</v>
      </c>
      <c r="AD181" s="92" t="s">
        <v>26</v>
      </c>
      <c r="AE181" s="149">
        <f>IFERROR(VLOOKUP(Z181,LISTS!$AL$2:$AM$1000,2,FALSE()),"")</f>
        <v>80</v>
      </c>
      <c r="AF181" s="151">
        <f>IFERROR(VLOOKUP(AA181,LISTS!$AO$2:$AP$1000,2,FALSE()),"")</f>
        <v>85</v>
      </c>
      <c r="AG181" s="152">
        <f>IFERROR(VLOOKUP(AB181,LISTS!$AR$2:$AS$1000,2,FALSE()),"")</f>
        <v>100</v>
      </c>
      <c r="AH181" s="154">
        <f>IFERROR(VLOOKUP(AC181,LISTS!$AU$2:$AV$1000,2,FALSE()),"")</f>
        <v>5</v>
      </c>
      <c r="AI181" s="238">
        <f t="shared" si="13"/>
        <v>82.5</v>
      </c>
      <c r="AJ181" s="190" t="str">
        <f t="shared" si="14"/>
        <v>🟢 جيد</v>
      </c>
      <c r="AK181" s="157">
        <f t="shared" si="15"/>
        <v>5</v>
      </c>
      <c r="AL181" s="160">
        <f t="shared" si="16"/>
        <v>2026</v>
      </c>
      <c r="AM181" s="210"/>
      <c r="AN181" s="209"/>
    </row>
    <row r="182" spans="1:40" ht="27.95" customHeight="1">
      <c r="A182" s="134">
        <f>IF(I182&lt;&gt;"",COUNTA($I$2:I182),"")</f>
        <v>181</v>
      </c>
      <c r="B182" s="138" t="str">
        <f t="shared" si="17"/>
        <v>الاثنين</v>
      </c>
      <c r="C182" s="93" t="str">
        <f t="array" ref="C182">IF(E182="","",IF(M182&lt;&gt;"",
M182&amp;"/"&amp;SUMPRODUCT((M$2:M182=M182)*1)&amp;" - "&amp;(ROW()-2),
"إداري/"&amp;SUMPRODUCT((M$2:M182="")*1)&amp;" - "&amp;(ROW()-2)))</f>
        <v>إداري/177 - 180</v>
      </c>
      <c r="D182" s="141" t="str">
        <f>IF(AND(G182="",H182="",I182=""),"",IF(COUNTIFS(LISTS!$A$2:$A$67,G182,LISTS!$B$2:$B$67,H182,LISTS!$C$2:$C$67,I182)=0,"✗ هرم",IF(NOT(OR(Z182="ممتاز 100%",Z182="جيد 80%",Z182="مقبول 60%",Z182="خطر 40%",Z182="")),"✗ قائمة R",IF(NOT(OR(AA182="ممتاز 100%",AA182="جيد 85%",AA182="مقبول 70%",AA182="ضعيف 50%",AA182="")),"✗ قائمة S",IF(NOT(OR(AB182="مكتمل 100%",AB182="جزئي 60%",AB182="معلق 30%",AB182="مفتوح 0%",AB182="")),"✗ قائمة T",IF(NOT(OR(AC182="لا خصم 0",AC182="تأخير −5",AC182="عجز −10",AC182="جودة −15",AC182="امتثال −20",AC182="مخالفة −25",AC182="")),"✗ قائمة U",IF(AND(X182="لا",AC182&lt;&gt;"",AC182&lt;&gt;"لا خصم 0"),"✗ خصم",IF(AND(X182="نعم",AC182="لا خصم 0"),"✗ خصم",IF(AND(Z182="ممتاز 100%",AA182="ممتاز 100%",AB182&lt;&gt;"",AB182&lt;&gt;"مكتمل 100%"),"✗ إغلاق",IFERROR(IF(LEN(_xlfn.TEXTJOIN("، ",TRUE,IF(E182="","التاريخ",""),IF(F182="","الوقت",""),IF(G182="","المركز",""),IF(H182="","الدائرة",""),IF(I182="","القسم",""),IF(J182="","المسؤول",""),IF(K182="","نوع النشاط",""),IF(L182="","المشروع",""),IF(N182="","الممول",""),IF(V182="","الموضوع",""),IF(W182="","الملاحظة",""),IF(X182="","مشكلة",""),IF(Y182="","الإجراء",""),IF(Z182="","التنفيذ",""),IF(AA182="","الجودة",""),IF(AB182="","الإغلاق",""),IF(AC182="","الخصم",""),IF(AND(COUNTA($O182:$U182)&gt;0,O182=""),"مدير المشروع",""),IF(AND(COUNTA($O182:$U182)&gt;0,P182=""),"المستفيدين",""),IF(AND(COUNTA($O182:$U182)&gt;0,Q182=""),"المناطق",""),IF(AND(COUNTA($O182:$U182)&gt;0,R182=""),"الميزانية",""),IF(AND(COUNTA($O182:$U182)&gt;0,S182=""),"نسبة الجاهزية",""),IF(AND(COUNTA($O182:$U182)&gt;0,T182=""),"حالة الجاهزية",""),IF(AND(COUNTA($O182:$U182)&gt;0,U182=""),"التوصيات","")))&gt;0,"✗ ناقص: "&amp;_xlfn.TEXTJOIN("، ",TRUE,IF(E182="","التاريخ",""),IF(F182="","الوقت",""),IF(G182="","المركز",""),IF(H182="","الدائرة",""),IF(I182="","القسم",""),IF(J182="","المسؤول",""),IF(K182="","نوع النشاط",""),IF(L182="","المشروع",""),IF(N182="","الممول",""),IF(V182="","الموضوع",""),IF(W182="","الملاحظة",""),IF(X182="","مشكلة",""),IF(Y182="","الإجراء",""),IF(Z182="","التنفيذ",""),IF(AA182="","الجودة",""),IF(AB182="","الإغلاق",""),IF(AC182="","الخصم",""),IF(AND(COUNTA($O182:$U182)&gt;0,O182=""),"مدير المشروع",""),IF(AND(COUNTA($O182:$U182)&gt;0,P182=""),"المستفيدين",""),IF(AND(COUNTA($O182:$U182)&gt;0,Q182=""),"المناطق",""),IF(AND(COUNTA($O182:$U182)&gt;0,R182=""),"الميزانية",""),IF(AND(COUNTA($O182:$U182)&gt;0,S182=""),"نسبة الجاهزية",""),IF(AND(COUNTA($O182:$U182)&gt;0,T182=""),"حالة الجاهزية",""),IF(AND(COUNTA($O182:$U182)&gt;0,U182=""),"التوصيات","")),"✓"),"✓"))))))))))</f>
        <v>✗ ناقص: الممول</v>
      </c>
      <c r="E182" s="235">
        <v>46167</v>
      </c>
      <c r="F182" s="236">
        <v>0.4375</v>
      </c>
      <c r="G182" s="90" t="s">
        <v>97</v>
      </c>
      <c r="H182" s="123" t="s">
        <v>102</v>
      </c>
      <c r="I182" s="89" t="s">
        <v>159</v>
      </c>
      <c r="J182" s="142" t="s">
        <v>258</v>
      </c>
      <c r="K182" s="90" t="s">
        <v>116</v>
      </c>
      <c r="L182" s="90" t="s">
        <v>324</v>
      </c>
      <c r="M182" s="90"/>
      <c r="N182" s="89"/>
      <c r="O182" s="200"/>
      <c r="P182" s="201"/>
      <c r="Q182" s="201"/>
      <c r="R182" s="237"/>
      <c r="S182" s="202"/>
      <c r="T182" s="200"/>
      <c r="U182" s="203"/>
      <c r="V182" s="89" t="s">
        <v>977</v>
      </c>
      <c r="W182" s="89" t="s">
        <v>978</v>
      </c>
      <c r="X182" s="145" t="s">
        <v>651</v>
      </c>
      <c r="Y182" s="89" t="s">
        <v>652</v>
      </c>
      <c r="Z182" s="90" t="s">
        <v>130</v>
      </c>
      <c r="AA182" s="90" t="s">
        <v>130</v>
      </c>
      <c r="AB182" s="90" t="s">
        <v>131</v>
      </c>
      <c r="AC182" s="90" t="s">
        <v>132</v>
      </c>
      <c r="AD182" s="92" t="s">
        <v>26</v>
      </c>
      <c r="AE182" s="149">
        <f>IFERROR(VLOOKUP(Z182,LISTS!$AL$2:$AM$1000,2,FALSE()),"")</f>
        <v>100</v>
      </c>
      <c r="AF182" s="151">
        <f>IFERROR(VLOOKUP(AA182,LISTS!$AO$2:$AP$1000,2,FALSE()),"")</f>
        <v>100</v>
      </c>
      <c r="AG182" s="152">
        <f>IFERROR(VLOOKUP(AB182,LISTS!$AR$2:$AS$1000,2,FALSE()),"")</f>
        <v>100</v>
      </c>
      <c r="AH182" s="154">
        <f>IFERROR(VLOOKUP(AC182,LISTS!$AU$2:$AV$1000,2,FALSE()),"")</f>
        <v>0</v>
      </c>
      <c r="AI182" s="238">
        <f t="shared" si="13"/>
        <v>100</v>
      </c>
      <c r="AJ182" s="190" t="str">
        <f t="shared" si="14"/>
        <v>🌟 ممتاز جدًا</v>
      </c>
      <c r="AK182" s="157">
        <f t="shared" si="15"/>
        <v>5</v>
      </c>
      <c r="AL182" s="160">
        <f t="shared" si="16"/>
        <v>2026</v>
      </c>
      <c r="AM182" s="210"/>
      <c r="AN182" s="209"/>
    </row>
    <row r="183" spans="1:40" ht="27.95" customHeight="1">
      <c r="A183" s="134">
        <f>IF(I183&lt;&gt;"",COUNTA($I$2:I183),"")</f>
        <v>182</v>
      </c>
      <c r="B183" s="138" t="str">
        <f t="shared" si="17"/>
        <v>الاثنين</v>
      </c>
      <c r="C183" s="93" t="str">
        <f t="array" ref="C183">IF(E183="","",IF(M183&lt;&gt;"",
M183&amp;"/"&amp;SUMPRODUCT((M$2:M183=M183)*1)&amp;" - "&amp;(ROW()-2),
"إداري/"&amp;SUMPRODUCT((M$2:M183="")*1)&amp;" - "&amp;(ROW()-2)))</f>
        <v>إداري/178 - 181</v>
      </c>
      <c r="D183" s="141" t="str">
        <f>IF(AND(G183="",H183="",I183=""),"",IF(COUNTIFS(LISTS!$A$2:$A$67,G183,LISTS!$B$2:$B$67,H183,LISTS!$C$2:$C$67,I183)=0,"✗ هرم",IF(NOT(OR(Z183="ممتاز 100%",Z183="جيد 80%",Z183="مقبول 60%",Z183="خطر 40%",Z183="")),"✗ قائمة R",IF(NOT(OR(AA183="ممتاز 100%",AA183="جيد 85%",AA183="مقبول 70%",AA183="ضعيف 50%",AA183="")),"✗ قائمة S",IF(NOT(OR(AB183="مكتمل 100%",AB183="جزئي 60%",AB183="معلق 30%",AB183="مفتوح 0%",AB183="")),"✗ قائمة T",IF(NOT(OR(AC183="لا خصم 0",AC183="تأخير −5",AC183="عجز −10",AC183="جودة −15",AC183="امتثال −20",AC183="مخالفة −25",AC183="")),"✗ قائمة U",IF(AND(X183="لا",AC183&lt;&gt;"",AC183&lt;&gt;"لا خصم 0"),"✗ خصم",IF(AND(X183="نعم",AC183="لا خصم 0"),"✗ خصم",IF(AND(Z183="ممتاز 100%",AA183="ممتاز 100%",AB183&lt;&gt;"",AB183&lt;&gt;"مكتمل 100%"),"✗ إغلاق",IFERROR(IF(LEN(_xlfn.TEXTJOIN("، ",TRUE,IF(E183="","التاريخ",""),IF(F183="","الوقت",""),IF(G183="","المركز",""),IF(H183="","الدائرة",""),IF(I183="","القسم",""),IF(J183="","المسؤول",""),IF(K183="","نوع النشاط",""),IF(L183="","المشروع",""),IF(N183="","الممول",""),IF(V183="","الموضوع",""),IF(W183="","الملاحظة",""),IF(X183="","مشكلة",""),IF(Y183="","الإجراء",""),IF(Z183="","التنفيذ",""),IF(AA183="","الجودة",""),IF(AB183="","الإغلاق",""),IF(AC183="","الخصم",""),IF(AND(COUNTA($O183:$U183)&gt;0,O183=""),"مدير المشروع",""),IF(AND(COUNTA($O183:$U183)&gt;0,P183=""),"المستفيدين",""),IF(AND(COUNTA($O183:$U183)&gt;0,Q183=""),"المناطق",""),IF(AND(COUNTA($O183:$U183)&gt;0,R183=""),"الميزانية",""),IF(AND(COUNTA($O183:$U183)&gt;0,S183=""),"نسبة الجاهزية",""),IF(AND(COUNTA($O183:$U183)&gt;0,T183=""),"حالة الجاهزية",""),IF(AND(COUNTA($O183:$U183)&gt;0,U183=""),"التوصيات","")))&gt;0,"✗ ناقص: "&amp;_xlfn.TEXTJOIN("، ",TRUE,IF(E183="","التاريخ",""),IF(F183="","الوقت",""),IF(G183="","المركز",""),IF(H183="","الدائرة",""),IF(I183="","القسم",""),IF(J183="","المسؤول",""),IF(K183="","نوع النشاط",""),IF(L183="","المشروع",""),IF(N183="","الممول",""),IF(V183="","الموضوع",""),IF(W183="","الملاحظة",""),IF(X183="","مشكلة",""),IF(Y183="","الإجراء",""),IF(Z183="","التنفيذ",""),IF(AA183="","الجودة",""),IF(AB183="","الإغلاق",""),IF(AC183="","الخصم",""),IF(AND(COUNTA($O183:$U183)&gt;0,O183=""),"مدير المشروع",""),IF(AND(COUNTA($O183:$U183)&gt;0,P183=""),"المستفيدين",""),IF(AND(COUNTA($O183:$U183)&gt;0,Q183=""),"المناطق",""),IF(AND(COUNTA($O183:$U183)&gt;0,R183=""),"الميزانية",""),IF(AND(COUNTA($O183:$U183)&gt;0,S183=""),"نسبة الجاهزية",""),IF(AND(COUNTA($O183:$U183)&gt;0,T183=""),"حالة الجاهزية",""),IF(AND(COUNTA($O183:$U183)&gt;0,U183=""),"التوصيات","")),"✓"),"✓"))))))))))</f>
        <v>✗ ناقص: الممول</v>
      </c>
      <c r="E183" s="235">
        <v>46167</v>
      </c>
      <c r="F183" s="236">
        <v>0.47222222222222221</v>
      </c>
      <c r="G183" s="90" t="s">
        <v>97</v>
      </c>
      <c r="H183" s="123" t="s">
        <v>101</v>
      </c>
      <c r="I183" s="89" t="s">
        <v>123</v>
      </c>
      <c r="J183" s="142" t="s">
        <v>880</v>
      </c>
      <c r="K183" s="90" t="s">
        <v>116</v>
      </c>
      <c r="L183" s="90" t="s">
        <v>381</v>
      </c>
      <c r="M183" s="90"/>
      <c r="N183" s="89"/>
      <c r="O183" s="200"/>
      <c r="P183" s="201"/>
      <c r="Q183" s="201"/>
      <c r="R183" s="237"/>
      <c r="S183" s="202"/>
      <c r="T183" s="200"/>
      <c r="U183" s="203"/>
      <c r="V183" s="89" t="s">
        <v>979</v>
      </c>
      <c r="W183" s="89" t="s">
        <v>980</v>
      </c>
      <c r="X183" s="145" t="s">
        <v>651</v>
      </c>
      <c r="Y183" s="89" t="s">
        <v>652</v>
      </c>
      <c r="Z183" s="90" t="s">
        <v>130</v>
      </c>
      <c r="AA183" s="90" t="s">
        <v>130</v>
      </c>
      <c r="AB183" s="90" t="s">
        <v>131</v>
      </c>
      <c r="AC183" s="90" t="s">
        <v>132</v>
      </c>
      <c r="AD183" s="92" t="s">
        <v>26</v>
      </c>
      <c r="AE183" s="149">
        <f>IFERROR(VLOOKUP(Z183,LISTS!$AL$2:$AM$1000,2,FALSE()),"")</f>
        <v>100</v>
      </c>
      <c r="AF183" s="151">
        <f>IFERROR(VLOOKUP(AA183,LISTS!$AO$2:$AP$1000,2,FALSE()),"")</f>
        <v>100</v>
      </c>
      <c r="AG183" s="152">
        <f>IFERROR(VLOOKUP(AB183,LISTS!$AR$2:$AS$1000,2,FALSE()),"")</f>
        <v>100</v>
      </c>
      <c r="AH183" s="154">
        <f>IFERROR(VLOOKUP(AC183,LISTS!$AU$2:$AV$1000,2,FALSE()),"")</f>
        <v>0</v>
      </c>
      <c r="AI183" s="238">
        <f t="shared" si="13"/>
        <v>100</v>
      </c>
      <c r="AJ183" s="190" t="str">
        <f t="shared" si="14"/>
        <v>🌟 ممتاز جدًا</v>
      </c>
      <c r="AK183" s="157">
        <f t="shared" si="15"/>
        <v>5</v>
      </c>
      <c r="AL183" s="160">
        <f t="shared" si="16"/>
        <v>2026</v>
      </c>
      <c r="AM183" s="210"/>
      <c r="AN183" s="209"/>
    </row>
    <row r="184" spans="1:40" ht="27.95" customHeight="1">
      <c r="A184" s="134">
        <f>IF(I184&lt;&gt;"",COUNTA($I$2:I184),"")</f>
        <v>183</v>
      </c>
      <c r="B184" s="138" t="str">
        <f t="shared" si="17"/>
        <v>الاثنين</v>
      </c>
      <c r="C184" s="93" t="str">
        <f t="array" ref="C184">IF(E184="","",IF(M184&lt;&gt;"",
M184&amp;"/"&amp;SUMPRODUCT((M$2:M184=M184)*1)&amp;" - "&amp;(ROW()-2),
"إداري/"&amp;SUMPRODUCT((M$2:M184="")*1)&amp;" - "&amp;(ROW()-2)))</f>
        <v>إداري/179 - 182</v>
      </c>
      <c r="D184" s="141" t="str">
        <f>IF(AND(G184="",H184="",I184=""),"",IF(COUNTIFS(LISTS!$A$2:$A$67,G184,LISTS!$B$2:$B$67,H184,LISTS!$C$2:$C$67,I184)=0,"✗ هرم",IF(NOT(OR(Z184="ممتاز 100%",Z184="جيد 80%",Z184="مقبول 60%",Z184="خطر 40%",Z184="")),"✗ قائمة R",IF(NOT(OR(AA184="ممتاز 100%",AA184="جيد 85%",AA184="مقبول 70%",AA184="ضعيف 50%",AA184="")),"✗ قائمة S",IF(NOT(OR(AB184="مكتمل 100%",AB184="جزئي 60%",AB184="معلق 30%",AB184="مفتوح 0%",AB184="")),"✗ قائمة T",IF(NOT(OR(AC184="لا خصم 0",AC184="تأخير −5",AC184="عجز −10",AC184="جودة −15",AC184="امتثال −20",AC184="مخالفة −25",AC184="")),"✗ قائمة U",IF(AND(X184="لا",AC184&lt;&gt;"",AC184&lt;&gt;"لا خصم 0"),"✗ خصم",IF(AND(X184="نعم",AC184="لا خصم 0"),"✗ خصم",IF(AND(Z184="ممتاز 100%",AA184="ممتاز 100%",AB184&lt;&gt;"",AB184&lt;&gt;"مكتمل 100%"),"✗ إغلاق",IFERROR(IF(LEN(_xlfn.TEXTJOIN("، ",TRUE,IF(E184="","التاريخ",""),IF(F184="","الوقت",""),IF(G184="","المركز",""),IF(H184="","الدائرة",""),IF(I184="","القسم",""),IF(J184="","المسؤول",""),IF(K184="","نوع النشاط",""),IF(L184="","المشروع",""),IF(N184="","الممول",""),IF(V184="","الموضوع",""),IF(W184="","الملاحظة",""),IF(X184="","مشكلة",""),IF(Y184="","الإجراء",""),IF(Z184="","التنفيذ",""),IF(AA184="","الجودة",""),IF(AB184="","الإغلاق",""),IF(AC184="","الخصم",""),IF(AND(COUNTA($O184:$U184)&gt;0,O184=""),"مدير المشروع",""),IF(AND(COUNTA($O184:$U184)&gt;0,P184=""),"المستفيدين",""),IF(AND(COUNTA($O184:$U184)&gt;0,Q184=""),"المناطق",""),IF(AND(COUNTA($O184:$U184)&gt;0,R184=""),"الميزانية",""),IF(AND(COUNTA($O184:$U184)&gt;0,S184=""),"نسبة الجاهزية",""),IF(AND(COUNTA($O184:$U184)&gt;0,T184=""),"حالة الجاهزية",""),IF(AND(COUNTA($O184:$U184)&gt;0,U184=""),"التوصيات","")))&gt;0,"✗ ناقص: "&amp;_xlfn.TEXTJOIN("، ",TRUE,IF(E184="","التاريخ",""),IF(F184="","الوقت",""),IF(G184="","المركز",""),IF(H184="","الدائرة",""),IF(I184="","القسم",""),IF(J184="","المسؤول",""),IF(K184="","نوع النشاط",""),IF(L184="","المشروع",""),IF(N184="","الممول",""),IF(V184="","الموضوع",""),IF(W184="","الملاحظة",""),IF(X184="","مشكلة",""),IF(Y184="","الإجراء",""),IF(Z184="","التنفيذ",""),IF(AA184="","الجودة",""),IF(AB184="","الإغلاق",""),IF(AC184="","الخصم",""),IF(AND(COUNTA($O184:$U184)&gt;0,O184=""),"مدير المشروع",""),IF(AND(COUNTA($O184:$U184)&gt;0,P184=""),"المستفيدين",""),IF(AND(COUNTA($O184:$U184)&gt;0,Q184=""),"المناطق",""),IF(AND(COUNTA($O184:$U184)&gt;0,R184=""),"الميزانية",""),IF(AND(COUNTA($O184:$U184)&gt;0,S184=""),"نسبة الجاهزية",""),IF(AND(COUNTA($O184:$U184)&gt;0,T184=""),"حالة الجاهزية",""),IF(AND(COUNTA($O184:$U184)&gt;0,U184=""),"التوصيات","")),"✓"),"✓"))))))))))</f>
        <v>✗ ناقص: الممول</v>
      </c>
      <c r="E184" s="235">
        <v>46167</v>
      </c>
      <c r="F184" s="236">
        <v>0.54861111111111116</v>
      </c>
      <c r="G184" s="90" t="s">
        <v>97</v>
      </c>
      <c r="H184" s="123" t="s">
        <v>101</v>
      </c>
      <c r="I184" s="89" t="s">
        <v>123</v>
      </c>
      <c r="J184" s="142" t="s">
        <v>216</v>
      </c>
      <c r="K184" s="90" t="s">
        <v>116</v>
      </c>
      <c r="L184" s="90" t="s">
        <v>381</v>
      </c>
      <c r="M184" s="90"/>
      <c r="N184" s="89"/>
      <c r="O184" s="200"/>
      <c r="P184" s="201"/>
      <c r="Q184" s="201"/>
      <c r="R184" s="237"/>
      <c r="S184" s="202"/>
      <c r="T184" s="200"/>
      <c r="U184" s="203"/>
      <c r="V184" s="89" t="s">
        <v>981</v>
      </c>
      <c r="W184" s="89" t="s">
        <v>982</v>
      </c>
      <c r="X184" s="145" t="s">
        <v>651</v>
      </c>
      <c r="Y184" s="89" t="s">
        <v>652</v>
      </c>
      <c r="Z184" s="90" t="s">
        <v>130</v>
      </c>
      <c r="AA184" s="90" t="s">
        <v>130</v>
      </c>
      <c r="AB184" s="90" t="s">
        <v>131</v>
      </c>
      <c r="AC184" s="90" t="s">
        <v>132</v>
      </c>
      <c r="AD184" s="92" t="s">
        <v>26</v>
      </c>
      <c r="AE184" s="149">
        <f>IFERROR(VLOOKUP(Z184,LISTS!$AL$2:$AM$1000,2,FALSE()),"")</f>
        <v>100</v>
      </c>
      <c r="AF184" s="151">
        <f>IFERROR(VLOOKUP(AA184,LISTS!$AO$2:$AP$1000,2,FALSE()),"")</f>
        <v>100</v>
      </c>
      <c r="AG184" s="152">
        <f>IFERROR(VLOOKUP(AB184,LISTS!$AR$2:$AS$1000,2,FALSE()),"")</f>
        <v>100</v>
      </c>
      <c r="AH184" s="154">
        <f>IFERROR(VLOOKUP(AC184,LISTS!$AU$2:$AV$1000,2,FALSE()),"")</f>
        <v>0</v>
      </c>
      <c r="AI184" s="238">
        <f t="shared" si="13"/>
        <v>100</v>
      </c>
      <c r="AJ184" s="190" t="str">
        <f t="shared" si="14"/>
        <v>🌟 ممتاز جدًا</v>
      </c>
      <c r="AK184" s="157">
        <f t="shared" si="15"/>
        <v>5</v>
      </c>
      <c r="AL184" s="160">
        <f t="shared" si="16"/>
        <v>2026</v>
      </c>
      <c r="AM184" s="210"/>
      <c r="AN184" s="209"/>
    </row>
    <row r="185" spans="1:40" ht="27.95" customHeight="1">
      <c r="A185" s="134">
        <f>IF(I185&lt;&gt;"",COUNTA($I$2:I185),"")</f>
        <v>184</v>
      </c>
      <c r="B185" s="138" t="str">
        <f t="shared" si="17"/>
        <v>الاثنين</v>
      </c>
      <c r="C185" s="93" t="str">
        <f t="array" ref="C185">IF(E185="","",IF(M185&lt;&gt;"",
M185&amp;"/"&amp;SUMPRODUCT((M$2:M185=M185)*1)&amp;" - "&amp;(ROW()-2),
"إداري/"&amp;SUMPRODUCT((M$2:M185="")*1)&amp;" - "&amp;(ROW()-2)))</f>
        <v>إداري/180 - 183</v>
      </c>
      <c r="D185" s="141" t="str">
        <f>IF(AND(G185="",H185="",I185=""),"",IF(COUNTIFS(LISTS!$A$2:$A$67,G185,LISTS!$B$2:$B$67,H185,LISTS!$C$2:$C$67,I185)=0,"✗ هرم",IF(NOT(OR(Z185="ممتاز 100%",Z185="جيد 80%",Z185="مقبول 60%",Z185="خطر 40%",Z185="")),"✗ قائمة R",IF(NOT(OR(AA185="ممتاز 100%",AA185="جيد 85%",AA185="مقبول 70%",AA185="ضعيف 50%",AA185="")),"✗ قائمة S",IF(NOT(OR(AB185="مكتمل 100%",AB185="جزئي 60%",AB185="معلق 30%",AB185="مفتوح 0%",AB185="")),"✗ قائمة T",IF(NOT(OR(AC185="لا خصم 0",AC185="تأخير −5",AC185="عجز −10",AC185="جودة −15",AC185="امتثال −20",AC185="مخالفة −25",AC185="")),"✗ قائمة U",IF(AND(X185="لا",AC185&lt;&gt;"",AC185&lt;&gt;"لا خصم 0"),"✗ خصم",IF(AND(X185="نعم",AC185="لا خصم 0"),"✗ خصم",IF(AND(Z185="ممتاز 100%",AA185="ممتاز 100%",AB185&lt;&gt;"",AB185&lt;&gt;"مكتمل 100%"),"✗ إغلاق",IFERROR(IF(LEN(_xlfn.TEXTJOIN("، ",TRUE,IF(E185="","التاريخ",""),IF(F185="","الوقت",""),IF(G185="","المركز",""),IF(H185="","الدائرة",""),IF(I185="","القسم",""),IF(J185="","المسؤول",""),IF(K185="","نوع النشاط",""),IF(L185="","المشروع",""),IF(N185="","الممول",""),IF(V185="","الموضوع",""),IF(W185="","الملاحظة",""),IF(X185="","مشكلة",""),IF(Y185="","الإجراء",""),IF(Z185="","التنفيذ",""),IF(AA185="","الجودة",""),IF(AB185="","الإغلاق",""),IF(AC185="","الخصم",""),IF(AND(COUNTA($O185:$U185)&gt;0,O185=""),"مدير المشروع",""),IF(AND(COUNTA($O185:$U185)&gt;0,P185=""),"المستفيدين",""),IF(AND(COUNTA($O185:$U185)&gt;0,Q185=""),"المناطق",""),IF(AND(COUNTA($O185:$U185)&gt;0,R185=""),"الميزانية",""),IF(AND(COUNTA($O185:$U185)&gt;0,S185=""),"نسبة الجاهزية",""),IF(AND(COUNTA($O185:$U185)&gt;0,T185=""),"حالة الجاهزية",""),IF(AND(COUNTA($O185:$U185)&gt;0,U185=""),"التوصيات","")))&gt;0,"✗ ناقص: "&amp;_xlfn.TEXTJOIN("، ",TRUE,IF(E185="","التاريخ",""),IF(F185="","الوقت",""),IF(G185="","المركز",""),IF(H185="","الدائرة",""),IF(I185="","القسم",""),IF(J185="","المسؤول",""),IF(K185="","نوع النشاط",""),IF(L185="","المشروع",""),IF(N185="","الممول",""),IF(V185="","الموضوع",""),IF(W185="","الملاحظة",""),IF(X185="","مشكلة",""),IF(Y185="","الإجراء",""),IF(Z185="","التنفيذ",""),IF(AA185="","الجودة",""),IF(AB185="","الإغلاق",""),IF(AC185="","الخصم",""),IF(AND(COUNTA($O185:$U185)&gt;0,O185=""),"مدير المشروع",""),IF(AND(COUNTA($O185:$U185)&gt;0,P185=""),"المستفيدين",""),IF(AND(COUNTA($O185:$U185)&gt;0,Q185=""),"المناطق",""),IF(AND(COUNTA($O185:$U185)&gt;0,R185=""),"الميزانية",""),IF(AND(COUNTA($O185:$U185)&gt;0,S185=""),"نسبة الجاهزية",""),IF(AND(COUNTA($O185:$U185)&gt;0,T185=""),"حالة الجاهزية",""),IF(AND(COUNTA($O185:$U185)&gt;0,U185=""),"التوصيات","")),"✓"),"✓"))))))))))</f>
        <v>✗ ناقص: الممول</v>
      </c>
      <c r="E185" s="235">
        <v>46167</v>
      </c>
      <c r="F185" s="236">
        <v>0.48958333333333331</v>
      </c>
      <c r="G185" s="90" t="s">
        <v>97</v>
      </c>
      <c r="H185" s="123" t="s">
        <v>102</v>
      </c>
      <c r="I185" s="89" t="s">
        <v>142</v>
      </c>
      <c r="J185" s="142" t="s">
        <v>326</v>
      </c>
      <c r="K185" s="90" t="s">
        <v>116</v>
      </c>
      <c r="L185" s="90" t="s">
        <v>381</v>
      </c>
      <c r="M185" s="90"/>
      <c r="N185" s="89"/>
      <c r="O185" s="200"/>
      <c r="P185" s="201"/>
      <c r="Q185" s="201"/>
      <c r="R185" s="237"/>
      <c r="S185" s="202"/>
      <c r="T185" s="200"/>
      <c r="U185" s="203"/>
      <c r="V185" s="89" t="s">
        <v>983</v>
      </c>
      <c r="W185" s="89" t="s">
        <v>984</v>
      </c>
      <c r="X185" s="145" t="s">
        <v>651</v>
      </c>
      <c r="Y185" s="89" t="s">
        <v>652</v>
      </c>
      <c r="Z185" s="90" t="s">
        <v>130</v>
      </c>
      <c r="AA185" s="90" t="s">
        <v>130</v>
      </c>
      <c r="AB185" s="90" t="s">
        <v>131</v>
      </c>
      <c r="AC185" s="90" t="s">
        <v>132</v>
      </c>
      <c r="AD185" s="92" t="s">
        <v>26</v>
      </c>
      <c r="AE185" s="149">
        <f>IFERROR(VLOOKUP(Z185,LISTS!$AL$2:$AM$1000,2,FALSE()),"")</f>
        <v>100</v>
      </c>
      <c r="AF185" s="151">
        <f>IFERROR(VLOOKUP(AA185,LISTS!$AO$2:$AP$1000,2,FALSE()),"")</f>
        <v>100</v>
      </c>
      <c r="AG185" s="152">
        <f>IFERROR(VLOOKUP(AB185,LISTS!$AR$2:$AS$1000,2,FALSE()),"")</f>
        <v>100</v>
      </c>
      <c r="AH185" s="154">
        <f>IFERROR(VLOOKUP(AC185,LISTS!$AU$2:$AV$1000,2,FALSE()),"")</f>
        <v>0</v>
      </c>
      <c r="AI185" s="238">
        <f t="shared" si="13"/>
        <v>100</v>
      </c>
      <c r="AJ185" s="190" t="str">
        <f t="shared" si="14"/>
        <v>🌟 ممتاز جدًا</v>
      </c>
      <c r="AK185" s="157">
        <f t="shared" si="15"/>
        <v>5</v>
      </c>
      <c r="AL185" s="160">
        <f t="shared" si="16"/>
        <v>2026</v>
      </c>
      <c r="AM185" s="210"/>
      <c r="AN185" s="209"/>
    </row>
    <row r="186" spans="1:40" ht="27.95" customHeight="1">
      <c r="A186" s="134">
        <f>IF(I186&lt;&gt;"",COUNTA($I$2:I186),"")</f>
        <v>185</v>
      </c>
      <c r="B186" s="138" t="str">
        <f t="shared" si="17"/>
        <v>الاثنين</v>
      </c>
      <c r="C186" s="93" t="str">
        <f t="array" ref="C186">IF(E186="","",IF(M186&lt;&gt;"",
M186&amp;"/"&amp;SUMPRODUCT((M$2:M186=M186)*1)&amp;" - "&amp;(ROW()-2),
"إداري/"&amp;SUMPRODUCT((M$2:M186="")*1)&amp;" - "&amp;(ROW()-2)))</f>
        <v>إداري/181 - 184</v>
      </c>
      <c r="D186" s="141" t="str">
        <f>IF(AND(G186="",H186="",I186=""),"",IF(COUNTIFS(LISTS!$A$2:$A$67,G186,LISTS!$B$2:$B$67,H186,LISTS!$C$2:$C$67,I186)=0,"✗ هرم",IF(NOT(OR(Z186="ممتاز 100%",Z186="جيد 80%",Z186="مقبول 60%",Z186="خطر 40%",Z186="")),"✗ قائمة R",IF(NOT(OR(AA186="ممتاز 100%",AA186="جيد 85%",AA186="مقبول 70%",AA186="ضعيف 50%",AA186="")),"✗ قائمة S",IF(NOT(OR(AB186="مكتمل 100%",AB186="جزئي 60%",AB186="معلق 30%",AB186="مفتوح 0%",AB186="")),"✗ قائمة T",IF(NOT(OR(AC186="لا خصم 0",AC186="تأخير −5",AC186="عجز −10",AC186="جودة −15",AC186="امتثال −20",AC186="مخالفة −25",AC186="")),"✗ قائمة U",IF(AND(X186="لا",AC186&lt;&gt;"",AC186&lt;&gt;"لا خصم 0"),"✗ خصم",IF(AND(X186="نعم",AC186="لا خصم 0"),"✗ خصم",IF(AND(Z186="ممتاز 100%",AA186="ممتاز 100%",AB186&lt;&gt;"",AB186&lt;&gt;"مكتمل 100%"),"✗ إغلاق",IFERROR(IF(LEN(_xlfn.TEXTJOIN("، ",TRUE,IF(E186="","التاريخ",""),IF(F186="","الوقت",""),IF(G186="","المركز",""),IF(H186="","الدائرة",""),IF(I186="","القسم",""),IF(J186="","المسؤول",""),IF(K186="","نوع النشاط",""),IF(L186="","المشروع",""),IF(N186="","الممول",""),IF(V186="","الموضوع",""),IF(W186="","الملاحظة",""),IF(X186="","مشكلة",""),IF(Y186="","الإجراء",""),IF(Z186="","التنفيذ",""),IF(AA186="","الجودة",""),IF(AB186="","الإغلاق",""),IF(AC186="","الخصم",""),IF(AND(COUNTA($O186:$U186)&gt;0,O186=""),"مدير المشروع",""),IF(AND(COUNTA($O186:$U186)&gt;0,P186=""),"المستفيدين",""),IF(AND(COUNTA($O186:$U186)&gt;0,Q186=""),"المناطق",""),IF(AND(COUNTA($O186:$U186)&gt;0,R186=""),"الميزانية",""),IF(AND(COUNTA($O186:$U186)&gt;0,S186=""),"نسبة الجاهزية",""),IF(AND(COUNTA($O186:$U186)&gt;0,T186=""),"حالة الجاهزية",""),IF(AND(COUNTA($O186:$U186)&gt;0,U186=""),"التوصيات","")))&gt;0,"✗ ناقص: "&amp;_xlfn.TEXTJOIN("، ",TRUE,IF(E186="","التاريخ",""),IF(F186="","الوقت",""),IF(G186="","المركز",""),IF(H186="","الدائرة",""),IF(I186="","القسم",""),IF(J186="","المسؤول",""),IF(K186="","نوع النشاط",""),IF(L186="","المشروع",""),IF(N186="","الممول",""),IF(V186="","الموضوع",""),IF(W186="","الملاحظة",""),IF(X186="","مشكلة",""),IF(Y186="","الإجراء",""),IF(Z186="","التنفيذ",""),IF(AA186="","الجودة",""),IF(AB186="","الإغلاق",""),IF(AC186="","الخصم",""),IF(AND(COUNTA($O186:$U186)&gt;0,O186=""),"مدير المشروع",""),IF(AND(COUNTA($O186:$U186)&gt;0,P186=""),"المستفيدين",""),IF(AND(COUNTA($O186:$U186)&gt;0,Q186=""),"المناطق",""),IF(AND(COUNTA($O186:$U186)&gt;0,R186=""),"الميزانية",""),IF(AND(COUNTA($O186:$U186)&gt;0,S186=""),"نسبة الجاهزية",""),IF(AND(COUNTA($O186:$U186)&gt;0,T186=""),"حالة الجاهزية",""),IF(AND(COUNTA($O186:$U186)&gt;0,U186=""),"التوصيات","")),"✓"),"✓"))))))))))</f>
        <v>✗ ناقص: المسؤول، المشروع، الممول</v>
      </c>
      <c r="E186" s="235">
        <v>46167</v>
      </c>
      <c r="F186" s="236">
        <v>0.5625</v>
      </c>
      <c r="G186" s="90" t="s">
        <v>97</v>
      </c>
      <c r="H186" s="123" t="s">
        <v>102</v>
      </c>
      <c r="I186" s="89" t="s">
        <v>211</v>
      </c>
      <c r="J186" s="142"/>
      <c r="K186" s="90" t="s">
        <v>116</v>
      </c>
      <c r="L186" s="90"/>
      <c r="M186" s="90"/>
      <c r="N186" s="89"/>
      <c r="O186" s="200"/>
      <c r="P186" s="201"/>
      <c r="Q186" s="201"/>
      <c r="R186" s="237"/>
      <c r="S186" s="202"/>
      <c r="T186" s="200"/>
      <c r="U186" s="203"/>
      <c r="V186" s="89" t="s">
        <v>985</v>
      </c>
      <c r="W186" s="89" t="s">
        <v>986</v>
      </c>
      <c r="X186" s="145" t="s">
        <v>651</v>
      </c>
      <c r="Y186" s="89" t="s">
        <v>652</v>
      </c>
      <c r="Z186" s="90" t="s">
        <v>130</v>
      </c>
      <c r="AA186" s="90" t="s">
        <v>130</v>
      </c>
      <c r="AB186" s="90" t="s">
        <v>131</v>
      </c>
      <c r="AC186" s="90" t="s">
        <v>132</v>
      </c>
      <c r="AD186" s="92" t="s">
        <v>134</v>
      </c>
      <c r="AE186" s="149">
        <f>IFERROR(VLOOKUP(Z186,LISTS!$AL$2:$AM$1000,2,FALSE()),"")</f>
        <v>100</v>
      </c>
      <c r="AF186" s="151">
        <f>IFERROR(VLOOKUP(AA186,LISTS!$AO$2:$AP$1000,2,FALSE()),"")</f>
        <v>100</v>
      </c>
      <c r="AG186" s="152">
        <f>IFERROR(VLOOKUP(AB186,LISTS!$AR$2:$AS$1000,2,FALSE()),"")</f>
        <v>100</v>
      </c>
      <c r="AH186" s="154">
        <f>IFERROR(VLOOKUP(AC186,LISTS!$AU$2:$AV$1000,2,FALSE()),"")</f>
        <v>0</v>
      </c>
      <c r="AI186" s="238">
        <f t="shared" si="13"/>
        <v>100</v>
      </c>
      <c r="AJ186" s="190" t="str">
        <f t="shared" si="14"/>
        <v>🌟 ممتاز جدًا</v>
      </c>
      <c r="AK186" s="157">
        <f t="shared" si="15"/>
        <v>5</v>
      </c>
      <c r="AL186" s="160">
        <f t="shared" si="16"/>
        <v>2026</v>
      </c>
      <c r="AM186" s="210"/>
      <c r="AN186" s="209"/>
    </row>
    <row r="187" spans="1:40" ht="27.95" customHeight="1">
      <c r="A187" s="134">
        <f>IF(I187&lt;&gt;"",COUNTA($I$2:I187),"")</f>
        <v>186</v>
      </c>
      <c r="B187" s="138" t="str">
        <f t="shared" si="17"/>
        <v>الاثنين</v>
      </c>
      <c r="C187" s="93" t="str">
        <f t="array" ref="C187">IF(E187="","",IF(M187&lt;&gt;"",
M187&amp;"/"&amp;SUMPRODUCT((M$2:M187=M187)*1)&amp;" - "&amp;(ROW()-2),
"إداري/"&amp;SUMPRODUCT((M$2:M187="")*1)&amp;" - "&amp;(ROW()-2)))</f>
        <v>إداري/182 - 185</v>
      </c>
      <c r="D187" s="141" t="str">
        <f>IF(AND(G187="",H187="",I187=""),"",IF(COUNTIFS(LISTS!$A$2:$A$67,G187,LISTS!$B$2:$B$67,H187,LISTS!$C$2:$C$67,I187)=0,"✗ هرم",IF(NOT(OR(Z187="ممتاز 100%",Z187="جيد 80%",Z187="مقبول 60%",Z187="خطر 40%",Z187="")),"✗ قائمة R",IF(NOT(OR(AA187="ممتاز 100%",AA187="جيد 85%",AA187="مقبول 70%",AA187="ضعيف 50%",AA187="")),"✗ قائمة S",IF(NOT(OR(AB187="مكتمل 100%",AB187="جزئي 60%",AB187="معلق 30%",AB187="مفتوح 0%",AB187="")),"✗ قائمة T",IF(NOT(OR(AC187="لا خصم 0",AC187="تأخير −5",AC187="عجز −10",AC187="جودة −15",AC187="امتثال −20",AC187="مخالفة −25",AC187="")),"✗ قائمة U",IF(AND(X187="لا",AC187&lt;&gt;"",AC187&lt;&gt;"لا خصم 0"),"✗ خصم",IF(AND(X187="نعم",AC187="لا خصم 0"),"✗ خصم",IF(AND(Z187="ممتاز 100%",AA187="ممتاز 100%",AB187&lt;&gt;"",AB187&lt;&gt;"مكتمل 100%"),"✗ إغلاق",IFERROR(IF(LEN(_xlfn.TEXTJOIN("، ",TRUE,IF(E187="","التاريخ",""),IF(F187="","الوقت",""),IF(G187="","المركز",""),IF(H187="","الدائرة",""),IF(I187="","القسم",""),IF(J187="","المسؤول",""),IF(K187="","نوع النشاط",""),IF(L187="","المشروع",""),IF(N187="","الممول",""),IF(V187="","الموضوع",""),IF(W187="","الملاحظة",""),IF(X187="","مشكلة",""),IF(Y187="","الإجراء",""),IF(Z187="","التنفيذ",""),IF(AA187="","الجودة",""),IF(AB187="","الإغلاق",""),IF(AC187="","الخصم",""),IF(AND(COUNTA($O187:$U187)&gt;0,O187=""),"مدير المشروع",""),IF(AND(COUNTA($O187:$U187)&gt;0,P187=""),"المستفيدين",""),IF(AND(COUNTA($O187:$U187)&gt;0,Q187=""),"المناطق",""),IF(AND(COUNTA($O187:$U187)&gt;0,R187=""),"الميزانية",""),IF(AND(COUNTA($O187:$U187)&gt;0,S187=""),"نسبة الجاهزية",""),IF(AND(COUNTA($O187:$U187)&gt;0,T187=""),"حالة الجاهزية",""),IF(AND(COUNTA($O187:$U187)&gt;0,U187=""),"التوصيات","")))&gt;0,"✗ ناقص: "&amp;_xlfn.TEXTJOIN("، ",TRUE,IF(E187="","التاريخ",""),IF(F187="","الوقت",""),IF(G187="","المركز",""),IF(H187="","الدائرة",""),IF(I187="","القسم",""),IF(J187="","المسؤول",""),IF(K187="","نوع النشاط",""),IF(L187="","المشروع",""),IF(N187="","الممول",""),IF(V187="","الموضوع",""),IF(W187="","الملاحظة",""),IF(X187="","مشكلة",""),IF(Y187="","الإجراء",""),IF(Z187="","التنفيذ",""),IF(AA187="","الجودة",""),IF(AB187="","الإغلاق",""),IF(AC187="","الخصم",""),IF(AND(COUNTA($O187:$U187)&gt;0,O187=""),"مدير المشروع",""),IF(AND(COUNTA($O187:$U187)&gt;0,P187=""),"المستفيدين",""),IF(AND(COUNTA($O187:$U187)&gt;0,Q187=""),"المناطق",""),IF(AND(COUNTA($O187:$U187)&gt;0,R187=""),"الميزانية",""),IF(AND(COUNTA($O187:$U187)&gt;0,S187=""),"نسبة الجاهزية",""),IF(AND(COUNTA($O187:$U187)&gt;0,T187=""),"حالة الجاهزية",""),IF(AND(COUNTA($O187:$U187)&gt;0,U187=""),"التوصيات","")),"✓"),"✓"))))))))))</f>
        <v>✗ ناقص: المسؤول، المشروع، الممول</v>
      </c>
      <c r="E187" s="235">
        <v>46167</v>
      </c>
      <c r="F187" s="236">
        <v>0.54166666666666663</v>
      </c>
      <c r="G187" s="90" t="s">
        <v>97</v>
      </c>
      <c r="H187" s="123" t="s">
        <v>102</v>
      </c>
      <c r="I187" s="89" t="s">
        <v>211</v>
      </c>
      <c r="J187" s="142"/>
      <c r="K187" s="90" t="s">
        <v>116</v>
      </c>
      <c r="L187" s="90"/>
      <c r="M187" s="90"/>
      <c r="N187" s="89"/>
      <c r="O187" s="200"/>
      <c r="P187" s="201"/>
      <c r="Q187" s="201"/>
      <c r="R187" s="237"/>
      <c r="S187" s="202"/>
      <c r="T187" s="200"/>
      <c r="U187" s="203"/>
      <c r="V187" s="89" t="s">
        <v>985</v>
      </c>
      <c r="W187" s="89" t="s">
        <v>987</v>
      </c>
      <c r="X187" s="145" t="s">
        <v>651</v>
      </c>
      <c r="Y187" s="89" t="s">
        <v>652</v>
      </c>
      <c r="Z187" s="90" t="s">
        <v>130</v>
      </c>
      <c r="AA187" s="90" t="s">
        <v>130</v>
      </c>
      <c r="AB187" s="90" t="s">
        <v>131</v>
      </c>
      <c r="AC187" s="90" t="s">
        <v>132</v>
      </c>
      <c r="AD187" s="92" t="s">
        <v>134</v>
      </c>
      <c r="AE187" s="149">
        <f>IFERROR(VLOOKUP(Z187,LISTS!$AL$2:$AM$1000,2,FALSE()),"")</f>
        <v>100</v>
      </c>
      <c r="AF187" s="151">
        <f>IFERROR(VLOOKUP(AA187,LISTS!$AO$2:$AP$1000,2,FALSE()),"")</f>
        <v>100</v>
      </c>
      <c r="AG187" s="152">
        <f>IFERROR(VLOOKUP(AB187,LISTS!$AR$2:$AS$1000,2,FALSE()),"")</f>
        <v>100</v>
      </c>
      <c r="AH187" s="154">
        <f>IFERROR(VLOOKUP(AC187,LISTS!$AU$2:$AV$1000,2,FALSE()),"")</f>
        <v>0</v>
      </c>
      <c r="AI187" s="238">
        <f t="shared" si="13"/>
        <v>100</v>
      </c>
      <c r="AJ187" s="190" t="str">
        <f t="shared" si="14"/>
        <v>🌟 ممتاز جدًا</v>
      </c>
      <c r="AK187" s="157">
        <f t="shared" si="15"/>
        <v>5</v>
      </c>
      <c r="AL187" s="160">
        <f t="shared" si="16"/>
        <v>2026</v>
      </c>
      <c r="AM187" s="210"/>
      <c r="AN187" s="209"/>
    </row>
    <row r="188" spans="1:40" ht="27.95" customHeight="1">
      <c r="A188" s="134">
        <f>IF(I188&lt;&gt;"",COUNTA($I$2:I188),"")</f>
        <v>187</v>
      </c>
      <c r="B188" s="138" t="str">
        <f t="shared" si="17"/>
        <v>الاثنين</v>
      </c>
      <c r="C188" s="93" t="str">
        <f t="array" ref="C188">IF(E188="","",IF(M188&lt;&gt;"",
M188&amp;"/"&amp;SUMPRODUCT((M$2:M188=M188)*1)&amp;" - "&amp;(ROW()-2),
"إداري/"&amp;SUMPRODUCT((M$2:M188="")*1)&amp;" - "&amp;(ROW()-2)))</f>
        <v>إداري/183 - 186</v>
      </c>
      <c r="D188" s="141" t="str">
        <f>IF(AND(G188="",H188="",I188=""),"",IF(COUNTIFS(LISTS!$A$2:$A$67,G188,LISTS!$B$2:$B$67,H188,LISTS!$C$2:$C$67,I188)=0,"✗ هرم",IF(NOT(OR(Z188="ممتاز 100%",Z188="جيد 80%",Z188="مقبول 60%",Z188="خطر 40%",Z188="")),"✗ قائمة R",IF(NOT(OR(AA188="ممتاز 100%",AA188="جيد 85%",AA188="مقبول 70%",AA188="ضعيف 50%",AA188="")),"✗ قائمة S",IF(NOT(OR(AB188="مكتمل 100%",AB188="جزئي 60%",AB188="معلق 30%",AB188="مفتوح 0%",AB188="")),"✗ قائمة T",IF(NOT(OR(AC188="لا خصم 0",AC188="تأخير −5",AC188="عجز −10",AC188="جودة −15",AC188="امتثال −20",AC188="مخالفة −25",AC188="")),"✗ قائمة U",IF(AND(X188="لا",AC188&lt;&gt;"",AC188&lt;&gt;"لا خصم 0"),"✗ خصم",IF(AND(X188="نعم",AC188="لا خصم 0"),"✗ خصم",IF(AND(Z188="ممتاز 100%",AA188="ممتاز 100%",AB188&lt;&gt;"",AB188&lt;&gt;"مكتمل 100%"),"✗ إغلاق",IFERROR(IF(LEN(_xlfn.TEXTJOIN("، ",TRUE,IF(E188="","التاريخ",""),IF(F188="","الوقت",""),IF(G188="","المركز",""),IF(H188="","الدائرة",""),IF(I188="","القسم",""),IF(J188="","المسؤول",""),IF(K188="","نوع النشاط",""),IF(L188="","المشروع",""),IF(N188="","الممول",""),IF(V188="","الموضوع",""),IF(W188="","الملاحظة",""),IF(X188="","مشكلة",""),IF(Y188="","الإجراء",""),IF(Z188="","التنفيذ",""),IF(AA188="","الجودة",""),IF(AB188="","الإغلاق",""),IF(AC188="","الخصم",""),IF(AND(COUNTA($O188:$U188)&gt;0,O188=""),"مدير المشروع",""),IF(AND(COUNTA($O188:$U188)&gt;0,P188=""),"المستفيدين",""),IF(AND(COUNTA($O188:$U188)&gt;0,Q188=""),"المناطق",""),IF(AND(COUNTA($O188:$U188)&gt;0,R188=""),"الميزانية",""),IF(AND(COUNTA($O188:$U188)&gt;0,S188=""),"نسبة الجاهزية",""),IF(AND(COUNTA($O188:$U188)&gt;0,T188=""),"حالة الجاهزية",""),IF(AND(COUNTA($O188:$U188)&gt;0,U188=""),"التوصيات","")))&gt;0,"✗ ناقص: "&amp;_xlfn.TEXTJOIN("، ",TRUE,IF(E188="","التاريخ",""),IF(F188="","الوقت",""),IF(G188="","المركز",""),IF(H188="","الدائرة",""),IF(I188="","القسم",""),IF(J188="","المسؤول",""),IF(K188="","نوع النشاط",""),IF(L188="","المشروع",""),IF(N188="","الممول",""),IF(V188="","الموضوع",""),IF(W188="","الملاحظة",""),IF(X188="","مشكلة",""),IF(Y188="","الإجراء",""),IF(Z188="","التنفيذ",""),IF(AA188="","الجودة",""),IF(AB188="","الإغلاق",""),IF(AC188="","الخصم",""),IF(AND(COUNTA($O188:$U188)&gt;0,O188=""),"مدير المشروع",""),IF(AND(COUNTA($O188:$U188)&gt;0,P188=""),"المستفيدين",""),IF(AND(COUNTA($O188:$U188)&gt;0,Q188=""),"المناطق",""),IF(AND(COUNTA($O188:$U188)&gt;0,R188=""),"الميزانية",""),IF(AND(COUNTA($O188:$U188)&gt;0,S188=""),"نسبة الجاهزية",""),IF(AND(COUNTA($O188:$U188)&gt;0,T188=""),"حالة الجاهزية",""),IF(AND(COUNTA($O188:$U188)&gt;0,U188=""),"التوصيات","")),"✓"),"✓"))))))))))</f>
        <v>✗ ناقص: المسؤول، المشروع، الممول</v>
      </c>
      <c r="E188" s="235">
        <v>46167</v>
      </c>
      <c r="F188" s="236">
        <v>0.52083333333333337</v>
      </c>
      <c r="G188" s="90" t="s">
        <v>97</v>
      </c>
      <c r="H188" s="123" t="s">
        <v>102</v>
      </c>
      <c r="I188" s="89" t="s">
        <v>227</v>
      </c>
      <c r="J188" s="142"/>
      <c r="K188" s="90" t="s">
        <v>116</v>
      </c>
      <c r="L188" s="90"/>
      <c r="M188" s="90"/>
      <c r="N188" s="89"/>
      <c r="O188" s="200"/>
      <c r="P188" s="201"/>
      <c r="Q188" s="201"/>
      <c r="R188" s="237"/>
      <c r="S188" s="202"/>
      <c r="T188" s="200"/>
      <c r="U188" s="203"/>
      <c r="V188" s="89" t="s">
        <v>988</v>
      </c>
      <c r="W188" s="89" t="s">
        <v>989</v>
      </c>
      <c r="X188" s="145" t="s">
        <v>651</v>
      </c>
      <c r="Y188" s="89" t="s">
        <v>652</v>
      </c>
      <c r="Z188" s="90" t="s">
        <v>130</v>
      </c>
      <c r="AA188" s="90" t="s">
        <v>130</v>
      </c>
      <c r="AB188" s="90" t="s">
        <v>131</v>
      </c>
      <c r="AC188" s="90" t="s">
        <v>132</v>
      </c>
      <c r="AD188" s="92" t="s">
        <v>134</v>
      </c>
      <c r="AE188" s="149">
        <f>IFERROR(VLOOKUP(Z188,LISTS!$AL$2:$AM$1000,2,FALSE()),"")</f>
        <v>100</v>
      </c>
      <c r="AF188" s="151">
        <f>IFERROR(VLOOKUP(AA188,LISTS!$AO$2:$AP$1000,2,FALSE()),"")</f>
        <v>100</v>
      </c>
      <c r="AG188" s="152">
        <f>IFERROR(VLOOKUP(AB188,LISTS!$AR$2:$AS$1000,2,FALSE()),"")</f>
        <v>100</v>
      </c>
      <c r="AH188" s="154">
        <f>IFERROR(VLOOKUP(AC188,LISTS!$AU$2:$AV$1000,2,FALSE()),"")</f>
        <v>0</v>
      </c>
      <c r="AI188" s="238">
        <f t="shared" si="13"/>
        <v>100</v>
      </c>
      <c r="AJ188" s="190" t="str">
        <f t="shared" si="14"/>
        <v>🌟 ممتاز جدًا</v>
      </c>
      <c r="AK188" s="157">
        <f t="shared" si="15"/>
        <v>5</v>
      </c>
      <c r="AL188" s="160">
        <f t="shared" si="16"/>
        <v>2026</v>
      </c>
      <c r="AM188" s="210"/>
      <c r="AN188" s="209"/>
    </row>
    <row r="189" spans="1:40" ht="27.95" customHeight="1">
      <c r="A189" s="134">
        <f>IF(I189&lt;&gt;"",COUNTA($I$2:I189),"")</f>
        <v>188</v>
      </c>
      <c r="B189" s="138" t="str">
        <f t="shared" si="17"/>
        <v>الثلاثاء</v>
      </c>
      <c r="C189" s="93" t="str">
        <f t="array" ref="C189">IF(E189="","",IF(M189&lt;&gt;"",
M189&amp;"/"&amp;SUMPRODUCT((M$2:M189=M189)*1)&amp;" - "&amp;(ROW()-2),
"إداري/"&amp;SUMPRODUCT((M$2:M189="")*1)&amp;" - "&amp;(ROW()-2)))</f>
        <v>إداري/184 - 187</v>
      </c>
      <c r="D189" s="141" t="str">
        <f>IF(AND(G189="",H189="",I189=""),"",IF(COUNTIFS(LISTS!$A$2:$A$67,G189,LISTS!$B$2:$B$67,H189,LISTS!$C$2:$C$67,I189)=0,"✗ هرم",IF(NOT(OR(Z189="ممتاز 100%",Z189="جيد 80%",Z189="مقبول 60%",Z189="خطر 40%",Z189="")),"✗ قائمة R",IF(NOT(OR(AA189="ممتاز 100%",AA189="جيد 85%",AA189="مقبول 70%",AA189="ضعيف 50%",AA189="")),"✗ قائمة S",IF(NOT(OR(AB189="مكتمل 100%",AB189="جزئي 60%",AB189="معلق 30%",AB189="مفتوح 0%",AB189="")),"✗ قائمة T",IF(NOT(OR(AC189="لا خصم 0",AC189="تأخير −5",AC189="عجز −10",AC189="جودة −15",AC189="امتثال −20",AC189="مخالفة −25",AC189="")),"✗ قائمة U",IF(AND(X189="لا",AC189&lt;&gt;"",AC189&lt;&gt;"لا خصم 0"),"✗ خصم",IF(AND(X189="نعم",AC189="لا خصم 0"),"✗ خصم",IF(AND(Z189="ممتاز 100%",AA189="ممتاز 100%",AB189&lt;&gt;"",AB189&lt;&gt;"مكتمل 100%"),"✗ إغلاق",IFERROR(IF(LEN(_xlfn.TEXTJOIN("، ",TRUE,IF(E189="","التاريخ",""),IF(F189="","الوقت",""),IF(G189="","المركز",""),IF(H189="","الدائرة",""),IF(I189="","القسم",""),IF(J189="","المسؤول",""),IF(K189="","نوع النشاط",""),IF(L189="","المشروع",""),IF(N189="","الممول",""),IF(V189="","الموضوع",""),IF(W189="","الملاحظة",""),IF(X189="","مشكلة",""),IF(Y189="","الإجراء",""),IF(Z189="","التنفيذ",""),IF(AA189="","الجودة",""),IF(AB189="","الإغلاق",""),IF(AC189="","الخصم",""),IF(AND(COUNTA($O189:$U189)&gt;0,O189=""),"مدير المشروع",""),IF(AND(COUNTA($O189:$U189)&gt;0,P189=""),"المستفيدين",""),IF(AND(COUNTA($O189:$U189)&gt;0,Q189=""),"المناطق",""),IF(AND(COUNTA($O189:$U189)&gt;0,R189=""),"الميزانية",""),IF(AND(COUNTA($O189:$U189)&gt;0,S189=""),"نسبة الجاهزية",""),IF(AND(COUNTA($O189:$U189)&gt;0,T189=""),"حالة الجاهزية",""),IF(AND(COUNTA($O189:$U189)&gt;0,U189=""),"التوصيات","")))&gt;0,"✗ ناقص: "&amp;_xlfn.TEXTJOIN("، ",TRUE,IF(E189="","التاريخ",""),IF(F189="","الوقت",""),IF(G189="","المركز",""),IF(H189="","الدائرة",""),IF(I189="","القسم",""),IF(J189="","المسؤول",""),IF(K189="","نوع النشاط",""),IF(L189="","المشروع",""),IF(N189="","الممول",""),IF(V189="","الموضوع",""),IF(W189="","الملاحظة",""),IF(X189="","مشكلة",""),IF(Y189="","الإجراء",""),IF(Z189="","التنفيذ",""),IF(AA189="","الجودة",""),IF(AB189="","الإغلاق",""),IF(AC189="","الخصم",""),IF(AND(COUNTA($O189:$U189)&gt;0,O189=""),"مدير المشروع",""),IF(AND(COUNTA($O189:$U189)&gt;0,P189=""),"المستفيدين",""),IF(AND(COUNTA($O189:$U189)&gt;0,Q189=""),"المناطق",""),IF(AND(COUNTA($O189:$U189)&gt;0,R189=""),"الميزانية",""),IF(AND(COUNTA($O189:$U189)&gt;0,S189=""),"نسبة الجاهزية",""),IF(AND(COUNTA($O189:$U189)&gt;0,T189=""),"حالة الجاهزية",""),IF(AND(COUNTA($O189:$U189)&gt;0,U189=""),"التوصيات","")),"✓"),"✓"))))))))))</f>
        <v>✗ ناقص: الممول</v>
      </c>
      <c r="E189" s="235">
        <v>46168</v>
      </c>
      <c r="F189" s="236">
        <v>0.42708333333333331</v>
      </c>
      <c r="G189" s="90" t="s">
        <v>97</v>
      </c>
      <c r="H189" s="123" t="s">
        <v>101</v>
      </c>
      <c r="I189" s="89" t="s">
        <v>123</v>
      </c>
      <c r="J189" s="142" t="s">
        <v>186</v>
      </c>
      <c r="K189" s="90" t="s">
        <v>116</v>
      </c>
      <c r="L189" s="90" t="s">
        <v>155</v>
      </c>
      <c r="M189" s="90"/>
      <c r="N189" s="89"/>
      <c r="O189" s="200"/>
      <c r="P189" s="201"/>
      <c r="Q189" s="201"/>
      <c r="R189" s="237"/>
      <c r="S189" s="202"/>
      <c r="T189" s="200"/>
      <c r="U189" s="203"/>
      <c r="V189" s="89" t="s">
        <v>990</v>
      </c>
      <c r="W189" s="89" t="s">
        <v>991</v>
      </c>
      <c r="X189" s="145" t="s">
        <v>651</v>
      </c>
      <c r="Y189" s="89" t="s">
        <v>652</v>
      </c>
      <c r="Z189" s="90" t="s">
        <v>130</v>
      </c>
      <c r="AA189" s="90" t="s">
        <v>149</v>
      </c>
      <c r="AB189" s="90" t="s">
        <v>131</v>
      </c>
      <c r="AC189" s="90" t="s">
        <v>132</v>
      </c>
      <c r="AD189" s="92" t="s">
        <v>26</v>
      </c>
      <c r="AE189" s="149">
        <f>IFERROR(VLOOKUP(Z189,LISTS!$AL$2:$AM$1000,2,FALSE()),"")</f>
        <v>100</v>
      </c>
      <c r="AF189" s="151">
        <f>IFERROR(VLOOKUP(AA189,LISTS!$AO$2:$AP$1000,2,FALSE()),"")</f>
        <v>85</v>
      </c>
      <c r="AG189" s="152">
        <f>IFERROR(VLOOKUP(AB189,LISTS!$AR$2:$AS$1000,2,FALSE()),"")</f>
        <v>100</v>
      </c>
      <c r="AH189" s="154">
        <f>IFERROR(VLOOKUP(AC189,LISTS!$AU$2:$AV$1000,2,FALSE()),"")</f>
        <v>0</v>
      </c>
      <c r="AI189" s="238">
        <f t="shared" si="13"/>
        <v>95.5</v>
      </c>
      <c r="AJ189" s="190" t="str">
        <f t="shared" si="14"/>
        <v>⭐ ممتاز</v>
      </c>
      <c r="AK189" s="157">
        <f t="shared" si="15"/>
        <v>5</v>
      </c>
      <c r="AL189" s="160">
        <f t="shared" si="16"/>
        <v>2026</v>
      </c>
      <c r="AM189" s="210"/>
      <c r="AN189" s="209"/>
    </row>
    <row r="190" spans="1:40" ht="27.95" customHeight="1">
      <c r="A190" s="134">
        <f>IF(I190&lt;&gt;"",COUNTA($I$2:I190),"")</f>
        <v>189</v>
      </c>
      <c r="B190" s="138" t="str">
        <f t="shared" si="17"/>
        <v>الثلاثاء</v>
      </c>
      <c r="C190" s="93" t="str">
        <f t="array" ref="C190">IF(E190="","",IF(M190&lt;&gt;"",
M190&amp;"/"&amp;SUMPRODUCT((M$2:M190=M190)*1)&amp;" - "&amp;(ROW()-2),
"إداري/"&amp;SUMPRODUCT((M$2:M190="")*1)&amp;" - "&amp;(ROW()-2)))</f>
        <v>إداري/185 - 188</v>
      </c>
      <c r="D190" s="141" t="str">
        <f>IF(AND(G190="",H190="",I190=""),"",IF(COUNTIFS(LISTS!$A$2:$A$67,G190,LISTS!$B$2:$B$67,H190,LISTS!$C$2:$C$67,I190)=0,"✗ هرم",IF(NOT(OR(Z190="ممتاز 100%",Z190="جيد 80%",Z190="مقبول 60%",Z190="خطر 40%",Z190="")),"✗ قائمة R",IF(NOT(OR(AA190="ممتاز 100%",AA190="جيد 85%",AA190="مقبول 70%",AA190="ضعيف 50%",AA190="")),"✗ قائمة S",IF(NOT(OR(AB190="مكتمل 100%",AB190="جزئي 60%",AB190="معلق 30%",AB190="مفتوح 0%",AB190="")),"✗ قائمة T",IF(NOT(OR(AC190="لا خصم 0",AC190="تأخير −5",AC190="عجز −10",AC190="جودة −15",AC190="امتثال −20",AC190="مخالفة −25",AC190="")),"✗ قائمة U",IF(AND(X190="لا",AC190&lt;&gt;"",AC190&lt;&gt;"لا خصم 0"),"✗ خصم",IF(AND(X190="نعم",AC190="لا خصم 0"),"✗ خصم",IF(AND(Z190="ممتاز 100%",AA190="ممتاز 100%",AB190&lt;&gt;"",AB190&lt;&gt;"مكتمل 100%"),"✗ إغلاق",IFERROR(IF(LEN(_xlfn.TEXTJOIN("، ",TRUE,IF(E190="","التاريخ",""),IF(F190="","الوقت",""),IF(G190="","المركز",""),IF(H190="","الدائرة",""),IF(I190="","القسم",""),IF(J190="","المسؤول",""),IF(K190="","نوع النشاط",""),IF(L190="","المشروع",""),IF(N190="","الممول",""),IF(V190="","الموضوع",""),IF(W190="","الملاحظة",""),IF(X190="","مشكلة",""),IF(Y190="","الإجراء",""),IF(Z190="","التنفيذ",""),IF(AA190="","الجودة",""),IF(AB190="","الإغلاق",""),IF(AC190="","الخصم",""),IF(AND(COUNTA($O190:$U190)&gt;0,O190=""),"مدير المشروع",""),IF(AND(COUNTA($O190:$U190)&gt;0,P190=""),"المستفيدين",""),IF(AND(COUNTA($O190:$U190)&gt;0,Q190=""),"المناطق",""),IF(AND(COUNTA($O190:$U190)&gt;0,R190=""),"الميزانية",""),IF(AND(COUNTA($O190:$U190)&gt;0,S190=""),"نسبة الجاهزية",""),IF(AND(COUNTA($O190:$U190)&gt;0,T190=""),"حالة الجاهزية",""),IF(AND(COUNTA($O190:$U190)&gt;0,U190=""),"التوصيات","")))&gt;0,"✗ ناقص: "&amp;_xlfn.TEXTJOIN("، ",TRUE,IF(E190="","التاريخ",""),IF(F190="","الوقت",""),IF(G190="","المركز",""),IF(H190="","الدائرة",""),IF(I190="","القسم",""),IF(J190="","المسؤول",""),IF(K190="","نوع النشاط",""),IF(L190="","المشروع",""),IF(N190="","الممول",""),IF(V190="","الموضوع",""),IF(W190="","الملاحظة",""),IF(X190="","مشكلة",""),IF(Y190="","الإجراء",""),IF(Z190="","التنفيذ",""),IF(AA190="","الجودة",""),IF(AB190="","الإغلاق",""),IF(AC190="","الخصم",""),IF(AND(COUNTA($O190:$U190)&gt;0,O190=""),"مدير المشروع",""),IF(AND(COUNTA($O190:$U190)&gt;0,P190=""),"المستفيدين",""),IF(AND(COUNTA($O190:$U190)&gt;0,Q190=""),"المناطق",""),IF(AND(COUNTA($O190:$U190)&gt;0,R190=""),"الميزانية",""),IF(AND(COUNTA($O190:$U190)&gt;0,S190=""),"نسبة الجاهزية",""),IF(AND(COUNTA($O190:$U190)&gt;0,T190=""),"حالة الجاهزية",""),IF(AND(COUNTA($O190:$U190)&gt;0,U190=""),"التوصيات","")),"✓"),"✓"))))))))))</f>
        <v>✓</v>
      </c>
      <c r="E190" s="235">
        <v>46168</v>
      </c>
      <c r="F190" s="236">
        <v>0.65625</v>
      </c>
      <c r="G190" s="90" t="s">
        <v>97</v>
      </c>
      <c r="H190" s="123" t="s">
        <v>102</v>
      </c>
      <c r="I190" s="89" t="s">
        <v>124</v>
      </c>
      <c r="J190" s="142" t="s">
        <v>117</v>
      </c>
      <c r="K190" s="90" t="s">
        <v>116</v>
      </c>
      <c r="L190" s="90" t="s">
        <v>369</v>
      </c>
      <c r="M190" s="90"/>
      <c r="N190" s="89" t="s">
        <v>655</v>
      </c>
      <c r="O190" s="200"/>
      <c r="P190" s="201"/>
      <c r="Q190" s="201"/>
      <c r="R190" s="237"/>
      <c r="S190" s="202"/>
      <c r="T190" s="200"/>
      <c r="U190" s="203"/>
      <c r="V190" s="89" t="s">
        <v>823</v>
      </c>
      <c r="W190" s="89" t="s">
        <v>992</v>
      </c>
      <c r="X190" s="145" t="s">
        <v>651</v>
      </c>
      <c r="Y190" s="89" t="s">
        <v>652</v>
      </c>
      <c r="Z190" s="90" t="s">
        <v>130</v>
      </c>
      <c r="AA190" s="90" t="s">
        <v>130</v>
      </c>
      <c r="AB190" s="90" t="s">
        <v>131</v>
      </c>
      <c r="AC190" s="90" t="s">
        <v>132</v>
      </c>
      <c r="AD190" s="92" t="s">
        <v>26</v>
      </c>
      <c r="AE190" s="149">
        <f>IFERROR(VLOOKUP(Z190,LISTS!$AL$2:$AM$1000,2,FALSE()),"")</f>
        <v>100</v>
      </c>
      <c r="AF190" s="151">
        <f>IFERROR(VLOOKUP(AA190,LISTS!$AO$2:$AP$1000,2,FALSE()),"")</f>
        <v>100</v>
      </c>
      <c r="AG190" s="152">
        <f>IFERROR(VLOOKUP(AB190,LISTS!$AR$2:$AS$1000,2,FALSE()),"")</f>
        <v>100</v>
      </c>
      <c r="AH190" s="154">
        <f>IFERROR(VLOOKUP(AC190,LISTS!$AU$2:$AV$1000,2,FALSE()),"")</f>
        <v>0</v>
      </c>
      <c r="AI190" s="238">
        <f t="shared" si="13"/>
        <v>100</v>
      </c>
      <c r="AJ190" s="190" t="str">
        <f t="shared" si="14"/>
        <v>🌟 ممتاز جدًا</v>
      </c>
      <c r="AK190" s="157">
        <f t="shared" si="15"/>
        <v>5</v>
      </c>
      <c r="AL190" s="160">
        <f t="shared" si="16"/>
        <v>2026</v>
      </c>
      <c r="AM190" s="210"/>
      <c r="AN190" s="209"/>
    </row>
    <row r="191" spans="1:40" ht="27.95" customHeight="1">
      <c r="A191" s="134">
        <f>IF(I191&lt;&gt;"",COUNTA($I$2:I191),"")</f>
        <v>190</v>
      </c>
      <c r="B191" s="138" t="str">
        <f t="shared" si="17"/>
        <v>الثلاثاء</v>
      </c>
      <c r="C191" s="93" t="str">
        <f t="array" ref="C191">IF(E191="","",IF(M191&lt;&gt;"",
M191&amp;"/"&amp;SUMPRODUCT((M$2:M191=M191)*1)&amp;" - "&amp;(ROW()-2),
"إداري/"&amp;SUMPRODUCT((M$2:M191="")*1)&amp;" - "&amp;(ROW()-2)))</f>
        <v>إداري/186 - 189</v>
      </c>
      <c r="D191" s="141" t="str">
        <f>IF(AND(G191="",H191="",I191=""),"",IF(COUNTIFS(LISTS!$A$2:$A$67,G191,LISTS!$B$2:$B$67,H191,LISTS!$C$2:$C$67,I191)=0,"✗ هرم",IF(NOT(OR(Z191="ممتاز 100%",Z191="جيد 80%",Z191="مقبول 60%",Z191="خطر 40%",Z191="")),"✗ قائمة R",IF(NOT(OR(AA191="ممتاز 100%",AA191="جيد 85%",AA191="مقبول 70%",AA191="ضعيف 50%",AA191="")),"✗ قائمة S",IF(NOT(OR(AB191="مكتمل 100%",AB191="جزئي 60%",AB191="معلق 30%",AB191="مفتوح 0%",AB191="")),"✗ قائمة T",IF(NOT(OR(AC191="لا خصم 0",AC191="تأخير −5",AC191="عجز −10",AC191="جودة −15",AC191="امتثال −20",AC191="مخالفة −25",AC191="")),"✗ قائمة U",IF(AND(X191="لا",AC191&lt;&gt;"",AC191&lt;&gt;"لا خصم 0"),"✗ خصم",IF(AND(X191="نعم",AC191="لا خصم 0"),"✗ خصم",IF(AND(Z191="ممتاز 100%",AA191="ممتاز 100%",AB191&lt;&gt;"",AB191&lt;&gt;"مكتمل 100%"),"✗ إغلاق",IFERROR(IF(LEN(_xlfn.TEXTJOIN("، ",TRUE,IF(E191="","التاريخ",""),IF(F191="","الوقت",""),IF(G191="","المركز",""),IF(H191="","الدائرة",""),IF(I191="","القسم",""),IF(J191="","المسؤول",""),IF(K191="","نوع النشاط",""),IF(L191="","المشروع",""),IF(N191="","الممول",""),IF(V191="","الموضوع",""),IF(W191="","الملاحظة",""),IF(X191="","مشكلة",""),IF(Y191="","الإجراء",""),IF(Z191="","التنفيذ",""),IF(AA191="","الجودة",""),IF(AB191="","الإغلاق",""),IF(AC191="","الخصم",""),IF(AND(COUNTA($O191:$U191)&gt;0,O191=""),"مدير المشروع",""),IF(AND(COUNTA($O191:$U191)&gt;0,P191=""),"المستفيدين",""),IF(AND(COUNTA($O191:$U191)&gt;0,Q191=""),"المناطق",""),IF(AND(COUNTA($O191:$U191)&gt;0,R191=""),"الميزانية",""),IF(AND(COUNTA($O191:$U191)&gt;0,S191=""),"نسبة الجاهزية",""),IF(AND(COUNTA($O191:$U191)&gt;0,T191=""),"حالة الجاهزية",""),IF(AND(COUNTA($O191:$U191)&gt;0,U191=""),"التوصيات","")))&gt;0,"✗ ناقص: "&amp;_xlfn.TEXTJOIN("، ",TRUE,IF(E191="","التاريخ",""),IF(F191="","الوقت",""),IF(G191="","المركز",""),IF(H191="","الدائرة",""),IF(I191="","القسم",""),IF(J191="","المسؤول",""),IF(K191="","نوع النشاط",""),IF(L191="","المشروع",""),IF(N191="","الممول",""),IF(V191="","الموضوع",""),IF(W191="","الملاحظة",""),IF(X191="","مشكلة",""),IF(Y191="","الإجراء",""),IF(Z191="","التنفيذ",""),IF(AA191="","الجودة",""),IF(AB191="","الإغلاق",""),IF(AC191="","الخصم",""),IF(AND(COUNTA($O191:$U191)&gt;0,O191=""),"مدير المشروع",""),IF(AND(COUNTA($O191:$U191)&gt;0,P191=""),"المستفيدين",""),IF(AND(COUNTA($O191:$U191)&gt;0,Q191=""),"المناطق",""),IF(AND(COUNTA($O191:$U191)&gt;0,R191=""),"الميزانية",""),IF(AND(COUNTA($O191:$U191)&gt;0,S191=""),"نسبة الجاهزية",""),IF(AND(COUNTA($O191:$U191)&gt;0,T191=""),"حالة الجاهزية",""),IF(AND(COUNTA($O191:$U191)&gt;0,U191=""),"التوصيات","")),"✓"),"✓"))))))))))</f>
        <v>✗ ناقص: الممول</v>
      </c>
      <c r="E191" s="235">
        <v>46168</v>
      </c>
      <c r="F191" s="236">
        <v>0.42708333333333331</v>
      </c>
      <c r="G191" s="90" t="s">
        <v>97</v>
      </c>
      <c r="H191" s="123" t="s">
        <v>101</v>
      </c>
      <c r="I191" s="89" t="s">
        <v>123</v>
      </c>
      <c r="J191" s="142" t="s">
        <v>186</v>
      </c>
      <c r="K191" s="90" t="s">
        <v>116</v>
      </c>
      <c r="L191" s="90" t="s">
        <v>155</v>
      </c>
      <c r="M191" s="90"/>
      <c r="N191" s="89"/>
      <c r="O191" s="200"/>
      <c r="P191" s="201"/>
      <c r="Q191" s="201"/>
      <c r="R191" s="237"/>
      <c r="S191" s="202"/>
      <c r="T191" s="200"/>
      <c r="U191" s="203"/>
      <c r="V191" s="89" t="s">
        <v>993</v>
      </c>
      <c r="W191" s="89" t="s">
        <v>994</v>
      </c>
      <c r="X191" s="145" t="s">
        <v>651</v>
      </c>
      <c r="Y191" s="89" t="s">
        <v>652</v>
      </c>
      <c r="Z191" s="90" t="s">
        <v>130</v>
      </c>
      <c r="AA191" s="90" t="s">
        <v>149</v>
      </c>
      <c r="AB191" s="90" t="s">
        <v>131</v>
      </c>
      <c r="AC191" s="90" t="s">
        <v>132</v>
      </c>
      <c r="AD191" s="92" t="s">
        <v>134</v>
      </c>
      <c r="AE191" s="149">
        <f>IFERROR(VLOOKUP(Z191,LISTS!$AL$2:$AM$1000,2,FALSE()),"")</f>
        <v>100</v>
      </c>
      <c r="AF191" s="151">
        <f>IFERROR(VLOOKUP(AA191,LISTS!$AO$2:$AP$1000,2,FALSE()),"")</f>
        <v>85</v>
      </c>
      <c r="AG191" s="152">
        <f>IFERROR(VLOOKUP(AB191,LISTS!$AR$2:$AS$1000,2,FALSE()),"")</f>
        <v>100</v>
      </c>
      <c r="AH191" s="154">
        <f>IFERROR(VLOOKUP(AC191,LISTS!$AU$2:$AV$1000,2,FALSE()),"")</f>
        <v>0</v>
      </c>
      <c r="AI191" s="238">
        <f t="shared" si="13"/>
        <v>95.5</v>
      </c>
      <c r="AJ191" s="190" t="str">
        <f t="shared" si="14"/>
        <v>⭐ ممتاز</v>
      </c>
      <c r="AK191" s="157">
        <f t="shared" si="15"/>
        <v>5</v>
      </c>
      <c r="AL191" s="160">
        <f t="shared" si="16"/>
        <v>2026</v>
      </c>
      <c r="AM191" s="210"/>
      <c r="AN191" s="209"/>
    </row>
    <row r="192" spans="1:40" ht="27.95" customHeight="1">
      <c r="A192" s="134">
        <f>IF(I192&lt;&gt;"",COUNTA($I$2:I192),"")</f>
        <v>191</v>
      </c>
      <c r="B192" s="138" t="str">
        <f t="shared" si="17"/>
        <v>الثلاثاء</v>
      </c>
      <c r="C192" s="93" t="str">
        <f t="array" ref="C192">IF(E192="","",IF(M192&lt;&gt;"",
M192&amp;"/"&amp;SUMPRODUCT((M$2:M192=M192)*1)&amp;" - "&amp;(ROW()-2),
"إداري/"&amp;SUMPRODUCT((M$2:M192="")*1)&amp;" - "&amp;(ROW()-2)))</f>
        <v>إداري/187 - 190</v>
      </c>
      <c r="D192" s="141" t="str">
        <f>IF(AND(G192="",H192="",I192=""),"",IF(COUNTIFS(LISTS!$A$2:$A$67,G192,LISTS!$B$2:$B$67,H192,LISTS!$C$2:$C$67,I192)=0,"✗ هرم",IF(NOT(OR(Z192="ممتاز 100%",Z192="جيد 80%",Z192="مقبول 60%",Z192="خطر 40%",Z192="")),"✗ قائمة R",IF(NOT(OR(AA192="ممتاز 100%",AA192="جيد 85%",AA192="مقبول 70%",AA192="ضعيف 50%",AA192="")),"✗ قائمة S",IF(NOT(OR(AB192="مكتمل 100%",AB192="جزئي 60%",AB192="معلق 30%",AB192="مفتوح 0%",AB192="")),"✗ قائمة T",IF(NOT(OR(AC192="لا خصم 0",AC192="تأخير −5",AC192="عجز −10",AC192="جودة −15",AC192="امتثال −20",AC192="مخالفة −25",AC192="")),"✗ قائمة U",IF(AND(X192="لا",AC192&lt;&gt;"",AC192&lt;&gt;"لا خصم 0"),"✗ خصم",IF(AND(X192="نعم",AC192="لا خصم 0"),"✗ خصم",IF(AND(Z192="ممتاز 100%",AA192="ممتاز 100%",AB192&lt;&gt;"",AB192&lt;&gt;"مكتمل 100%"),"✗ إغلاق",IFERROR(IF(LEN(_xlfn.TEXTJOIN("، ",TRUE,IF(E192="","التاريخ",""),IF(F192="","الوقت",""),IF(G192="","المركز",""),IF(H192="","الدائرة",""),IF(I192="","القسم",""),IF(J192="","المسؤول",""),IF(K192="","نوع النشاط",""),IF(L192="","المشروع",""),IF(N192="","الممول",""),IF(V192="","الموضوع",""),IF(W192="","الملاحظة",""),IF(X192="","مشكلة",""),IF(Y192="","الإجراء",""),IF(Z192="","التنفيذ",""),IF(AA192="","الجودة",""),IF(AB192="","الإغلاق",""),IF(AC192="","الخصم",""),IF(AND(COUNTA($O192:$U192)&gt;0,O192=""),"مدير المشروع",""),IF(AND(COUNTA($O192:$U192)&gt;0,P192=""),"المستفيدين",""),IF(AND(COUNTA($O192:$U192)&gt;0,Q192=""),"المناطق",""),IF(AND(COUNTA($O192:$U192)&gt;0,R192=""),"الميزانية",""),IF(AND(COUNTA($O192:$U192)&gt;0,S192=""),"نسبة الجاهزية",""),IF(AND(COUNTA($O192:$U192)&gt;0,T192=""),"حالة الجاهزية",""),IF(AND(COUNTA($O192:$U192)&gt;0,U192=""),"التوصيات","")))&gt;0,"✗ ناقص: "&amp;_xlfn.TEXTJOIN("، ",TRUE,IF(E192="","التاريخ",""),IF(F192="","الوقت",""),IF(G192="","المركز",""),IF(H192="","الدائرة",""),IF(I192="","القسم",""),IF(J192="","المسؤول",""),IF(K192="","نوع النشاط",""),IF(L192="","المشروع",""),IF(N192="","الممول",""),IF(V192="","الموضوع",""),IF(W192="","الملاحظة",""),IF(X192="","مشكلة",""),IF(Y192="","الإجراء",""),IF(Z192="","التنفيذ",""),IF(AA192="","الجودة",""),IF(AB192="","الإغلاق",""),IF(AC192="","الخصم",""),IF(AND(COUNTA($O192:$U192)&gt;0,O192=""),"مدير المشروع",""),IF(AND(COUNTA($O192:$U192)&gt;0,P192=""),"المستفيدين",""),IF(AND(COUNTA($O192:$U192)&gt;0,Q192=""),"المناطق",""),IF(AND(COUNTA($O192:$U192)&gt;0,R192=""),"الميزانية",""),IF(AND(COUNTA($O192:$U192)&gt;0,S192=""),"نسبة الجاهزية",""),IF(AND(COUNTA($O192:$U192)&gt;0,T192=""),"حالة الجاهزية",""),IF(AND(COUNTA($O192:$U192)&gt;0,U192=""),"التوصيات","")),"✓"),"✓"))))))))))</f>
        <v>✗ ناقص: المشروع، الممول</v>
      </c>
      <c r="E192" s="235">
        <v>46168</v>
      </c>
      <c r="F192" s="236">
        <v>0.43402777777777779</v>
      </c>
      <c r="G192" s="90" t="s">
        <v>97</v>
      </c>
      <c r="H192" s="123" t="s">
        <v>104</v>
      </c>
      <c r="I192" s="89" t="s">
        <v>192</v>
      </c>
      <c r="J192" s="142" t="s">
        <v>117</v>
      </c>
      <c r="K192" s="90" t="s">
        <v>133</v>
      </c>
      <c r="L192" s="90"/>
      <c r="M192" s="90"/>
      <c r="N192" s="89"/>
      <c r="O192" s="200"/>
      <c r="P192" s="201"/>
      <c r="Q192" s="201"/>
      <c r="R192" s="237"/>
      <c r="S192" s="202"/>
      <c r="T192" s="200"/>
      <c r="U192" s="203"/>
      <c r="V192" s="89" t="s">
        <v>995</v>
      </c>
      <c r="W192" s="89" t="s">
        <v>996</v>
      </c>
      <c r="X192" s="145" t="s">
        <v>651</v>
      </c>
      <c r="Y192" s="89" t="s">
        <v>652</v>
      </c>
      <c r="Z192" s="90" t="s">
        <v>130</v>
      </c>
      <c r="AA192" s="90" t="s">
        <v>130</v>
      </c>
      <c r="AB192" s="90" t="s">
        <v>131</v>
      </c>
      <c r="AC192" s="90" t="s">
        <v>132</v>
      </c>
      <c r="AD192" s="92" t="s">
        <v>134</v>
      </c>
      <c r="AE192" s="149">
        <f>IFERROR(VLOOKUP(Z192,LISTS!$AL$2:$AM$1000,2,FALSE()),"")</f>
        <v>100</v>
      </c>
      <c r="AF192" s="151">
        <f>IFERROR(VLOOKUP(AA192,LISTS!$AO$2:$AP$1000,2,FALSE()),"")</f>
        <v>100</v>
      </c>
      <c r="AG192" s="152">
        <f>IFERROR(VLOOKUP(AB192,LISTS!$AR$2:$AS$1000,2,FALSE()),"")</f>
        <v>100</v>
      </c>
      <c r="AH192" s="154">
        <f>IFERROR(VLOOKUP(AC192,LISTS!$AU$2:$AV$1000,2,FALSE()),"")</f>
        <v>0</v>
      </c>
      <c r="AI192" s="238">
        <f t="shared" si="13"/>
        <v>100</v>
      </c>
      <c r="AJ192" s="190" t="str">
        <f t="shared" si="14"/>
        <v>🌟 ممتاز جدًا</v>
      </c>
      <c r="AK192" s="157">
        <f t="shared" si="15"/>
        <v>5</v>
      </c>
      <c r="AL192" s="160">
        <f t="shared" si="16"/>
        <v>2026</v>
      </c>
      <c r="AM192" s="210"/>
      <c r="AN192" s="209"/>
    </row>
    <row r="193" spans="1:40" ht="27.95" customHeight="1">
      <c r="A193" s="134">
        <f>IF(I193&lt;&gt;"",COUNTA($I$2:I193),"")</f>
        <v>192</v>
      </c>
      <c r="B193" s="138" t="str">
        <f t="shared" si="17"/>
        <v>الأربعاء</v>
      </c>
      <c r="C193" s="93" t="str">
        <f t="array" ref="C193">IF(E193="","",IF(M193&lt;&gt;"",
M193&amp;"/"&amp;SUMPRODUCT((M$2:M193=M193)*1)&amp;" - "&amp;(ROW()-2),
"إداري/"&amp;SUMPRODUCT((M$2:M193="")*1)&amp;" - "&amp;(ROW()-2)))</f>
        <v>إداري/188 - 191</v>
      </c>
      <c r="D193" s="141" t="str">
        <f>IF(AND(G193="",H193="",I193=""),"",IF(COUNTIFS(LISTS!$A$2:$A$67,G193,LISTS!$B$2:$B$67,H193,LISTS!$C$2:$C$67,I193)=0,"✗ هرم",IF(NOT(OR(Z193="ممتاز 100%",Z193="جيد 80%",Z193="مقبول 60%",Z193="خطر 40%",Z193="")),"✗ قائمة R",IF(NOT(OR(AA193="ممتاز 100%",AA193="جيد 85%",AA193="مقبول 70%",AA193="ضعيف 50%",AA193="")),"✗ قائمة S",IF(NOT(OR(AB193="مكتمل 100%",AB193="جزئي 60%",AB193="معلق 30%",AB193="مفتوح 0%",AB193="")),"✗ قائمة T",IF(NOT(OR(AC193="لا خصم 0",AC193="تأخير −5",AC193="عجز −10",AC193="جودة −15",AC193="امتثال −20",AC193="مخالفة −25",AC193="")),"✗ قائمة U",IF(AND(X193="لا",AC193&lt;&gt;"",AC193&lt;&gt;"لا خصم 0"),"✗ خصم",IF(AND(X193="نعم",AC193="لا خصم 0"),"✗ خصم",IF(AND(Z193="ممتاز 100%",AA193="ممتاز 100%",AB193&lt;&gt;"",AB193&lt;&gt;"مكتمل 100%"),"✗ إغلاق",IFERROR(IF(LEN(_xlfn.TEXTJOIN("، ",TRUE,IF(E193="","التاريخ",""),IF(F193="","الوقت",""),IF(G193="","المركز",""),IF(H193="","الدائرة",""),IF(I193="","القسم",""),IF(J193="","المسؤول",""),IF(K193="","نوع النشاط",""),IF(L193="","المشروع",""),IF(N193="","الممول",""),IF(V193="","الموضوع",""),IF(W193="","الملاحظة",""),IF(X193="","مشكلة",""),IF(Y193="","الإجراء",""),IF(Z193="","التنفيذ",""),IF(AA193="","الجودة",""),IF(AB193="","الإغلاق",""),IF(AC193="","الخصم",""),IF(AND(COUNTA($O193:$U193)&gt;0,O193=""),"مدير المشروع",""),IF(AND(COUNTA($O193:$U193)&gt;0,P193=""),"المستفيدين",""),IF(AND(COUNTA($O193:$U193)&gt;0,Q193=""),"المناطق",""),IF(AND(COUNTA($O193:$U193)&gt;0,R193=""),"الميزانية",""),IF(AND(COUNTA($O193:$U193)&gt;0,S193=""),"نسبة الجاهزية",""),IF(AND(COUNTA($O193:$U193)&gt;0,T193=""),"حالة الجاهزية",""),IF(AND(COUNTA($O193:$U193)&gt;0,U193=""),"التوصيات","")))&gt;0,"✗ ناقص: "&amp;_xlfn.TEXTJOIN("، ",TRUE,IF(E193="","التاريخ",""),IF(F193="","الوقت",""),IF(G193="","المركز",""),IF(H193="","الدائرة",""),IF(I193="","القسم",""),IF(J193="","المسؤول",""),IF(K193="","نوع النشاط",""),IF(L193="","المشروع",""),IF(N193="","الممول",""),IF(V193="","الموضوع",""),IF(W193="","الملاحظة",""),IF(X193="","مشكلة",""),IF(Y193="","الإجراء",""),IF(Z193="","التنفيذ",""),IF(AA193="","الجودة",""),IF(AB193="","الإغلاق",""),IF(AC193="","الخصم",""),IF(AND(COUNTA($O193:$U193)&gt;0,O193=""),"مدير المشروع",""),IF(AND(COUNTA($O193:$U193)&gt;0,P193=""),"المستفيدين",""),IF(AND(COUNTA($O193:$U193)&gt;0,Q193=""),"المناطق",""),IF(AND(COUNTA($O193:$U193)&gt;0,R193=""),"الميزانية",""),IF(AND(COUNTA($O193:$U193)&gt;0,S193=""),"نسبة الجاهزية",""),IF(AND(COUNTA($O193:$U193)&gt;0,T193=""),"حالة الجاهزية",""),IF(AND(COUNTA($O193:$U193)&gt;0,U193=""),"التوصيات","")),"✓"),"✓"))))))))))</f>
        <v>✗ ناقص: الممول</v>
      </c>
      <c r="E193" s="235">
        <v>46169</v>
      </c>
      <c r="F193" s="236">
        <v>0.50694444444444442</v>
      </c>
      <c r="G193" s="90" t="s">
        <v>97</v>
      </c>
      <c r="H193" s="123" t="s">
        <v>102</v>
      </c>
      <c r="I193" s="89" t="s">
        <v>227</v>
      </c>
      <c r="J193" s="142" t="s">
        <v>401</v>
      </c>
      <c r="K193" s="90" t="s">
        <v>133</v>
      </c>
      <c r="L193" s="90" t="s">
        <v>301</v>
      </c>
      <c r="M193" s="90"/>
      <c r="N193" s="89"/>
      <c r="O193" s="200"/>
      <c r="P193" s="201"/>
      <c r="Q193" s="201"/>
      <c r="R193" s="237"/>
      <c r="S193" s="202"/>
      <c r="T193" s="200"/>
      <c r="U193" s="203"/>
      <c r="V193" s="89" t="s">
        <v>997</v>
      </c>
      <c r="W193" s="89" t="s">
        <v>998</v>
      </c>
      <c r="X193" s="145" t="s">
        <v>651</v>
      </c>
      <c r="Y193" s="89" t="s">
        <v>652</v>
      </c>
      <c r="Z193" s="90" t="s">
        <v>130</v>
      </c>
      <c r="AA193" s="90" t="s">
        <v>130</v>
      </c>
      <c r="AB193" s="90" t="s">
        <v>131</v>
      </c>
      <c r="AC193" s="90" t="s">
        <v>132</v>
      </c>
      <c r="AD193" s="92" t="s">
        <v>26</v>
      </c>
      <c r="AE193" s="149">
        <f>IFERROR(VLOOKUP(Z193,LISTS!$AL$2:$AM$1000,2,FALSE()),"")</f>
        <v>100</v>
      </c>
      <c r="AF193" s="151">
        <f>IFERROR(VLOOKUP(AA193,LISTS!$AO$2:$AP$1000,2,FALSE()),"")</f>
        <v>100</v>
      </c>
      <c r="AG193" s="152">
        <f>IFERROR(VLOOKUP(AB193,LISTS!$AR$2:$AS$1000,2,FALSE()),"")</f>
        <v>100</v>
      </c>
      <c r="AH193" s="154">
        <f>IFERROR(VLOOKUP(AC193,LISTS!$AU$2:$AV$1000,2,FALSE()),"")</f>
        <v>0</v>
      </c>
      <c r="AI193" s="238">
        <f t="shared" si="13"/>
        <v>100</v>
      </c>
      <c r="AJ193" s="190" t="str">
        <f t="shared" si="14"/>
        <v>🌟 ممتاز جدًا</v>
      </c>
      <c r="AK193" s="157">
        <f t="shared" si="15"/>
        <v>5</v>
      </c>
      <c r="AL193" s="160">
        <f t="shared" si="16"/>
        <v>2026</v>
      </c>
      <c r="AM193" s="210"/>
      <c r="AN193" s="209"/>
    </row>
    <row r="194" spans="1:40" ht="27.95" customHeight="1">
      <c r="A194" s="134">
        <f>IF(I194&lt;&gt;"",COUNTA($I$2:I194),"")</f>
        <v>193</v>
      </c>
      <c r="B194" s="138" t="str">
        <f t="shared" si="17"/>
        <v>الأربعاء</v>
      </c>
      <c r="C194" s="93" t="str">
        <f t="array" ref="C194">IF(E194="","",IF(M194&lt;&gt;"",
M194&amp;"/"&amp;SUMPRODUCT((M$2:M194=M194)*1)&amp;" - "&amp;(ROW()-2),
"إداري/"&amp;SUMPRODUCT((M$2:M194="")*1)&amp;" - "&amp;(ROW()-2)))</f>
        <v>إداري/189 - 192</v>
      </c>
      <c r="D194" s="141" t="str">
        <f>IF(AND(G194="",H194="",I194=""),"",IF(COUNTIFS(LISTS!$A$2:$A$67,G194,LISTS!$B$2:$B$67,H194,LISTS!$C$2:$C$67,I194)=0,"✗ هرم",IF(NOT(OR(Z194="ممتاز 100%",Z194="جيد 80%",Z194="مقبول 60%",Z194="خطر 40%",Z194="")),"✗ قائمة R",IF(NOT(OR(AA194="ممتاز 100%",AA194="جيد 85%",AA194="مقبول 70%",AA194="ضعيف 50%",AA194="")),"✗ قائمة S",IF(NOT(OR(AB194="مكتمل 100%",AB194="جزئي 60%",AB194="معلق 30%",AB194="مفتوح 0%",AB194="")),"✗ قائمة T",IF(NOT(OR(AC194="لا خصم 0",AC194="تأخير −5",AC194="عجز −10",AC194="جودة −15",AC194="امتثال −20",AC194="مخالفة −25",AC194="")),"✗ قائمة U",IF(AND(X194="لا",AC194&lt;&gt;"",AC194&lt;&gt;"لا خصم 0"),"✗ خصم",IF(AND(X194="نعم",AC194="لا خصم 0"),"✗ خصم",IF(AND(Z194="ممتاز 100%",AA194="ممتاز 100%",AB194&lt;&gt;"",AB194&lt;&gt;"مكتمل 100%"),"✗ إغلاق",IFERROR(IF(LEN(_xlfn.TEXTJOIN("، ",TRUE,IF(E194="","التاريخ",""),IF(F194="","الوقت",""),IF(G194="","المركز",""),IF(H194="","الدائرة",""),IF(I194="","القسم",""),IF(J194="","المسؤول",""),IF(K194="","نوع النشاط",""),IF(L194="","المشروع",""),IF(N194="","الممول",""),IF(V194="","الموضوع",""),IF(W194="","الملاحظة",""),IF(X194="","مشكلة",""),IF(Y194="","الإجراء",""),IF(Z194="","التنفيذ",""),IF(AA194="","الجودة",""),IF(AB194="","الإغلاق",""),IF(AC194="","الخصم",""),IF(AND(COUNTA($O194:$U194)&gt;0,O194=""),"مدير المشروع",""),IF(AND(COUNTA($O194:$U194)&gt;0,P194=""),"المستفيدين",""),IF(AND(COUNTA($O194:$U194)&gt;0,Q194=""),"المناطق",""),IF(AND(COUNTA($O194:$U194)&gt;0,R194=""),"الميزانية",""),IF(AND(COUNTA($O194:$U194)&gt;0,S194=""),"نسبة الجاهزية",""),IF(AND(COUNTA($O194:$U194)&gt;0,T194=""),"حالة الجاهزية",""),IF(AND(COUNTA($O194:$U194)&gt;0,U194=""),"التوصيات","")))&gt;0,"✗ ناقص: "&amp;_xlfn.TEXTJOIN("، ",TRUE,IF(E194="","التاريخ",""),IF(F194="","الوقت",""),IF(G194="","المركز",""),IF(H194="","الدائرة",""),IF(I194="","القسم",""),IF(J194="","المسؤول",""),IF(K194="","نوع النشاط",""),IF(L194="","المشروع",""),IF(N194="","الممول",""),IF(V194="","الموضوع",""),IF(W194="","الملاحظة",""),IF(X194="","مشكلة",""),IF(Y194="","الإجراء",""),IF(Z194="","التنفيذ",""),IF(AA194="","الجودة",""),IF(AB194="","الإغلاق",""),IF(AC194="","الخصم",""),IF(AND(COUNTA($O194:$U194)&gt;0,O194=""),"مدير المشروع",""),IF(AND(COUNTA($O194:$U194)&gt;0,P194=""),"المستفيدين",""),IF(AND(COUNTA($O194:$U194)&gt;0,Q194=""),"المناطق",""),IF(AND(COUNTA($O194:$U194)&gt;0,R194=""),"الميزانية",""),IF(AND(COUNTA($O194:$U194)&gt;0,S194=""),"نسبة الجاهزية",""),IF(AND(COUNTA($O194:$U194)&gt;0,T194=""),"حالة الجاهزية",""),IF(AND(COUNTA($O194:$U194)&gt;0,U194=""),"التوصيات","")),"✓"),"✓"))))))))))</f>
        <v>✗ ناقص: الممول</v>
      </c>
      <c r="E194" s="235">
        <v>46169</v>
      </c>
      <c r="F194" s="236">
        <v>0.5625</v>
      </c>
      <c r="G194" s="90" t="s">
        <v>97</v>
      </c>
      <c r="H194" s="123" t="s">
        <v>102</v>
      </c>
      <c r="I194" s="89" t="s">
        <v>202</v>
      </c>
      <c r="J194" s="142" t="s">
        <v>135</v>
      </c>
      <c r="K194" s="90" t="s">
        <v>133</v>
      </c>
      <c r="L194" s="90" t="s">
        <v>369</v>
      </c>
      <c r="M194" s="90"/>
      <c r="N194" s="89"/>
      <c r="O194" s="200"/>
      <c r="P194" s="201"/>
      <c r="Q194" s="201"/>
      <c r="R194" s="237"/>
      <c r="S194" s="202"/>
      <c r="T194" s="200"/>
      <c r="U194" s="203"/>
      <c r="V194" s="89" t="s">
        <v>999</v>
      </c>
      <c r="W194" s="89" t="s">
        <v>1000</v>
      </c>
      <c r="X194" s="145" t="s">
        <v>647</v>
      </c>
      <c r="Y194" s="89" t="s">
        <v>666</v>
      </c>
      <c r="Z194" s="90" t="s">
        <v>165</v>
      </c>
      <c r="AA194" s="90" t="s">
        <v>149</v>
      </c>
      <c r="AB194" s="90" t="s">
        <v>167</v>
      </c>
      <c r="AC194" s="90" t="s">
        <v>184</v>
      </c>
      <c r="AD194" s="92" t="s">
        <v>26</v>
      </c>
      <c r="AE194" s="149">
        <f>IFERROR(VLOOKUP(Z194,LISTS!$AL$2:$AM$1000,2,FALSE()),"")</f>
        <v>80</v>
      </c>
      <c r="AF194" s="151">
        <f>IFERROR(VLOOKUP(AA194,LISTS!$AO$2:$AP$1000,2,FALSE()),"")</f>
        <v>85</v>
      </c>
      <c r="AG194" s="152">
        <f>IFERROR(VLOOKUP(AB194,LISTS!$AR$2:$AS$1000,2,FALSE()),"")</f>
        <v>60</v>
      </c>
      <c r="AH194" s="154">
        <f>IFERROR(VLOOKUP(AC194,LISTS!$AU$2:$AV$1000,2,FALSE()),"")</f>
        <v>10</v>
      </c>
      <c r="AI194" s="238">
        <f t="shared" ref="AI194:AI257" si="18">IF(OR(AE194="",AF194="",AG194=""),"—",IFERROR(ROUND(AE194*0.4+AF194*0.3+AG194*0.3-IF(ISNUMBER(AH194),AH194,0),1),"⚠️"))</f>
        <v>65.5</v>
      </c>
      <c r="AJ194" s="190" t="str">
        <f t="shared" ref="AJ194:AJ257" si="19">IF(AI194="—","—",IF(NOT(ISNUMBER(AI194)),"⚠️",IF(AI194&gt;=98,"🌟 ممتاز جدًا",IF(AI194&gt;=90,"⭐ ممتاز",IF(AI194&gt;=75,"🟢 جيد",IF(AI194&gt;=60,"🟡 مقبول",IF(AI194&gt;=40,"🔴 ضعيف","🚨 خطر شديد")))))))</f>
        <v>🟡 مقبول</v>
      </c>
      <c r="AK194" s="157">
        <f t="shared" si="15"/>
        <v>5</v>
      </c>
      <c r="AL194" s="160">
        <f t="shared" si="16"/>
        <v>2026</v>
      </c>
      <c r="AM194" s="210"/>
      <c r="AN194" s="209"/>
    </row>
    <row r="195" spans="1:40" ht="27.95" customHeight="1">
      <c r="A195" s="134">
        <f>IF(I195&lt;&gt;"",COUNTA($I$2:I195),"")</f>
        <v>194</v>
      </c>
      <c r="B195" s="138" t="str">
        <f t="shared" si="17"/>
        <v>الأربعاء</v>
      </c>
      <c r="C195" s="93" t="str">
        <f t="array" ref="C195">IF(E195="","",IF(M195&lt;&gt;"",
M195&amp;"/"&amp;SUMPRODUCT((M$2:M195=M195)*1)&amp;" - "&amp;(ROW()-2),
"إداري/"&amp;SUMPRODUCT((M$2:M195="")*1)&amp;" - "&amp;(ROW()-2)))</f>
        <v>إداري/190 - 193</v>
      </c>
      <c r="D195" s="141" t="str">
        <f>IF(AND(G195="",H195="",I195=""),"",IF(COUNTIFS(LISTS!$A$2:$A$67,G195,LISTS!$B$2:$B$67,H195,LISTS!$C$2:$C$67,I195)=0,"✗ هرم",IF(NOT(OR(Z195="ممتاز 100%",Z195="جيد 80%",Z195="مقبول 60%",Z195="خطر 40%",Z195="")),"✗ قائمة R",IF(NOT(OR(AA195="ممتاز 100%",AA195="جيد 85%",AA195="مقبول 70%",AA195="ضعيف 50%",AA195="")),"✗ قائمة S",IF(NOT(OR(AB195="مكتمل 100%",AB195="جزئي 60%",AB195="معلق 30%",AB195="مفتوح 0%",AB195="")),"✗ قائمة T",IF(NOT(OR(AC195="لا خصم 0",AC195="تأخير −5",AC195="عجز −10",AC195="جودة −15",AC195="امتثال −20",AC195="مخالفة −25",AC195="")),"✗ قائمة U",IF(AND(X195="لا",AC195&lt;&gt;"",AC195&lt;&gt;"لا خصم 0"),"✗ خصم",IF(AND(X195="نعم",AC195="لا خصم 0"),"✗ خصم",IF(AND(Z195="ممتاز 100%",AA195="ممتاز 100%",AB195&lt;&gt;"",AB195&lt;&gt;"مكتمل 100%"),"✗ إغلاق",IFERROR(IF(LEN(_xlfn.TEXTJOIN("، ",TRUE,IF(E195="","التاريخ",""),IF(F195="","الوقت",""),IF(G195="","المركز",""),IF(H195="","الدائرة",""),IF(I195="","القسم",""),IF(J195="","المسؤول",""),IF(K195="","نوع النشاط",""),IF(L195="","المشروع",""),IF(N195="","الممول",""),IF(V195="","الموضوع",""),IF(W195="","الملاحظة",""),IF(X195="","مشكلة",""),IF(Y195="","الإجراء",""),IF(Z195="","التنفيذ",""),IF(AA195="","الجودة",""),IF(AB195="","الإغلاق",""),IF(AC195="","الخصم",""),IF(AND(COUNTA($O195:$U195)&gt;0,O195=""),"مدير المشروع",""),IF(AND(COUNTA($O195:$U195)&gt;0,P195=""),"المستفيدين",""),IF(AND(COUNTA($O195:$U195)&gt;0,Q195=""),"المناطق",""),IF(AND(COUNTA($O195:$U195)&gt;0,R195=""),"الميزانية",""),IF(AND(COUNTA($O195:$U195)&gt;0,S195=""),"نسبة الجاهزية",""),IF(AND(COUNTA($O195:$U195)&gt;0,T195=""),"حالة الجاهزية",""),IF(AND(COUNTA($O195:$U195)&gt;0,U195=""),"التوصيات","")))&gt;0,"✗ ناقص: "&amp;_xlfn.TEXTJOIN("، ",TRUE,IF(E195="","التاريخ",""),IF(F195="","الوقت",""),IF(G195="","المركز",""),IF(H195="","الدائرة",""),IF(I195="","القسم",""),IF(J195="","المسؤول",""),IF(K195="","نوع النشاط",""),IF(L195="","المشروع",""),IF(N195="","الممول",""),IF(V195="","الموضوع",""),IF(W195="","الملاحظة",""),IF(X195="","مشكلة",""),IF(Y195="","الإجراء",""),IF(Z195="","التنفيذ",""),IF(AA195="","الجودة",""),IF(AB195="","الإغلاق",""),IF(AC195="","الخصم",""),IF(AND(COUNTA($O195:$U195)&gt;0,O195=""),"مدير المشروع",""),IF(AND(COUNTA($O195:$U195)&gt;0,P195=""),"المستفيدين",""),IF(AND(COUNTA($O195:$U195)&gt;0,Q195=""),"المناطق",""),IF(AND(COUNTA($O195:$U195)&gt;0,R195=""),"الميزانية",""),IF(AND(COUNTA($O195:$U195)&gt;0,S195=""),"نسبة الجاهزية",""),IF(AND(COUNTA($O195:$U195)&gt;0,T195=""),"حالة الجاهزية",""),IF(AND(COUNTA($O195:$U195)&gt;0,U195=""),"التوصيات","")),"✓"),"✓"))))))))))</f>
        <v>✓</v>
      </c>
      <c r="E195" s="235">
        <v>46169</v>
      </c>
      <c r="F195" s="236">
        <v>0.40625</v>
      </c>
      <c r="G195" s="90" t="s">
        <v>97</v>
      </c>
      <c r="H195" s="123" t="s">
        <v>102</v>
      </c>
      <c r="I195" s="89" t="s">
        <v>124</v>
      </c>
      <c r="J195" s="142" t="s">
        <v>117</v>
      </c>
      <c r="K195" s="90" t="s">
        <v>116</v>
      </c>
      <c r="L195" s="90" t="s">
        <v>369</v>
      </c>
      <c r="M195" s="90"/>
      <c r="N195" s="89" t="s">
        <v>655</v>
      </c>
      <c r="O195" s="200"/>
      <c r="P195" s="201"/>
      <c r="Q195" s="201"/>
      <c r="R195" s="237"/>
      <c r="S195" s="202"/>
      <c r="T195" s="200"/>
      <c r="U195" s="203"/>
      <c r="V195" s="89" t="s">
        <v>1001</v>
      </c>
      <c r="W195" s="89" t="s">
        <v>1002</v>
      </c>
      <c r="X195" s="145" t="s">
        <v>651</v>
      </c>
      <c r="Y195" s="89" t="s">
        <v>652</v>
      </c>
      <c r="Z195" s="90" t="s">
        <v>130</v>
      </c>
      <c r="AA195" s="90" t="s">
        <v>130</v>
      </c>
      <c r="AB195" s="90" t="s">
        <v>131</v>
      </c>
      <c r="AC195" s="90" t="s">
        <v>132</v>
      </c>
      <c r="AD195" s="92" t="s">
        <v>26</v>
      </c>
      <c r="AE195" s="149">
        <f>IFERROR(VLOOKUP(Z195,LISTS!$AL$2:$AM$1000,2,FALSE()),"")</f>
        <v>100</v>
      </c>
      <c r="AF195" s="151">
        <f>IFERROR(VLOOKUP(AA195,LISTS!$AO$2:$AP$1000,2,FALSE()),"")</f>
        <v>100</v>
      </c>
      <c r="AG195" s="152">
        <f>IFERROR(VLOOKUP(AB195,LISTS!$AR$2:$AS$1000,2,FALSE()),"")</f>
        <v>100</v>
      </c>
      <c r="AH195" s="154">
        <f>IFERROR(VLOOKUP(AC195,LISTS!$AU$2:$AV$1000,2,FALSE()),"")</f>
        <v>0</v>
      </c>
      <c r="AI195" s="238">
        <f t="shared" si="18"/>
        <v>100</v>
      </c>
      <c r="AJ195" s="190" t="str">
        <f t="shared" si="19"/>
        <v>🌟 ممتاز جدًا</v>
      </c>
      <c r="AK195" s="157">
        <f t="shared" si="15"/>
        <v>5</v>
      </c>
      <c r="AL195" s="160">
        <f t="shared" si="16"/>
        <v>2026</v>
      </c>
      <c r="AM195" s="210"/>
      <c r="AN195" s="209"/>
    </row>
    <row r="196" spans="1:40" ht="27.95" customHeight="1">
      <c r="A196" s="134">
        <f>IF(I196&lt;&gt;"",COUNTA($I$2:I196),"")</f>
        <v>195</v>
      </c>
      <c r="B196" s="138" t="str">
        <f t="shared" si="17"/>
        <v>الأربعاء</v>
      </c>
      <c r="C196" s="93" t="str">
        <f t="array" ref="C196">IF(E196="","",IF(M196&lt;&gt;"",
M196&amp;"/"&amp;SUMPRODUCT((M$2:M196=M196)*1)&amp;" - "&amp;(ROW()-2),
"إداري/"&amp;SUMPRODUCT((M$2:M196="")*1)&amp;" - "&amp;(ROW()-2)))</f>
        <v>إداري/191 - 194</v>
      </c>
      <c r="D196" s="141" t="str">
        <f>IF(AND(G196="",H196="",I196=""),"",IF(COUNTIFS(LISTS!$A$2:$A$67,G196,LISTS!$B$2:$B$67,H196,LISTS!$C$2:$C$67,I196)=0,"✗ هرم",IF(NOT(OR(Z196="ممتاز 100%",Z196="جيد 80%",Z196="مقبول 60%",Z196="خطر 40%",Z196="")),"✗ قائمة R",IF(NOT(OR(AA196="ممتاز 100%",AA196="جيد 85%",AA196="مقبول 70%",AA196="ضعيف 50%",AA196="")),"✗ قائمة S",IF(NOT(OR(AB196="مكتمل 100%",AB196="جزئي 60%",AB196="معلق 30%",AB196="مفتوح 0%",AB196="")),"✗ قائمة T",IF(NOT(OR(AC196="لا خصم 0",AC196="تأخير −5",AC196="عجز −10",AC196="جودة −15",AC196="امتثال −20",AC196="مخالفة −25",AC196="")),"✗ قائمة U",IF(AND(X196="لا",AC196&lt;&gt;"",AC196&lt;&gt;"لا خصم 0"),"✗ خصم",IF(AND(X196="نعم",AC196="لا خصم 0"),"✗ خصم",IF(AND(Z196="ممتاز 100%",AA196="ممتاز 100%",AB196&lt;&gt;"",AB196&lt;&gt;"مكتمل 100%"),"✗ إغلاق",IFERROR(IF(LEN(_xlfn.TEXTJOIN("، ",TRUE,IF(E196="","التاريخ",""),IF(F196="","الوقت",""),IF(G196="","المركز",""),IF(H196="","الدائرة",""),IF(I196="","القسم",""),IF(J196="","المسؤول",""),IF(K196="","نوع النشاط",""),IF(L196="","المشروع",""),IF(N196="","الممول",""),IF(V196="","الموضوع",""),IF(W196="","الملاحظة",""),IF(X196="","مشكلة",""),IF(Y196="","الإجراء",""),IF(Z196="","التنفيذ",""),IF(AA196="","الجودة",""),IF(AB196="","الإغلاق",""),IF(AC196="","الخصم",""),IF(AND(COUNTA($O196:$U196)&gt;0,O196=""),"مدير المشروع",""),IF(AND(COUNTA($O196:$U196)&gt;0,P196=""),"المستفيدين",""),IF(AND(COUNTA($O196:$U196)&gt;0,Q196=""),"المناطق",""),IF(AND(COUNTA($O196:$U196)&gt;0,R196=""),"الميزانية",""),IF(AND(COUNTA($O196:$U196)&gt;0,S196=""),"نسبة الجاهزية",""),IF(AND(COUNTA($O196:$U196)&gt;0,T196=""),"حالة الجاهزية",""),IF(AND(COUNTA($O196:$U196)&gt;0,U196=""),"التوصيات","")))&gt;0,"✗ ناقص: "&amp;_xlfn.TEXTJOIN("، ",TRUE,IF(E196="","التاريخ",""),IF(F196="","الوقت",""),IF(G196="","المركز",""),IF(H196="","الدائرة",""),IF(I196="","القسم",""),IF(J196="","المسؤول",""),IF(K196="","نوع النشاط",""),IF(L196="","المشروع",""),IF(N196="","الممول",""),IF(V196="","الموضوع",""),IF(W196="","الملاحظة",""),IF(X196="","مشكلة",""),IF(Y196="","الإجراء",""),IF(Z196="","التنفيذ",""),IF(AA196="","الجودة",""),IF(AB196="","الإغلاق",""),IF(AC196="","الخصم",""),IF(AND(COUNTA($O196:$U196)&gt;0,O196=""),"مدير المشروع",""),IF(AND(COUNTA($O196:$U196)&gt;0,P196=""),"المستفيدين",""),IF(AND(COUNTA($O196:$U196)&gt;0,Q196=""),"المناطق",""),IF(AND(COUNTA($O196:$U196)&gt;0,R196=""),"الميزانية",""),IF(AND(COUNTA($O196:$U196)&gt;0,S196=""),"نسبة الجاهزية",""),IF(AND(COUNTA($O196:$U196)&gt;0,T196=""),"حالة الجاهزية",""),IF(AND(COUNTA($O196:$U196)&gt;0,U196=""),"التوصيات","")),"✓"),"✓"))))))))))</f>
        <v>✗ ناقص: المسؤول، المشروع، الممول</v>
      </c>
      <c r="E196" s="235">
        <v>46169</v>
      </c>
      <c r="F196" s="236">
        <v>0.50694444444444442</v>
      </c>
      <c r="G196" s="90" t="s">
        <v>97</v>
      </c>
      <c r="H196" s="123" t="s">
        <v>102</v>
      </c>
      <c r="I196" s="89" t="s">
        <v>227</v>
      </c>
      <c r="J196" s="142"/>
      <c r="K196" s="90" t="s">
        <v>133</v>
      </c>
      <c r="L196" s="90"/>
      <c r="M196" s="90"/>
      <c r="N196" s="89"/>
      <c r="O196" s="200"/>
      <c r="P196" s="201"/>
      <c r="Q196" s="201"/>
      <c r="R196" s="237"/>
      <c r="S196" s="202"/>
      <c r="T196" s="200"/>
      <c r="U196" s="203"/>
      <c r="V196" s="89" t="s">
        <v>997</v>
      </c>
      <c r="W196" s="89" t="s">
        <v>1003</v>
      </c>
      <c r="X196" s="145" t="s">
        <v>651</v>
      </c>
      <c r="Y196" s="89" t="s">
        <v>652</v>
      </c>
      <c r="Z196" s="90" t="s">
        <v>130</v>
      </c>
      <c r="AA196" s="90" t="s">
        <v>130</v>
      </c>
      <c r="AB196" s="90" t="s">
        <v>131</v>
      </c>
      <c r="AC196" s="90" t="s">
        <v>132</v>
      </c>
      <c r="AD196" s="92" t="s">
        <v>134</v>
      </c>
      <c r="AE196" s="149">
        <f>IFERROR(VLOOKUP(Z196,LISTS!$AL$2:$AM$1000,2,FALSE()),"")</f>
        <v>100</v>
      </c>
      <c r="AF196" s="151">
        <f>IFERROR(VLOOKUP(AA196,LISTS!$AO$2:$AP$1000,2,FALSE()),"")</f>
        <v>100</v>
      </c>
      <c r="AG196" s="152">
        <f>IFERROR(VLOOKUP(AB196,LISTS!$AR$2:$AS$1000,2,FALSE()),"")</f>
        <v>100</v>
      </c>
      <c r="AH196" s="154">
        <f>IFERROR(VLOOKUP(AC196,LISTS!$AU$2:$AV$1000,2,FALSE()),"")</f>
        <v>0</v>
      </c>
      <c r="AI196" s="238">
        <f t="shared" si="18"/>
        <v>100</v>
      </c>
      <c r="AJ196" s="190" t="str">
        <f t="shared" si="19"/>
        <v>🌟 ممتاز جدًا</v>
      </c>
      <c r="AK196" s="157">
        <f t="shared" si="15"/>
        <v>5</v>
      </c>
      <c r="AL196" s="160">
        <f t="shared" si="16"/>
        <v>2026</v>
      </c>
      <c r="AM196" s="210"/>
      <c r="AN196" s="209"/>
    </row>
    <row r="197" spans="1:40" ht="27.95" customHeight="1">
      <c r="A197" s="134">
        <f>IF(I197&lt;&gt;"",COUNTA($I$2:I197),"")</f>
        <v>196</v>
      </c>
      <c r="B197" s="138" t="str">
        <f t="shared" si="17"/>
        <v>الأربعاء</v>
      </c>
      <c r="C197" s="93" t="str">
        <f t="array" ref="C197">IF(E197="","",IF(M197&lt;&gt;"",
M197&amp;"/"&amp;SUMPRODUCT((M$2:M197=M197)*1)&amp;" - "&amp;(ROW()-2),
"إداري/"&amp;SUMPRODUCT((M$2:M197="")*1)&amp;" - "&amp;(ROW()-2)))</f>
        <v>إداري/192 - 195</v>
      </c>
      <c r="D197" s="141" t="str">
        <f>IF(AND(G197="",H197="",I197=""),"",IF(COUNTIFS(LISTS!$A$2:$A$67,G197,LISTS!$B$2:$B$67,H197,LISTS!$C$2:$C$67,I197)=0,"✗ هرم",IF(NOT(OR(Z197="ممتاز 100%",Z197="جيد 80%",Z197="مقبول 60%",Z197="خطر 40%",Z197="")),"✗ قائمة R",IF(NOT(OR(AA197="ممتاز 100%",AA197="جيد 85%",AA197="مقبول 70%",AA197="ضعيف 50%",AA197="")),"✗ قائمة S",IF(NOT(OR(AB197="مكتمل 100%",AB197="جزئي 60%",AB197="معلق 30%",AB197="مفتوح 0%",AB197="")),"✗ قائمة T",IF(NOT(OR(AC197="لا خصم 0",AC197="تأخير −5",AC197="عجز −10",AC197="جودة −15",AC197="امتثال −20",AC197="مخالفة −25",AC197="")),"✗ قائمة U",IF(AND(X197="لا",AC197&lt;&gt;"",AC197&lt;&gt;"لا خصم 0"),"✗ خصم",IF(AND(X197="نعم",AC197="لا خصم 0"),"✗ خصم",IF(AND(Z197="ممتاز 100%",AA197="ممتاز 100%",AB197&lt;&gt;"",AB197&lt;&gt;"مكتمل 100%"),"✗ إغلاق",IFERROR(IF(LEN(_xlfn.TEXTJOIN("، ",TRUE,IF(E197="","التاريخ",""),IF(F197="","الوقت",""),IF(G197="","المركز",""),IF(H197="","الدائرة",""),IF(I197="","القسم",""),IF(J197="","المسؤول",""),IF(K197="","نوع النشاط",""),IF(L197="","المشروع",""),IF(N197="","الممول",""),IF(V197="","الموضوع",""),IF(W197="","الملاحظة",""),IF(X197="","مشكلة",""),IF(Y197="","الإجراء",""),IF(Z197="","التنفيذ",""),IF(AA197="","الجودة",""),IF(AB197="","الإغلاق",""),IF(AC197="","الخصم",""),IF(AND(COUNTA($O197:$U197)&gt;0,O197=""),"مدير المشروع",""),IF(AND(COUNTA($O197:$U197)&gt;0,P197=""),"المستفيدين",""),IF(AND(COUNTA($O197:$U197)&gt;0,Q197=""),"المناطق",""),IF(AND(COUNTA($O197:$U197)&gt;0,R197=""),"الميزانية",""),IF(AND(COUNTA($O197:$U197)&gt;0,S197=""),"نسبة الجاهزية",""),IF(AND(COUNTA($O197:$U197)&gt;0,T197=""),"حالة الجاهزية",""),IF(AND(COUNTA($O197:$U197)&gt;0,U197=""),"التوصيات","")))&gt;0,"✗ ناقص: "&amp;_xlfn.TEXTJOIN("، ",TRUE,IF(E197="","التاريخ",""),IF(F197="","الوقت",""),IF(G197="","المركز",""),IF(H197="","الدائرة",""),IF(I197="","القسم",""),IF(J197="","المسؤول",""),IF(K197="","نوع النشاط",""),IF(L197="","المشروع",""),IF(N197="","الممول",""),IF(V197="","الموضوع",""),IF(W197="","الملاحظة",""),IF(X197="","مشكلة",""),IF(Y197="","الإجراء",""),IF(Z197="","التنفيذ",""),IF(AA197="","الجودة",""),IF(AB197="","الإغلاق",""),IF(AC197="","الخصم",""),IF(AND(COUNTA($O197:$U197)&gt;0,O197=""),"مدير المشروع",""),IF(AND(COUNTA($O197:$U197)&gt;0,P197=""),"المستفيدين",""),IF(AND(COUNTA($O197:$U197)&gt;0,Q197=""),"المناطق",""),IF(AND(COUNTA($O197:$U197)&gt;0,R197=""),"الميزانية",""),IF(AND(COUNTA($O197:$U197)&gt;0,S197=""),"نسبة الجاهزية",""),IF(AND(COUNTA($O197:$U197)&gt;0,T197=""),"حالة الجاهزية",""),IF(AND(COUNTA($O197:$U197)&gt;0,U197=""),"التوصيات","")),"✓"),"✓"))))))))))</f>
        <v>✗ ناقص: المسؤول، المشروع، الممول</v>
      </c>
      <c r="E197" s="235">
        <v>46169</v>
      </c>
      <c r="F197" s="236">
        <v>0.66666666666666663</v>
      </c>
      <c r="G197" s="90" t="s">
        <v>97</v>
      </c>
      <c r="H197" s="123" t="s">
        <v>102</v>
      </c>
      <c r="I197" s="89" t="s">
        <v>211</v>
      </c>
      <c r="J197" s="142"/>
      <c r="K197" s="90" t="s">
        <v>116</v>
      </c>
      <c r="L197" s="90"/>
      <c r="M197" s="90"/>
      <c r="N197" s="89"/>
      <c r="O197" s="200"/>
      <c r="P197" s="201"/>
      <c r="Q197" s="201"/>
      <c r="R197" s="237"/>
      <c r="S197" s="202"/>
      <c r="T197" s="200"/>
      <c r="U197" s="203"/>
      <c r="V197" s="89" t="s">
        <v>1004</v>
      </c>
      <c r="W197" s="89" t="s">
        <v>1005</v>
      </c>
      <c r="X197" s="145" t="s">
        <v>651</v>
      </c>
      <c r="Y197" s="89" t="s">
        <v>652</v>
      </c>
      <c r="Z197" s="90" t="s">
        <v>130</v>
      </c>
      <c r="AA197" s="90" t="s">
        <v>130</v>
      </c>
      <c r="AB197" s="90" t="s">
        <v>131</v>
      </c>
      <c r="AC197" s="90" t="s">
        <v>132</v>
      </c>
      <c r="AD197" s="92" t="s">
        <v>134</v>
      </c>
      <c r="AE197" s="149">
        <f>IFERROR(VLOOKUP(Z197,LISTS!$AL$2:$AM$1000,2,FALSE()),"")</f>
        <v>100</v>
      </c>
      <c r="AF197" s="151">
        <f>IFERROR(VLOOKUP(AA197,LISTS!$AO$2:$AP$1000,2,FALSE()),"")</f>
        <v>100</v>
      </c>
      <c r="AG197" s="152">
        <f>IFERROR(VLOOKUP(AB197,LISTS!$AR$2:$AS$1000,2,FALSE()),"")</f>
        <v>100</v>
      </c>
      <c r="AH197" s="154">
        <f>IFERROR(VLOOKUP(AC197,LISTS!$AU$2:$AV$1000,2,FALSE()),"")</f>
        <v>0</v>
      </c>
      <c r="AI197" s="238">
        <f t="shared" si="18"/>
        <v>100</v>
      </c>
      <c r="AJ197" s="190" t="str">
        <f t="shared" si="19"/>
        <v>🌟 ممتاز جدًا</v>
      </c>
      <c r="AK197" s="157">
        <f t="shared" si="15"/>
        <v>5</v>
      </c>
      <c r="AL197" s="160">
        <f t="shared" si="16"/>
        <v>2026</v>
      </c>
      <c r="AM197" s="210"/>
      <c r="AN197" s="209"/>
    </row>
    <row r="198" spans="1:40" ht="27.95" customHeight="1">
      <c r="A198" s="134">
        <f>IF(I198&lt;&gt;"",COUNTA($I$2:I198),"")</f>
        <v>197</v>
      </c>
      <c r="B198" s="138" t="str">
        <f t="shared" si="17"/>
        <v>الأربعاء</v>
      </c>
      <c r="C198" s="93" t="str">
        <f t="array" ref="C198">IF(E198="","",IF(M198&lt;&gt;"",
M198&amp;"/"&amp;SUMPRODUCT((M$2:M198=M198)*1)&amp;" - "&amp;(ROW()-2),
"إداري/"&amp;SUMPRODUCT((M$2:M198="")*1)&amp;" - "&amp;(ROW()-2)))</f>
        <v>إداري/193 - 196</v>
      </c>
      <c r="D198" s="141" t="str">
        <f>IF(AND(G198="",H198="",I198=""),"",IF(COUNTIFS(LISTS!$A$2:$A$67,G198,LISTS!$B$2:$B$67,H198,LISTS!$C$2:$C$67,I198)=0,"✗ هرم",IF(NOT(OR(Z198="ممتاز 100%",Z198="جيد 80%",Z198="مقبول 60%",Z198="خطر 40%",Z198="")),"✗ قائمة R",IF(NOT(OR(AA198="ممتاز 100%",AA198="جيد 85%",AA198="مقبول 70%",AA198="ضعيف 50%",AA198="")),"✗ قائمة S",IF(NOT(OR(AB198="مكتمل 100%",AB198="جزئي 60%",AB198="معلق 30%",AB198="مفتوح 0%",AB198="")),"✗ قائمة T",IF(NOT(OR(AC198="لا خصم 0",AC198="تأخير −5",AC198="عجز −10",AC198="جودة −15",AC198="امتثال −20",AC198="مخالفة −25",AC198="")),"✗ قائمة U",IF(AND(X198="لا",AC198&lt;&gt;"",AC198&lt;&gt;"لا خصم 0"),"✗ خصم",IF(AND(X198="نعم",AC198="لا خصم 0"),"✗ خصم",IF(AND(Z198="ممتاز 100%",AA198="ممتاز 100%",AB198&lt;&gt;"",AB198&lt;&gt;"مكتمل 100%"),"✗ إغلاق",IFERROR(IF(LEN(_xlfn.TEXTJOIN("، ",TRUE,IF(E198="","التاريخ",""),IF(F198="","الوقت",""),IF(G198="","المركز",""),IF(H198="","الدائرة",""),IF(I198="","القسم",""),IF(J198="","المسؤول",""),IF(K198="","نوع النشاط",""),IF(L198="","المشروع",""),IF(N198="","الممول",""),IF(V198="","الموضوع",""),IF(W198="","الملاحظة",""),IF(X198="","مشكلة",""),IF(Y198="","الإجراء",""),IF(Z198="","التنفيذ",""),IF(AA198="","الجودة",""),IF(AB198="","الإغلاق",""),IF(AC198="","الخصم",""),IF(AND(COUNTA($O198:$U198)&gt;0,O198=""),"مدير المشروع",""),IF(AND(COUNTA($O198:$U198)&gt;0,P198=""),"المستفيدين",""),IF(AND(COUNTA($O198:$U198)&gt;0,Q198=""),"المناطق",""),IF(AND(COUNTA($O198:$U198)&gt;0,R198=""),"الميزانية",""),IF(AND(COUNTA($O198:$U198)&gt;0,S198=""),"نسبة الجاهزية",""),IF(AND(COUNTA($O198:$U198)&gt;0,T198=""),"حالة الجاهزية",""),IF(AND(COUNTA($O198:$U198)&gt;0,U198=""),"التوصيات","")))&gt;0,"✗ ناقص: "&amp;_xlfn.TEXTJOIN("، ",TRUE,IF(E198="","التاريخ",""),IF(F198="","الوقت",""),IF(G198="","المركز",""),IF(H198="","الدائرة",""),IF(I198="","القسم",""),IF(J198="","المسؤول",""),IF(K198="","نوع النشاط",""),IF(L198="","المشروع",""),IF(N198="","الممول",""),IF(V198="","الموضوع",""),IF(W198="","الملاحظة",""),IF(X198="","مشكلة",""),IF(Y198="","الإجراء",""),IF(Z198="","التنفيذ",""),IF(AA198="","الجودة",""),IF(AB198="","الإغلاق",""),IF(AC198="","الخصم",""),IF(AND(COUNTA($O198:$U198)&gt;0,O198=""),"مدير المشروع",""),IF(AND(COUNTA($O198:$U198)&gt;0,P198=""),"المستفيدين",""),IF(AND(COUNTA($O198:$U198)&gt;0,Q198=""),"المناطق",""),IF(AND(COUNTA($O198:$U198)&gt;0,R198=""),"الميزانية",""),IF(AND(COUNTA($O198:$U198)&gt;0,S198=""),"نسبة الجاهزية",""),IF(AND(COUNTA($O198:$U198)&gt;0,T198=""),"حالة الجاهزية",""),IF(AND(COUNTA($O198:$U198)&gt;0,U198=""),"التوصيات","")),"✓"),"✓"))))))))))</f>
        <v>✗ ناقص: المسؤول، المشروع، الممول</v>
      </c>
      <c r="E198" s="235">
        <v>46169</v>
      </c>
      <c r="F198" s="236">
        <v>0.6875</v>
      </c>
      <c r="G198" s="90" t="s">
        <v>97</v>
      </c>
      <c r="H198" s="123" t="s">
        <v>102</v>
      </c>
      <c r="I198" s="89" t="s">
        <v>220</v>
      </c>
      <c r="J198" s="142"/>
      <c r="K198" s="90" t="s">
        <v>116</v>
      </c>
      <c r="L198" s="90"/>
      <c r="M198" s="90"/>
      <c r="N198" s="89"/>
      <c r="O198" s="200"/>
      <c r="P198" s="201"/>
      <c r="Q198" s="201"/>
      <c r="R198" s="237"/>
      <c r="S198" s="202"/>
      <c r="T198" s="200"/>
      <c r="U198" s="203"/>
      <c r="V198" s="89" t="s">
        <v>1006</v>
      </c>
      <c r="W198" s="89" t="s">
        <v>1007</v>
      </c>
      <c r="X198" s="145" t="s">
        <v>651</v>
      </c>
      <c r="Y198" s="89" t="s">
        <v>652</v>
      </c>
      <c r="Z198" s="90" t="s">
        <v>130</v>
      </c>
      <c r="AA198" s="90" t="s">
        <v>130</v>
      </c>
      <c r="AB198" s="90" t="s">
        <v>131</v>
      </c>
      <c r="AC198" s="90" t="s">
        <v>132</v>
      </c>
      <c r="AD198" s="92" t="s">
        <v>134</v>
      </c>
      <c r="AE198" s="149">
        <f>IFERROR(VLOOKUP(Z198,LISTS!$AL$2:$AM$1000,2,FALSE()),"")</f>
        <v>100</v>
      </c>
      <c r="AF198" s="151">
        <f>IFERROR(VLOOKUP(AA198,LISTS!$AO$2:$AP$1000,2,FALSE()),"")</f>
        <v>100</v>
      </c>
      <c r="AG198" s="152">
        <f>IFERROR(VLOOKUP(AB198,LISTS!$AR$2:$AS$1000,2,FALSE()),"")</f>
        <v>100</v>
      </c>
      <c r="AH198" s="154">
        <f>IFERROR(VLOOKUP(AC198,LISTS!$AU$2:$AV$1000,2,FALSE()),"")</f>
        <v>0</v>
      </c>
      <c r="AI198" s="238">
        <f t="shared" si="18"/>
        <v>100</v>
      </c>
      <c r="AJ198" s="190" t="str">
        <f t="shared" si="19"/>
        <v>🌟 ممتاز جدًا</v>
      </c>
      <c r="AK198" s="157">
        <f t="shared" si="15"/>
        <v>5</v>
      </c>
      <c r="AL198" s="160">
        <f t="shared" si="16"/>
        <v>2026</v>
      </c>
      <c r="AM198" s="210"/>
      <c r="AN198" s="209"/>
    </row>
    <row r="199" spans="1:40" ht="27.95" customHeight="1">
      <c r="A199" s="134">
        <f>IF(I199&lt;&gt;"",COUNTA($I$2:I199),"")</f>
        <v>198</v>
      </c>
      <c r="B199" s="138" t="str">
        <f t="shared" si="17"/>
        <v>الأربعاء</v>
      </c>
      <c r="C199" s="93" t="str">
        <f t="array" ref="C199">IF(E199="","",IF(M199&lt;&gt;"",
M199&amp;"/"&amp;SUMPRODUCT((M$2:M199=M199)*1)&amp;" - "&amp;(ROW()-2),
"إداري/"&amp;SUMPRODUCT((M$2:M199="")*1)&amp;" - "&amp;(ROW()-2)))</f>
        <v>إداري/194 - 197</v>
      </c>
      <c r="D199" s="141" t="str">
        <f>IF(AND(G199="",H199="",I199=""),"",IF(COUNTIFS(LISTS!$A$2:$A$67,G199,LISTS!$B$2:$B$67,H199,LISTS!$C$2:$C$67,I199)=0,"✗ هرم",IF(NOT(OR(Z199="ممتاز 100%",Z199="جيد 80%",Z199="مقبول 60%",Z199="خطر 40%",Z199="")),"✗ قائمة R",IF(NOT(OR(AA199="ممتاز 100%",AA199="جيد 85%",AA199="مقبول 70%",AA199="ضعيف 50%",AA199="")),"✗ قائمة S",IF(NOT(OR(AB199="مكتمل 100%",AB199="جزئي 60%",AB199="معلق 30%",AB199="مفتوح 0%",AB199="")),"✗ قائمة T",IF(NOT(OR(AC199="لا خصم 0",AC199="تأخير −5",AC199="عجز −10",AC199="جودة −15",AC199="امتثال −20",AC199="مخالفة −25",AC199="")),"✗ قائمة U",IF(AND(X199="لا",AC199&lt;&gt;"",AC199&lt;&gt;"لا خصم 0"),"✗ خصم",IF(AND(X199="نعم",AC199="لا خصم 0"),"✗ خصم",IF(AND(Z199="ممتاز 100%",AA199="ممتاز 100%",AB199&lt;&gt;"",AB199&lt;&gt;"مكتمل 100%"),"✗ إغلاق",IFERROR(IF(LEN(_xlfn.TEXTJOIN("، ",TRUE,IF(E199="","التاريخ",""),IF(F199="","الوقت",""),IF(G199="","المركز",""),IF(H199="","الدائرة",""),IF(I199="","القسم",""),IF(J199="","المسؤول",""),IF(K199="","نوع النشاط",""),IF(L199="","المشروع",""),IF(N199="","الممول",""),IF(V199="","الموضوع",""),IF(W199="","الملاحظة",""),IF(X199="","مشكلة",""),IF(Y199="","الإجراء",""),IF(Z199="","التنفيذ",""),IF(AA199="","الجودة",""),IF(AB199="","الإغلاق",""),IF(AC199="","الخصم",""),IF(AND(COUNTA($O199:$U199)&gt;0,O199=""),"مدير المشروع",""),IF(AND(COUNTA($O199:$U199)&gt;0,P199=""),"المستفيدين",""),IF(AND(COUNTA($O199:$U199)&gt;0,Q199=""),"المناطق",""),IF(AND(COUNTA($O199:$U199)&gt;0,R199=""),"الميزانية",""),IF(AND(COUNTA($O199:$U199)&gt;0,S199=""),"نسبة الجاهزية",""),IF(AND(COUNTA($O199:$U199)&gt;0,T199=""),"حالة الجاهزية",""),IF(AND(COUNTA($O199:$U199)&gt;0,U199=""),"التوصيات","")))&gt;0,"✗ ناقص: "&amp;_xlfn.TEXTJOIN("، ",TRUE,IF(E199="","التاريخ",""),IF(F199="","الوقت",""),IF(G199="","المركز",""),IF(H199="","الدائرة",""),IF(I199="","القسم",""),IF(J199="","المسؤول",""),IF(K199="","نوع النشاط",""),IF(L199="","المشروع",""),IF(N199="","الممول",""),IF(V199="","الموضوع",""),IF(W199="","الملاحظة",""),IF(X199="","مشكلة",""),IF(Y199="","الإجراء",""),IF(Z199="","التنفيذ",""),IF(AA199="","الجودة",""),IF(AB199="","الإغلاق",""),IF(AC199="","الخصم",""),IF(AND(COUNTA($O199:$U199)&gt;0,O199=""),"مدير المشروع",""),IF(AND(COUNTA($O199:$U199)&gt;0,P199=""),"المستفيدين",""),IF(AND(COUNTA($O199:$U199)&gt;0,Q199=""),"المناطق",""),IF(AND(COUNTA($O199:$U199)&gt;0,R199=""),"الميزانية",""),IF(AND(COUNTA($O199:$U199)&gt;0,S199=""),"نسبة الجاهزية",""),IF(AND(COUNTA($O199:$U199)&gt;0,T199=""),"حالة الجاهزية",""),IF(AND(COUNTA($O199:$U199)&gt;0,U199=""),"التوصيات","")),"✓"),"✓"))))))))))</f>
        <v>✗ ناقص: المسؤول، المشروع، الممول</v>
      </c>
      <c r="E199" s="235">
        <v>46169</v>
      </c>
      <c r="F199" s="236">
        <v>0.70833333333333337</v>
      </c>
      <c r="G199" s="90" t="s">
        <v>97</v>
      </c>
      <c r="H199" s="123" t="s">
        <v>102</v>
      </c>
      <c r="I199" s="89" t="s">
        <v>159</v>
      </c>
      <c r="J199" s="142"/>
      <c r="K199" s="90" t="s">
        <v>116</v>
      </c>
      <c r="L199" s="90"/>
      <c r="M199" s="90"/>
      <c r="N199" s="89"/>
      <c r="O199" s="200"/>
      <c r="P199" s="201"/>
      <c r="Q199" s="201"/>
      <c r="R199" s="237"/>
      <c r="S199" s="202"/>
      <c r="T199" s="200"/>
      <c r="U199" s="203"/>
      <c r="V199" s="89" t="s">
        <v>1008</v>
      </c>
      <c r="W199" s="89" t="s">
        <v>1009</v>
      </c>
      <c r="X199" s="145" t="s">
        <v>651</v>
      </c>
      <c r="Y199" s="89" t="s">
        <v>652</v>
      </c>
      <c r="Z199" s="90" t="s">
        <v>130</v>
      </c>
      <c r="AA199" s="90" t="s">
        <v>130</v>
      </c>
      <c r="AB199" s="90" t="s">
        <v>131</v>
      </c>
      <c r="AC199" s="90" t="s">
        <v>132</v>
      </c>
      <c r="AD199" s="92" t="s">
        <v>134</v>
      </c>
      <c r="AE199" s="149">
        <f>IFERROR(VLOOKUP(Z199,LISTS!$AL$2:$AM$1000,2,FALSE()),"")</f>
        <v>100</v>
      </c>
      <c r="AF199" s="151">
        <f>IFERROR(VLOOKUP(AA199,LISTS!$AO$2:$AP$1000,2,FALSE()),"")</f>
        <v>100</v>
      </c>
      <c r="AG199" s="152">
        <f>IFERROR(VLOOKUP(AB199,LISTS!$AR$2:$AS$1000,2,FALSE()),"")</f>
        <v>100</v>
      </c>
      <c r="AH199" s="154">
        <f>IFERROR(VLOOKUP(AC199,LISTS!$AU$2:$AV$1000,2,FALSE()),"")</f>
        <v>0</v>
      </c>
      <c r="AI199" s="238">
        <f t="shared" si="18"/>
        <v>100</v>
      </c>
      <c r="AJ199" s="190" t="str">
        <f t="shared" si="19"/>
        <v>🌟 ممتاز جدًا</v>
      </c>
      <c r="AK199" s="157">
        <f t="shared" si="15"/>
        <v>5</v>
      </c>
      <c r="AL199" s="160">
        <f t="shared" si="16"/>
        <v>2026</v>
      </c>
      <c r="AM199" s="210"/>
      <c r="AN199" s="209"/>
    </row>
    <row r="200" spans="1:40" ht="27.95" customHeight="1">
      <c r="A200" s="134">
        <f>IF(I200&lt;&gt;"",COUNTA($I$2:I200),"")</f>
        <v>199</v>
      </c>
      <c r="B200" s="138" t="str">
        <f t="shared" si="17"/>
        <v>الخميس</v>
      </c>
      <c r="C200" s="93" t="str">
        <f t="array" ref="C200">IF(E200="","",IF(M200&lt;&gt;"",
M200&amp;"/"&amp;SUMPRODUCT((M$2:M200=M200)*1)&amp;" - "&amp;(ROW()-2),
"إداري/"&amp;SUMPRODUCT((M$2:M200="")*1)&amp;" - "&amp;(ROW()-2)))</f>
        <v>إداري/195 - 198</v>
      </c>
      <c r="D200" s="141" t="str">
        <f>IF(AND(G200="",H200="",I200=""),"",IF(COUNTIFS(LISTS!$A$2:$A$67,G200,LISTS!$B$2:$B$67,H200,LISTS!$C$2:$C$67,I200)=0,"✗ هرم",IF(NOT(OR(Z200="ممتاز 100%",Z200="جيد 80%",Z200="مقبول 60%",Z200="خطر 40%",Z200="")),"✗ قائمة R",IF(NOT(OR(AA200="ممتاز 100%",AA200="جيد 85%",AA200="مقبول 70%",AA200="ضعيف 50%",AA200="")),"✗ قائمة S",IF(NOT(OR(AB200="مكتمل 100%",AB200="جزئي 60%",AB200="معلق 30%",AB200="مفتوح 0%",AB200="")),"✗ قائمة T",IF(NOT(OR(AC200="لا خصم 0",AC200="تأخير −5",AC200="عجز −10",AC200="جودة −15",AC200="امتثال −20",AC200="مخالفة −25",AC200="")),"✗ قائمة U",IF(AND(X200="لا",AC200&lt;&gt;"",AC200&lt;&gt;"لا خصم 0"),"✗ خصم",IF(AND(X200="نعم",AC200="لا خصم 0"),"✗ خصم",IF(AND(Z200="ممتاز 100%",AA200="ممتاز 100%",AB200&lt;&gt;"",AB200&lt;&gt;"مكتمل 100%"),"✗ إغلاق",IFERROR(IF(LEN(_xlfn.TEXTJOIN("، ",TRUE,IF(E200="","التاريخ",""),IF(F200="","الوقت",""),IF(G200="","المركز",""),IF(H200="","الدائرة",""),IF(I200="","القسم",""),IF(J200="","المسؤول",""),IF(K200="","نوع النشاط",""),IF(L200="","المشروع",""),IF(N200="","الممول",""),IF(V200="","الموضوع",""),IF(W200="","الملاحظة",""),IF(X200="","مشكلة",""),IF(Y200="","الإجراء",""),IF(Z200="","التنفيذ",""),IF(AA200="","الجودة",""),IF(AB200="","الإغلاق",""),IF(AC200="","الخصم",""),IF(AND(COUNTA($O200:$U200)&gt;0,O200=""),"مدير المشروع",""),IF(AND(COUNTA($O200:$U200)&gt;0,P200=""),"المستفيدين",""),IF(AND(COUNTA($O200:$U200)&gt;0,Q200=""),"المناطق",""),IF(AND(COUNTA($O200:$U200)&gt;0,R200=""),"الميزانية",""),IF(AND(COUNTA($O200:$U200)&gt;0,S200=""),"نسبة الجاهزية",""),IF(AND(COUNTA($O200:$U200)&gt;0,T200=""),"حالة الجاهزية",""),IF(AND(COUNTA($O200:$U200)&gt;0,U200=""),"التوصيات","")))&gt;0,"✗ ناقص: "&amp;_xlfn.TEXTJOIN("، ",TRUE,IF(E200="","التاريخ",""),IF(F200="","الوقت",""),IF(G200="","المركز",""),IF(H200="","الدائرة",""),IF(I200="","القسم",""),IF(J200="","المسؤول",""),IF(K200="","نوع النشاط",""),IF(L200="","المشروع",""),IF(N200="","الممول",""),IF(V200="","الموضوع",""),IF(W200="","الملاحظة",""),IF(X200="","مشكلة",""),IF(Y200="","الإجراء",""),IF(Z200="","التنفيذ",""),IF(AA200="","الجودة",""),IF(AB200="","الإغلاق",""),IF(AC200="","الخصم",""),IF(AND(COUNTA($O200:$U200)&gt;0,O200=""),"مدير المشروع",""),IF(AND(COUNTA($O200:$U200)&gt;0,P200=""),"المستفيدين",""),IF(AND(COUNTA($O200:$U200)&gt;0,Q200=""),"المناطق",""),IF(AND(COUNTA($O200:$U200)&gt;0,R200=""),"الميزانية",""),IF(AND(COUNTA($O200:$U200)&gt;0,S200=""),"نسبة الجاهزية",""),IF(AND(COUNTA($O200:$U200)&gt;0,T200=""),"حالة الجاهزية",""),IF(AND(COUNTA($O200:$U200)&gt;0,U200=""),"التوصيات","")),"✓"),"✓"))))))))))</f>
        <v>✓</v>
      </c>
      <c r="E200" s="235">
        <v>46170</v>
      </c>
      <c r="F200" s="236">
        <v>0.39930555555555558</v>
      </c>
      <c r="G200" s="90" t="s">
        <v>97</v>
      </c>
      <c r="H200" s="123" t="s">
        <v>102</v>
      </c>
      <c r="I200" s="89" t="s">
        <v>124</v>
      </c>
      <c r="J200" s="142" t="s">
        <v>117</v>
      </c>
      <c r="K200" s="90" t="s">
        <v>116</v>
      </c>
      <c r="L200" s="90" t="s">
        <v>369</v>
      </c>
      <c r="M200" s="90"/>
      <c r="N200" s="89" t="s">
        <v>655</v>
      </c>
      <c r="O200" s="200"/>
      <c r="P200" s="201"/>
      <c r="Q200" s="201"/>
      <c r="R200" s="237"/>
      <c r="S200" s="202"/>
      <c r="T200" s="200"/>
      <c r="U200" s="203"/>
      <c r="V200" s="89" t="s">
        <v>1001</v>
      </c>
      <c r="W200" s="89" t="s">
        <v>1010</v>
      </c>
      <c r="X200" s="145" t="s">
        <v>651</v>
      </c>
      <c r="Y200" s="89" t="s">
        <v>652</v>
      </c>
      <c r="Z200" s="90" t="s">
        <v>130</v>
      </c>
      <c r="AA200" s="90" t="s">
        <v>130</v>
      </c>
      <c r="AB200" s="90" t="s">
        <v>131</v>
      </c>
      <c r="AC200" s="90" t="s">
        <v>132</v>
      </c>
      <c r="AD200" s="92" t="s">
        <v>26</v>
      </c>
      <c r="AE200" s="149">
        <f>IFERROR(VLOOKUP(Z200,LISTS!$AL$2:$AM$1000,2,FALSE()),"")</f>
        <v>100</v>
      </c>
      <c r="AF200" s="151">
        <f>IFERROR(VLOOKUP(AA200,LISTS!$AO$2:$AP$1000,2,FALSE()),"")</f>
        <v>100</v>
      </c>
      <c r="AG200" s="152">
        <f>IFERROR(VLOOKUP(AB200,LISTS!$AR$2:$AS$1000,2,FALSE()),"")</f>
        <v>100</v>
      </c>
      <c r="AH200" s="154">
        <f>IFERROR(VLOOKUP(AC200,LISTS!$AU$2:$AV$1000,2,FALSE()),"")</f>
        <v>0</v>
      </c>
      <c r="AI200" s="238">
        <f t="shared" si="18"/>
        <v>100</v>
      </c>
      <c r="AJ200" s="190" t="str">
        <f t="shared" si="19"/>
        <v>🌟 ممتاز جدًا</v>
      </c>
      <c r="AK200" s="157">
        <f t="shared" si="15"/>
        <v>5</v>
      </c>
      <c r="AL200" s="160">
        <f t="shared" si="16"/>
        <v>2026</v>
      </c>
      <c r="AM200" s="210"/>
      <c r="AN200" s="209"/>
    </row>
    <row r="201" spans="1:40" ht="27.95" customHeight="1">
      <c r="A201" s="134">
        <f>IF(I201&lt;&gt;"",COUNTA($I$2:I201),"")</f>
        <v>200</v>
      </c>
      <c r="B201" s="138" t="str">
        <f t="shared" si="17"/>
        <v>الجمعة</v>
      </c>
      <c r="C201" s="93" t="str">
        <f t="array" ref="C201">IF(E201="","",IF(M201&lt;&gt;"",
M201&amp;"/"&amp;SUMPRODUCT((M$2:M201=M201)*1)&amp;" - "&amp;(ROW()-2),
"إداري/"&amp;SUMPRODUCT((M$2:M201="")*1)&amp;" - "&amp;(ROW()-2)))</f>
        <v>إداري/196 - 199</v>
      </c>
      <c r="D201" s="141" t="str">
        <f>IF(AND(G201="",H201="",I201=""),"",IF(COUNTIFS(LISTS!$A$2:$A$67,G201,LISTS!$B$2:$B$67,H201,LISTS!$C$2:$C$67,I201)=0,"✗ هرم",IF(NOT(OR(Z201="ممتاز 100%",Z201="جيد 80%",Z201="مقبول 60%",Z201="خطر 40%",Z201="")),"✗ قائمة R",IF(NOT(OR(AA201="ممتاز 100%",AA201="جيد 85%",AA201="مقبول 70%",AA201="ضعيف 50%",AA201="")),"✗ قائمة S",IF(NOT(OR(AB201="مكتمل 100%",AB201="جزئي 60%",AB201="معلق 30%",AB201="مفتوح 0%",AB201="")),"✗ قائمة T",IF(NOT(OR(AC201="لا خصم 0",AC201="تأخير −5",AC201="عجز −10",AC201="جودة −15",AC201="امتثال −20",AC201="مخالفة −25",AC201="")),"✗ قائمة U",IF(AND(X201="لا",AC201&lt;&gt;"",AC201&lt;&gt;"لا خصم 0"),"✗ خصم",IF(AND(X201="نعم",AC201="لا خصم 0"),"✗ خصم",IF(AND(Z201="ممتاز 100%",AA201="ممتاز 100%",AB201&lt;&gt;"",AB201&lt;&gt;"مكتمل 100%"),"✗ إغلاق",IFERROR(IF(LEN(_xlfn.TEXTJOIN("، ",TRUE,IF(E201="","التاريخ",""),IF(F201="","الوقت",""),IF(G201="","المركز",""),IF(H201="","الدائرة",""),IF(I201="","القسم",""),IF(J201="","المسؤول",""),IF(K201="","نوع النشاط",""),IF(L201="","المشروع",""),IF(N201="","الممول",""),IF(V201="","الموضوع",""),IF(W201="","الملاحظة",""),IF(X201="","مشكلة",""),IF(Y201="","الإجراء",""),IF(Z201="","التنفيذ",""),IF(AA201="","الجودة",""),IF(AB201="","الإغلاق",""),IF(AC201="","الخصم",""),IF(AND(COUNTA($O201:$U201)&gt;0,O201=""),"مدير المشروع",""),IF(AND(COUNTA($O201:$U201)&gt;0,P201=""),"المستفيدين",""),IF(AND(COUNTA($O201:$U201)&gt;0,Q201=""),"المناطق",""),IF(AND(COUNTA($O201:$U201)&gt;0,R201=""),"الميزانية",""),IF(AND(COUNTA($O201:$U201)&gt;0,S201=""),"نسبة الجاهزية",""),IF(AND(COUNTA($O201:$U201)&gt;0,T201=""),"حالة الجاهزية",""),IF(AND(COUNTA($O201:$U201)&gt;0,U201=""),"التوصيات","")))&gt;0,"✗ ناقص: "&amp;_xlfn.TEXTJOIN("، ",TRUE,IF(E201="","التاريخ",""),IF(F201="","الوقت",""),IF(G201="","المركز",""),IF(H201="","الدائرة",""),IF(I201="","القسم",""),IF(J201="","المسؤول",""),IF(K201="","نوع النشاط",""),IF(L201="","المشروع",""),IF(N201="","الممول",""),IF(V201="","الموضوع",""),IF(W201="","الملاحظة",""),IF(X201="","مشكلة",""),IF(Y201="","الإجراء",""),IF(Z201="","التنفيذ",""),IF(AA201="","الجودة",""),IF(AB201="","الإغلاق",""),IF(AC201="","الخصم",""),IF(AND(COUNTA($O201:$U201)&gt;0,O201=""),"مدير المشروع",""),IF(AND(COUNTA($O201:$U201)&gt;0,P201=""),"المستفيدين",""),IF(AND(COUNTA($O201:$U201)&gt;0,Q201=""),"المناطق",""),IF(AND(COUNTA($O201:$U201)&gt;0,R201=""),"الميزانية",""),IF(AND(COUNTA($O201:$U201)&gt;0,S201=""),"نسبة الجاهزية",""),IF(AND(COUNTA($O201:$U201)&gt;0,T201=""),"حالة الجاهزية",""),IF(AND(COUNTA($O201:$U201)&gt;0,U201=""),"التوصيات","")),"✓"),"✓"))))))))))</f>
        <v>✓</v>
      </c>
      <c r="E201" s="235">
        <v>46171</v>
      </c>
      <c r="F201" s="236">
        <v>0.40972222222222221</v>
      </c>
      <c r="G201" s="90" t="s">
        <v>97</v>
      </c>
      <c r="H201" s="123" t="s">
        <v>102</v>
      </c>
      <c r="I201" s="89" t="s">
        <v>124</v>
      </c>
      <c r="J201" s="142" t="s">
        <v>117</v>
      </c>
      <c r="K201" s="90" t="s">
        <v>116</v>
      </c>
      <c r="L201" s="90" t="s">
        <v>369</v>
      </c>
      <c r="M201" s="90"/>
      <c r="N201" s="89" t="s">
        <v>655</v>
      </c>
      <c r="O201" s="200"/>
      <c r="P201" s="201"/>
      <c r="Q201" s="201"/>
      <c r="R201" s="237"/>
      <c r="S201" s="202"/>
      <c r="T201" s="200"/>
      <c r="U201" s="203"/>
      <c r="V201" s="89" t="s">
        <v>1011</v>
      </c>
      <c r="W201" s="89" t="s">
        <v>1012</v>
      </c>
      <c r="X201" s="145" t="s">
        <v>651</v>
      </c>
      <c r="Y201" s="89" t="s">
        <v>652</v>
      </c>
      <c r="Z201" s="90" t="s">
        <v>130</v>
      </c>
      <c r="AA201" s="90" t="s">
        <v>130</v>
      </c>
      <c r="AB201" s="90" t="s">
        <v>131</v>
      </c>
      <c r="AC201" s="90" t="s">
        <v>132</v>
      </c>
      <c r="AD201" s="92" t="s">
        <v>26</v>
      </c>
      <c r="AE201" s="149">
        <f>IFERROR(VLOOKUP(Z201,LISTS!$AL$2:$AM$1000,2,FALSE()),"")</f>
        <v>100</v>
      </c>
      <c r="AF201" s="151">
        <f>IFERROR(VLOOKUP(AA201,LISTS!$AO$2:$AP$1000,2,FALSE()),"")</f>
        <v>100</v>
      </c>
      <c r="AG201" s="152">
        <f>IFERROR(VLOOKUP(AB201,LISTS!$AR$2:$AS$1000,2,FALSE()),"")</f>
        <v>100</v>
      </c>
      <c r="AH201" s="154">
        <f>IFERROR(VLOOKUP(AC201,LISTS!$AU$2:$AV$1000,2,FALSE()),"")</f>
        <v>0</v>
      </c>
      <c r="AI201" s="238">
        <f t="shared" si="18"/>
        <v>100</v>
      </c>
      <c r="AJ201" s="190" t="str">
        <f t="shared" si="19"/>
        <v>🌟 ممتاز جدًا</v>
      </c>
      <c r="AK201" s="157">
        <f t="shared" si="15"/>
        <v>5</v>
      </c>
      <c r="AL201" s="160">
        <f t="shared" si="16"/>
        <v>2026</v>
      </c>
      <c r="AM201" s="210"/>
      <c r="AN201" s="209"/>
    </row>
    <row r="202" spans="1:40" ht="27.95" customHeight="1">
      <c r="A202" s="134">
        <f>IF(I202&lt;&gt;"",COUNTA($I$2:I202),"")</f>
        <v>201</v>
      </c>
      <c r="B202" s="138" t="str">
        <f t="shared" si="17"/>
        <v>السبت</v>
      </c>
      <c r="C202" s="93" t="str">
        <f t="array" ref="C202">IF(E202="","",IF(M202&lt;&gt;"",
M202&amp;"/"&amp;SUMPRODUCT((M$2:M202=M202)*1)&amp;" - "&amp;(ROW()-2),
"إداري/"&amp;SUMPRODUCT((M$2:M202="")*1)&amp;" - "&amp;(ROW()-2)))</f>
        <v>إداري/197 - 200</v>
      </c>
      <c r="D202" s="141" t="str">
        <f>IF(AND(G202="",H202="",I202=""),"",IF(COUNTIFS(LISTS!$A$2:$A$67,G202,LISTS!$B$2:$B$67,H202,LISTS!$C$2:$C$67,I202)=0,"✗ هرم",IF(NOT(OR(Z202="ممتاز 100%",Z202="جيد 80%",Z202="مقبول 60%",Z202="خطر 40%",Z202="")),"✗ قائمة R",IF(NOT(OR(AA202="ممتاز 100%",AA202="جيد 85%",AA202="مقبول 70%",AA202="ضعيف 50%",AA202="")),"✗ قائمة S",IF(NOT(OR(AB202="مكتمل 100%",AB202="جزئي 60%",AB202="معلق 30%",AB202="مفتوح 0%",AB202="")),"✗ قائمة T",IF(NOT(OR(AC202="لا خصم 0",AC202="تأخير −5",AC202="عجز −10",AC202="جودة −15",AC202="امتثال −20",AC202="مخالفة −25",AC202="")),"✗ قائمة U",IF(AND(X202="لا",AC202&lt;&gt;"",AC202&lt;&gt;"لا خصم 0"),"✗ خصم",IF(AND(X202="نعم",AC202="لا خصم 0"),"✗ خصم",IF(AND(Z202="ممتاز 100%",AA202="ممتاز 100%",AB202&lt;&gt;"",AB202&lt;&gt;"مكتمل 100%"),"✗ إغلاق",IFERROR(IF(LEN(_xlfn.TEXTJOIN("، ",TRUE,IF(E202="","التاريخ",""),IF(F202="","الوقت",""),IF(G202="","المركز",""),IF(H202="","الدائرة",""),IF(I202="","القسم",""),IF(J202="","المسؤول",""),IF(K202="","نوع النشاط",""),IF(L202="","المشروع",""),IF(N202="","الممول",""),IF(V202="","الموضوع",""),IF(W202="","الملاحظة",""),IF(X202="","مشكلة",""),IF(Y202="","الإجراء",""),IF(Z202="","التنفيذ",""),IF(AA202="","الجودة",""),IF(AB202="","الإغلاق",""),IF(AC202="","الخصم",""),IF(AND(COUNTA($O202:$U202)&gt;0,O202=""),"مدير المشروع",""),IF(AND(COUNTA($O202:$U202)&gt;0,P202=""),"المستفيدين",""),IF(AND(COUNTA($O202:$U202)&gt;0,Q202=""),"المناطق",""),IF(AND(COUNTA($O202:$U202)&gt;0,R202=""),"الميزانية",""),IF(AND(COUNTA($O202:$U202)&gt;0,S202=""),"نسبة الجاهزية",""),IF(AND(COUNTA($O202:$U202)&gt;0,T202=""),"حالة الجاهزية",""),IF(AND(COUNTA($O202:$U202)&gt;0,U202=""),"التوصيات","")))&gt;0,"✗ ناقص: "&amp;_xlfn.TEXTJOIN("، ",TRUE,IF(E202="","التاريخ",""),IF(F202="","الوقت",""),IF(G202="","المركز",""),IF(H202="","الدائرة",""),IF(I202="","القسم",""),IF(J202="","المسؤول",""),IF(K202="","نوع النشاط",""),IF(L202="","المشروع",""),IF(N202="","الممول",""),IF(V202="","الموضوع",""),IF(W202="","الملاحظة",""),IF(X202="","مشكلة",""),IF(Y202="","الإجراء",""),IF(Z202="","التنفيذ",""),IF(AA202="","الجودة",""),IF(AB202="","الإغلاق",""),IF(AC202="","الخصم",""),IF(AND(COUNTA($O202:$U202)&gt;0,O202=""),"مدير المشروع",""),IF(AND(COUNTA($O202:$U202)&gt;0,P202=""),"المستفيدين",""),IF(AND(COUNTA($O202:$U202)&gt;0,Q202=""),"المناطق",""),IF(AND(COUNTA($O202:$U202)&gt;0,R202=""),"الميزانية",""),IF(AND(COUNTA($O202:$U202)&gt;0,S202=""),"نسبة الجاهزية",""),IF(AND(COUNTA($O202:$U202)&gt;0,T202=""),"حالة الجاهزية",""),IF(AND(COUNTA($O202:$U202)&gt;0,U202=""),"التوصيات","")),"✓"),"✓"))))))))))</f>
        <v>✗ ناقص: الممول</v>
      </c>
      <c r="E202" s="235">
        <v>46172</v>
      </c>
      <c r="F202" s="236">
        <v>0.47916666666666669</v>
      </c>
      <c r="G202" s="90" t="s">
        <v>97</v>
      </c>
      <c r="H202" s="123" t="s">
        <v>104</v>
      </c>
      <c r="I202" s="89" t="s">
        <v>192</v>
      </c>
      <c r="J202" s="142" t="s">
        <v>117</v>
      </c>
      <c r="K202" s="90" t="s">
        <v>133</v>
      </c>
      <c r="L202" s="90" t="s">
        <v>369</v>
      </c>
      <c r="M202" s="90"/>
      <c r="N202" s="89"/>
      <c r="O202" s="200"/>
      <c r="P202" s="201"/>
      <c r="Q202" s="201"/>
      <c r="R202" s="237"/>
      <c r="S202" s="202"/>
      <c r="T202" s="200"/>
      <c r="U202" s="203"/>
      <c r="V202" s="89" t="s">
        <v>1013</v>
      </c>
      <c r="W202" s="89" t="s">
        <v>1014</v>
      </c>
      <c r="X202" s="145" t="s">
        <v>651</v>
      </c>
      <c r="Y202" s="89" t="s">
        <v>652</v>
      </c>
      <c r="Z202" s="90" t="s">
        <v>130</v>
      </c>
      <c r="AA202" s="90" t="s">
        <v>149</v>
      </c>
      <c r="AB202" s="90" t="s">
        <v>131</v>
      </c>
      <c r="AC202" s="90" t="s">
        <v>132</v>
      </c>
      <c r="AD202" s="92" t="s">
        <v>26</v>
      </c>
      <c r="AE202" s="149">
        <f>IFERROR(VLOOKUP(Z202,LISTS!$AL$2:$AM$1000,2,FALSE()),"")</f>
        <v>100</v>
      </c>
      <c r="AF202" s="151">
        <f>IFERROR(VLOOKUP(AA202,LISTS!$AO$2:$AP$1000,2,FALSE()),"")</f>
        <v>85</v>
      </c>
      <c r="AG202" s="152">
        <f>IFERROR(VLOOKUP(AB202,LISTS!$AR$2:$AS$1000,2,FALSE()),"")</f>
        <v>100</v>
      </c>
      <c r="AH202" s="154">
        <f>IFERROR(VLOOKUP(AC202,LISTS!$AU$2:$AV$1000,2,FALSE()),"")</f>
        <v>0</v>
      </c>
      <c r="AI202" s="238">
        <f t="shared" si="18"/>
        <v>95.5</v>
      </c>
      <c r="AJ202" s="190" t="str">
        <f t="shared" si="19"/>
        <v>⭐ ممتاز</v>
      </c>
      <c r="AK202" s="157">
        <f t="shared" si="15"/>
        <v>5</v>
      </c>
      <c r="AL202" s="160">
        <f t="shared" si="16"/>
        <v>2026</v>
      </c>
      <c r="AM202" s="210"/>
      <c r="AN202" s="209"/>
    </row>
    <row r="203" spans="1:40" ht="27.95" customHeight="1">
      <c r="A203" s="134">
        <f>IF(I203&lt;&gt;"",COUNTA($I$2:I203),"")</f>
        <v>202</v>
      </c>
      <c r="B203" s="138" t="str">
        <f t="shared" si="17"/>
        <v>السبت</v>
      </c>
      <c r="C203" s="93" t="str">
        <f t="array" ref="C203">IF(E203="","",IF(M203&lt;&gt;"",
M203&amp;"/"&amp;SUMPRODUCT((M$2:M203=M203)*1)&amp;" - "&amp;(ROW()-2),
"إداري/"&amp;SUMPRODUCT((M$2:M203="")*1)&amp;" - "&amp;(ROW()-2)))</f>
        <v>إداري/198 - 201</v>
      </c>
      <c r="D203" s="141" t="str">
        <f>IF(AND(G203="",H203="",I203=""),"",IF(COUNTIFS(LISTS!$A$2:$A$67,G203,LISTS!$B$2:$B$67,H203,LISTS!$C$2:$C$67,I203)=0,"✗ هرم",IF(NOT(OR(Z203="ممتاز 100%",Z203="جيد 80%",Z203="مقبول 60%",Z203="خطر 40%",Z203="")),"✗ قائمة R",IF(NOT(OR(AA203="ممتاز 100%",AA203="جيد 85%",AA203="مقبول 70%",AA203="ضعيف 50%",AA203="")),"✗ قائمة S",IF(NOT(OR(AB203="مكتمل 100%",AB203="جزئي 60%",AB203="معلق 30%",AB203="مفتوح 0%",AB203="")),"✗ قائمة T",IF(NOT(OR(AC203="لا خصم 0",AC203="تأخير −5",AC203="عجز −10",AC203="جودة −15",AC203="امتثال −20",AC203="مخالفة −25",AC203="")),"✗ قائمة U",IF(AND(X203="لا",AC203&lt;&gt;"",AC203&lt;&gt;"لا خصم 0"),"✗ خصم",IF(AND(X203="نعم",AC203="لا خصم 0"),"✗ خصم",IF(AND(Z203="ممتاز 100%",AA203="ممتاز 100%",AB203&lt;&gt;"",AB203&lt;&gt;"مكتمل 100%"),"✗ إغلاق",IFERROR(IF(LEN(_xlfn.TEXTJOIN("، ",TRUE,IF(E203="","التاريخ",""),IF(F203="","الوقت",""),IF(G203="","المركز",""),IF(H203="","الدائرة",""),IF(I203="","القسم",""),IF(J203="","المسؤول",""),IF(K203="","نوع النشاط",""),IF(L203="","المشروع",""),IF(N203="","الممول",""),IF(V203="","الموضوع",""),IF(W203="","الملاحظة",""),IF(X203="","مشكلة",""),IF(Y203="","الإجراء",""),IF(Z203="","التنفيذ",""),IF(AA203="","الجودة",""),IF(AB203="","الإغلاق",""),IF(AC203="","الخصم",""),IF(AND(COUNTA($O203:$U203)&gt;0,O203=""),"مدير المشروع",""),IF(AND(COUNTA($O203:$U203)&gt;0,P203=""),"المستفيدين",""),IF(AND(COUNTA($O203:$U203)&gt;0,Q203=""),"المناطق",""),IF(AND(COUNTA($O203:$U203)&gt;0,R203=""),"الميزانية",""),IF(AND(COUNTA($O203:$U203)&gt;0,S203=""),"نسبة الجاهزية",""),IF(AND(COUNTA($O203:$U203)&gt;0,T203=""),"حالة الجاهزية",""),IF(AND(COUNTA($O203:$U203)&gt;0,U203=""),"التوصيات","")))&gt;0,"✗ ناقص: "&amp;_xlfn.TEXTJOIN("، ",TRUE,IF(E203="","التاريخ",""),IF(F203="","الوقت",""),IF(G203="","المركز",""),IF(H203="","الدائرة",""),IF(I203="","القسم",""),IF(J203="","المسؤول",""),IF(K203="","نوع النشاط",""),IF(L203="","المشروع",""),IF(N203="","الممول",""),IF(V203="","الموضوع",""),IF(W203="","الملاحظة",""),IF(X203="","مشكلة",""),IF(Y203="","الإجراء",""),IF(Z203="","التنفيذ",""),IF(AA203="","الجودة",""),IF(AB203="","الإغلاق",""),IF(AC203="","الخصم",""),IF(AND(COUNTA($O203:$U203)&gt;0,O203=""),"مدير المشروع",""),IF(AND(COUNTA($O203:$U203)&gt;0,P203=""),"المستفيدين",""),IF(AND(COUNTA($O203:$U203)&gt;0,Q203=""),"المناطق",""),IF(AND(COUNTA($O203:$U203)&gt;0,R203=""),"الميزانية",""),IF(AND(COUNTA($O203:$U203)&gt;0,S203=""),"نسبة الجاهزية",""),IF(AND(COUNTA($O203:$U203)&gt;0,T203=""),"حالة الجاهزية",""),IF(AND(COUNTA($O203:$U203)&gt;0,U203=""),"التوصيات","")),"✓"),"✓"))))))))))</f>
        <v>✓</v>
      </c>
      <c r="E203" s="235">
        <v>46172</v>
      </c>
      <c r="F203" s="236">
        <v>0.4236111111111111</v>
      </c>
      <c r="G203" s="90" t="s">
        <v>97</v>
      </c>
      <c r="H203" s="123" t="s">
        <v>102</v>
      </c>
      <c r="I203" s="89" t="s">
        <v>124</v>
      </c>
      <c r="J203" s="142" t="s">
        <v>117</v>
      </c>
      <c r="K203" s="90" t="s">
        <v>116</v>
      </c>
      <c r="L203" s="90" t="s">
        <v>369</v>
      </c>
      <c r="M203" s="90"/>
      <c r="N203" s="89" t="s">
        <v>655</v>
      </c>
      <c r="O203" s="200"/>
      <c r="P203" s="201"/>
      <c r="Q203" s="201"/>
      <c r="R203" s="237"/>
      <c r="S203" s="202"/>
      <c r="T203" s="200"/>
      <c r="U203" s="203"/>
      <c r="V203" s="89" t="s">
        <v>1015</v>
      </c>
      <c r="W203" s="89" t="s">
        <v>1016</v>
      </c>
      <c r="X203" s="145" t="s">
        <v>651</v>
      </c>
      <c r="Y203" s="89" t="s">
        <v>652</v>
      </c>
      <c r="Z203" s="90" t="s">
        <v>130</v>
      </c>
      <c r="AA203" s="90" t="s">
        <v>130</v>
      </c>
      <c r="AB203" s="90" t="s">
        <v>131</v>
      </c>
      <c r="AC203" s="90" t="s">
        <v>132</v>
      </c>
      <c r="AD203" s="92" t="s">
        <v>26</v>
      </c>
      <c r="AE203" s="149">
        <f>IFERROR(VLOOKUP(Z203,LISTS!$AL$2:$AM$1000,2,FALSE()),"")</f>
        <v>100</v>
      </c>
      <c r="AF203" s="151">
        <f>IFERROR(VLOOKUP(AA203,LISTS!$AO$2:$AP$1000,2,FALSE()),"")</f>
        <v>100</v>
      </c>
      <c r="AG203" s="152">
        <f>IFERROR(VLOOKUP(AB203,LISTS!$AR$2:$AS$1000,2,FALSE()),"")</f>
        <v>100</v>
      </c>
      <c r="AH203" s="154">
        <f>IFERROR(VLOOKUP(AC203,LISTS!$AU$2:$AV$1000,2,FALSE()),"")</f>
        <v>0</v>
      </c>
      <c r="AI203" s="238">
        <f t="shared" si="18"/>
        <v>100</v>
      </c>
      <c r="AJ203" s="190" t="str">
        <f t="shared" si="19"/>
        <v>🌟 ممتاز جدًا</v>
      </c>
      <c r="AK203" s="157">
        <f t="shared" si="15"/>
        <v>5</v>
      </c>
      <c r="AL203" s="160">
        <f t="shared" si="16"/>
        <v>2026</v>
      </c>
      <c r="AM203" s="210"/>
      <c r="AN203" s="209"/>
    </row>
    <row r="204" spans="1:40" ht="27.95" customHeight="1">
      <c r="A204" s="134">
        <f>IF(I204&lt;&gt;"",COUNTA($I$2:I204),"")</f>
        <v>203</v>
      </c>
      <c r="B204" s="138" t="str">
        <f t="shared" si="17"/>
        <v>السبت</v>
      </c>
      <c r="C204" s="93" t="str">
        <f t="array" ref="C204">IF(E204="","",IF(M204&lt;&gt;"",
M204&amp;"/"&amp;SUMPRODUCT((M$2:M204=M204)*1)&amp;" - "&amp;(ROW()-2),
"إداري/"&amp;SUMPRODUCT((M$2:M204="")*1)&amp;" - "&amp;(ROW()-2)))</f>
        <v>إداري/199 - 202</v>
      </c>
      <c r="D204" s="141" t="str">
        <f>IF(AND(G204="",H204="",I204=""),"",IF(COUNTIFS(LISTS!$A$2:$A$67,G204,LISTS!$B$2:$B$67,H204,LISTS!$C$2:$C$67,I204)=0,"✗ هرم",IF(NOT(OR(Z204="ممتاز 100%",Z204="جيد 80%",Z204="مقبول 60%",Z204="خطر 40%",Z204="")),"✗ قائمة R",IF(NOT(OR(AA204="ممتاز 100%",AA204="جيد 85%",AA204="مقبول 70%",AA204="ضعيف 50%",AA204="")),"✗ قائمة S",IF(NOT(OR(AB204="مكتمل 100%",AB204="جزئي 60%",AB204="معلق 30%",AB204="مفتوح 0%",AB204="")),"✗ قائمة T",IF(NOT(OR(AC204="لا خصم 0",AC204="تأخير −5",AC204="عجز −10",AC204="جودة −15",AC204="امتثال −20",AC204="مخالفة −25",AC204="")),"✗ قائمة U",IF(AND(X204="لا",AC204&lt;&gt;"",AC204&lt;&gt;"لا خصم 0"),"✗ خصم",IF(AND(X204="نعم",AC204="لا خصم 0"),"✗ خصم",IF(AND(Z204="ممتاز 100%",AA204="ممتاز 100%",AB204&lt;&gt;"",AB204&lt;&gt;"مكتمل 100%"),"✗ إغلاق",IFERROR(IF(LEN(_xlfn.TEXTJOIN("، ",TRUE,IF(E204="","التاريخ",""),IF(F204="","الوقت",""),IF(G204="","المركز",""),IF(H204="","الدائرة",""),IF(I204="","القسم",""),IF(J204="","المسؤول",""),IF(K204="","نوع النشاط",""),IF(L204="","المشروع",""),IF(N204="","الممول",""),IF(V204="","الموضوع",""),IF(W204="","الملاحظة",""),IF(X204="","مشكلة",""),IF(Y204="","الإجراء",""),IF(Z204="","التنفيذ",""),IF(AA204="","الجودة",""),IF(AB204="","الإغلاق",""),IF(AC204="","الخصم",""),IF(AND(COUNTA($O204:$U204)&gt;0,O204=""),"مدير المشروع",""),IF(AND(COUNTA($O204:$U204)&gt;0,P204=""),"المستفيدين",""),IF(AND(COUNTA($O204:$U204)&gt;0,Q204=""),"المناطق",""),IF(AND(COUNTA($O204:$U204)&gt;0,R204=""),"الميزانية",""),IF(AND(COUNTA($O204:$U204)&gt;0,S204=""),"نسبة الجاهزية",""),IF(AND(COUNTA($O204:$U204)&gt;0,T204=""),"حالة الجاهزية",""),IF(AND(COUNTA($O204:$U204)&gt;0,U204=""),"التوصيات","")))&gt;0,"✗ ناقص: "&amp;_xlfn.TEXTJOIN("، ",TRUE,IF(E204="","التاريخ",""),IF(F204="","الوقت",""),IF(G204="","المركز",""),IF(H204="","الدائرة",""),IF(I204="","القسم",""),IF(J204="","المسؤول",""),IF(K204="","نوع النشاط",""),IF(L204="","المشروع",""),IF(N204="","الممول",""),IF(V204="","الموضوع",""),IF(W204="","الملاحظة",""),IF(X204="","مشكلة",""),IF(Y204="","الإجراء",""),IF(Z204="","التنفيذ",""),IF(AA204="","الجودة",""),IF(AB204="","الإغلاق",""),IF(AC204="","الخصم",""),IF(AND(COUNTA($O204:$U204)&gt;0,O204=""),"مدير المشروع",""),IF(AND(COUNTA($O204:$U204)&gt;0,P204=""),"المستفيدين",""),IF(AND(COUNTA($O204:$U204)&gt;0,Q204=""),"المناطق",""),IF(AND(COUNTA($O204:$U204)&gt;0,R204=""),"الميزانية",""),IF(AND(COUNTA($O204:$U204)&gt;0,S204=""),"نسبة الجاهزية",""),IF(AND(COUNTA($O204:$U204)&gt;0,T204=""),"حالة الجاهزية",""),IF(AND(COUNTA($O204:$U204)&gt;0,U204=""),"التوصيات","")),"✓"),"✓"))))))))))</f>
        <v>✗ ناقص: الممول</v>
      </c>
      <c r="E204" s="235">
        <v>46172</v>
      </c>
      <c r="F204" s="236">
        <v>0.5625</v>
      </c>
      <c r="G204" s="90" t="s">
        <v>97</v>
      </c>
      <c r="H204" s="123" t="s">
        <v>102</v>
      </c>
      <c r="I204" s="89" t="s">
        <v>220</v>
      </c>
      <c r="J204" s="142" t="s">
        <v>251</v>
      </c>
      <c r="K204" s="90" t="s">
        <v>133</v>
      </c>
      <c r="L204" s="90" t="s">
        <v>369</v>
      </c>
      <c r="M204" s="90"/>
      <c r="N204" s="89"/>
      <c r="O204" s="200"/>
      <c r="P204" s="201"/>
      <c r="Q204" s="201"/>
      <c r="R204" s="237"/>
      <c r="S204" s="202"/>
      <c r="T204" s="200"/>
      <c r="U204" s="203"/>
      <c r="V204" s="89" t="s">
        <v>1017</v>
      </c>
      <c r="W204" s="89" t="s">
        <v>1018</v>
      </c>
      <c r="X204" s="145" t="s">
        <v>976</v>
      </c>
      <c r="Y204" s="89" t="s">
        <v>652</v>
      </c>
      <c r="Z204" s="90" t="s">
        <v>165</v>
      </c>
      <c r="AA204" s="90" t="s">
        <v>130</v>
      </c>
      <c r="AB204" s="90" t="s">
        <v>131</v>
      </c>
      <c r="AC204" s="90" t="s">
        <v>196</v>
      </c>
      <c r="AD204" s="92" t="s">
        <v>134</v>
      </c>
      <c r="AE204" s="149">
        <f>IFERROR(VLOOKUP(Z204,LISTS!$AL$2:$AM$1000,2,FALSE()),"")</f>
        <v>80</v>
      </c>
      <c r="AF204" s="151">
        <f>IFERROR(VLOOKUP(AA204,LISTS!$AO$2:$AP$1000,2,FALSE()),"")</f>
        <v>100</v>
      </c>
      <c r="AG204" s="152">
        <f>IFERROR(VLOOKUP(AB204,LISTS!$AR$2:$AS$1000,2,FALSE()),"")</f>
        <v>100</v>
      </c>
      <c r="AH204" s="154">
        <f>IFERROR(VLOOKUP(AC204,LISTS!$AU$2:$AV$1000,2,FALSE()),"")</f>
        <v>5</v>
      </c>
      <c r="AI204" s="238">
        <f t="shared" si="18"/>
        <v>87</v>
      </c>
      <c r="AJ204" s="190" t="str">
        <f t="shared" si="19"/>
        <v>🟢 جيد</v>
      </c>
      <c r="AK204" s="157">
        <f t="shared" si="15"/>
        <v>5</v>
      </c>
      <c r="AL204" s="160">
        <f t="shared" si="16"/>
        <v>2026</v>
      </c>
      <c r="AM204" s="210"/>
      <c r="AN204" s="209"/>
    </row>
    <row r="205" spans="1:40" ht="27.95" customHeight="1">
      <c r="A205" s="134">
        <f>IF(I205&lt;&gt;"",COUNTA($I$2:I205),"")</f>
        <v>204</v>
      </c>
      <c r="B205" s="138" t="str">
        <f t="shared" si="17"/>
        <v>الأحد</v>
      </c>
      <c r="C205" s="93" t="str">
        <f t="array" ref="C205">IF(E205="","",IF(M205&lt;&gt;"",
M205&amp;"/"&amp;SUMPRODUCT((M$2:M205=M205)*1)&amp;" - "&amp;(ROW()-2),
"إداري/"&amp;SUMPRODUCT((M$2:M205="")*1)&amp;" - "&amp;(ROW()-2)))</f>
        <v>إداري/200 - 203</v>
      </c>
      <c r="D205" s="141" t="str">
        <f>IF(AND(G205="",H205="",I205=""),"",IF(COUNTIFS(LISTS!$A$2:$A$67,G205,LISTS!$B$2:$B$67,H205,LISTS!$C$2:$C$67,I205)=0,"✗ هرم",IF(NOT(OR(Z205="ممتاز 100%",Z205="جيد 80%",Z205="مقبول 60%",Z205="خطر 40%",Z205="")),"✗ قائمة R",IF(NOT(OR(AA205="ممتاز 100%",AA205="جيد 85%",AA205="مقبول 70%",AA205="ضعيف 50%",AA205="")),"✗ قائمة S",IF(NOT(OR(AB205="مكتمل 100%",AB205="جزئي 60%",AB205="معلق 30%",AB205="مفتوح 0%",AB205="")),"✗ قائمة T",IF(NOT(OR(AC205="لا خصم 0",AC205="تأخير −5",AC205="عجز −10",AC205="جودة −15",AC205="امتثال −20",AC205="مخالفة −25",AC205="")),"✗ قائمة U",IF(AND(X205="لا",AC205&lt;&gt;"",AC205&lt;&gt;"لا خصم 0"),"✗ خصم",IF(AND(X205="نعم",AC205="لا خصم 0"),"✗ خصم",IF(AND(Z205="ممتاز 100%",AA205="ممتاز 100%",AB205&lt;&gt;"",AB205&lt;&gt;"مكتمل 100%"),"✗ إغلاق",IFERROR(IF(LEN(_xlfn.TEXTJOIN("، ",TRUE,IF(E205="","التاريخ",""),IF(F205="","الوقت",""),IF(G205="","المركز",""),IF(H205="","الدائرة",""),IF(I205="","القسم",""),IF(J205="","المسؤول",""),IF(K205="","نوع النشاط",""),IF(L205="","المشروع",""),IF(N205="","الممول",""),IF(V205="","الموضوع",""),IF(W205="","الملاحظة",""),IF(X205="","مشكلة",""),IF(Y205="","الإجراء",""),IF(Z205="","التنفيذ",""),IF(AA205="","الجودة",""),IF(AB205="","الإغلاق",""),IF(AC205="","الخصم",""),IF(AND(COUNTA($O205:$U205)&gt;0,O205=""),"مدير المشروع",""),IF(AND(COUNTA($O205:$U205)&gt;0,P205=""),"المستفيدين",""),IF(AND(COUNTA($O205:$U205)&gt;0,Q205=""),"المناطق",""),IF(AND(COUNTA($O205:$U205)&gt;0,R205=""),"الميزانية",""),IF(AND(COUNTA($O205:$U205)&gt;0,S205=""),"نسبة الجاهزية",""),IF(AND(COUNTA($O205:$U205)&gt;0,T205=""),"حالة الجاهزية",""),IF(AND(COUNTA($O205:$U205)&gt;0,U205=""),"التوصيات","")))&gt;0,"✗ ناقص: "&amp;_xlfn.TEXTJOIN("، ",TRUE,IF(E205="","التاريخ",""),IF(F205="","الوقت",""),IF(G205="","المركز",""),IF(H205="","الدائرة",""),IF(I205="","القسم",""),IF(J205="","المسؤول",""),IF(K205="","نوع النشاط",""),IF(L205="","المشروع",""),IF(N205="","الممول",""),IF(V205="","الموضوع",""),IF(W205="","الملاحظة",""),IF(X205="","مشكلة",""),IF(Y205="","الإجراء",""),IF(Z205="","التنفيذ",""),IF(AA205="","الجودة",""),IF(AB205="","الإغلاق",""),IF(AC205="","الخصم",""),IF(AND(COUNTA($O205:$U205)&gt;0,O205=""),"مدير المشروع",""),IF(AND(COUNTA($O205:$U205)&gt;0,P205=""),"المستفيدين",""),IF(AND(COUNTA($O205:$U205)&gt;0,Q205=""),"المناطق",""),IF(AND(COUNTA($O205:$U205)&gt;0,R205=""),"الميزانية",""),IF(AND(COUNTA($O205:$U205)&gt;0,S205=""),"نسبة الجاهزية",""),IF(AND(COUNTA($O205:$U205)&gt;0,T205=""),"حالة الجاهزية",""),IF(AND(COUNTA($O205:$U205)&gt;0,U205=""),"التوصيات","")),"✓"),"✓"))))))))))</f>
        <v>✗ ناقص: الممول</v>
      </c>
      <c r="E205" s="235">
        <v>46173</v>
      </c>
      <c r="F205" s="236">
        <v>0.47916666666666669</v>
      </c>
      <c r="G205" s="90" t="s">
        <v>97</v>
      </c>
      <c r="H205" s="123" t="s">
        <v>102</v>
      </c>
      <c r="I205" s="89" t="s">
        <v>202</v>
      </c>
      <c r="J205" s="142" t="s">
        <v>135</v>
      </c>
      <c r="K205" s="90" t="s">
        <v>116</v>
      </c>
      <c r="L205" s="90" t="s">
        <v>292</v>
      </c>
      <c r="M205" s="90"/>
      <c r="N205" s="89"/>
      <c r="O205" s="200"/>
      <c r="P205" s="201"/>
      <c r="Q205" s="201"/>
      <c r="R205" s="237"/>
      <c r="S205" s="202"/>
      <c r="T205" s="200"/>
      <c r="U205" s="203"/>
      <c r="V205" s="89" t="s">
        <v>961</v>
      </c>
      <c r="W205" s="89" t="s">
        <v>1019</v>
      </c>
      <c r="X205" s="145" t="s">
        <v>651</v>
      </c>
      <c r="Y205" s="89" t="s">
        <v>652</v>
      </c>
      <c r="Z205" s="90" t="s">
        <v>130</v>
      </c>
      <c r="AA205" s="90" t="s">
        <v>130</v>
      </c>
      <c r="AB205" s="90" t="s">
        <v>131</v>
      </c>
      <c r="AC205" s="90" t="s">
        <v>132</v>
      </c>
      <c r="AD205" s="92" t="s">
        <v>26</v>
      </c>
      <c r="AE205" s="149">
        <f>IFERROR(VLOOKUP(Z205,LISTS!$AL$2:$AM$1000,2,FALSE()),"")</f>
        <v>100</v>
      </c>
      <c r="AF205" s="151">
        <f>IFERROR(VLOOKUP(AA205,LISTS!$AO$2:$AP$1000,2,FALSE()),"")</f>
        <v>100</v>
      </c>
      <c r="AG205" s="152">
        <f>IFERROR(VLOOKUP(AB205,LISTS!$AR$2:$AS$1000,2,FALSE()),"")</f>
        <v>100</v>
      </c>
      <c r="AH205" s="154">
        <f>IFERROR(VLOOKUP(AC205,LISTS!$AU$2:$AV$1000,2,FALSE()),"")</f>
        <v>0</v>
      </c>
      <c r="AI205" s="238">
        <f t="shared" si="18"/>
        <v>100</v>
      </c>
      <c r="AJ205" s="190" t="str">
        <f t="shared" si="19"/>
        <v>🌟 ممتاز جدًا</v>
      </c>
      <c r="AK205" s="157">
        <f t="shared" si="15"/>
        <v>5</v>
      </c>
      <c r="AL205" s="160">
        <f t="shared" si="16"/>
        <v>2026</v>
      </c>
      <c r="AM205" s="210"/>
      <c r="AN205" s="209"/>
    </row>
    <row r="206" spans="1:40" ht="27.95" customHeight="1">
      <c r="A206" s="134">
        <f>IF(I206&lt;&gt;"",COUNTA($I$2:I206),"")</f>
        <v>205</v>
      </c>
      <c r="B206" s="138" t="str">
        <f t="shared" si="17"/>
        <v>الأحد</v>
      </c>
      <c r="C206" s="93" t="str">
        <f t="array" ref="C206">IF(E206="","",IF(M206&lt;&gt;"",
M206&amp;"/"&amp;SUMPRODUCT((M$2:M206=M206)*1)&amp;" - "&amp;(ROW()-2),
"إداري/"&amp;SUMPRODUCT((M$2:M206="")*1)&amp;" - "&amp;(ROW()-2)))</f>
        <v>إداري/201 - 204</v>
      </c>
      <c r="D206" s="141" t="str">
        <f>IF(AND(G206="",H206="",I206=""),"",IF(COUNTIFS(LISTS!$A$2:$A$67,G206,LISTS!$B$2:$B$67,H206,LISTS!$C$2:$C$67,I206)=0,"✗ هرم",IF(NOT(OR(Z206="ممتاز 100%",Z206="جيد 80%",Z206="مقبول 60%",Z206="خطر 40%",Z206="")),"✗ قائمة R",IF(NOT(OR(AA206="ممتاز 100%",AA206="جيد 85%",AA206="مقبول 70%",AA206="ضعيف 50%",AA206="")),"✗ قائمة S",IF(NOT(OR(AB206="مكتمل 100%",AB206="جزئي 60%",AB206="معلق 30%",AB206="مفتوح 0%",AB206="")),"✗ قائمة T",IF(NOT(OR(AC206="لا خصم 0",AC206="تأخير −5",AC206="عجز −10",AC206="جودة −15",AC206="امتثال −20",AC206="مخالفة −25",AC206="")),"✗ قائمة U",IF(AND(X206="لا",AC206&lt;&gt;"",AC206&lt;&gt;"لا خصم 0"),"✗ خصم",IF(AND(X206="نعم",AC206="لا خصم 0"),"✗ خصم",IF(AND(Z206="ممتاز 100%",AA206="ممتاز 100%",AB206&lt;&gt;"",AB206&lt;&gt;"مكتمل 100%"),"✗ إغلاق",IFERROR(IF(LEN(_xlfn.TEXTJOIN("، ",TRUE,IF(E206="","التاريخ",""),IF(F206="","الوقت",""),IF(G206="","المركز",""),IF(H206="","الدائرة",""),IF(I206="","القسم",""),IF(J206="","المسؤول",""),IF(K206="","نوع النشاط",""),IF(L206="","المشروع",""),IF(N206="","الممول",""),IF(V206="","الموضوع",""),IF(W206="","الملاحظة",""),IF(X206="","مشكلة",""),IF(Y206="","الإجراء",""),IF(Z206="","التنفيذ",""),IF(AA206="","الجودة",""),IF(AB206="","الإغلاق",""),IF(AC206="","الخصم",""),IF(AND(COUNTA($O206:$U206)&gt;0,O206=""),"مدير المشروع",""),IF(AND(COUNTA($O206:$U206)&gt;0,P206=""),"المستفيدين",""),IF(AND(COUNTA($O206:$U206)&gt;0,Q206=""),"المناطق",""),IF(AND(COUNTA($O206:$U206)&gt;0,R206=""),"الميزانية",""),IF(AND(COUNTA($O206:$U206)&gt;0,S206=""),"نسبة الجاهزية",""),IF(AND(COUNTA($O206:$U206)&gt;0,T206=""),"حالة الجاهزية",""),IF(AND(COUNTA($O206:$U206)&gt;0,U206=""),"التوصيات","")))&gt;0,"✗ ناقص: "&amp;_xlfn.TEXTJOIN("، ",TRUE,IF(E206="","التاريخ",""),IF(F206="","الوقت",""),IF(G206="","المركز",""),IF(H206="","الدائرة",""),IF(I206="","القسم",""),IF(J206="","المسؤول",""),IF(K206="","نوع النشاط",""),IF(L206="","المشروع",""),IF(N206="","الممول",""),IF(V206="","الموضوع",""),IF(W206="","الملاحظة",""),IF(X206="","مشكلة",""),IF(Y206="","الإجراء",""),IF(Z206="","التنفيذ",""),IF(AA206="","الجودة",""),IF(AB206="","الإغلاق",""),IF(AC206="","الخصم",""),IF(AND(COUNTA($O206:$U206)&gt;0,O206=""),"مدير المشروع",""),IF(AND(COUNTA($O206:$U206)&gt;0,P206=""),"المستفيدين",""),IF(AND(COUNTA($O206:$U206)&gt;0,Q206=""),"المناطق",""),IF(AND(COUNTA($O206:$U206)&gt;0,R206=""),"الميزانية",""),IF(AND(COUNTA($O206:$U206)&gt;0,S206=""),"نسبة الجاهزية",""),IF(AND(COUNTA($O206:$U206)&gt;0,T206=""),"حالة الجاهزية",""),IF(AND(COUNTA($O206:$U206)&gt;0,U206=""),"التوصيات","")),"✓"),"✓"))))))))))</f>
        <v>✓</v>
      </c>
      <c r="E206" s="235">
        <v>46173</v>
      </c>
      <c r="F206" s="236">
        <v>0.46875</v>
      </c>
      <c r="G206" s="90" t="s">
        <v>97</v>
      </c>
      <c r="H206" s="123" t="s">
        <v>101</v>
      </c>
      <c r="I206" s="89" t="s">
        <v>123</v>
      </c>
      <c r="J206" s="142" t="s">
        <v>186</v>
      </c>
      <c r="K206" s="90" t="s">
        <v>116</v>
      </c>
      <c r="L206" s="90" t="s">
        <v>274</v>
      </c>
      <c r="M206" s="90"/>
      <c r="N206" s="89" t="s">
        <v>138</v>
      </c>
      <c r="O206" s="200"/>
      <c r="P206" s="201"/>
      <c r="Q206" s="201"/>
      <c r="R206" s="237"/>
      <c r="S206" s="202"/>
      <c r="T206" s="200"/>
      <c r="U206" s="203"/>
      <c r="V206" s="89" t="s">
        <v>1020</v>
      </c>
      <c r="W206" s="89" t="s">
        <v>1021</v>
      </c>
      <c r="X206" s="145" t="s">
        <v>651</v>
      </c>
      <c r="Y206" s="89" t="s">
        <v>652</v>
      </c>
      <c r="Z206" s="90" t="s">
        <v>130</v>
      </c>
      <c r="AA206" s="90" t="s">
        <v>130</v>
      </c>
      <c r="AB206" s="90" t="s">
        <v>131</v>
      </c>
      <c r="AC206" s="90" t="s">
        <v>132</v>
      </c>
      <c r="AD206" s="92" t="s">
        <v>26</v>
      </c>
      <c r="AE206" s="149">
        <f>IFERROR(VLOOKUP(Z206,LISTS!$AL$2:$AM$1000,2,FALSE()),"")</f>
        <v>100</v>
      </c>
      <c r="AF206" s="151">
        <f>IFERROR(VLOOKUP(AA206,LISTS!$AO$2:$AP$1000,2,FALSE()),"")</f>
        <v>100</v>
      </c>
      <c r="AG206" s="152">
        <f>IFERROR(VLOOKUP(AB206,LISTS!$AR$2:$AS$1000,2,FALSE()),"")</f>
        <v>100</v>
      </c>
      <c r="AH206" s="154">
        <f>IFERROR(VLOOKUP(AC206,LISTS!$AU$2:$AV$1000,2,FALSE()),"")</f>
        <v>0</v>
      </c>
      <c r="AI206" s="238">
        <f t="shared" si="18"/>
        <v>100</v>
      </c>
      <c r="AJ206" s="190" t="str">
        <f t="shared" si="19"/>
        <v>🌟 ممتاز جدًا</v>
      </c>
      <c r="AK206" s="157">
        <f t="shared" si="15"/>
        <v>5</v>
      </c>
      <c r="AL206" s="160">
        <f t="shared" si="16"/>
        <v>2026</v>
      </c>
      <c r="AM206" s="210"/>
      <c r="AN206" s="209"/>
    </row>
    <row r="207" spans="1:40" ht="27.95" customHeight="1">
      <c r="A207" s="134">
        <f>IF(I207&lt;&gt;"",COUNTA($I$2:I207),"")</f>
        <v>206</v>
      </c>
      <c r="B207" s="138" t="str">
        <f t="shared" si="17"/>
        <v>الأحد</v>
      </c>
      <c r="C207" s="93" t="str">
        <f t="array" ref="C207">IF(E207="","",IF(M207&lt;&gt;"",
M207&amp;"/"&amp;SUMPRODUCT((M$2:M207=M207)*1)&amp;" - "&amp;(ROW()-2),
"إداري/"&amp;SUMPRODUCT((M$2:M207="")*1)&amp;" - "&amp;(ROW()-2)))</f>
        <v>إداري/202 - 205</v>
      </c>
      <c r="D207" s="141" t="str">
        <f>IF(AND(G207="",H207="",I207=""),"",IF(COUNTIFS(LISTS!$A$2:$A$67,G207,LISTS!$B$2:$B$67,H207,LISTS!$C$2:$C$67,I207)=0,"✗ هرم",IF(NOT(OR(Z207="ممتاز 100%",Z207="جيد 80%",Z207="مقبول 60%",Z207="خطر 40%",Z207="")),"✗ قائمة R",IF(NOT(OR(AA207="ممتاز 100%",AA207="جيد 85%",AA207="مقبول 70%",AA207="ضعيف 50%",AA207="")),"✗ قائمة S",IF(NOT(OR(AB207="مكتمل 100%",AB207="جزئي 60%",AB207="معلق 30%",AB207="مفتوح 0%",AB207="")),"✗ قائمة T",IF(NOT(OR(AC207="لا خصم 0",AC207="تأخير −5",AC207="عجز −10",AC207="جودة −15",AC207="امتثال −20",AC207="مخالفة −25",AC207="")),"✗ قائمة U",IF(AND(X207="لا",AC207&lt;&gt;"",AC207&lt;&gt;"لا خصم 0"),"✗ خصم",IF(AND(X207="نعم",AC207="لا خصم 0"),"✗ خصم",IF(AND(Z207="ممتاز 100%",AA207="ممتاز 100%",AB207&lt;&gt;"",AB207&lt;&gt;"مكتمل 100%"),"✗ إغلاق",IFERROR(IF(LEN(_xlfn.TEXTJOIN("، ",TRUE,IF(E207="","التاريخ",""),IF(F207="","الوقت",""),IF(G207="","المركز",""),IF(H207="","الدائرة",""),IF(I207="","القسم",""),IF(J207="","المسؤول",""),IF(K207="","نوع النشاط",""),IF(L207="","المشروع",""),IF(N207="","الممول",""),IF(V207="","الموضوع",""),IF(W207="","الملاحظة",""),IF(X207="","مشكلة",""),IF(Y207="","الإجراء",""),IF(Z207="","التنفيذ",""),IF(AA207="","الجودة",""),IF(AB207="","الإغلاق",""),IF(AC207="","الخصم",""),IF(AND(COUNTA($O207:$U207)&gt;0,O207=""),"مدير المشروع",""),IF(AND(COUNTA($O207:$U207)&gt;0,P207=""),"المستفيدين",""),IF(AND(COUNTA($O207:$U207)&gt;0,Q207=""),"المناطق",""),IF(AND(COUNTA($O207:$U207)&gt;0,R207=""),"الميزانية",""),IF(AND(COUNTA($O207:$U207)&gt;0,S207=""),"نسبة الجاهزية",""),IF(AND(COUNTA($O207:$U207)&gt;0,T207=""),"حالة الجاهزية",""),IF(AND(COUNTA($O207:$U207)&gt;0,U207=""),"التوصيات","")))&gt;0,"✗ ناقص: "&amp;_xlfn.TEXTJOIN("، ",TRUE,IF(E207="","التاريخ",""),IF(F207="","الوقت",""),IF(G207="","المركز",""),IF(H207="","الدائرة",""),IF(I207="","القسم",""),IF(J207="","المسؤول",""),IF(K207="","نوع النشاط",""),IF(L207="","المشروع",""),IF(N207="","الممول",""),IF(V207="","الموضوع",""),IF(W207="","الملاحظة",""),IF(X207="","مشكلة",""),IF(Y207="","الإجراء",""),IF(Z207="","التنفيذ",""),IF(AA207="","الجودة",""),IF(AB207="","الإغلاق",""),IF(AC207="","الخصم",""),IF(AND(COUNTA($O207:$U207)&gt;0,O207=""),"مدير المشروع",""),IF(AND(COUNTA($O207:$U207)&gt;0,P207=""),"المستفيدين",""),IF(AND(COUNTA($O207:$U207)&gt;0,Q207=""),"المناطق",""),IF(AND(COUNTA($O207:$U207)&gt;0,R207=""),"الميزانية",""),IF(AND(COUNTA($O207:$U207)&gt;0,S207=""),"نسبة الجاهزية",""),IF(AND(COUNTA($O207:$U207)&gt;0,T207=""),"حالة الجاهزية",""),IF(AND(COUNTA($O207:$U207)&gt;0,U207=""),"التوصيات","")),"✓"),"✓"))))))))))</f>
        <v>✓</v>
      </c>
      <c r="E207" s="235">
        <v>46173</v>
      </c>
      <c r="F207" s="236">
        <v>0.56597222222222221</v>
      </c>
      <c r="G207" s="90" t="s">
        <v>97</v>
      </c>
      <c r="H207" s="123" t="s">
        <v>102</v>
      </c>
      <c r="I207" s="89" t="s">
        <v>124</v>
      </c>
      <c r="J207" s="142" t="s">
        <v>117</v>
      </c>
      <c r="K207" s="90" t="s">
        <v>116</v>
      </c>
      <c r="L207" s="90" t="s">
        <v>369</v>
      </c>
      <c r="M207" s="90"/>
      <c r="N207" s="89" t="s">
        <v>655</v>
      </c>
      <c r="O207" s="200"/>
      <c r="P207" s="201"/>
      <c r="Q207" s="201"/>
      <c r="R207" s="237"/>
      <c r="S207" s="202"/>
      <c r="T207" s="200"/>
      <c r="U207" s="203"/>
      <c r="V207" s="89" t="s">
        <v>823</v>
      </c>
      <c r="W207" s="89" t="s">
        <v>958</v>
      </c>
      <c r="X207" s="145" t="s">
        <v>651</v>
      </c>
      <c r="Y207" s="89" t="s">
        <v>652</v>
      </c>
      <c r="Z207" s="90" t="s">
        <v>130</v>
      </c>
      <c r="AA207" s="90" t="s">
        <v>130</v>
      </c>
      <c r="AB207" s="90" t="s">
        <v>131</v>
      </c>
      <c r="AC207" s="90" t="s">
        <v>132</v>
      </c>
      <c r="AD207" s="92" t="s">
        <v>26</v>
      </c>
      <c r="AE207" s="149">
        <f>IFERROR(VLOOKUP(Z207,LISTS!$AL$2:$AM$1000,2,FALSE()),"")</f>
        <v>100</v>
      </c>
      <c r="AF207" s="151">
        <f>IFERROR(VLOOKUP(AA207,LISTS!$AO$2:$AP$1000,2,FALSE()),"")</f>
        <v>100</v>
      </c>
      <c r="AG207" s="152">
        <f>IFERROR(VLOOKUP(AB207,LISTS!$AR$2:$AS$1000,2,FALSE()),"")</f>
        <v>100</v>
      </c>
      <c r="AH207" s="154">
        <f>IFERROR(VLOOKUP(AC207,LISTS!$AU$2:$AV$1000,2,FALSE()),"")</f>
        <v>0</v>
      </c>
      <c r="AI207" s="238">
        <f t="shared" si="18"/>
        <v>100</v>
      </c>
      <c r="AJ207" s="190" t="str">
        <f t="shared" si="19"/>
        <v>🌟 ممتاز جدًا</v>
      </c>
      <c r="AK207" s="157">
        <f t="shared" si="15"/>
        <v>5</v>
      </c>
      <c r="AL207" s="160">
        <f t="shared" si="16"/>
        <v>2026</v>
      </c>
      <c r="AM207" s="210"/>
      <c r="AN207" s="209"/>
    </row>
    <row r="208" spans="1:40" ht="27.95" customHeight="1">
      <c r="A208" s="134">
        <f>IF(I208&lt;&gt;"",COUNTA($I$2:I208),"")</f>
        <v>207</v>
      </c>
      <c r="B208" s="138" t="str">
        <f t="shared" si="17"/>
        <v>الأحد</v>
      </c>
      <c r="C208" s="93" t="str">
        <f t="array" ref="C208">IF(E208="","",IF(M208&lt;&gt;"",
M208&amp;"/"&amp;SUMPRODUCT((M$2:M208=M208)*1)&amp;" - "&amp;(ROW()-2),
"إداري/"&amp;SUMPRODUCT((M$2:M208="")*1)&amp;" - "&amp;(ROW()-2)))</f>
        <v>إداري/203 - 206</v>
      </c>
      <c r="D208" s="141" t="str">
        <f>IF(AND(G208="",H208="",I208=""),"",IF(COUNTIFS(LISTS!$A$2:$A$67,G208,LISTS!$B$2:$B$67,H208,LISTS!$C$2:$C$67,I208)=0,"✗ هرم",IF(NOT(OR(Z208="ممتاز 100%",Z208="جيد 80%",Z208="مقبول 60%",Z208="خطر 40%",Z208="")),"✗ قائمة R",IF(NOT(OR(AA208="ممتاز 100%",AA208="جيد 85%",AA208="مقبول 70%",AA208="ضعيف 50%",AA208="")),"✗ قائمة S",IF(NOT(OR(AB208="مكتمل 100%",AB208="جزئي 60%",AB208="معلق 30%",AB208="مفتوح 0%",AB208="")),"✗ قائمة T",IF(NOT(OR(AC208="لا خصم 0",AC208="تأخير −5",AC208="عجز −10",AC208="جودة −15",AC208="امتثال −20",AC208="مخالفة −25",AC208="")),"✗ قائمة U",IF(AND(X208="لا",AC208&lt;&gt;"",AC208&lt;&gt;"لا خصم 0"),"✗ خصم",IF(AND(X208="نعم",AC208="لا خصم 0"),"✗ خصم",IF(AND(Z208="ممتاز 100%",AA208="ممتاز 100%",AB208&lt;&gt;"",AB208&lt;&gt;"مكتمل 100%"),"✗ إغلاق",IFERROR(IF(LEN(_xlfn.TEXTJOIN("، ",TRUE,IF(E208="","التاريخ",""),IF(F208="","الوقت",""),IF(G208="","المركز",""),IF(H208="","الدائرة",""),IF(I208="","القسم",""),IF(J208="","المسؤول",""),IF(K208="","نوع النشاط",""),IF(L208="","المشروع",""),IF(N208="","الممول",""),IF(V208="","الموضوع",""),IF(W208="","الملاحظة",""),IF(X208="","مشكلة",""),IF(Y208="","الإجراء",""),IF(Z208="","التنفيذ",""),IF(AA208="","الجودة",""),IF(AB208="","الإغلاق",""),IF(AC208="","الخصم",""),IF(AND(COUNTA($O208:$U208)&gt;0,O208=""),"مدير المشروع",""),IF(AND(COUNTA($O208:$U208)&gt;0,P208=""),"المستفيدين",""),IF(AND(COUNTA($O208:$U208)&gt;0,Q208=""),"المناطق",""),IF(AND(COUNTA($O208:$U208)&gt;0,R208=""),"الميزانية",""),IF(AND(COUNTA($O208:$U208)&gt;0,S208=""),"نسبة الجاهزية",""),IF(AND(COUNTA($O208:$U208)&gt;0,T208=""),"حالة الجاهزية",""),IF(AND(COUNTA($O208:$U208)&gt;0,U208=""),"التوصيات","")))&gt;0,"✗ ناقص: "&amp;_xlfn.TEXTJOIN("، ",TRUE,IF(E208="","التاريخ",""),IF(F208="","الوقت",""),IF(G208="","المركز",""),IF(H208="","الدائرة",""),IF(I208="","القسم",""),IF(J208="","المسؤول",""),IF(K208="","نوع النشاط",""),IF(L208="","المشروع",""),IF(N208="","الممول",""),IF(V208="","الموضوع",""),IF(W208="","الملاحظة",""),IF(X208="","مشكلة",""),IF(Y208="","الإجراء",""),IF(Z208="","التنفيذ",""),IF(AA208="","الجودة",""),IF(AB208="","الإغلاق",""),IF(AC208="","الخصم",""),IF(AND(COUNTA($O208:$U208)&gt;0,O208=""),"مدير المشروع",""),IF(AND(COUNTA($O208:$U208)&gt;0,P208=""),"المستفيدين",""),IF(AND(COUNTA($O208:$U208)&gt;0,Q208=""),"المناطق",""),IF(AND(COUNTA($O208:$U208)&gt;0,R208=""),"الميزانية",""),IF(AND(COUNTA($O208:$U208)&gt;0,S208=""),"نسبة الجاهزية",""),IF(AND(COUNTA($O208:$U208)&gt;0,T208=""),"حالة الجاهزية",""),IF(AND(COUNTA($O208:$U208)&gt;0,U208=""),"التوصيات","")),"✓"),"✓"))))))))))</f>
        <v>✗ ناقص: المسؤول، المشروع، الممول</v>
      </c>
      <c r="E208" s="235">
        <v>46173</v>
      </c>
      <c r="F208" s="236">
        <v>0.79166666666666663</v>
      </c>
      <c r="G208" s="90" t="s">
        <v>97</v>
      </c>
      <c r="H208" s="123" t="s">
        <v>100</v>
      </c>
      <c r="I208" s="89" t="s">
        <v>190</v>
      </c>
      <c r="J208" s="142"/>
      <c r="K208" s="90" t="s">
        <v>152</v>
      </c>
      <c r="L208" s="90"/>
      <c r="M208" s="90"/>
      <c r="N208" s="89"/>
      <c r="O208" s="200"/>
      <c r="P208" s="201"/>
      <c r="Q208" s="201"/>
      <c r="R208" s="237"/>
      <c r="S208" s="202"/>
      <c r="T208" s="200"/>
      <c r="U208" s="203"/>
      <c r="V208" s="89" t="s">
        <v>678</v>
      </c>
      <c r="W208" s="89" t="s">
        <v>1022</v>
      </c>
      <c r="X208" s="145" t="s">
        <v>651</v>
      </c>
      <c r="Y208" s="89" t="s">
        <v>652</v>
      </c>
      <c r="Z208" s="90" t="s">
        <v>130</v>
      </c>
      <c r="AA208" s="90" t="s">
        <v>130</v>
      </c>
      <c r="AB208" s="90" t="s">
        <v>131</v>
      </c>
      <c r="AC208" s="90" t="s">
        <v>132</v>
      </c>
      <c r="AD208" s="92" t="s">
        <v>26</v>
      </c>
      <c r="AE208" s="149">
        <f>IFERROR(VLOOKUP(Z208,LISTS!$AL$2:$AM$1000,2,FALSE()),"")</f>
        <v>100</v>
      </c>
      <c r="AF208" s="151">
        <f>IFERROR(VLOOKUP(AA208,LISTS!$AO$2:$AP$1000,2,FALSE()),"")</f>
        <v>100</v>
      </c>
      <c r="AG208" s="152">
        <f>IFERROR(VLOOKUP(AB208,LISTS!$AR$2:$AS$1000,2,FALSE()),"")</f>
        <v>100</v>
      </c>
      <c r="AH208" s="154">
        <f>IFERROR(VLOOKUP(AC208,LISTS!$AU$2:$AV$1000,2,FALSE()),"")</f>
        <v>0</v>
      </c>
      <c r="AI208" s="238">
        <f t="shared" si="18"/>
        <v>100</v>
      </c>
      <c r="AJ208" s="190" t="str">
        <f t="shared" si="19"/>
        <v>🌟 ممتاز جدًا</v>
      </c>
      <c r="AK208" s="157">
        <f t="shared" si="15"/>
        <v>5</v>
      </c>
      <c r="AL208" s="160">
        <f t="shared" si="16"/>
        <v>2026</v>
      </c>
      <c r="AM208" s="210"/>
      <c r="AN208" s="209"/>
    </row>
    <row r="209" spans="1:40" ht="27.95" customHeight="1">
      <c r="A209" s="134">
        <f>IF(I209&lt;&gt;"",COUNTA($I$2:I209),"")</f>
        <v>208</v>
      </c>
      <c r="B209" s="138" t="str">
        <f t="shared" si="17"/>
        <v>الأحد</v>
      </c>
      <c r="C209" s="93" t="str">
        <f t="array" ref="C209">IF(E209="","",IF(M209&lt;&gt;"",
M209&amp;"/"&amp;SUMPRODUCT((M$2:M209=M209)*1)&amp;" - "&amp;(ROW()-2),
"إداري/"&amp;SUMPRODUCT((M$2:M209="")*1)&amp;" - "&amp;(ROW()-2)))</f>
        <v>إداري/204 - 207</v>
      </c>
      <c r="D209" s="141" t="str">
        <f>IF(AND(G209="",H209="",I209=""),"",IF(COUNTIFS(LISTS!$A$2:$A$67,G209,LISTS!$B$2:$B$67,H209,LISTS!$C$2:$C$67,I209)=0,"✗ هرم",IF(NOT(OR(Z209="ممتاز 100%",Z209="جيد 80%",Z209="مقبول 60%",Z209="خطر 40%",Z209="")),"✗ قائمة R",IF(NOT(OR(AA209="ممتاز 100%",AA209="جيد 85%",AA209="مقبول 70%",AA209="ضعيف 50%",AA209="")),"✗ قائمة S",IF(NOT(OR(AB209="مكتمل 100%",AB209="جزئي 60%",AB209="معلق 30%",AB209="مفتوح 0%",AB209="")),"✗ قائمة T",IF(NOT(OR(AC209="لا خصم 0",AC209="تأخير −5",AC209="عجز −10",AC209="جودة −15",AC209="امتثال −20",AC209="مخالفة −25",AC209="")),"✗ قائمة U",IF(AND(X209="لا",AC209&lt;&gt;"",AC209&lt;&gt;"لا خصم 0"),"✗ خصم",IF(AND(X209="نعم",AC209="لا خصم 0"),"✗ خصم",IF(AND(Z209="ممتاز 100%",AA209="ممتاز 100%",AB209&lt;&gt;"",AB209&lt;&gt;"مكتمل 100%"),"✗ إغلاق",IFERROR(IF(LEN(_xlfn.TEXTJOIN("، ",TRUE,IF(E209="","التاريخ",""),IF(F209="","الوقت",""),IF(G209="","المركز",""),IF(H209="","الدائرة",""),IF(I209="","القسم",""),IF(J209="","المسؤول",""),IF(K209="","نوع النشاط",""),IF(L209="","المشروع",""),IF(N209="","الممول",""),IF(V209="","الموضوع",""),IF(W209="","الملاحظة",""),IF(X209="","مشكلة",""),IF(Y209="","الإجراء",""),IF(Z209="","التنفيذ",""),IF(AA209="","الجودة",""),IF(AB209="","الإغلاق",""),IF(AC209="","الخصم",""),IF(AND(COUNTA($O209:$U209)&gt;0,O209=""),"مدير المشروع",""),IF(AND(COUNTA($O209:$U209)&gt;0,P209=""),"المستفيدين",""),IF(AND(COUNTA($O209:$U209)&gt;0,Q209=""),"المناطق",""),IF(AND(COUNTA($O209:$U209)&gt;0,R209=""),"الميزانية",""),IF(AND(COUNTA($O209:$U209)&gt;0,S209=""),"نسبة الجاهزية",""),IF(AND(COUNTA($O209:$U209)&gt;0,T209=""),"حالة الجاهزية",""),IF(AND(COUNTA($O209:$U209)&gt;0,U209=""),"التوصيات","")))&gt;0,"✗ ناقص: "&amp;_xlfn.TEXTJOIN("، ",TRUE,IF(E209="","التاريخ",""),IF(F209="","الوقت",""),IF(G209="","المركز",""),IF(H209="","الدائرة",""),IF(I209="","القسم",""),IF(J209="","المسؤول",""),IF(K209="","نوع النشاط",""),IF(L209="","المشروع",""),IF(N209="","الممول",""),IF(V209="","الموضوع",""),IF(W209="","الملاحظة",""),IF(X209="","مشكلة",""),IF(Y209="","الإجراء",""),IF(Z209="","التنفيذ",""),IF(AA209="","الجودة",""),IF(AB209="","الإغلاق",""),IF(AC209="","الخصم",""),IF(AND(COUNTA($O209:$U209)&gt;0,O209=""),"مدير المشروع",""),IF(AND(COUNTA($O209:$U209)&gt;0,P209=""),"المستفيدين",""),IF(AND(COUNTA($O209:$U209)&gt;0,Q209=""),"المناطق",""),IF(AND(COUNTA($O209:$U209)&gt;0,R209=""),"الميزانية",""),IF(AND(COUNTA($O209:$U209)&gt;0,S209=""),"نسبة الجاهزية",""),IF(AND(COUNTA($O209:$U209)&gt;0,T209=""),"حالة الجاهزية",""),IF(AND(COUNTA($O209:$U209)&gt;0,U209=""),"التوصيات","")),"✓"),"✓"))))))))))</f>
        <v>✗ ناقص: المسؤول، المشروع، الممول</v>
      </c>
      <c r="E209" s="235">
        <v>46173</v>
      </c>
      <c r="F209" s="236">
        <v>0.80555555555555558</v>
      </c>
      <c r="G209" s="90" t="s">
        <v>97</v>
      </c>
      <c r="H209" s="123" t="s">
        <v>100</v>
      </c>
      <c r="I209" s="89" t="s">
        <v>190</v>
      </c>
      <c r="J209" s="142"/>
      <c r="K209" s="90" t="s">
        <v>152</v>
      </c>
      <c r="L209" s="90"/>
      <c r="M209" s="90"/>
      <c r="N209" s="89"/>
      <c r="O209" s="200"/>
      <c r="P209" s="201"/>
      <c r="Q209" s="201"/>
      <c r="R209" s="237"/>
      <c r="S209" s="202"/>
      <c r="T209" s="200"/>
      <c r="U209" s="203"/>
      <c r="V209" s="89" t="s">
        <v>680</v>
      </c>
      <c r="W209" s="89" t="s">
        <v>1023</v>
      </c>
      <c r="X209" s="145" t="s">
        <v>651</v>
      </c>
      <c r="Y209" s="89" t="s">
        <v>652</v>
      </c>
      <c r="Z209" s="90" t="s">
        <v>130</v>
      </c>
      <c r="AA209" s="90" t="s">
        <v>149</v>
      </c>
      <c r="AB209" s="90" t="s">
        <v>131</v>
      </c>
      <c r="AC209" s="90" t="s">
        <v>132</v>
      </c>
      <c r="AD209" s="92" t="s">
        <v>26</v>
      </c>
      <c r="AE209" s="149">
        <f>IFERROR(VLOOKUP(Z209,LISTS!$AL$2:$AM$1000,2,FALSE()),"")</f>
        <v>100</v>
      </c>
      <c r="AF209" s="151">
        <f>IFERROR(VLOOKUP(AA209,LISTS!$AO$2:$AP$1000,2,FALSE()),"")</f>
        <v>85</v>
      </c>
      <c r="AG209" s="152">
        <f>IFERROR(VLOOKUP(AB209,LISTS!$AR$2:$AS$1000,2,FALSE()),"")</f>
        <v>100</v>
      </c>
      <c r="AH209" s="154">
        <f>IFERROR(VLOOKUP(AC209,LISTS!$AU$2:$AV$1000,2,FALSE()),"")</f>
        <v>0</v>
      </c>
      <c r="AI209" s="238">
        <f t="shared" si="18"/>
        <v>95.5</v>
      </c>
      <c r="AJ209" s="190" t="str">
        <f t="shared" si="19"/>
        <v>⭐ ممتاز</v>
      </c>
      <c r="AK209" s="157">
        <f t="shared" si="15"/>
        <v>5</v>
      </c>
      <c r="AL209" s="160">
        <f t="shared" si="16"/>
        <v>2026</v>
      </c>
      <c r="AM209" s="210"/>
      <c r="AN209" s="209"/>
    </row>
    <row r="210" spans="1:40" ht="27.95" customHeight="1">
      <c r="A210" s="134">
        <f>IF(I210&lt;&gt;"",COUNTA($I$2:I210),"")</f>
        <v>209</v>
      </c>
      <c r="B210" s="138" t="str">
        <f t="shared" si="17"/>
        <v>الاثنين</v>
      </c>
      <c r="C210" s="93" t="str">
        <f t="array" ref="C210">IF(E210="","",IF(M210&lt;&gt;"",
M210&amp;"/"&amp;SUMPRODUCT((M$2:M210=M210)*1)&amp;" - "&amp;(ROW()-2),
"إداري/"&amp;SUMPRODUCT((M$2:M210="")*1)&amp;" - "&amp;(ROW()-2)))</f>
        <v>852/1 - 208</v>
      </c>
      <c r="D210" s="141" t="str">
        <f>IF(AND(G210="",H210="",I210=""),"",IF(COUNTIFS(LISTS!$A$2:$A$67,G210,LISTS!$B$2:$B$67,H210,LISTS!$C$2:$C$67,I210)=0,"✗ هرم",IF(NOT(OR(Z210="ممتاز 100%",Z210="جيد 80%",Z210="مقبول 60%",Z210="خطر 40%",Z210="")),"✗ قائمة R",IF(NOT(OR(AA210="ممتاز 100%",AA210="جيد 85%",AA210="مقبول 70%",AA210="ضعيف 50%",AA210="")),"✗ قائمة S",IF(NOT(OR(AB210="مكتمل 100%",AB210="جزئي 60%",AB210="معلق 30%",AB210="مفتوح 0%",AB210="")),"✗ قائمة T",IF(NOT(OR(AC210="لا خصم 0",AC210="تأخير −5",AC210="عجز −10",AC210="جودة −15",AC210="امتثال −20",AC210="مخالفة −25",AC210="")),"✗ قائمة U",IF(AND(X210="لا",AC210&lt;&gt;"",AC210&lt;&gt;"لا خصم 0"),"✗ خصم",IF(AND(X210="نعم",AC210="لا خصم 0"),"✗ خصم",IF(AND(Z210="ممتاز 100%",AA210="ممتاز 100%",AB210&lt;&gt;"",AB210&lt;&gt;"مكتمل 100%"),"✗ إغلاق",IFERROR(IF(LEN(_xlfn.TEXTJOIN("، ",TRUE,IF(E210="","التاريخ",""),IF(F210="","الوقت",""),IF(G210="","المركز",""),IF(H210="","الدائرة",""),IF(I210="","القسم",""),IF(J210="","المسؤول",""),IF(K210="","نوع النشاط",""),IF(L210="","المشروع",""),IF(N210="","الممول",""),IF(V210="","الموضوع",""),IF(W210="","الملاحظة",""),IF(X210="","مشكلة",""),IF(Y210="","الإجراء",""),IF(Z210="","التنفيذ",""),IF(AA210="","الجودة",""),IF(AB210="","الإغلاق",""),IF(AC210="","الخصم",""),IF(AND(COUNTA($O210:$U210)&gt;0,O210=""),"مدير المشروع",""),IF(AND(COUNTA($O210:$U210)&gt;0,P210=""),"المستفيدين",""),IF(AND(COUNTA($O210:$U210)&gt;0,Q210=""),"المناطق",""),IF(AND(COUNTA($O210:$U210)&gt;0,R210=""),"الميزانية",""),IF(AND(COUNTA($O210:$U210)&gt;0,S210=""),"نسبة الجاهزية",""),IF(AND(COUNTA($O210:$U210)&gt;0,T210=""),"حالة الجاهزية",""),IF(AND(COUNTA($O210:$U210)&gt;0,U210=""),"التوصيات","")))&gt;0,"✗ ناقص: "&amp;_xlfn.TEXTJOIN("، ",TRUE,IF(E210="","التاريخ",""),IF(F210="","الوقت",""),IF(G210="","المركز",""),IF(H210="","الدائرة",""),IF(I210="","القسم",""),IF(J210="","المسؤول",""),IF(K210="","نوع النشاط",""),IF(L210="","المشروع",""),IF(N210="","الممول",""),IF(V210="","الموضوع",""),IF(W210="","الملاحظة",""),IF(X210="","مشكلة",""),IF(Y210="","الإجراء",""),IF(Z210="","التنفيذ",""),IF(AA210="","الجودة",""),IF(AB210="","الإغلاق",""),IF(AC210="","الخصم",""),IF(AND(COUNTA($O210:$U210)&gt;0,O210=""),"مدير المشروع",""),IF(AND(COUNTA($O210:$U210)&gt;0,P210=""),"المستفيدين",""),IF(AND(COUNTA($O210:$U210)&gt;0,Q210=""),"المناطق",""),IF(AND(COUNTA($O210:$U210)&gt;0,R210=""),"الميزانية",""),IF(AND(COUNTA($O210:$U210)&gt;0,S210=""),"نسبة الجاهزية",""),IF(AND(COUNTA($O210:$U210)&gt;0,T210=""),"حالة الجاهزية",""),IF(AND(COUNTA($O210:$U210)&gt;0,U210=""),"التوصيات","")),"✓"),"✓"))))))))))</f>
        <v>✗ ناقص: المسؤول</v>
      </c>
      <c r="E210" s="235">
        <v>46174</v>
      </c>
      <c r="F210" s="236">
        <v>0.54513888888888884</v>
      </c>
      <c r="G210" s="90" t="s">
        <v>97</v>
      </c>
      <c r="H210" s="123" t="s">
        <v>102</v>
      </c>
      <c r="I210" s="89" t="s">
        <v>124</v>
      </c>
      <c r="J210" s="142"/>
      <c r="K210" s="90" t="s">
        <v>806</v>
      </c>
      <c r="L210" s="90" t="s">
        <v>369</v>
      </c>
      <c r="M210" s="90">
        <v>852</v>
      </c>
      <c r="N210" s="89" t="s">
        <v>655</v>
      </c>
      <c r="O210" s="200"/>
      <c r="P210" s="201"/>
      <c r="Q210" s="201"/>
      <c r="R210" s="237"/>
      <c r="S210" s="202"/>
      <c r="T210" s="200"/>
      <c r="U210" s="203"/>
      <c r="V210" s="89" t="s">
        <v>1011</v>
      </c>
      <c r="W210" s="89" t="s">
        <v>1024</v>
      </c>
      <c r="X210" s="145" t="s">
        <v>651</v>
      </c>
      <c r="Y210" s="89" t="s">
        <v>652</v>
      </c>
      <c r="Z210" s="90" t="s">
        <v>130</v>
      </c>
      <c r="AA210" s="90" t="s">
        <v>130</v>
      </c>
      <c r="AB210" s="90" t="s">
        <v>131</v>
      </c>
      <c r="AC210" s="90" t="s">
        <v>132</v>
      </c>
      <c r="AD210" s="92" t="s">
        <v>26</v>
      </c>
      <c r="AE210" s="149">
        <f>IFERROR(VLOOKUP(Z210,LISTS!$AL$2:$AM$1000,2,FALSE()),"")</f>
        <v>100</v>
      </c>
      <c r="AF210" s="151">
        <f>IFERROR(VLOOKUP(AA210,LISTS!$AO$2:$AP$1000,2,FALSE()),"")</f>
        <v>100</v>
      </c>
      <c r="AG210" s="152">
        <f>IFERROR(VLOOKUP(AB210,LISTS!$AR$2:$AS$1000,2,FALSE()),"")</f>
        <v>100</v>
      </c>
      <c r="AH210" s="154">
        <f>IFERROR(VLOOKUP(AC210,LISTS!$AU$2:$AV$1000,2,FALSE()),"")</f>
        <v>0</v>
      </c>
      <c r="AI210" s="238">
        <f t="shared" si="18"/>
        <v>100</v>
      </c>
      <c r="AJ210" s="190" t="str">
        <f t="shared" si="19"/>
        <v>🌟 ممتاز جدًا</v>
      </c>
      <c r="AK210" s="157">
        <f t="shared" si="15"/>
        <v>6</v>
      </c>
      <c r="AL210" s="160">
        <f t="shared" si="16"/>
        <v>2026</v>
      </c>
      <c r="AM210" s="210"/>
      <c r="AN210" s="209"/>
    </row>
    <row r="211" spans="1:40" ht="27.95" customHeight="1">
      <c r="A211" s="134">
        <f>IF(I211&lt;&gt;"",COUNTA($I$2:I211),"")</f>
        <v>210</v>
      </c>
      <c r="B211" s="138" t="str">
        <f t="shared" si="17"/>
        <v>الاثنين</v>
      </c>
      <c r="C211" s="93" t="str">
        <f t="array" ref="C211">IF(E211="","",IF(M211&lt;&gt;"",
M211&amp;"/"&amp;SUMPRODUCT((M$2:M211=M211)*1)&amp;" - "&amp;(ROW()-2),
"إداري/"&amp;SUMPRODUCT((M$2:M211="")*1)&amp;" - "&amp;(ROW()-2)))</f>
        <v>860/1 - 209</v>
      </c>
      <c r="D211" s="141" t="str">
        <f>IF(AND(G211="",H211="",I211=""),"",IF(COUNTIFS(LISTS!$A$2:$A$67,G211,LISTS!$B$2:$B$67,H211,LISTS!$C$2:$C$67,I211)=0,"✗ هرم",IF(NOT(OR(Z211="ممتاز 100%",Z211="جيد 80%",Z211="مقبول 60%",Z211="خطر 40%",Z211="")),"✗ قائمة R",IF(NOT(OR(AA211="ممتاز 100%",AA211="جيد 85%",AA211="مقبول 70%",AA211="ضعيف 50%",AA211="")),"✗ قائمة S",IF(NOT(OR(AB211="مكتمل 100%",AB211="جزئي 60%",AB211="معلق 30%",AB211="مفتوح 0%",AB211="")),"✗ قائمة T",IF(NOT(OR(AC211="لا خصم 0",AC211="تأخير −5",AC211="عجز −10",AC211="جودة −15",AC211="امتثال −20",AC211="مخالفة −25",AC211="")),"✗ قائمة U",IF(AND(X211="لا",AC211&lt;&gt;"",AC211&lt;&gt;"لا خصم 0"),"✗ خصم",IF(AND(X211="نعم",AC211="لا خصم 0"),"✗ خصم",IF(AND(Z211="ممتاز 100%",AA211="ممتاز 100%",AB211&lt;&gt;"",AB211&lt;&gt;"مكتمل 100%"),"✗ إغلاق",IFERROR(IF(LEN(_xlfn.TEXTJOIN("، ",TRUE,IF(E211="","التاريخ",""),IF(F211="","الوقت",""),IF(G211="","المركز",""),IF(H211="","الدائرة",""),IF(I211="","القسم",""),IF(J211="","المسؤول",""),IF(K211="","نوع النشاط",""),IF(L211="","المشروع",""),IF(N211="","الممول",""),IF(V211="","الموضوع",""),IF(W211="","الملاحظة",""),IF(X211="","مشكلة",""),IF(Y211="","الإجراء",""),IF(Z211="","التنفيذ",""),IF(AA211="","الجودة",""),IF(AB211="","الإغلاق",""),IF(AC211="","الخصم",""),IF(AND(COUNTA($O211:$U211)&gt;0,O211=""),"مدير المشروع",""),IF(AND(COUNTA($O211:$U211)&gt;0,P211=""),"المستفيدين",""),IF(AND(COUNTA($O211:$U211)&gt;0,Q211=""),"المناطق",""),IF(AND(COUNTA($O211:$U211)&gt;0,R211=""),"الميزانية",""),IF(AND(COUNTA($O211:$U211)&gt;0,S211=""),"نسبة الجاهزية",""),IF(AND(COUNTA($O211:$U211)&gt;0,T211=""),"حالة الجاهزية",""),IF(AND(COUNTA($O211:$U211)&gt;0,U211=""),"التوصيات","")))&gt;0,"✗ ناقص: "&amp;_xlfn.TEXTJOIN("، ",TRUE,IF(E211="","التاريخ",""),IF(F211="","الوقت",""),IF(G211="","المركز",""),IF(H211="","الدائرة",""),IF(I211="","القسم",""),IF(J211="","المسؤول",""),IF(K211="","نوع النشاط",""),IF(L211="","المشروع",""),IF(N211="","الممول",""),IF(V211="","الموضوع",""),IF(W211="","الملاحظة",""),IF(X211="","مشكلة",""),IF(Y211="","الإجراء",""),IF(Z211="","التنفيذ",""),IF(AA211="","الجودة",""),IF(AB211="","الإغلاق",""),IF(AC211="","الخصم",""),IF(AND(COUNTA($O211:$U211)&gt;0,O211=""),"مدير المشروع",""),IF(AND(COUNTA($O211:$U211)&gt;0,P211=""),"المستفيدين",""),IF(AND(COUNTA($O211:$U211)&gt;0,Q211=""),"المناطق",""),IF(AND(COUNTA($O211:$U211)&gt;0,R211=""),"الميزانية",""),IF(AND(COUNTA($O211:$U211)&gt;0,S211=""),"نسبة الجاهزية",""),IF(AND(COUNTA($O211:$U211)&gt;0,T211=""),"حالة الجاهزية",""),IF(AND(COUNTA($O211:$U211)&gt;0,U211=""),"التوصيات","")),"✓"),"✓"))))))))))</f>
        <v>✓</v>
      </c>
      <c r="E211" s="235">
        <v>46174</v>
      </c>
      <c r="F211" s="236">
        <v>0.57291666666666663</v>
      </c>
      <c r="G211" s="90" t="s">
        <v>97</v>
      </c>
      <c r="H211" s="123" t="s">
        <v>102</v>
      </c>
      <c r="I211" s="89" t="s">
        <v>175</v>
      </c>
      <c r="J211" s="142" t="s">
        <v>170</v>
      </c>
      <c r="K211" s="90" t="s">
        <v>116</v>
      </c>
      <c r="L211" s="90" t="s">
        <v>292</v>
      </c>
      <c r="M211" s="90">
        <v>860</v>
      </c>
      <c r="N211" s="89" t="s">
        <v>547</v>
      </c>
      <c r="O211" s="200"/>
      <c r="P211" s="201"/>
      <c r="Q211" s="201"/>
      <c r="R211" s="237"/>
      <c r="S211" s="202"/>
      <c r="T211" s="200"/>
      <c r="U211" s="203"/>
      <c r="V211" s="89" t="s">
        <v>1025</v>
      </c>
      <c r="W211" s="89" t="s">
        <v>1026</v>
      </c>
      <c r="X211" s="145" t="s">
        <v>651</v>
      </c>
      <c r="Y211" s="89" t="s">
        <v>652</v>
      </c>
      <c r="Z211" s="90" t="s">
        <v>165</v>
      </c>
      <c r="AA211" s="90" t="s">
        <v>149</v>
      </c>
      <c r="AB211" s="90" t="s">
        <v>131</v>
      </c>
      <c r="AC211" s="90" t="s">
        <v>132</v>
      </c>
      <c r="AD211" s="92" t="s">
        <v>26</v>
      </c>
      <c r="AE211" s="149">
        <f>IFERROR(VLOOKUP(Z211,LISTS!$AL$2:$AM$1000,2,FALSE()),"")</f>
        <v>80</v>
      </c>
      <c r="AF211" s="151">
        <f>IFERROR(VLOOKUP(AA211,LISTS!$AO$2:$AP$1000,2,FALSE()),"")</f>
        <v>85</v>
      </c>
      <c r="AG211" s="152">
        <f>IFERROR(VLOOKUP(AB211,LISTS!$AR$2:$AS$1000,2,FALSE()),"")</f>
        <v>100</v>
      </c>
      <c r="AH211" s="154">
        <f>IFERROR(VLOOKUP(AC211,LISTS!$AU$2:$AV$1000,2,FALSE()),"")</f>
        <v>0</v>
      </c>
      <c r="AI211" s="238">
        <f t="shared" si="18"/>
        <v>87.5</v>
      </c>
      <c r="AJ211" s="190" t="str">
        <f t="shared" si="19"/>
        <v>🟢 جيد</v>
      </c>
      <c r="AK211" s="157">
        <f t="shared" si="15"/>
        <v>6</v>
      </c>
      <c r="AL211" s="160">
        <f t="shared" si="16"/>
        <v>2026</v>
      </c>
      <c r="AM211" s="210"/>
      <c r="AN211" s="209"/>
    </row>
    <row r="212" spans="1:40" ht="27.95" customHeight="1">
      <c r="A212" s="134">
        <f>IF(I212&lt;&gt;"",COUNTA($I$2:I212),"")</f>
        <v>211</v>
      </c>
      <c r="B212" s="138" t="str">
        <f t="shared" si="17"/>
        <v>الاثنين</v>
      </c>
      <c r="C212" s="93" t="str">
        <f t="array" ref="C212">IF(E212="","",IF(M212&lt;&gt;"",
M212&amp;"/"&amp;SUMPRODUCT((M$2:M212=M212)*1)&amp;" - "&amp;(ROW()-2),
"إداري/"&amp;SUMPRODUCT((M$2:M212="")*1)&amp;" - "&amp;(ROW()-2)))</f>
        <v>عمارة سعد/1 - 210</v>
      </c>
      <c r="D212" s="141" t="str">
        <f>IF(AND(G212="",H212="",I212=""),"",IF(COUNTIFS(LISTS!$A$2:$A$67,G212,LISTS!$B$2:$B$67,H212,LISTS!$C$2:$C$67,I212)=0,"✗ هرم",IF(NOT(OR(Z212="ممتاز 100%",Z212="جيد 80%",Z212="مقبول 60%",Z212="خطر 40%",Z212="")),"✗ قائمة R",IF(NOT(OR(AA212="ممتاز 100%",AA212="جيد 85%",AA212="مقبول 70%",AA212="ضعيف 50%",AA212="")),"✗ قائمة S",IF(NOT(OR(AB212="مكتمل 100%",AB212="جزئي 60%",AB212="معلق 30%",AB212="مفتوح 0%",AB212="")),"✗ قائمة T",IF(NOT(OR(AC212="لا خصم 0",AC212="تأخير −5",AC212="عجز −10",AC212="جودة −15",AC212="امتثال −20",AC212="مخالفة −25",AC212="")),"✗ قائمة U",IF(AND(X212="لا",AC212&lt;&gt;"",AC212&lt;&gt;"لا خصم 0"),"✗ خصم",IF(AND(X212="نعم",AC212="لا خصم 0"),"✗ خصم",IF(AND(Z212="ممتاز 100%",AA212="ممتاز 100%",AB212&lt;&gt;"",AB212&lt;&gt;"مكتمل 100%"),"✗ إغلاق",IFERROR(IF(LEN(_xlfn.TEXTJOIN("، ",TRUE,IF(E212="","التاريخ",""),IF(F212="","الوقت",""),IF(G212="","المركز",""),IF(H212="","الدائرة",""),IF(I212="","القسم",""),IF(J212="","المسؤول",""),IF(K212="","نوع النشاط",""),IF(L212="","المشروع",""),IF(N212="","الممول",""),IF(V212="","الموضوع",""),IF(W212="","الملاحظة",""),IF(X212="","مشكلة",""),IF(Y212="","الإجراء",""),IF(Z212="","التنفيذ",""),IF(AA212="","الجودة",""),IF(AB212="","الإغلاق",""),IF(AC212="","الخصم",""),IF(AND(COUNTA($O212:$U212)&gt;0,O212=""),"مدير المشروع",""),IF(AND(COUNTA($O212:$U212)&gt;0,P212=""),"المستفيدين",""),IF(AND(COUNTA($O212:$U212)&gt;0,Q212=""),"المناطق",""),IF(AND(COUNTA($O212:$U212)&gt;0,R212=""),"الميزانية",""),IF(AND(COUNTA($O212:$U212)&gt;0,S212=""),"نسبة الجاهزية",""),IF(AND(COUNTA($O212:$U212)&gt;0,T212=""),"حالة الجاهزية",""),IF(AND(COUNTA($O212:$U212)&gt;0,U212=""),"التوصيات","")))&gt;0,"✗ ناقص: "&amp;_xlfn.TEXTJOIN("، ",TRUE,IF(E212="","التاريخ",""),IF(F212="","الوقت",""),IF(G212="","المركز",""),IF(H212="","الدائرة",""),IF(I212="","القسم",""),IF(J212="","المسؤول",""),IF(K212="","نوع النشاط",""),IF(L212="","المشروع",""),IF(N212="","الممول",""),IF(V212="","الموضوع",""),IF(W212="","الملاحظة",""),IF(X212="","مشكلة",""),IF(Y212="","الإجراء",""),IF(Z212="","التنفيذ",""),IF(AA212="","الجودة",""),IF(AB212="","الإغلاق",""),IF(AC212="","الخصم",""),IF(AND(COUNTA($O212:$U212)&gt;0,O212=""),"مدير المشروع",""),IF(AND(COUNTA($O212:$U212)&gt;0,P212=""),"المستفيدين",""),IF(AND(COUNTA($O212:$U212)&gt;0,Q212=""),"المناطق",""),IF(AND(COUNTA($O212:$U212)&gt;0,R212=""),"الميزانية",""),IF(AND(COUNTA($O212:$U212)&gt;0,S212=""),"نسبة الجاهزية",""),IF(AND(COUNTA($O212:$U212)&gt;0,T212=""),"حالة الجاهزية",""),IF(AND(COUNTA($O212:$U212)&gt;0,U212=""),"التوصيات","")),"✓"),"✓"))))))))))</f>
        <v>✗ ناقص: الممول</v>
      </c>
      <c r="E212" s="235">
        <v>46174</v>
      </c>
      <c r="F212" s="236">
        <v>0.59722222222222221</v>
      </c>
      <c r="G212" s="90" t="s">
        <v>97</v>
      </c>
      <c r="H212" s="123" t="s">
        <v>104</v>
      </c>
      <c r="I212" s="89" t="s">
        <v>203</v>
      </c>
      <c r="J212" s="142" t="s">
        <v>279</v>
      </c>
      <c r="K212" s="90" t="s">
        <v>116</v>
      </c>
      <c r="L212" s="90" t="s">
        <v>375</v>
      </c>
      <c r="M212" s="90" t="s">
        <v>203</v>
      </c>
      <c r="N212" s="89"/>
      <c r="O212" s="200"/>
      <c r="P212" s="201"/>
      <c r="Q212" s="201"/>
      <c r="R212" s="237"/>
      <c r="S212" s="202"/>
      <c r="T212" s="200"/>
      <c r="U212" s="203"/>
      <c r="V212" s="89" t="s">
        <v>1027</v>
      </c>
      <c r="W212" s="89" t="s">
        <v>1028</v>
      </c>
      <c r="X212" s="145" t="s">
        <v>647</v>
      </c>
      <c r="Y212" s="89" t="s">
        <v>1029</v>
      </c>
      <c r="Z212" s="90" t="s">
        <v>148</v>
      </c>
      <c r="AA212" s="90" t="s">
        <v>182</v>
      </c>
      <c r="AB212" s="90" t="s">
        <v>167</v>
      </c>
      <c r="AC212" s="90" t="s">
        <v>151</v>
      </c>
      <c r="AD212" s="92" t="s">
        <v>26</v>
      </c>
      <c r="AE212" s="149">
        <f>IFERROR(VLOOKUP(Z212,LISTS!$AL$2:$AM$1000,2,FALSE()),"")</f>
        <v>60</v>
      </c>
      <c r="AF212" s="151">
        <f>IFERROR(VLOOKUP(AA212,LISTS!$AO$2:$AP$1000,2,FALSE()),"")</f>
        <v>50</v>
      </c>
      <c r="AG212" s="152">
        <f>IFERROR(VLOOKUP(AB212,LISTS!$AR$2:$AS$1000,2,FALSE()),"")</f>
        <v>60</v>
      </c>
      <c r="AH212" s="154">
        <f>IFERROR(VLOOKUP(AC212,LISTS!$AU$2:$AV$1000,2,FALSE()),"")</f>
        <v>25</v>
      </c>
      <c r="AI212" s="238">
        <f t="shared" si="18"/>
        <v>32</v>
      </c>
      <c r="AJ212" s="190" t="str">
        <f t="shared" si="19"/>
        <v>🚨 خطر شديد</v>
      </c>
      <c r="AK212" s="157">
        <f t="shared" si="15"/>
        <v>6</v>
      </c>
      <c r="AL212" s="160">
        <f t="shared" si="16"/>
        <v>2026</v>
      </c>
      <c r="AM212" s="210"/>
      <c r="AN212" s="209"/>
    </row>
    <row r="213" spans="1:40" ht="27.95" customHeight="1">
      <c r="A213" s="134">
        <f>IF(I213&lt;&gt;"",COUNTA($I$2:I213),"")</f>
        <v>212</v>
      </c>
      <c r="B213" s="138" t="str">
        <f t="shared" si="17"/>
        <v>الثلاثاء</v>
      </c>
      <c r="C213" s="93" t="str">
        <f t="array" ref="C213">IF(E213="","",IF(M213&lt;&gt;"",
M213&amp;"/"&amp;SUMPRODUCT((M$2:M213=M213)*1)&amp;" - "&amp;(ROW()-2),
"إداري/"&amp;SUMPRODUCT((M$2:M213="")*1)&amp;" - "&amp;(ROW()-2)))</f>
        <v>نشاط مكتب/1 - 211</v>
      </c>
      <c r="D213" s="141" t="str">
        <f>IF(AND(G213="",H213="",I213=""),"",IF(COUNTIFS(LISTS!$A$2:$A$67,G213,LISTS!$B$2:$B$67,H213,LISTS!$C$2:$C$67,I213)=0,"✗ هرم",IF(NOT(OR(Z213="ممتاز 100%",Z213="جيد 80%",Z213="مقبول 60%",Z213="خطر 40%",Z213="")),"✗ قائمة R",IF(NOT(OR(AA213="ممتاز 100%",AA213="جيد 85%",AA213="مقبول 70%",AA213="ضعيف 50%",AA213="")),"✗ قائمة S",IF(NOT(OR(AB213="مكتمل 100%",AB213="جزئي 60%",AB213="معلق 30%",AB213="مفتوح 0%",AB213="")),"✗ قائمة T",IF(NOT(OR(AC213="لا خصم 0",AC213="تأخير −5",AC213="عجز −10",AC213="جودة −15",AC213="امتثال −20",AC213="مخالفة −25",AC213="")),"✗ قائمة U",IF(AND(X213="لا",AC213&lt;&gt;"",AC213&lt;&gt;"لا خصم 0"),"✗ خصم",IF(AND(X213="نعم",AC213="لا خصم 0"),"✗ خصم",IF(AND(Z213="ممتاز 100%",AA213="ممتاز 100%",AB213&lt;&gt;"",AB213&lt;&gt;"مكتمل 100%"),"✗ إغلاق",IFERROR(IF(LEN(_xlfn.TEXTJOIN("، ",TRUE,IF(E213="","التاريخ",""),IF(F213="","الوقت",""),IF(G213="","المركز",""),IF(H213="","الدائرة",""),IF(I213="","القسم",""),IF(J213="","المسؤول",""),IF(K213="","نوع النشاط",""),IF(L213="","المشروع",""),IF(N213="","الممول",""),IF(V213="","الموضوع",""),IF(W213="","الملاحظة",""),IF(X213="","مشكلة",""),IF(Y213="","الإجراء",""),IF(Z213="","التنفيذ",""),IF(AA213="","الجودة",""),IF(AB213="","الإغلاق",""),IF(AC213="","الخصم",""),IF(AND(COUNTA($O213:$U213)&gt;0,O213=""),"مدير المشروع",""),IF(AND(COUNTA($O213:$U213)&gt;0,P213=""),"المستفيدين",""),IF(AND(COUNTA($O213:$U213)&gt;0,Q213=""),"المناطق",""),IF(AND(COUNTA($O213:$U213)&gt;0,R213=""),"الميزانية",""),IF(AND(COUNTA($O213:$U213)&gt;0,S213=""),"نسبة الجاهزية",""),IF(AND(COUNTA($O213:$U213)&gt;0,T213=""),"حالة الجاهزية",""),IF(AND(COUNTA($O213:$U213)&gt;0,U213=""),"التوصيات","")))&gt;0,"✗ ناقص: "&amp;_xlfn.TEXTJOIN("، ",TRUE,IF(E213="","التاريخ",""),IF(F213="","الوقت",""),IF(G213="","المركز",""),IF(H213="","الدائرة",""),IF(I213="","القسم",""),IF(J213="","المسؤول",""),IF(K213="","نوع النشاط",""),IF(L213="","المشروع",""),IF(N213="","الممول",""),IF(V213="","الموضوع",""),IF(W213="","الملاحظة",""),IF(X213="","مشكلة",""),IF(Y213="","الإجراء",""),IF(Z213="","التنفيذ",""),IF(AA213="","الجودة",""),IF(AB213="","الإغلاق",""),IF(AC213="","الخصم",""),IF(AND(COUNTA($O213:$U213)&gt;0,O213=""),"مدير المشروع",""),IF(AND(COUNTA($O213:$U213)&gt;0,P213=""),"المستفيدين",""),IF(AND(COUNTA($O213:$U213)&gt;0,Q213=""),"المناطق",""),IF(AND(COUNTA($O213:$U213)&gt;0,R213=""),"الميزانية",""),IF(AND(COUNTA($O213:$U213)&gt;0,S213=""),"نسبة الجاهزية",""),IF(AND(COUNTA($O213:$U213)&gt;0,T213=""),"حالة الجاهزية",""),IF(AND(COUNTA($O213:$U213)&gt;0,U213=""),"التوصيات","")),"✓"),"✓"))))))))))</f>
        <v>✓</v>
      </c>
      <c r="E213" s="235">
        <v>46175</v>
      </c>
      <c r="F213" s="236">
        <v>0.4826388888888889</v>
      </c>
      <c r="G213" s="90" t="s">
        <v>97</v>
      </c>
      <c r="H213" s="123" t="s">
        <v>102</v>
      </c>
      <c r="I213" s="89" t="s">
        <v>191</v>
      </c>
      <c r="J213" s="142" t="s">
        <v>154</v>
      </c>
      <c r="K213" s="90" t="s">
        <v>116</v>
      </c>
      <c r="L213" s="90" t="s">
        <v>342</v>
      </c>
      <c r="M213" s="90" t="s">
        <v>218</v>
      </c>
      <c r="N213" s="89" t="s">
        <v>526</v>
      </c>
      <c r="O213" s="200"/>
      <c r="P213" s="201"/>
      <c r="Q213" s="201"/>
      <c r="R213" s="237"/>
      <c r="S213" s="202"/>
      <c r="T213" s="200"/>
      <c r="U213" s="203"/>
      <c r="V213" s="89" t="s">
        <v>1030</v>
      </c>
      <c r="W213" s="89" t="s">
        <v>1031</v>
      </c>
      <c r="X213" s="145" t="s">
        <v>651</v>
      </c>
      <c r="Y213" s="89" t="s">
        <v>652</v>
      </c>
      <c r="Z213" s="90" t="s">
        <v>130</v>
      </c>
      <c r="AA213" s="90" t="s">
        <v>130</v>
      </c>
      <c r="AB213" s="90" t="s">
        <v>131</v>
      </c>
      <c r="AC213" s="90" t="s">
        <v>132</v>
      </c>
      <c r="AD213" s="92" t="s">
        <v>26</v>
      </c>
      <c r="AE213" s="149">
        <f>IFERROR(VLOOKUP(Z213,LISTS!$AL$2:$AM$1000,2,FALSE()),"")</f>
        <v>100</v>
      </c>
      <c r="AF213" s="151">
        <f>IFERROR(VLOOKUP(AA213,LISTS!$AO$2:$AP$1000,2,FALSE()),"")</f>
        <v>100</v>
      </c>
      <c r="AG213" s="152">
        <f>IFERROR(VLOOKUP(AB213,LISTS!$AR$2:$AS$1000,2,FALSE()),"")</f>
        <v>100</v>
      </c>
      <c r="AH213" s="154">
        <f>IFERROR(VLOOKUP(AC213,LISTS!$AU$2:$AV$1000,2,FALSE()),"")</f>
        <v>0</v>
      </c>
      <c r="AI213" s="238">
        <f t="shared" si="18"/>
        <v>100</v>
      </c>
      <c r="AJ213" s="190" t="str">
        <f t="shared" si="19"/>
        <v>🌟 ممتاز جدًا</v>
      </c>
      <c r="AK213" s="157">
        <f t="shared" si="15"/>
        <v>6</v>
      </c>
      <c r="AL213" s="160">
        <f t="shared" si="16"/>
        <v>2026</v>
      </c>
      <c r="AM213" s="210"/>
      <c r="AN213" s="209"/>
    </row>
    <row r="214" spans="1:40" ht="27.95" customHeight="1">
      <c r="A214" s="134">
        <f>IF(I214&lt;&gt;"",COUNTA($I$2:I214),"")</f>
        <v>213</v>
      </c>
      <c r="B214" s="138" t="str">
        <f t="shared" si="17"/>
        <v>الثلاثاء</v>
      </c>
      <c r="C214" s="93" t="str">
        <f t="array" ref="C214">IF(E214="","",IF(M214&lt;&gt;"",
M214&amp;"/"&amp;SUMPRODUCT((M$2:M214=M214)*1)&amp;" - "&amp;(ROW()-2),
"إداري/"&amp;SUMPRODUCT((M$2:M214="")*1)&amp;" - "&amp;(ROW()-2)))</f>
        <v>886/1 - 212</v>
      </c>
      <c r="D214" s="141" t="str">
        <f>IF(AND(G214="",H214="",I214=""),"",IF(COUNTIFS(LISTS!$A$2:$A$67,G214,LISTS!$B$2:$B$67,H214,LISTS!$C$2:$C$67,I214)=0,"✗ هرم",IF(NOT(OR(Z214="ممتاز 100%",Z214="جيد 80%",Z214="مقبول 60%",Z214="خطر 40%",Z214="")),"✗ قائمة R",IF(NOT(OR(AA214="ممتاز 100%",AA214="جيد 85%",AA214="مقبول 70%",AA214="ضعيف 50%",AA214="")),"✗ قائمة S",IF(NOT(OR(AB214="مكتمل 100%",AB214="جزئي 60%",AB214="معلق 30%",AB214="مفتوح 0%",AB214="")),"✗ قائمة T",IF(NOT(OR(AC214="لا خصم 0",AC214="تأخير −5",AC214="عجز −10",AC214="جودة −15",AC214="امتثال −20",AC214="مخالفة −25",AC214="")),"✗ قائمة U",IF(AND(X214="لا",AC214&lt;&gt;"",AC214&lt;&gt;"لا خصم 0"),"✗ خصم",IF(AND(X214="نعم",AC214="لا خصم 0"),"✗ خصم",IF(AND(Z214="ممتاز 100%",AA214="ممتاز 100%",AB214&lt;&gt;"",AB214&lt;&gt;"مكتمل 100%"),"✗ إغلاق",IFERROR(IF(LEN(_xlfn.TEXTJOIN("، ",TRUE,IF(E214="","التاريخ",""),IF(F214="","الوقت",""),IF(G214="","المركز",""),IF(H214="","الدائرة",""),IF(I214="","القسم",""),IF(J214="","المسؤول",""),IF(K214="","نوع النشاط",""),IF(L214="","المشروع",""),IF(N214="","الممول",""),IF(V214="","الموضوع",""),IF(W214="","الملاحظة",""),IF(X214="","مشكلة",""),IF(Y214="","الإجراء",""),IF(Z214="","التنفيذ",""),IF(AA214="","الجودة",""),IF(AB214="","الإغلاق",""),IF(AC214="","الخصم",""),IF(AND(COUNTA($O214:$U214)&gt;0,O214=""),"مدير المشروع",""),IF(AND(COUNTA($O214:$U214)&gt;0,P214=""),"المستفيدين",""),IF(AND(COUNTA($O214:$U214)&gt;0,Q214=""),"المناطق",""),IF(AND(COUNTA($O214:$U214)&gt;0,R214=""),"الميزانية",""),IF(AND(COUNTA($O214:$U214)&gt;0,S214=""),"نسبة الجاهزية",""),IF(AND(COUNTA($O214:$U214)&gt;0,T214=""),"حالة الجاهزية",""),IF(AND(COUNTA($O214:$U214)&gt;0,U214=""),"التوصيات","")))&gt;0,"✗ ناقص: "&amp;_xlfn.TEXTJOIN("، ",TRUE,IF(E214="","التاريخ",""),IF(F214="","الوقت",""),IF(G214="","المركز",""),IF(H214="","الدائرة",""),IF(I214="","القسم",""),IF(J214="","المسؤول",""),IF(K214="","نوع النشاط",""),IF(L214="","المشروع",""),IF(N214="","الممول",""),IF(V214="","الموضوع",""),IF(W214="","الملاحظة",""),IF(X214="","مشكلة",""),IF(Y214="","الإجراء",""),IF(Z214="","التنفيذ",""),IF(AA214="","الجودة",""),IF(AB214="","الإغلاق",""),IF(AC214="","الخصم",""),IF(AND(COUNTA($O214:$U214)&gt;0,O214=""),"مدير المشروع",""),IF(AND(COUNTA($O214:$U214)&gt;0,P214=""),"المستفيدين",""),IF(AND(COUNTA($O214:$U214)&gt;0,Q214=""),"المناطق",""),IF(AND(COUNTA($O214:$U214)&gt;0,R214=""),"الميزانية",""),IF(AND(COUNTA($O214:$U214)&gt;0,S214=""),"نسبة الجاهزية",""),IF(AND(COUNTA($O214:$U214)&gt;0,T214=""),"حالة الجاهزية",""),IF(AND(COUNTA($O214:$U214)&gt;0,U214=""),"التوصيات","")),"✓"),"✓"))))))))))</f>
        <v>✓</v>
      </c>
      <c r="E214" s="235">
        <v>46175</v>
      </c>
      <c r="F214" s="236">
        <v>0.4375</v>
      </c>
      <c r="G214" s="90" t="s">
        <v>97</v>
      </c>
      <c r="H214" s="123" t="s">
        <v>104</v>
      </c>
      <c r="I214" s="89" t="s">
        <v>177</v>
      </c>
      <c r="J214" s="142" t="s">
        <v>724</v>
      </c>
      <c r="K214" s="90" t="s">
        <v>116</v>
      </c>
      <c r="L214" s="90" t="s">
        <v>369</v>
      </c>
      <c r="M214" s="90">
        <v>886</v>
      </c>
      <c r="N214" s="89" t="s">
        <v>574</v>
      </c>
      <c r="O214" s="200"/>
      <c r="P214" s="201"/>
      <c r="Q214" s="201"/>
      <c r="R214" s="237"/>
      <c r="S214" s="202"/>
      <c r="T214" s="200"/>
      <c r="U214" s="203"/>
      <c r="V214" s="89" t="s">
        <v>1032</v>
      </c>
      <c r="W214" s="89" t="s">
        <v>1033</v>
      </c>
      <c r="X214" s="145" t="s">
        <v>647</v>
      </c>
      <c r="Y214" s="89" t="s">
        <v>1029</v>
      </c>
      <c r="Z214" s="90" t="s">
        <v>130</v>
      </c>
      <c r="AA214" s="90" t="s">
        <v>149</v>
      </c>
      <c r="AB214" s="90" t="s">
        <v>131</v>
      </c>
      <c r="AC214" s="90" t="s">
        <v>196</v>
      </c>
      <c r="AD214" s="92" t="s">
        <v>26</v>
      </c>
      <c r="AE214" s="149">
        <f>IFERROR(VLOOKUP(Z214,LISTS!$AL$2:$AM$1000,2,FALSE()),"")</f>
        <v>100</v>
      </c>
      <c r="AF214" s="151">
        <f>IFERROR(VLOOKUP(AA214,LISTS!$AO$2:$AP$1000,2,FALSE()),"")</f>
        <v>85</v>
      </c>
      <c r="AG214" s="152">
        <f>IFERROR(VLOOKUP(AB214,LISTS!$AR$2:$AS$1000,2,FALSE()),"")</f>
        <v>100</v>
      </c>
      <c r="AH214" s="154">
        <f>IFERROR(VLOOKUP(AC214,LISTS!$AU$2:$AV$1000,2,FALSE()),"")</f>
        <v>5</v>
      </c>
      <c r="AI214" s="238">
        <f t="shared" si="18"/>
        <v>90.5</v>
      </c>
      <c r="AJ214" s="190" t="str">
        <f t="shared" si="19"/>
        <v>⭐ ممتاز</v>
      </c>
      <c r="AK214" s="157">
        <f t="shared" si="15"/>
        <v>6</v>
      </c>
      <c r="AL214" s="160">
        <f t="shared" si="16"/>
        <v>2026</v>
      </c>
      <c r="AM214" s="210"/>
      <c r="AN214" s="209"/>
    </row>
    <row r="215" spans="1:40" ht="27.95" customHeight="1">
      <c r="A215" s="134">
        <f>IF(I215&lt;&gt;"",COUNTA($I$2:I215),"")</f>
        <v>214</v>
      </c>
      <c r="B215" s="138" t="str">
        <f t="shared" si="17"/>
        <v>الثلاثاء</v>
      </c>
      <c r="C215" s="93" t="str">
        <f t="array" ref="C215">IF(E215="","",IF(M215&lt;&gt;"",
M215&amp;"/"&amp;SUMPRODUCT((M$2:M215=M215)*1)&amp;" - "&amp;(ROW()-2),
"إداري/"&amp;SUMPRODUCT((M$2:M215="")*1)&amp;" - "&amp;(ROW()-2)))</f>
        <v>885/1 - 213</v>
      </c>
      <c r="D215" s="141" t="str">
        <f>IF(AND(G215="",H215="",I215=""),"",IF(COUNTIFS(LISTS!$A$2:$A$67,G215,LISTS!$B$2:$B$67,H215,LISTS!$C$2:$C$67,I215)=0,"✗ هرم",IF(NOT(OR(Z215="ممتاز 100%",Z215="جيد 80%",Z215="مقبول 60%",Z215="خطر 40%",Z215="")),"✗ قائمة R",IF(NOT(OR(AA215="ممتاز 100%",AA215="جيد 85%",AA215="مقبول 70%",AA215="ضعيف 50%",AA215="")),"✗ قائمة S",IF(NOT(OR(AB215="مكتمل 100%",AB215="جزئي 60%",AB215="معلق 30%",AB215="مفتوح 0%",AB215="")),"✗ قائمة T",IF(NOT(OR(AC215="لا خصم 0",AC215="تأخير −5",AC215="عجز −10",AC215="جودة −15",AC215="امتثال −20",AC215="مخالفة −25",AC215="")),"✗ قائمة U",IF(AND(X215="لا",AC215&lt;&gt;"",AC215&lt;&gt;"لا خصم 0"),"✗ خصم",IF(AND(X215="نعم",AC215="لا خصم 0"),"✗ خصم",IF(AND(Z215="ممتاز 100%",AA215="ممتاز 100%",AB215&lt;&gt;"",AB215&lt;&gt;"مكتمل 100%"),"✗ إغلاق",IFERROR(IF(LEN(_xlfn.TEXTJOIN("، ",TRUE,IF(E215="","التاريخ",""),IF(F215="","الوقت",""),IF(G215="","المركز",""),IF(H215="","الدائرة",""),IF(I215="","القسم",""),IF(J215="","المسؤول",""),IF(K215="","نوع النشاط",""),IF(L215="","المشروع",""),IF(N215="","الممول",""),IF(V215="","الموضوع",""),IF(W215="","الملاحظة",""),IF(X215="","مشكلة",""),IF(Y215="","الإجراء",""),IF(Z215="","التنفيذ",""),IF(AA215="","الجودة",""),IF(AB215="","الإغلاق",""),IF(AC215="","الخصم",""),IF(AND(COUNTA($O215:$U215)&gt;0,O215=""),"مدير المشروع",""),IF(AND(COUNTA($O215:$U215)&gt;0,P215=""),"المستفيدين",""),IF(AND(COUNTA($O215:$U215)&gt;0,Q215=""),"المناطق",""),IF(AND(COUNTA($O215:$U215)&gt;0,R215=""),"الميزانية",""),IF(AND(COUNTA($O215:$U215)&gt;0,S215=""),"نسبة الجاهزية",""),IF(AND(COUNTA($O215:$U215)&gt;0,T215=""),"حالة الجاهزية",""),IF(AND(COUNTA($O215:$U215)&gt;0,U215=""),"التوصيات","")))&gt;0,"✗ ناقص: "&amp;_xlfn.TEXTJOIN("، ",TRUE,IF(E215="","التاريخ",""),IF(F215="","الوقت",""),IF(G215="","المركز",""),IF(H215="","الدائرة",""),IF(I215="","القسم",""),IF(J215="","المسؤول",""),IF(K215="","نوع النشاط",""),IF(L215="","المشروع",""),IF(N215="","الممول",""),IF(V215="","الموضوع",""),IF(W215="","الملاحظة",""),IF(X215="","مشكلة",""),IF(Y215="","الإجراء",""),IF(Z215="","التنفيذ",""),IF(AA215="","الجودة",""),IF(AB215="","الإغلاق",""),IF(AC215="","الخصم",""),IF(AND(COUNTA($O215:$U215)&gt;0,O215=""),"مدير المشروع",""),IF(AND(COUNTA($O215:$U215)&gt;0,P215=""),"المستفيدين",""),IF(AND(COUNTA($O215:$U215)&gt;0,Q215=""),"المناطق",""),IF(AND(COUNTA($O215:$U215)&gt;0,R215=""),"الميزانية",""),IF(AND(COUNTA($O215:$U215)&gt;0,S215=""),"نسبة الجاهزية",""),IF(AND(COUNTA($O215:$U215)&gt;0,T215=""),"حالة الجاهزية",""),IF(AND(COUNTA($O215:$U215)&gt;0,U215=""),"التوصيات","")),"✓"),"✓"))))))))))</f>
        <v>✗ قائمة U</v>
      </c>
      <c r="E215" s="235">
        <v>46175</v>
      </c>
      <c r="F215" s="236">
        <v>0.47222222222222221</v>
      </c>
      <c r="G215" s="90" t="s">
        <v>97</v>
      </c>
      <c r="H215" s="123" t="s">
        <v>102</v>
      </c>
      <c r="I215" s="89" t="s">
        <v>159</v>
      </c>
      <c r="J215" s="142" t="s">
        <v>465</v>
      </c>
      <c r="K215" s="90" t="s">
        <v>116</v>
      </c>
      <c r="L215" s="90" t="s">
        <v>312</v>
      </c>
      <c r="M215" s="90">
        <v>885</v>
      </c>
      <c r="N215" s="89" t="s">
        <v>620</v>
      </c>
      <c r="O215" s="200"/>
      <c r="P215" s="201"/>
      <c r="Q215" s="201"/>
      <c r="R215" s="237"/>
      <c r="S215" s="202"/>
      <c r="T215" s="200"/>
      <c r="U215" s="203"/>
      <c r="V215" s="89" t="s">
        <v>1034</v>
      </c>
      <c r="W215" s="89" t="s">
        <v>1035</v>
      </c>
      <c r="X215" s="145" t="s">
        <v>647</v>
      </c>
      <c r="Y215" s="89" t="s">
        <v>666</v>
      </c>
      <c r="Z215" s="90" t="s">
        <v>130</v>
      </c>
      <c r="AA215" s="90" t="s">
        <v>149</v>
      </c>
      <c r="AB215" s="90" t="s">
        <v>131</v>
      </c>
      <c r="AC215" s="90" t="s">
        <v>1036</v>
      </c>
      <c r="AD215" s="92" t="s">
        <v>26</v>
      </c>
      <c r="AE215" s="149">
        <f>IFERROR(VLOOKUP(Z215,LISTS!$AL$2:$AM$1000,2,FALSE()),"")</f>
        <v>100</v>
      </c>
      <c r="AF215" s="151">
        <f>IFERROR(VLOOKUP(AA215,LISTS!$AO$2:$AP$1000,2,FALSE()),"")</f>
        <v>85</v>
      </c>
      <c r="AG215" s="152">
        <f>IFERROR(VLOOKUP(AB215,LISTS!$AR$2:$AS$1000,2,FALSE()),"")</f>
        <v>100</v>
      </c>
      <c r="AH215" s="154">
        <f>IFERROR(VLOOKUP(AC215,LISTS!$AU$2:$AV$1000,2,FALSE()),"")</f>
        <v>10</v>
      </c>
      <c r="AI215" s="238">
        <f t="shared" si="18"/>
        <v>85.5</v>
      </c>
      <c r="AJ215" s="190" t="str">
        <f t="shared" si="19"/>
        <v>🟢 جيد</v>
      </c>
      <c r="AK215" s="157">
        <f t="shared" si="15"/>
        <v>6</v>
      </c>
      <c r="AL215" s="160">
        <f t="shared" si="16"/>
        <v>2026</v>
      </c>
      <c r="AM215" s="210"/>
      <c r="AN215" s="209"/>
    </row>
    <row r="216" spans="1:40" ht="27.95" customHeight="1">
      <c r="A216" s="134">
        <f>IF(I216&lt;&gt;"",COUNTA($I$2:I216),"")</f>
        <v>215</v>
      </c>
      <c r="B216" s="138" t="str">
        <f t="shared" si="17"/>
        <v>الثلاثاء</v>
      </c>
      <c r="C216" s="93" t="str">
        <f t="array" ref="C216">IF(E216="","",IF(M216&lt;&gt;"",
M216&amp;"/"&amp;SUMPRODUCT((M$2:M216=M216)*1)&amp;" - "&amp;(ROW()-2),
"إداري/"&amp;SUMPRODUCT((M$2:M216="")*1)&amp;" - "&amp;(ROW()-2)))</f>
        <v>852/2 - 214</v>
      </c>
      <c r="D216" s="141" t="str">
        <f>IF(AND(G216="",H216="",I216=""),"",IF(COUNTIFS(LISTS!$A$2:$A$67,G216,LISTS!$B$2:$B$67,H216,LISTS!$C$2:$C$67,I216)=0,"✗ هرم",IF(NOT(OR(Z216="ممتاز 100%",Z216="جيد 80%",Z216="مقبول 60%",Z216="خطر 40%",Z216="")),"✗ قائمة R",IF(NOT(OR(AA216="ممتاز 100%",AA216="جيد 85%",AA216="مقبول 70%",AA216="ضعيف 50%",AA216="")),"✗ قائمة S",IF(NOT(OR(AB216="مكتمل 100%",AB216="جزئي 60%",AB216="معلق 30%",AB216="مفتوح 0%",AB216="")),"✗ قائمة T",IF(NOT(OR(AC216="لا خصم 0",AC216="تأخير −5",AC216="عجز −10",AC216="جودة −15",AC216="امتثال −20",AC216="مخالفة −25",AC216="")),"✗ قائمة U",IF(AND(X216="لا",AC216&lt;&gt;"",AC216&lt;&gt;"لا خصم 0"),"✗ خصم",IF(AND(X216="نعم",AC216="لا خصم 0"),"✗ خصم",IF(AND(Z216="ممتاز 100%",AA216="ممتاز 100%",AB216&lt;&gt;"",AB216&lt;&gt;"مكتمل 100%"),"✗ إغلاق",IFERROR(IF(LEN(_xlfn.TEXTJOIN("، ",TRUE,IF(E216="","التاريخ",""),IF(F216="","الوقت",""),IF(G216="","المركز",""),IF(H216="","الدائرة",""),IF(I216="","القسم",""),IF(J216="","المسؤول",""),IF(K216="","نوع النشاط",""),IF(L216="","المشروع",""),IF(N216="","الممول",""),IF(V216="","الموضوع",""),IF(W216="","الملاحظة",""),IF(X216="","مشكلة",""),IF(Y216="","الإجراء",""),IF(Z216="","التنفيذ",""),IF(AA216="","الجودة",""),IF(AB216="","الإغلاق",""),IF(AC216="","الخصم",""),IF(AND(COUNTA($O216:$U216)&gt;0,O216=""),"مدير المشروع",""),IF(AND(COUNTA($O216:$U216)&gt;0,P216=""),"المستفيدين",""),IF(AND(COUNTA($O216:$U216)&gt;0,Q216=""),"المناطق",""),IF(AND(COUNTA($O216:$U216)&gt;0,R216=""),"الميزانية",""),IF(AND(COUNTA($O216:$U216)&gt;0,S216=""),"نسبة الجاهزية",""),IF(AND(COUNTA($O216:$U216)&gt;0,T216=""),"حالة الجاهزية",""),IF(AND(COUNTA($O216:$U216)&gt;0,U216=""),"التوصيات","")))&gt;0,"✗ ناقص: "&amp;_xlfn.TEXTJOIN("، ",TRUE,IF(E216="","التاريخ",""),IF(F216="","الوقت",""),IF(G216="","المركز",""),IF(H216="","الدائرة",""),IF(I216="","القسم",""),IF(J216="","المسؤول",""),IF(K216="","نوع النشاط",""),IF(L216="","المشروع",""),IF(N216="","الممول",""),IF(V216="","الموضوع",""),IF(W216="","الملاحظة",""),IF(X216="","مشكلة",""),IF(Y216="","الإجراء",""),IF(Z216="","التنفيذ",""),IF(AA216="","الجودة",""),IF(AB216="","الإغلاق",""),IF(AC216="","الخصم",""),IF(AND(COUNTA($O216:$U216)&gt;0,O216=""),"مدير المشروع",""),IF(AND(COUNTA($O216:$U216)&gt;0,P216=""),"المستفيدين",""),IF(AND(COUNTA($O216:$U216)&gt;0,Q216=""),"المناطق",""),IF(AND(COUNTA($O216:$U216)&gt;0,R216=""),"الميزانية",""),IF(AND(COUNTA($O216:$U216)&gt;0,S216=""),"نسبة الجاهزية",""),IF(AND(COUNTA($O216:$U216)&gt;0,T216=""),"حالة الجاهزية",""),IF(AND(COUNTA($O216:$U216)&gt;0,U216=""),"التوصيات","")),"✓"),"✓"))))))))))</f>
        <v>✓</v>
      </c>
      <c r="E216" s="235">
        <v>46175</v>
      </c>
      <c r="F216" s="236">
        <v>0.54166666666666663</v>
      </c>
      <c r="G216" s="90" t="s">
        <v>97</v>
      </c>
      <c r="H216" s="123" t="s">
        <v>102</v>
      </c>
      <c r="I216" s="89" t="s">
        <v>124</v>
      </c>
      <c r="J216" s="142" t="s">
        <v>117</v>
      </c>
      <c r="K216" s="90" t="s">
        <v>806</v>
      </c>
      <c r="L216" s="90" t="s">
        <v>369</v>
      </c>
      <c r="M216" s="90">
        <v>852</v>
      </c>
      <c r="N216" s="89" t="s">
        <v>655</v>
      </c>
      <c r="O216" s="200"/>
      <c r="P216" s="201"/>
      <c r="Q216" s="201"/>
      <c r="R216" s="237"/>
      <c r="S216" s="202"/>
      <c r="T216" s="200"/>
      <c r="U216" s="203"/>
      <c r="V216" s="89" t="s">
        <v>1011</v>
      </c>
      <c r="W216" s="89" t="s">
        <v>1037</v>
      </c>
      <c r="X216" s="145" t="s">
        <v>651</v>
      </c>
      <c r="Y216" s="89" t="s">
        <v>652</v>
      </c>
      <c r="Z216" s="90" t="s">
        <v>130</v>
      </c>
      <c r="AA216" s="90" t="s">
        <v>130</v>
      </c>
      <c r="AB216" s="90" t="s">
        <v>131</v>
      </c>
      <c r="AC216" s="90" t="s">
        <v>132</v>
      </c>
      <c r="AD216" s="92" t="s">
        <v>26</v>
      </c>
      <c r="AE216" s="149">
        <f>IFERROR(VLOOKUP(Z216,LISTS!$AL$2:$AM$1000,2,FALSE()),"")</f>
        <v>100</v>
      </c>
      <c r="AF216" s="151">
        <f>IFERROR(VLOOKUP(AA216,LISTS!$AO$2:$AP$1000,2,FALSE()),"")</f>
        <v>100</v>
      </c>
      <c r="AG216" s="152">
        <f>IFERROR(VLOOKUP(AB216,LISTS!$AR$2:$AS$1000,2,FALSE()),"")</f>
        <v>100</v>
      </c>
      <c r="AH216" s="154">
        <f>IFERROR(VLOOKUP(AC216,LISTS!$AU$2:$AV$1000,2,FALSE()),"")</f>
        <v>0</v>
      </c>
      <c r="AI216" s="238">
        <f t="shared" si="18"/>
        <v>100</v>
      </c>
      <c r="AJ216" s="190" t="str">
        <f t="shared" si="19"/>
        <v>🌟 ممتاز جدًا</v>
      </c>
      <c r="AK216" s="157">
        <f t="shared" si="15"/>
        <v>6</v>
      </c>
      <c r="AL216" s="160">
        <f t="shared" si="16"/>
        <v>2026</v>
      </c>
      <c r="AM216" s="210"/>
      <c r="AN216" s="209"/>
    </row>
    <row r="217" spans="1:40" ht="27.95" customHeight="1">
      <c r="A217" s="134">
        <f>IF(I217&lt;&gt;"",COUNTA($I$2:I217),"")</f>
        <v>216</v>
      </c>
      <c r="B217" s="138" t="str">
        <f t="shared" si="17"/>
        <v>الأربعاء</v>
      </c>
      <c r="C217" s="93" t="str">
        <f t="array" ref="C217">IF(E217="","",IF(M217&lt;&gt;"",
M217&amp;"/"&amp;SUMPRODUCT((M$2:M217=M217)*1)&amp;" - "&amp;(ROW()-2),
"إداري/"&amp;SUMPRODUCT((M$2:M217="")*1)&amp;" - "&amp;(ROW()-2)))</f>
        <v>893/1 - 215</v>
      </c>
      <c r="D217" s="141" t="str">
        <f>IF(AND(G217="",H217="",I217=""),"",IF(COUNTIFS(LISTS!$A$2:$A$67,G217,LISTS!$B$2:$B$67,H217,LISTS!$C$2:$C$67,I217)=0,"✗ هرم",IF(NOT(OR(Z217="ممتاز 100%",Z217="جيد 80%",Z217="مقبول 60%",Z217="خطر 40%",Z217="")),"✗ قائمة R",IF(NOT(OR(AA217="ممتاز 100%",AA217="جيد 85%",AA217="مقبول 70%",AA217="ضعيف 50%",AA217="")),"✗ قائمة S",IF(NOT(OR(AB217="مكتمل 100%",AB217="جزئي 60%",AB217="معلق 30%",AB217="مفتوح 0%",AB217="")),"✗ قائمة T",IF(NOT(OR(AC217="لا خصم 0",AC217="تأخير −5",AC217="عجز −10",AC217="جودة −15",AC217="امتثال −20",AC217="مخالفة −25",AC217="")),"✗ قائمة U",IF(AND(X217="لا",AC217&lt;&gt;"",AC217&lt;&gt;"لا خصم 0"),"✗ خصم",IF(AND(X217="نعم",AC217="لا خصم 0"),"✗ خصم",IF(AND(Z217="ممتاز 100%",AA217="ممتاز 100%",AB217&lt;&gt;"",AB217&lt;&gt;"مكتمل 100%"),"✗ إغلاق",IFERROR(IF(LEN(_xlfn.TEXTJOIN("، ",TRUE,IF(E217="","التاريخ",""),IF(F217="","الوقت",""),IF(G217="","المركز",""),IF(H217="","الدائرة",""),IF(I217="","القسم",""),IF(J217="","المسؤول",""),IF(K217="","نوع النشاط",""),IF(L217="","المشروع",""),IF(N217="","الممول",""),IF(V217="","الموضوع",""),IF(W217="","الملاحظة",""),IF(X217="","مشكلة",""),IF(Y217="","الإجراء",""),IF(Z217="","التنفيذ",""),IF(AA217="","الجودة",""),IF(AB217="","الإغلاق",""),IF(AC217="","الخصم",""),IF(AND(COUNTA($O217:$U217)&gt;0,O217=""),"مدير المشروع",""),IF(AND(COUNTA($O217:$U217)&gt;0,P217=""),"المستفيدين",""),IF(AND(COUNTA($O217:$U217)&gt;0,Q217=""),"المناطق",""),IF(AND(COUNTA($O217:$U217)&gt;0,R217=""),"الميزانية",""),IF(AND(COUNTA($O217:$U217)&gt;0,S217=""),"نسبة الجاهزية",""),IF(AND(COUNTA($O217:$U217)&gt;0,T217=""),"حالة الجاهزية",""),IF(AND(COUNTA($O217:$U217)&gt;0,U217=""),"التوصيات","")))&gt;0,"✗ ناقص: "&amp;_xlfn.TEXTJOIN("، ",TRUE,IF(E217="","التاريخ",""),IF(F217="","الوقت",""),IF(G217="","المركز",""),IF(H217="","الدائرة",""),IF(I217="","القسم",""),IF(J217="","المسؤول",""),IF(K217="","نوع النشاط",""),IF(L217="","المشروع",""),IF(N217="","الممول",""),IF(V217="","الموضوع",""),IF(W217="","الملاحظة",""),IF(X217="","مشكلة",""),IF(Y217="","الإجراء",""),IF(Z217="","التنفيذ",""),IF(AA217="","الجودة",""),IF(AB217="","الإغلاق",""),IF(AC217="","الخصم",""),IF(AND(COUNTA($O217:$U217)&gt;0,O217=""),"مدير المشروع",""),IF(AND(COUNTA($O217:$U217)&gt;0,P217=""),"المستفيدين",""),IF(AND(COUNTA($O217:$U217)&gt;0,Q217=""),"المناطق",""),IF(AND(COUNTA($O217:$U217)&gt;0,R217=""),"الميزانية",""),IF(AND(COUNTA($O217:$U217)&gt;0,S217=""),"نسبة الجاهزية",""),IF(AND(COUNTA($O217:$U217)&gt;0,T217=""),"حالة الجاهزية",""),IF(AND(COUNTA($O217:$U217)&gt;0,U217=""),"التوصيات","")),"✓"),"✓"))))))))))</f>
        <v>✓</v>
      </c>
      <c r="E217" s="235">
        <v>46176</v>
      </c>
      <c r="F217" s="236">
        <v>0.50694444444444442</v>
      </c>
      <c r="G217" s="90" t="s">
        <v>97</v>
      </c>
      <c r="H217" s="123" t="s">
        <v>102</v>
      </c>
      <c r="I217" s="89" t="s">
        <v>159</v>
      </c>
      <c r="J217" s="142" t="s">
        <v>467</v>
      </c>
      <c r="K217" s="90" t="s">
        <v>116</v>
      </c>
      <c r="L217" s="90" t="s">
        <v>301</v>
      </c>
      <c r="M217" s="90">
        <v>893</v>
      </c>
      <c r="N217" s="89" t="s">
        <v>616</v>
      </c>
      <c r="O217" s="200"/>
      <c r="P217" s="201"/>
      <c r="Q217" s="201"/>
      <c r="R217" s="237"/>
      <c r="S217" s="202"/>
      <c r="T217" s="200"/>
      <c r="U217" s="203"/>
      <c r="V217" s="89" t="s">
        <v>1008</v>
      </c>
      <c r="W217" s="89" t="s">
        <v>1038</v>
      </c>
      <c r="X217" s="145" t="s">
        <v>651</v>
      </c>
      <c r="Y217" s="89" t="s">
        <v>652</v>
      </c>
      <c r="Z217" s="90" t="s">
        <v>130</v>
      </c>
      <c r="AA217" s="90" t="s">
        <v>130</v>
      </c>
      <c r="AB217" s="90" t="s">
        <v>131</v>
      </c>
      <c r="AC217" s="90" t="s">
        <v>132</v>
      </c>
      <c r="AD217" s="92" t="s">
        <v>26</v>
      </c>
      <c r="AE217" s="149">
        <f>IFERROR(VLOOKUP(Z217,LISTS!$AL$2:$AM$1000,2,FALSE()),"")</f>
        <v>100</v>
      </c>
      <c r="AF217" s="151">
        <f>IFERROR(VLOOKUP(AA217,LISTS!$AO$2:$AP$1000,2,FALSE()),"")</f>
        <v>100</v>
      </c>
      <c r="AG217" s="152">
        <f>IFERROR(VLOOKUP(AB217,LISTS!$AR$2:$AS$1000,2,FALSE()),"")</f>
        <v>100</v>
      </c>
      <c r="AH217" s="154">
        <f>IFERROR(VLOOKUP(AC217,LISTS!$AU$2:$AV$1000,2,FALSE()),"")</f>
        <v>0</v>
      </c>
      <c r="AI217" s="238">
        <f t="shared" si="18"/>
        <v>100</v>
      </c>
      <c r="AJ217" s="190" t="str">
        <f t="shared" si="19"/>
        <v>🌟 ممتاز جدًا</v>
      </c>
      <c r="AK217" s="157">
        <f t="shared" si="15"/>
        <v>6</v>
      </c>
      <c r="AL217" s="160">
        <f t="shared" si="16"/>
        <v>2026</v>
      </c>
      <c r="AM217" s="210"/>
      <c r="AN217" s="209"/>
    </row>
    <row r="218" spans="1:40" ht="27.95" customHeight="1">
      <c r="A218" s="134">
        <f>IF(I218&lt;&gt;"",COUNTA($I$2:I218),"")</f>
        <v>217</v>
      </c>
      <c r="B218" s="138" t="str">
        <f t="shared" si="17"/>
        <v>الأربعاء</v>
      </c>
      <c r="C218" s="93" t="str">
        <f t="array" ref="C218">IF(E218="","",IF(M218&lt;&gt;"",
M218&amp;"/"&amp;SUMPRODUCT((M$2:M218=M218)*1)&amp;" - "&amp;(ROW()-2),
"إداري/"&amp;SUMPRODUCT((M$2:M218="")*1)&amp;" - "&amp;(ROW()-2)))</f>
        <v>883/1 - 216</v>
      </c>
      <c r="D218" s="141" t="str">
        <f>IF(AND(G218="",H218="",I218=""),"",IF(COUNTIFS(LISTS!$A$2:$A$67,G218,LISTS!$B$2:$B$67,H218,LISTS!$C$2:$C$67,I218)=0,"✗ هرم",IF(NOT(OR(Z218="ممتاز 100%",Z218="جيد 80%",Z218="مقبول 60%",Z218="خطر 40%",Z218="")),"✗ قائمة R",IF(NOT(OR(AA218="ممتاز 100%",AA218="جيد 85%",AA218="مقبول 70%",AA218="ضعيف 50%",AA218="")),"✗ قائمة S",IF(NOT(OR(AB218="مكتمل 100%",AB218="جزئي 60%",AB218="معلق 30%",AB218="مفتوح 0%",AB218="")),"✗ قائمة T",IF(NOT(OR(AC218="لا خصم 0",AC218="تأخير −5",AC218="عجز −10",AC218="جودة −15",AC218="امتثال −20",AC218="مخالفة −25",AC218="")),"✗ قائمة U",IF(AND(X218="لا",AC218&lt;&gt;"",AC218&lt;&gt;"لا خصم 0"),"✗ خصم",IF(AND(X218="نعم",AC218="لا خصم 0"),"✗ خصم",IF(AND(Z218="ممتاز 100%",AA218="ممتاز 100%",AB218&lt;&gt;"",AB218&lt;&gt;"مكتمل 100%"),"✗ إغلاق",IFERROR(IF(LEN(_xlfn.TEXTJOIN("، ",TRUE,IF(E218="","التاريخ",""),IF(F218="","الوقت",""),IF(G218="","المركز",""),IF(H218="","الدائرة",""),IF(I218="","القسم",""),IF(J218="","المسؤول",""),IF(K218="","نوع النشاط",""),IF(L218="","المشروع",""),IF(N218="","الممول",""),IF(V218="","الموضوع",""),IF(W218="","الملاحظة",""),IF(X218="","مشكلة",""),IF(Y218="","الإجراء",""),IF(Z218="","التنفيذ",""),IF(AA218="","الجودة",""),IF(AB218="","الإغلاق",""),IF(AC218="","الخصم",""),IF(AND(COUNTA($O218:$U218)&gt;0,O218=""),"مدير المشروع",""),IF(AND(COUNTA($O218:$U218)&gt;0,P218=""),"المستفيدين",""),IF(AND(COUNTA($O218:$U218)&gt;0,Q218=""),"المناطق",""),IF(AND(COUNTA($O218:$U218)&gt;0,R218=""),"الميزانية",""),IF(AND(COUNTA($O218:$U218)&gt;0,S218=""),"نسبة الجاهزية",""),IF(AND(COUNTA($O218:$U218)&gt;0,T218=""),"حالة الجاهزية",""),IF(AND(COUNTA($O218:$U218)&gt;0,U218=""),"التوصيات","")))&gt;0,"✗ ناقص: "&amp;_xlfn.TEXTJOIN("، ",TRUE,IF(E218="","التاريخ",""),IF(F218="","الوقت",""),IF(G218="","المركز",""),IF(H218="","الدائرة",""),IF(I218="","القسم",""),IF(J218="","المسؤول",""),IF(K218="","نوع النشاط",""),IF(L218="","المشروع",""),IF(N218="","الممول",""),IF(V218="","الموضوع",""),IF(W218="","الملاحظة",""),IF(X218="","مشكلة",""),IF(Y218="","الإجراء",""),IF(Z218="","التنفيذ",""),IF(AA218="","الجودة",""),IF(AB218="","الإغلاق",""),IF(AC218="","الخصم",""),IF(AND(COUNTA($O218:$U218)&gt;0,O218=""),"مدير المشروع",""),IF(AND(COUNTA($O218:$U218)&gt;0,P218=""),"المستفيدين",""),IF(AND(COUNTA($O218:$U218)&gt;0,Q218=""),"المناطق",""),IF(AND(COUNTA($O218:$U218)&gt;0,R218=""),"الميزانية",""),IF(AND(COUNTA($O218:$U218)&gt;0,S218=""),"نسبة الجاهزية",""),IF(AND(COUNTA($O218:$U218)&gt;0,T218=""),"حالة الجاهزية",""),IF(AND(COUNTA($O218:$U218)&gt;0,U218=""),"التوصيات","")),"✓"),"✓"))))))))))</f>
        <v>✓</v>
      </c>
      <c r="E218" s="235">
        <v>46176</v>
      </c>
      <c r="F218" s="236">
        <v>0.55555555555555558</v>
      </c>
      <c r="G218" s="90" t="s">
        <v>97</v>
      </c>
      <c r="H218" s="123" t="s">
        <v>102</v>
      </c>
      <c r="I218" s="89" t="s">
        <v>159</v>
      </c>
      <c r="J218" s="142" t="s">
        <v>276</v>
      </c>
      <c r="K218" s="90" t="s">
        <v>133</v>
      </c>
      <c r="L218" s="90" t="s">
        <v>118</v>
      </c>
      <c r="M218" s="90">
        <v>883</v>
      </c>
      <c r="N218" s="89" t="s">
        <v>120</v>
      </c>
      <c r="O218" s="200"/>
      <c r="P218" s="201"/>
      <c r="Q218" s="201"/>
      <c r="R218" s="237"/>
      <c r="S218" s="202"/>
      <c r="T218" s="200"/>
      <c r="U218" s="203"/>
      <c r="V218" s="89" t="s">
        <v>1039</v>
      </c>
      <c r="W218" s="89" t="s">
        <v>1040</v>
      </c>
      <c r="X218" s="145" t="s">
        <v>651</v>
      </c>
      <c r="Y218" s="89" t="s">
        <v>652</v>
      </c>
      <c r="Z218" s="90" t="s">
        <v>130</v>
      </c>
      <c r="AA218" s="90" t="s">
        <v>130</v>
      </c>
      <c r="AB218" s="90" t="s">
        <v>131</v>
      </c>
      <c r="AC218" s="90" t="s">
        <v>132</v>
      </c>
      <c r="AD218" s="92" t="s">
        <v>26</v>
      </c>
      <c r="AE218" s="149">
        <f>IFERROR(VLOOKUP(Z218,LISTS!$AL$2:$AM$1000,2,FALSE()),"")</f>
        <v>100</v>
      </c>
      <c r="AF218" s="151">
        <f>IFERROR(VLOOKUP(AA218,LISTS!$AO$2:$AP$1000,2,FALSE()),"")</f>
        <v>100</v>
      </c>
      <c r="AG218" s="152">
        <f>IFERROR(VLOOKUP(AB218,LISTS!$AR$2:$AS$1000,2,FALSE()),"")</f>
        <v>100</v>
      </c>
      <c r="AH218" s="154">
        <f>IFERROR(VLOOKUP(AC218,LISTS!$AU$2:$AV$1000,2,FALSE()),"")</f>
        <v>0</v>
      </c>
      <c r="AI218" s="238">
        <f t="shared" si="18"/>
        <v>100</v>
      </c>
      <c r="AJ218" s="190" t="str">
        <f t="shared" si="19"/>
        <v>🌟 ممتاز جدًا</v>
      </c>
      <c r="AK218" s="157">
        <f t="shared" si="15"/>
        <v>6</v>
      </c>
      <c r="AL218" s="160">
        <f t="shared" si="16"/>
        <v>2026</v>
      </c>
      <c r="AM218" s="210"/>
      <c r="AN218" s="209"/>
    </row>
    <row r="219" spans="1:40" ht="27.95" customHeight="1">
      <c r="A219" s="134">
        <f>IF(I219&lt;&gt;"",COUNTA($I$2:I219),"")</f>
        <v>218</v>
      </c>
      <c r="B219" s="138" t="str">
        <f t="shared" si="17"/>
        <v>الخميس</v>
      </c>
      <c r="C219" s="93" t="str">
        <f t="array" ref="C219">IF(E219="","",IF(M219&lt;&gt;"",
M219&amp;"/"&amp;SUMPRODUCT((M$2:M219=M219)*1)&amp;" - "&amp;(ROW()-2),
"إداري/"&amp;SUMPRODUCT((M$2:M219="")*1)&amp;" - "&amp;(ROW()-2)))</f>
        <v>887/1 - 217</v>
      </c>
      <c r="D219" s="141" t="str">
        <f>IF(AND(G219="",H219="",I219=""),"",IF(COUNTIFS(LISTS!$A$2:$A$67,G219,LISTS!$B$2:$B$67,H219,LISTS!$C$2:$C$67,I219)=0,"✗ هرم",IF(NOT(OR(Z219="ممتاز 100%",Z219="جيد 80%",Z219="مقبول 60%",Z219="خطر 40%",Z219="")),"✗ قائمة R",IF(NOT(OR(AA219="ممتاز 100%",AA219="جيد 85%",AA219="مقبول 70%",AA219="ضعيف 50%",AA219="")),"✗ قائمة S",IF(NOT(OR(AB219="مكتمل 100%",AB219="جزئي 60%",AB219="معلق 30%",AB219="مفتوح 0%",AB219="")),"✗ قائمة T",IF(NOT(OR(AC219="لا خصم 0",AC219="تأخير −5",AC219="عجز −10",AC219="جودة −15",AC219="امتثال −20",AC219="مخالفة −25",AC219="")),"✗ قائمة U",IF(AND(X219="لا",AC219&lt;&gt;"",AC219&lt;&gt;"لا خصم 0"),"✗ خصم",IF(AND(X219="نعم",AC219="لا خصم 0"),"✗ خصم",IF(AND(Z219="ممتاز 100%",AA219="ممتاز 100%",AB219&lt;&gt;"",AB219&lt;&gt;"مكتمل 100%"),"✗ إغلاق",IFERROR(IF(LEN(_xlfn.TEXTJOIN("، ",TRUE,IF(E219="","التاريخ",""),IF(F219="","الوقت",""),IF(G219="","المركز",""),IF(H219="","الدائرة",""),IF(I219="","القسم",""),IF(J219="","المسؤول",""),IF(K219="","نوع النشاط",""),IF(L219="","المشروع",""),IF(N219="","الممول",""),IF(V219="","الموضوع",""),IF(W219="","الملاحظة",""),IF(X219="","مشكلة",""),IF(Y219="","الإجراء",""),IF(Z219="","التنفيذ",""),IF(AA219="","الجودة",""),IF(AB219="","الإغلاق",""),IF(AC219="","الخصم",""),IF(AND(COUNTA($O219:$U219)&gt;0,O219=""),"مدير المشروع",""),IF(AND(COUNTA($O219:$U219)&gt;0,P219=""),"المستفيدين",""),IF(AND(COUNTA($O219:$U219)&gt;0,Q219=""),"المناطق",""),IF(AND(COUNTA($O219:$U219)&gt;0,R219=""),"الميزانية",""),IF(AND(COUNTA($O219:$U219)&gt;0,S219=""),"نسبة الجاهزية",""),IF(AND(COUNTA($O219:$U219)&gt;0,T219=""),"حالة الجاهزية",""),IF(AND(COUNTA($O219:$U219)&gt;0,U219=""),"التوصيات","")))&gt;0,"✗ ناقص: "&amp;_xlfn.TEXTJOIN("، ",TRUE,IF(E219="","التاريخ",""),IF(F219="","الوقت",""),IF(G219="","المركز",""),IF(H219="","الدائرة",""),IF(I219="","القسم",""),IF(J219="","المسؤول",""),IF(K219="","نوع النشاط",""),IF(L219="","المشروع",""),IF(N219="","الممول",""),IF(V219="","الموضوع",""),IF(W219="","الملاحظة",""),IF(X219="","مشكلة",""),IF(Y219="","الإجراء",""),IF(Z219="","التنفيذ",""),IF(AA219="","الجودة",""),IF(AB219="","الإغلاق",""),IF(AC219="","الخصم",""),IF(AND(COUNTA($O219:$U219)&gt;0,O219=""),"مدير المشروع",""),IF(AND(COUNTA($O219:$U219)&gt;0,P219=""),"المستفيدين",""),IF(AND(COUNTA($O219:$U219)&gt;0,Q219=""),"المناطق",""),IF(AND(COUNTA($O219:$U219)&gt;0,R219=""),"الميزانية",""),IF(AND(COUNTA($O219:$U219)&gt;0,S219=""),"نسبة الجاهزية",""),IF(AND(COUNTA($O219:$U219)&gt;0,T219=""),"حالة الجاهزية",""),IF(AND(COUNTA($O219:$U219)&gt;0,U219=""),"التوصيات","")),"✓"),"✓"))))))))))</f>
        <v>✓</v>
      </c>
      <c r="E219" s="235">
        <v>46177</v>
      </c>
      <c r="F219" s="236">
        <v>0.56597222222222221</v>
      </c>
      <c r="G219" s="90" t="s">
        <v>97</v>
      </c>
      <c r="H219" s="123" t="s">
        <v>102</v>
      </c>
      <c r="I219" s="89" t="s">
        <v>124</v>
      </c>
      <c r="J219" s="142" t="s">
        <v>117</v>
      </c>
      <c r="K219" s="90" t="s">
        <v>116</v>
      </c>
      <c r="L219" s="90" t="s">
        <v>369</v>
      </c>
      <c r="M219" s="90">
        <v>887</v>
      </c>
      <c r="N219" s="89" t="s">
        <v>655</v>
      </c>
      <c r="O219" s="200"/>
      <c r="P219" s="201"/>
      <c r="Q219" s="201"/>
      <c r="R219" s="237"/>
      <c r="S219" s="202"/>
      <c r="T219" s="200"/>
      <c r="U219" s="203"/>
      <c r="V219" s="89" t="s">
        <v>1011</v>
      </c>
      <c r="W219" s="89" t="s">
        <v>1041</v>
      </c>
      <c r="X219" s="145" t="s">
        <v>651</v>
      </c>
      <c r="Y219" s="89" t="s">
        <v>652</v>
      </c>
      <c r="Z219" s="90" t="s">
        <v>130</v>
      </c>
      <c r="AA219" s="90" t="s">
        <v>130</v>
      </c>
      <c r="AB219" s="90" t="s">
        <v>131</v>
      </c>
      <c r="AC219" s="90" t="s">
        <v>132</v>
      </c>
      <c r="AD219" s="92" t="s">
        <v>26</v>
      </c>
      <c r="AE219" s="149">
        <f>IFERROR(VLOOKUP(Z219,LISTS!$AL$2:$AM$1000,2,FALSE()),"")</f>
        <v>100</v>
      </c>
      <c r="AF219" s="151">
        <f>IFERROR(VLOOKUP(AA219,LISTS!$AO$2:$AP$1000,2,FALSE()),"")</f>
        <v>100</v>
      </c>
      <c r="AG219" s="152">
        <f>IFERROR(VLOOKUP(AB219,LISTS!$AR$2:$AS$1000,2,FALSE()),"")</f>
        <v>100</v>
      </c>
      <c r="AH219" s="154">
        <f>IFERROR(VLOOKUP(AC219,LISTS!$AU$2:$AV$1000,2,FALSE()),"")</f>
        <v>0</v>
      </c>
      <c r="AI219" s="238">
        <f t="shared" si="18"/>
        <v>100</v>
      </c>
      <c r="AJ219" s="190" t="str">
        <f t="shared" si="19"/>
        <v>🌟 ممتاز جدًا</v>
      </c>
      <c r="AK219" s="157">
        <f t="shared" si="15"/>
        <v>6</v>
      </c>
      <c r="AL219" s="160">
        <f t="shared" si="16"/>
        <v>2026</v>
      </c>
      <c r="AM219" s="210"/>
      <c r="AN219" s="209"/>
    </row>
    <row r="220" spans="1:40" ht="27.95" customHeight="1">
      <c r="A220" s="134">
        <f>IF(I220&lt;&gt;"",COUNTA($I$2:I220),"")</f>
        <v>219</v>
      </c>
      <c r="B220" s="138" t="str">
        <f t="shared" si="17"/>
        <v>السبت</v>
      </c>
      <c r="C220" s="93" t="str">
        <f t="array" ref="C220">IF(E220="","",IF(M220&lt;&gt;"",
M220&amp;"/"&amp;SUMPRODUCT((M$2:M220=M220)*1)&amp;" - "&amp;(ROW()-2),
"إداري/"&amp;SUMPRODUCT((M$2:M220="")*1)&amp;" - "&amp;(ROW()-2)))</f>
        <v>895/1 - 218</v>
      </c>
      <c r="D220" s="141" t="str">
        <f>IF(AND(G220="",H220="",I220=""),"",IF(COUNTIFS(LISTS!$A$2:$A$67,G220,LISTS!$B$2:$B$67,H220,LISTS!$C$2:$C$67,I220)=0,"✗ هرم",IF(NOT(OR(Z220="ممتاز 100%",Z220="جيد 80%",Z220="مقبول 60%",Z220="خطر 40%",Z220="")),"✗ قائمة R",IF(NOT(OR(AA220="ممتاز 100%",AA220="جيد 85%",AA220="مقبول 70%",AA220="ضعيف 50%",AA220="")),"✗ قائمة S",IF(NOT(OR(AB220="مكتمل 100%",AB220="جزئي 60%",AB220="معلق 30%",AB220="مفتوح 0%",AB220="")),"✗ قائمة T",IF(NOT(OR(AC220="لا خصم 0",AC220="تأخير −5",AC220="عجز −10",AC220="جودة −15",AC220="امتثال −20",AC220="مخالفة −25",AC220="")),"✗ قائمة U",IF(AND(X220="لا",AC220&lt;&gt;"",AC220&lt;&gt;"لا خصم 0"),"✗ خصم",IF(AND(X220="نعم",AC220="لا خصم 0"),"✗ خصم",IF(AND(Z220="ممتاز 100%",AA220="ممتاز 100%",AB220&lt;&gt;"",AB220&lt;&gt;"مكتمل 100%"),"✗ إغلاق",IFERROR(IF(LEN(_xlfn.TEXTJOIN("، ",TRUE,IF(E220="","التاريخ",""),IF(F220="","الوقت",""),IF(G220="","المركز",""),IF(H220="","الدائرة",""),IF(I220="","القسم",""),IF(J220="","المسؤول",""),IF(K220="","نوع النشاط",""),IF(L220="","المشروع",""),IF(N220="","الممول",""),IF(V220="","الموضوع",""),IF(W220="","الملاحظة",""),IF(X220="","مشكلة",""),IF(Y220="","الإجراء",""),IF(Z220="","التنفيذ",""),IF(AA220="","الجودة",""),IF(AB220="","الإغلاق",""),IF(AC220="","الخصم",""),IF(AND(COUNTA($O220:$U220)&gt;0,O220=""),"مدير المشروع",""),IF(AND(COUNTA($O220:$U220)&gt;0,P220=""),"المستفيدين",""),IF(AND(COUNTA($O220:$U220)&gt;0,Q220=""),"المناطق",""),IF(AND(COUNTA($O220:$U220)&gt;0,R220=""),"الميزانية",""),IF(AND(COUNTA($O220:$U220)&gt;0,S220=""),"نسبة الجاهزية",""),IF(AND(COUNTA($O220:$U220)&gt;0,T220=""),"حالة الجاهزية",""),IF(AND(COUNTA($O220:$U220)&gt;0,U220=""),"التوصيات","")))&gt;0,"✗ ناقص: "&amp;_xlfn.TEXTJOIN("، ",TRUE,IF(E220="","التاريخ",""),IF(F220="","الوقت",""),IF(G220="","المركز",""),IF(H220="","الدائرة",""),IF(I220="","القسم",""),IF(J220="","المسؤول",""),IF(K220="","نوع النشاط",""),IF(L220="","المشروع",""),IF(N220="","الممول",""),IF(V220="","الموضوع",""),IF(W220="","الملاحظة",""),IF(X220="","مشكلة",""),IF(Y220="","الإجراء",""),IF(Z220="","التنفيذ",""),IF(AA220="","الجودة",""),IF(AB220="","الإغلاق",""),IF(AC220="","الخصم",""),IF(AND(COUNTA($O220:$U220)&gt;0,O220=""),"مدير المشروع",""),IF(AND(COUNTA($O220:$U220)&gt;0,P220=""),"المستفيدين",""),IF(AND(COUNTA($O220:$U220)&gt;0,Q220=""),"المناطق",""),IF(AND(COUNTA($O220:$U220)&gt;0,R220=""),"الميزانية",""),IF(AND(COUNTA($O220:$U220)&gt;0,S220=""),"نسبة الجاهزية",""),IF(AND(COUNTA($O220:$U220)&gt;0,T220=""),"حالة الجاهزية",""),IF(AND(COUNTA($O220:$U220)&gt;0,U220=""),"التوصيات","")),"✓"),"✓"))))))))))</f>
        <v>✓</v>
      </c>
      <c r="E220" s="235">
        <v>46179</v>
      </c>
      <c r="F220" s="236">
        <v>0.62152777777777779</v>
      </c>
      <c r="G220" s="90" t="s">
        <v>97</v>
      </c>
      <c r="H220" s="123" t="s">
        <v>102</v>
      </c>
      <c r="I220" s="89" t="s">
        <v>124</v>
      </c>
      <c r="J220" s="142" t="s">
        <v>117</v>
      </c>
      <c r="K220" s="90" t="s">
        <v>116</v>
      </c>
      <c r="L220" s="90" t="s">
        <v>369</v>
      </c>
      <c r="M220" s="90">
        <v>895</v>
      </c>
      <c r="N220" s="89" t="s">
        <v>655</v>
      </c>
      <c r="O220" s="200"/>
      <c r="P220" s="201"/>
      <c r="Q220" s="201"/>
      <c r="R220" s="237"/>
      <c r="S220" s="202"/>
      <c r="T220" s="200"/>
      <c r="U220" s="203"/>
      <c r="V220" s="89" t="s">
        <v>1011</v>
      </c>
      <c r="W220" s="89" t="s">
        <v>1042</v>
      </c>
      <c r="X220" s="145" t="s">
        <v>651</v>
      </c>
      <c r="Y220" s="89" t="s">
        <v>652</v>
      </c>
      <c r="Z220" s="90" t="s">
        <v>130</v>
      </c>
      <c r="AA220" s="90" t="s">
        <v>130</v>
      </c>
      <c r="AB220" s="90" t="s">
        <v>131</v>
      </c>
      <c r="AC220" s="90" t="s">
        <v>132</v>
      </c>
      <c r="AD220" s="92" t="s">
        <v>26</v>
      </c>
      <c r="AE220" s="149">
        <f>IFERROR(VLOOKUP(Z220,LISTS!$AL$2:$AM$1000,2,FALSE()),"")</f>
        <v>100</v>
      </c>
      <c r="AF220" s="151">
        <f>IFERROR(VLOOKUP(AA220,LISTS!$AO$2:$AP$1000,2,FALSE()),"")</f>
        <v>100</v>
      </c>
      <c r="AG220" s="152">
        <f>IFERROR(VLOOKUP(AB220,LISTS!$AR$2:$AS$1000,2,FALSE()),"")</f>
        <v>100</v>
      </c>
      <c r="AH220" s="154">
        <f>IFERROR(VLOOKUP(AC220,LISTS!$AU$2:$AV$1000,2,FALSE()),"")</f>
        <v>0</v>
      </c>
      <c r="AI220" s="238">
        <f t="shared" si="18"/>
        <v>100</v>
      </c>
      <c r="AJ220" s="190" t="str">
        <f t="shared" si="19"/>
        <v>🌟 ممتاز جدًا</v>
      </c>
      <c r="AK220" s="157">
        <f t="shared" si="15"/>
        <v>6</v>
      </c>
      <c r="AL220" s="160">
        <f t="shared" si="16"/>
        <v>2026</v>
      </c>
      <c r="AM220" s="210"/>
      <c r="AN220" s="209"/>
    </row>
    <row r="221" spans="1:40" ht="27.95" customHeight="1">
      <c r="A221" s="134">
        <f>IF(I221&lt;&gt;"",COUNTA($I$2:I221),"")</f>
        <v>220</v>
      </c>
      <c r="B221" s="138" t="str">
        <f t="shared" si="17"/>
        <v>الأحد</v>
      </c>
      <c r="C221" s="93" t="str">
        <f t="array" ref="C221">IF(E221="","",IF(M221&lt;&gt;"",
M221&amp;"/"&amp;SUMPRODUCT((M$2:M221=M221)*1)&amp;" - "&amp;(ROW()-2),
"إداري/"&amp;SUMPRODUCT((M$2:M221="")*1)&amp;" - "&amp;(ROW()-2)))</f>
        <v>895/2 - 219</v>
      </c>
      <c r="D221" s="141" t="str">
        <f>IF(AND(G221="",H221="",I221=""),"",IF(COUNTIFS(LISTS!$A$2:$A$67,G221,LISTS!$B$2:$B$67,H221,LISTS!$C$2:$C$67,I221)=0,"✗ هرم",IF(NOT(OR(Z221="ممتاز 100%",Z221="جيد 80%",Z221="مقبول 60%",Z221="خطر 40%",Z221="")),"✗ قائمة R",IF(NOT(OR(AA221="ممتاز 100%",AA221="جيد 85%",AA221="مقبول 70%",AA221="ضعيف 50%",AA221="")),"✗ قائمة S",IF(NOT(OR(AB221="مكتمل 100%",AB221="جزئي 60%",AB221="معلق 30%",AB221="مفتوح 0%",AB221="")),"✗ قائمة T",IF(NOT(OR(AC221="لا خصم 0",AC221="تأخير −5",AC221="عجز −10",AC221="جودة −15",AC221="امتثال −20",AC221="مخالفة −25",AC221="")),"✗ قائمة U",IF(AND(X221="لا",AC221&lt;&gt;"",AC221&lt;&gt;"لا خصم 0"),"✗ خصم",IF(AND(X221="نعم",AC221="لا خصم 0"),"✗ خصم",IF(AND(Z221="ممتاز 100%",AA221="ممتاز 100%",AB221&lt;&gt;"",AB221&lt;&gt;"مكتمل 100%"),"✗ إغلاق",IFERROR(IF(LEN(_xlfn.TEXTJOIN("، ",TRUE,IF(E221="","التاريخ",""),IF(F221="","الوقت",""),IF(G221="","المركز",""),IF(H221="","الدائرة",""),IF(I221="","القسم",""),IF(J221="","المسؤول",""),IF(K221="","نوع النشاط",""),IF(L221="","المشروع",""),IF(N221="","الممول",""),IF(V221="","الموضوع",""),IF(W221="","الملاحظة",""),IF(X221="","مشكلة",""),IF(Y221="","الإجراء",""),IF(Z221="","التنفيذ",""),IF(AA221="","الجودة",""),IF(AB221="","الإغلاق",""),IF(AC221="","الخصم",""),IF(AND(COUNTA($O221:$U221)&gt;0,O221=""),"مدير المشروع",""),IF(AND(COUNTA($O221:$U221)&gt;0,P221=""),"المستفيدين",""),IF(AND(COUNTA($O221:$U221)&gt;0,Q221=""),"المناطق",""),IF(AND(COUNTA($O221:$U221)&gt;0,R221=""),"الميزانية",""),IF(AND(COUNTA($O221:$U221)&gt;0,S221=""),"نسبة الجاهزية",""),IF(AND(COUNTA($O221:$U221)&gt;0,T221=""),"حالة الجاهزية",""),IF(AND(COUNTA($O221:$U221)&gt;0,U221=""),"التوصيات","")))&gt;0,"✗ ناقص: "&amp;_xlfn.TEXTJOIN("، ",TRUE,IF(E221="","التاريخ",""),IF(F221="","الوقت",""),IF(G221="","المركز",""),IF(H221="","الدائرة",""),IF(I221="","القسم",""),IF(J221="","المسؤول",""),IF(K221="","نوع النشاط",""),IF(L221="","المشروع",""),IF(N221="","الممول",""),IF(V221="","الموضوع",""),IF(W221="","الملاحظة",""),IF(X221="","مشكلة",""),IF(Y221="","الإجراء",""),IF(Z221="","التنفيذ",""),IF(AA221="","الجودة",""),IF(AB221="","الإغلاق",""),IF(AC221="","الخصم",""),IF(AND(COUNTA($O221:$U221)&gt;0,O221=""),"مدير المشروع",""),IF(AND(COUNTA($O221:$U221)&gt;0,P221=""),"المستفيدين",""),IF(AND(COUNTA($O221:$U221)&gt;0,Q221=""),"المناطق",""),IF(AND(COUNTA($O221:$U221)&gt;0,R221=""),"الميزانية",""),IF(AND(COUNTA($O221:$U221)&gt;0,S221=""),"نسبة الجاهزية",""),IF(AND(COUNTA($O221:$U221)&gt;0,T221=""),"حالة الجاهزية",""),IF(AND(COUNTA($O221:$U221)&gt;0,U221=""),"التوصيات","")),"✓"),"✓"))))))))))</f>
        <v>✓</v>
      </c>
      <c r="E221" s="235">
        <v>46180</v>
      </c>
      <c r="F221" s="236">
        <v>0.59027777777777779</v>
      </c>
      <c r="G221" s="90" t="s">
        <v>97</v>
      </c>
      <c r="H221" s="123" t="s">
        <v>102</v>
      </c>
      <c r="I221" s="89" t="s">
        <v>124</v>
      </c>
      <c r="J221" s="142" t="s">
        <v>117</v>
      </c>
      <c r="K221" s="90" t="s">
        <v>116</v>
      </c>
      <c r="L221" s="90" t="s">
        <v>369</v>
      </c>
      <c r="M221" s="90">
        <v>895</v>
      </c>
      <c r="N221" s="89" t="s">
        <v>655</v>
      </c>
      <c r="O221" s="200"/>
      <c r="P221" s="201"/>
      <c r="Q221" s="201"/>
      <c r="R221" s="237"/>
      <c r="S221" s="202"/>
      <c r="T221" s="200"/>
      <c r="U221" s="203"/>
      <c r="V221" s="89" t="s">
        <v>1011</v>
      </c>
      <c r="W221" s="89" t="s">
        <v>1043</v>
      </c>
      <c r="X221" s="145" t="s">
        <v>651</v>
      </c>
      <c r="Y221" s="89" t="s">
        <v>652</v>
      </c>
      <c r="Z221" s="90" t="s">
        <v>130</v>
      </c>
      <c r="AA221" s="90" t="s">
        <v>130</v>
      </c>
      <c r="AB221" s="90" t="s">
        <v>131</v>
      </c>
      <c r="AC221" s="90" t="s">
        <v>132</v>
      </c>
      <c r="AD221" s="92" t="s">
        <v>26</v>
      </c>
      <c r="AE221" s="149">
        <f>IFERROR(VLOOKUP(Z221,LISTS!$AL$2:$AM$1000,2,FALSE()),"")</f>
        <v>100</v>
      </c>
      <c r="AF221" s="151">
        <f>IFERROR(VLOOKUP(AA221,LISTS!$AO$2:$AP$1000,2,FALSE()),"")</f>
        <v>100</v>
      </c>
      <c r="AG221" s="152">
        <f>IFERROR(VLOOKUP(AB221,LISTS!$AR$2:$AS$1000,2,FALSE()),"")</f>
        <v>100</v>
      </c>
      <c r="AH221" s="154">
        <f>IFERROR(VLOOKUP(AC221,LISTS!$AU$2:$AV$1000,2,FALSE()),"")</f>
        <v>0</v>
      </c>
      <c r="AI221" s="238">
        <f t="shared" si="18"/>
        <v>100</v>
      </c>
      <c r="AJ221" s="190" t="str">
        <f t="shared" si="19"/>
        <v>🌟 ممتاز جدًا</v>
      </c>
      <c r="AK221" s="157">
        <f t="shared" si="15"/>
        <v>6</v>
      </c>
      <c r="AL221" s="160">
        <f t="shared" si="16"/>
        <v>2026</v>
      </c>
      <c r="AM221" s="210"/>
      <c r="AN221" s="209"/>
    </row>
    <row r="222" spans="1:40" ht="27.95" customHeight="1">
      <c r="A222" s="134">
        <f>IF(I222&lt;&gt;"",COUNTA($I$2:I222),"")</f>
        <v>221</v>
      </c>
      <c r="B222" s="138" t="str">
        <f t="shared" si="17"/>
        <v>الأحد</v>
      </c>
      <c r="C222" s="93" t="str">
        <f t="array" ref="C222">IF(E222="","",IF(M222&lt;&gt;"",
M222&amp;"/"&amp;SUMPRODUCT((M$2:M222=M222)*1)&amp;" - "&amp;(ROW()-2),
"إداري/"&amp;SUMPRODUCT((M$2:M222="")*1)&amp;" - "&amp;(ROW()-2)))</f>
        <v>إداري/205 - 220</v>
      </c>
      <c r="D222" s="141" t="str">
        <f>IF(AND(G222="",H222="",I222=""),"",IF(COUNTIFS(LISTS!$A$2:$A$67,G222,LISTS!$B$2:$B$67,H222,LISTS!$C$2:$C$67,I222)=0,"✗ هرم",IF(NOT(OR(Z222="ممتاز 100%",Z222="جيد 80%",Z222="مقبول 60%",Z222="خطر 40%",Z222="")),"✗ قائمة R",IF(NOT(OR(AA222="ممتاز 100%",AA222="جيد 85%",AA222="مقبول 70%",AA222="ضعيف 50%",AA222="")),"✗ قائمة S",IF(NOT(OR(AB222="مكتمل 100%",AB222="جزئي 60%",AB222="معلق 30%",AB222="مفتوح 0%",AB222="")),"✗ قائمة T",IF(NOT(OR(AC222="لا خصم 0",AC222="تأخير −5",AC222="عجز −10",AC222="جودة −15",AC222="امتثال −20",AC222="مخالفة −25",AC222="")),"✗ قائمة U",IF(AND(X222="لا",AC222&lt;&gt;"",AC222&lt;&gt;"لا خصم 0"),"✗ خصم",IF(AND(X222="نعم",AC222="لا خصم 0"),"✗ خصم",IF(AND(Z222="ممتاز 100%",AA222="ممتاز 100%",AB222&lt;&gt;"",AB222&lt;&gt;"مكتمل 100%"),"✗ إغلاق",IFERROR(IF(LEN(_xlfn.TEXTJOIN("، ",TRUE,IF(E222="","التاريخ",""),IF(F222="","الوقت",""),IF(G222="","المركز",""),IF(H222="","الدائرة",""),IF(I222="","القسم",""),IF(J222="","المسؤول",""),IF(K222="","نوع النشاط",""),IF(L222="","المشروع",""),IF(N222="","الممول",""),IF(V222="","الموضوع",""),IF(W222="","الملاحظة",""),IF(X222="","مشكلة",""),IF(Y222="","الإجراء",""),IF(Z222="","التنفيذ",""),IF(AA222="","الجودة",""),IF(AB222="","الإغلاق",""),IF(AC222="","الخصم",""),IF(AND(COUNTA($O222:$U222)&gt;0,O222=""),"مدير المشروع",""),IF(AND(COUNTA($O222:$U222)&gt;0,P222=""),"المستفيدين",""),IF(AND(COUNTA($O222:$U222)&gt;0,Q222=""),"المناطق",""),IF(AND(COUNTA($O222:$U222)&gt;0,R222=""),"الميزانية",""),IF(AND(COUNTA($O222:$U222)&gt;0,S222=""),"نسبة الجاهزية",""),IF(AND(COUNTA($O222:$U222)&gt;0,T222=""),"حالة الجاهزية",""),IF(AND(COUNTA($O222:$U222)&gt;0,U222=""),"التوصيات","")))&gt;0,"✗ ناقص: "&amp;_xlfn.TEXTJOIN("، ",TRUE,IF(E222="","التاريخ",""),IF(F222="","الوقت",""),IF(G222="","المركز",""),IF(H222="","الدائرة",""),IF(I222="","القسم",""),IF(J222="","المسؤول",""),IF(K222="","نوع النشاط",""),IF(L222="","المشروع",""),IF(N222="","الممول",""),IF(V222="","الموضوع",""),IF(W222="","الملاحظة",""),IF(X222="","مشكلة",""),IF(Y222="","الإجراء",""),IF(Z222="","التنفيذ",""),IF(AA222="","الجودة",""),IF(AB222="","الإغلاق",""),IF(AC222="","الخصم",""),IF(AND(COUNTA($O222:$U222)&gt;0,O222=""),"مدير المشروع",""),IF(AND(COUNTA($O222:$U222)&gt;0,P222=""),"المستفيدين",""),IF(AND(COUNTA($O222:$U222)&gt;0,Q222=""),"المناطق",""),IF(AND(COUNTA($O222:$U222)&gt;0,R222=""),"الميزانية",""),IF(AND(COUNTA($O222:$U222)&gt;0,S222=""),"نسبة الجاهزية",""),IF(AND(COUNTA($O222:$U222)&gt;0,T222=""),"حالة الجاهزية",""),IF(AND(COUNTA($O222:$U222)&gt;0,U222=""),"التوصيات","")),"✓"),"✓"))))))))))</f>
        <v>✗ ناقص: الممول</v>
      </c>
      <c r="E222" s="235">
        <v>46180</v>
      </c>
      <c r="F222" s="236">
        <v>0.46527777777777779</v>
      </c>
      <c r="G222" s="90" t="s">
        <v>97</v>
      </c>
      <c r="H222" s="123" t="s">
        <v>103</v>
      </c>
      <c r="I222" s="89" t="s">
        <v>160</v>
      </c>
      <c r="J222" s="142" t="s">
        <v>254</v>
      </c>
      <c r="K222" s="90" t="s">
        <v>207</v>
      </c>
      <c r="L222" s="90" t="s">
        <v>378</v>
      </c>
      <c r="M222" s="90"/>
      <c r="N222" s="89"/>
      <c r="O222" s="200"/>
      <c r="P222" s="201"/>
      <c r="Q222" s="201"/>
      <c r="R222" s="237"/>
      <c r="S222" s="202"/>
      <c r="T222" s="200"/>
      <c r="U222" s="203"/>
      <c r="V222" s="89" t="s">
        <v>1044</v>
      </c>
      <c r="W222" s="89" t="s">
        <v>1045</v>
      </c>
      <c r="X222" s="145" t="s">
        <v>651</v>
      </c>
      <c r="Y222" s="89" t="s">
        <v>652</v>
      </c>
      <c r="Z222" s="90" t="s">
        <v>130</v>
      </c>
      <c r="AA222" s="90" t="s">
        <v>130</v>
      </c>
      <c r="AB222" s="90" t="s">
        <v>131</v>
      </c>
      <c r="AC222" s="90" t="s">
        <v>132</v>
      </c>
      <c r="AD222" s="92" t="s">
        <v>26</v>
      </c>
      <c r="AE222" s="149">
        <f>IFERROR(VLOOKUP(Z222,LISTS!$AL$2:$AM$1000,2,FALSE()),"")</f>
        <v>100</v>
      </c>
      <c r="AF222" s="151">
        <f>IFERROR(VLOOKUP(AA222,LISTS!$AO$2:$AP$1000,2,FALSE()),"")</f>
        <v>100</v>
      </c>
      <c r="AG222" s="152">
        <f>IFERROR(VLOOKUP(AB222,LISTS!$AR$2:$AS$1000,2,FALSE()),"")</f>
        <v>100</v>
      </c>
      <c r="AH222" s="154">
        <f>IFERROR(VLOOKUP(AC222,LISTS!$AU$2:$AV$1000,2,FALSE()),"")</f>
        <v>0</v>
      </c>
      <c r="AI222" s="238">
        <f t="shared" si="18"/>
        <v>100</v>
      </c>
      <c r="AJ222" s="190" t="str">
        <f t="shared" si="19"/>
        <v>🌟 ممتاز جدًا</v>
      </c>
      <c r="AK222" s="157">
        <f t="shared" ref="AK222:AK285" si="20">IF(E222="","",MONTH(E222))</f>
        <v>6</v>
      </c>
      <c r="AL222" s="160">
        <f t="shared" ref="AL222:AL285" si="21">IF(E222="","",YEAR(E222))</f>
        <v>2026</v>
      </c>
      <c r="AM222" s="210"/>
      <c r="AN222" s="209"/>
    </row>
    <row r="223" spans="1:40" ht="27.95" customHeight="1">
      <c r="A223" s="134">
        <f>IF(I223&lt;&gt;"",COUNTA($I$2:I223),"")</f>
        <v>222</v>
      </c>
      <c r="B223" s="138" t="str">
        <f t="shared" ref="B223:B286" si="22">IF(E223="","",CHOOSE(WEEKDAY(E223,2),"الاثنين","الثلاثاء","الأربعاء","الخميس","الجمعة","السبت","الأحد"))</f>
        <v>الاثنين</v>
      </c>
      <c r="C223" s="93" t="str">
        <f t="array" ref="C223">IF(E223="","",IF(M223&lt;&gt;"",
M223&amp;"/"&amp;SUMPRODUCT((M$2:M223=M223)*1)&amp;" - "&amp;(ROW()-2),
"إداري/"&amp;SUMPRODUCT((M$2:M223="")*1)&amp;" - "&amp;(ROW()-2)))</f>
        <v>900/1 - 221</v>
      </c>
      <c r="D223" s="141" t="str">
        <f>IF(AND(G223="",H223="",I223=""),"",IF(COUNTIFS(LISTS!$A$2:$A$67,G223,LISTS!$B$2:$B$67,H223,LISTS!$C$2:$C$67,I223)=0,"✗ هرم",IF(NOT(OR(Z223="ممتاز 100%",Z223="جيد 80%",Z223="مقبول 60%",Z223="خطر 40%",Z223="")),"✗ قائمة R",IF(NOT(OR(AA223="ممتاز 100%",AA223="جيد 85%",AA223="مقبول 70%",AA223="ضعيف 50%",AA223="")),"✗ قائمة S",IF(NOT(OR(AB223="مكتمل 100%",AB223="جزئي 60%",AB223="معلق 30%",AB223="مفتوح 0%",AB223="")),"✗ قائمة T",IF(NOT(OR(AC223="لا خصم 0",AC223="تأخير −5",AC223="عجز −10",AC223="جودة −15",AC223="امتثال −20",AC223="مخالفة −25",AC223="")),"✗ قائمة U",IF(AND(X223="لا",AC223&lt;&gt;"",AC223&lt;&gt;"لا خصم 0"),"✗ خصم",IF(AND(X223="نعم",AC223="لا خصم 0"),"✗ خصم",IF(AND(Z223="ممتاز 100%",AA223="ممتاز 100%",AB223&lt;&gt;"",AB223&lt;&gt;"مكتمل 100%"),"✗ إغلاق",IFERROR(IF(LEN(_xlfn.TEXTJOIN("، ",TRUE,IF(E223="","التاريخ",""),IF(F223="","الوقت",""),IF(G223="","المركز",""),IF(H223="","الدائرة",""),IF(I223="","القسم",""),IF(J223="","المسؤول",""),IF(K223="","نوع النشاط",""),IF(L223="","المشروع",""),IF(N223="","الممول",""),IF(V223="","الموضوع",""),IF(W223="","الملاحظة",""),IF(X223="","مشكلة",""),IF(Y223="","الإجراء",""),IF(Z223="","التنفيذ",""),IF(AA223="","الجودة",""),IF(AB223="","الإغلاق",""),IF(AC223="","الخصم",""),IF(AND(COUNTA($O223:$U223)&gt;0,O223=""),"مدير المشروع",""),IF(AND(COUNTA($O223:$U223)&gt;0,P223=""),"المستفيدين",""),IF(AND(COUNTA($O223:$U223)&gt;0,Q223=""),"المناطق",""),IF(AND(COUNTA($O223:$U223)&gt;0,R223=""),"الميزانية",""),IF(AND(COUNTA($O223:$U223)&gt;0,S223=""),"نسبة الجاهزية",""),IF(AND(COUNTA($O223:$U223)&gt;0,T223=""),"حالة الجاهزية",""),IF(AND(COUNTA($O223:$U223)&gt;0,U223=""),"التوصيات","")))&gt;0,"✗ ناقص: "&amp;_xlfn.TEXTJOIN("، ",TRUE,IF(E223="","التاريخ",""),IF(F223="","الوقت",""),IF(G223="","المركز",""),IF(H223="","الدائرة",""),IF(I223="","القسم",""),IF(J223="","المسؤول",""),IF(K223="","نوع النشاط",""),IF(L223="","المشروع",""),IF(N223="","الممول",""),IF(V223="","الموضوع",""),IF(W223="","الملاحظة",""),IF(X223="","مشكلة",""),IF(Y223="","الإجراء",""),IF(Z223="","التنفيذ",""),IF(AA223="","الجودة",""),IF(AB223="","الإغلاق",""),IF(AC223="","الخصم",""),IF(AND(COUNTA($O223:$U223)&gt;0,O223=""),"مدير المشروع",""),IF(AND(COUNTA($O223:$U223)&gt;0,P223=""),"المستفيدين",""),IF(AND(COUNTA($O223:$U223)&gt;0,Q223=""),"المناطق",""),IF(AND(COUNTA($O223:$U223)&gt;0,R223=""),"الميزانية",""),IF(AND(COUNTA($O223:$U223)&gt;0,S223=""),"نسبة الجاهزية",""),IF(AND(COUNTA($O223:$U223)&gt;0,T223=""),"حالة الجاهزية",""),IF(AND(COUNTA($O223:$U223)&gt;0,U223=""),"التوصيات","")),"✓"),"✓"))))))))))</f>
        <v>✗ ناقص: الممول</v>
      </c>
      <c r="E223" s="235">
        <v>46181</v>
      </c>
      <c r="F223" s="236">
        <v>0.47222222222222221</v>
      </c>
      <c r="G223" s="90" t="s">
        <v>97</v>
      </c>
      <c r="H223" s="123" t="s">
        <v>102</v>
      </c>
      <c r="I223" s="89" t="s">
        <v>159</v>
      </c>
      <c r="J223" s="142" t="s">
        <v>368</v>
      </c>
      <c r="K223" s="90" t="s">
        <v>116</v>
      </c>
      <c r="L223" s="90" t="s">
        <v>372</v>
      </c>
      <c r="M223" s="90">
        <v>900</v>
      </c>
      <c r="N223" s="89"/>
      <c r="O223" s="200"/>
      <c r="P223" s="201"/>
      <c r="Q223" s="201"/>
      <c r="R223" s="237"/>
      <c r="S223" s="202"/>
      <c r="T223" s="200"/>
      <c r="U223" s="203"/>
      <c r="V223" s="89" t="s">
        <v>1046</v>
      </c>
      <c r="W223" s="89" t="s">
        <v>1047</v>
      </c>
      <c r="X223" s="145" t="s">
        <v>651</v>
      </c>
      <c r="Y223" s="89" t="s">
        <v>652</v>
      </c>
      <c r="Z223" s="90" t="s">
        <v>130</v>
      </c>
      <c r="AA223" s="90" t="s">
        <v>130</v>
      </c>
      <c r="AB223" s="90" t="s">
        <v>131</v>
      </c>
      <c r="AC223" s="90" t="s">
        <v>132</v>
      </c>
      <c r="AD223" s="92" t="s">
        <v>26</v>
      </c>
      <c r="AE223" s="149">
        <f>IFERROR(VLOOKUP(Z223,LISTS!$AL$2:$AM$1000,2,FALSE()),"")</f>
        <v>100</v>
      </c>
      <c r="AF223" s="151">
        <f>IFERROR(VLOOKUP(AA223,LISTS!$AO$2:$AP$1000,2,FALSE()),"")</f>
        <v>100</v>
      </c>
      <c r="AG223" s="152">
        <f>IFERROR(VLOOKUP(AB223,LISTS!$AR$2:$AS$1000,2,FALSE()),"")</f>
        <v>100</v>
      </c>
      <c r="AH223" s="154">
        <f>IFERROR(VLOOKUP(AC223,LISTS!$AU$2:$AV$1000,2,FALSE()),"")</f>
        <v>0</v>
      </c>
      <c r="AI223" s="238">
        <f t="shared" si="18"/>
        <v>100</v>
      </c>
      <c r="AJ223" s="190" t="str">
        <f t="shared" si="19"/>
        <v>🌟 ممتاز جدًا</v>
      </c>
      <c r="AK223" s="157">
        <f t="shared" si="20"/>
        <v>6</v>
      </c>
      <c r="AL223" s="160">
        <f t="shared" si="21"/>
        <v>2026</v>
      </c>
      <c r="AM223" s="210"/>
      <c r="AN223" s="209"/>
    </row>
    <row r="224" spans="1:40" ht="27.95" customHeight="1">
      <c r="A224" s="134">
        <f>IF(I224&lt;&gt;"",COUNTA($I$2:I224),"")</f>
        <v>223</v>
      </c>
      <c r="B224" s="138" t="str">
        <f t="shared" si="22"/>
        <v>الاثنين</v>
      </c>
      <c r="C224" s="93" t="str">
        <f t="array" ref="C224">IF(E224="","",IF(M224&lt;&gt;"",
M224&amp;"/"&amp;SUMPRODUCT((M$2:M224=M224)*1)&amp;" - "&amp;(ROW()-2),
"إداري/"&amp;SUMPRODUCT((M$2:M224="")*1)&amp;" - "&amp;(ROW()-2)))</f>
        <v>ملاحظة/1 - 222</v>
      </c>
      <c r="D224" s="141" t="str">
        <f>IF(AND(G224="",H224="",I224=""),"",IF(COUNTIFS(LISTS!$A$2:$A$67,G224,LISTS!$B$2:$B$67,H224,LISTS!$C$2:$C$67,I224)=0,"✗ هرم",IF(NOT(OR(Z224="ممتاز 100%",Z224="جيد 80%",Z224="مقبول 60%",Z224="خطر 40%",Z224="")),"✗ قائمة R",IF(NOT(OR(AA224="ممتاز 100%",AA224="جيد 85%",AA224="مقبول 70%",AA224="ضعيف 50%",AA224="")),"✗ قائمة S",IF(NOT(OR(AB224="مكتمل 100%",AB224="جزئي 60%",AB224="معلق 30%",AB224="مفتوح 0%",AB224="")),"✗ قائمة T",IF(NOT(OR(AC224="لا خصم 0",AC224="تأخير −5",AC224="عجز −10",AC224="جودة −15",AC224="امتثال −20",AC224="مخالفة −25",AC224="")),"✗ قائمة U",IF(AND(X224="لا",AC224&lt;&gt;"",AC224&lt;&gt;"لا خصم 0"),"✗ خصم",IF(AND(X224="نعم",AC224="لا خصم 0"),"✗ خصم",IF(AND(Z224="ممتاز 100%",AA224="ممتاز 100%",AB224&lt;&gt;"",AB224&lt;&gt;"مكتمل 100%"),"✗ إغلاق",IFERROR(IF(LEN(_xlfn.TEXTJOIN("، ",TRUE,IF(E224="","التاريخ",""),IF(F224="","الوقت",""),IF(G224="","المركز",""),IF(H224="","الدائرة",""),IF(I224="","القسم",""),IF(J224="","المسؤول",""),IF(K224="","نوع النشاط",""),IF(L224="","المشروع",""),IF(N224="","الممول",""),IF(V224="","الموضوع",""),IF(W224="","الملاحظة",""),IF(X224="","مشكلة",""),IF(Y224="","الإجراء",""),IF(Z224="","التنفيذ",""),IF(AA224="","الجودة",""),IF(AB224="","الإغلاق",""),IF(AC224="","الخصم",""),IF(AND(COUNTA($O224:$U224)&gt;0,O224=""),"مدير المشروع",""),IF(AND(COUNTA($O224:$U224)&gt;0,P224=""),"المستفيدين",""),IF(AND(COUNTA($O224:$U224)&gt;0,Q224=""),"المناطق",""),IF(AND(COUNTA($O224:$U224)&gt;0,R224=""),"الميزانية",""),IF(AND(COUNTA($O224:$U224)&gt;0,S224=""),"نسبة الجاهزية",""),IF(AND(COUNTA($O224:$U224)&gt;0,T224=""),"حالة الجاهزية",""),IF(AND(COUNTA($O224:$U224)&gt;0,U224=""),"التوصيات","")))&gt;0,"✗ ناقص: "&amp;_xlfn.TEXTJOIN("، ",TRUE,IF(E224="","التاريخ",""),IF(F224="","الوقت",""),IF(G224="","المركز",""),IF(H224="","الدائرة",""),IF(I224="","القسم",""),IF(J224="","المسؤول",""),IF(K224="","نوع النشاط",""),IF(L224="","المشروع",""),IF(N224="","الممول",""),IF(V224="","الموضوع",""),IF(W224="","الملاحظة",""),IF(X224="","مشكلة",""),IF(Y224="","الإجراء",""),IF(Z224="","التنفيذ",""),IF(AA224="","الجودة",""),IF(AB224="","الإغلاق",""),IF(AC224="","الخصم",""),IF(AND(COUNTA($O224:$U224)&gt;0,O224=""),"مدير المشروع",""),IF(AND(COUNTA($O224:$U224)&gt;0,P224=""),"المستفيدين",""),IF(AND(COUNTA($O224:$U224)&gt;0,Q224=""),"المناطق",""),IF(AND(COUNTA($O224:$U224)&gt;0,R224=""),"الميزانية",""),IF(AND(COUNTA($O224:$U224)&gt;0,S224=""),"نسبة الجاهزية",""),IF(AND(COUNTA($O224:$U224)&gt;0,T224=""),"حالة الجاهزية",""),IF(AND(COUNTA($O224:$U224)&gt;0,U224=""),"التوصيات","")),"✓"),"✓"))))))))))</f>
        <v>✗ ناقص: المشروع، الممول</v>
      </c>
      <c r="E224" s="235">
        <v>46181</v>
      </c>
      <c r="F224" s="236">
        <v>6.5972222222222224E-2</v>
      </c>
      <c r="G224" s="90" t="s">
        <v>97</v>
      </c>
      <c r="H224" s="123" t="s">
        <v>102</v>
      </c>
      <c r="I224" s="89" t="s">
        <v>159</v>
      </c>
      <c r="J224" s="142" t="s">
        <v>368</v>
      </c>
      <c r="K224" s="90" t="s">
        <v>197</v>
      </c>
      <c r="L224" s="90"/>
      <c r="M224" s="90" t="s">
        <v>1048</v>
      </c>
      <c r="N224" s="89"/>
      <c r="O224" s="200"/>
      <c r="P224" s="201"/>
      <c r="Q224" s="201"/>
      <c r="R224" s="237"/>
      <c r="S224" s="202"/>
      <c r="T224" s="200"/>
      <c r="U224" s="203"/>
      <c r="V224" s="89" t="s">
        <v>1049</v>
      </c>
      <c r="W224" s="89" t="s">
        <v>1050</v>
      </c>
      <c r="X224" s="145" t="s">
        <v>647</v>
      </c>
      <c r="Y224" s="89" t="s">
        <v>1051</v>
      </c>
      <c r="Z224" s="90" t="s">
        <v>148</v>
      </c>
      <c r="AA224" s="90" t="s">
        <v>166</v>
      </c>
      <c r="AB224" s="90" t="s">
        <v>167</v>
      </c>
      <c r="AC224" s="90" t="s">
        <v>168</v>
      </c>
      <c r="AD224" s="92" t="s">
        <v>26</v>
      </c>
      <c r="AE224" s="149">
        <f>IFERROR(VLOOKUP(Z224,LISTS!$AL$2:$AM$1000,2,FALSE()),"")</f>
        <v>60</v>
      </c>
      <c r="AF224" s="151">
        <f>IFERROR(VLOOKUP(AA224,LISTS!$AO$2:$AP$1000,2,FALSE()),"")</f>
        <v>70</v>
      </c>
      <c r="AG224" s="152">
        <f>IFERROR(VLOOKUP(AB224,LISTS!$AR$2:$AS$1000,2,FALSE()),"")</f>
        <v>60</v>
      </c>
      <c r="AH224" s="154">
        <f>IFERROR(VLOOKUP(AC224,LISTS!$AU$2:$AV$1000,2,FALSE()),"")</f>
        <v>20</v>
      </c>
      <c r="AI224" s="238">
        <f t="shared" si="18"/>
        <v>43</v>
      </c>
      <c r="AJ224" s="190" t="str">
        <f t="shared" si="19"/>
        <v>🔴 ضعيف</v>
      </c>
      <c r="AK224" s="157">
        <f t="shared" si="20"/>
        <v>6</v>
      </c>
      <c r="AL224" s="160">
        <f t="shared" si="21"/>
        <v>2026</v>
      </c>
      <c r="AM224" s="210"/>
      <c r="AN224" s="209"/>
    </row>
    <row r="225" spans="1:40" ht="27.95" customHeight="1">
      <c r="A225" s="134">
        <f>IF(I225&lt;&gt;"",COUNTA($I$2:I225),"")</f>
        <v>224</v>
      </c>
      <c r="B225" s="138" t="str">
        <f t="shared" si="22"/>
        <v>الاثنين</v>
      </c>
      <c r="C225" s="93" t="str">
        <f t="array" ref="C225">IF(E225="","",IF(M225&lt;&gt;"",
M225&amp;"/"&amp;SUMPRODUCT((M$2:M225=M225)*1)&amp;" - "&amp;(ROW()-2),
"إداري/"&amp;SUMPRODUCT((M$2:M225="")*1)&amp;" - "&amp;(ROW()-2)))</f>
        <v>إداري/206 - 223</v>
      </c>
      <c r="D225" s="141" t="str">
        <f>IF(AND(G225="",H225="",I225=""),"",IF(COUNTIFS(LISTS!$A$2:$A$67,G225,LISTS!$B$2:$B$67,H225,LISTS!$C$2:$C$67,I225)=0,"✗ هرم",IF(NOT(OR(Z225="ممتاز 100%",Z225="جيد 80%",Z225="مقبول 60%",Z225="خطر 40%",Z225="")),"✗ قائمة R",IF(NOT(OR(AA225="ممتاز 100%",AA225="جيد 85%",AA225="مقبول 70%",AA225="ضعيف 50%",AA225="")),"✗ قائمة S",IF(NOT(OR(AB225="مكتمل 100%",AB225="جزئي 60%",AB225="معلق 30%",AB225="مفتوح 0%",AB225="")),"✗ قائمة T",IF(NOT(OR(AC225="لا خصم 0",AC225="تأخير −5",AC225="عجز −10",AC225="جودة −15",AC225="امتثال −20",AC225="مخالفة −25",AC225="")),"✗ قائمة U",IF(AND(X225="لا",AC225&lt;&gt;"",AC225&lt;&gt;"لا خصم 0"),"✗ خصم",IF(AND(X225="نعم",AC225="لا خصم 0"),"✗ خصم",IF(AND(Z225="ممتاز 100%",AA225="ممتاز 100%",AB225&lt;&gt;"",AB225&lt;&gt;"مكتمل 100%"),"✗ إغلاق",IFERROR(IF(LEN(_xlfn.TEXTJOIN("، ",TRUE,IF(E225="","التاريخ",""),IF(F225="","الوقت",""),IF(G225="","المركز",""),IF(H225="","الدائرة",""),IF(I225="","القسم",""),IF(J225="","المسؤول",""),IF(K225="","نوع النشاط",""),IF(L225="","المشروع",""),IF(N225="","الممول",""),IF(V225="","الموضوع",""),IF(W225="","الملاحظة",""),IF(X225="","مشكلة",""),IF(Y225="","الإجراء",""),IF(Z225="","التنفيذ",""),IF(AA225="","الجودة",""),IF(AB225="","الإغلاق",""),IF(AC225="","الخصم",""),IF(AND(COUNTA($O225:$U225)&gt;0,O225=""),"مدير المشروع",""),IF(AND(COUNTA($O225:$U225)&gt;0,P225=""),"المستفيدين",""),IF(AND(COUNTA($O225:$U225)&gt;0,Q225=""),"المناطق",""),IF(AND(COUNTA($O225:$U225)&gt;0,R225=""),"الميزانية",""),IF(AND(COUNTA($O225:$U225)&gt;0,S225=""),"نسبة الجاهزية",""),IF(AND(COUNTA($O225:$U225)&gt;0,T225=""),"حالة الجاهزية",""),IF(AND(COUNTA($O225:$U225)&gt;0,U225=""),"التوصيات","")))&gt;0,"✗ ناقص: "&amp;_xlfn.TEXTJOIN("، ",TRUE,IF(E225="","التاريخ",""),IF(F225="","الوقت",""),IF(G225="","المركز",""),IF(H225="","الدائرة",""),IF(I225="","القسم",""),IF(J225="","المسؤول",""),IF(K225="","نوع النشاط",""),IF(L225="","المشروع",""),IF(N225="","الممول",""),IF(V225="","الموضوع",""),IF(W225="","الملاحظة",""),IF(X225="","مشكلة",""),IF(Y225="","الإجراء",""),IF(Z225="","التنفيذ",""),IF(AA225="","الجودة",""),IF(AB225="","الإغلاق",""),IF(AC225="","الخصم",""),IF(AND(COUNTA($O225:$U225)&gt;0,O225=""),"مدير المشروع",""),IF(AND(COUNTA($O225:$U225)&gt;0,P225=""),"المستفيدين",""),IF(AND(COUNTA($O225:$U225)&gt;0,Q225=""),"المناطق",""),IF(AND(COUNTA($O225:$U225)&gt;0,R225=""),"الميزانية",""),IF(AND(COUNTA($O225:$U225)&gt;0,S225=""),"نسبة الجاهزية",""),IF(AND(COUNTA($O225:$U225)&gt;0,T225=""),"حالة الجاهزية",""),IF(AND(COUNTA($O225:$U225)&gt;0,U225=""),"التوصيات","")),"✓"),"✓"))))))))))</f>
        <v>✗ ناقص: الممول</v>
      </c>
      <c r="E225" s="235">
        <v>46181</v>
      </c>
      <c r="F225" s="236">
        <v>0.59375</v>
      </c>
      <c r="G225" s="90" t="s">
        <v>97</v>
      </c>
      <c r="H225" s="123" t="s">
        <v>102</v>
      </c>
      <c r="I225" s="89" t="s">
        <v>124</v>
      </c>
      <c r="J225" s="142" t="s">
        <v>443</v>
      </c>
      <c r="K225" s="90" t="s">
        <v>152</v>
      </c>
      <c r="L225" s="90" t="s">
        <v>199</v>
      </c>
      <c r="M225" s="90"/>
      <c r="N225" s="89"/>
      <c r="O225" s="200"/>
      <c r="P225" s="201"/>
      <c r="Q225" s="201"/>
      <c r="R225" s="237"/>
      <c r="S225" s="202"/>
      <c r="T225" s="200"/>
      <c r="U225" s="203"/>
      <c r="V225" s="89" t="s">
        <v>1052</v>
      </c>
      <c r="W225" s="89" t="s">
        <v>1053</v>
      </c>
      <c r="X225" s="145" t="s">
        <v>651</v>
      </c>
      <c r="Y225" s="89" t="s">
        <v>652</v>
      </c>
      <c r="Z225" s="90" t="s">
        <v>130</v>
      </c>
      <c r="AA225" s="90" t="s">
        <v>130</v>
      </c>
      <c r="AB225" s="90" t="s">
        <v>131</v>
      </c>
      <c r="AC225" s="90" t="s">
        <v>132</v>
      </c>
      <c r="AD225" s="92" t="s">
        <v>26</v>
      </c>
      <c r="AE225" s="149">
        <f>IFERROR(VLOOKUP(Z225,LISTS!$AL$2:$AM$1000,2,FALSE()),"")</f>
        <v>100</v>
      </c>
      <c r="AF225" s="151">
        <f>IFERROR(VLOOKUP(AA225,LISTS!$AO$2:$AP$1000,2,FALSE()),"")</f>
        <v>100</v>
      </c>
      <c r="AG225" s="152">
        <f>IFERROR(VLOOKUP(AB225,LISTS!$AR$2:$AS$1000,2,FALSE()),"")</f>
        <v>100</v>
      </c>
      <c r="AH225" s="154">
        <f>IFERROR(VLOOKUP(AC225,LISTS!$AU$2:$AV$1000,2,FALSE()),"")</f>
        <v>0</v>
      </c>
      <c r="AI225" s="238">
        <f t="shared" si="18"/>
        <v>100</v>
      </c>
      <c r="AJ225" s="190" t="str">
        <f t="shared" si="19"/>
        <v>🌟 ممتاز جدًا</v>
      </c>
      <c r="AK225" s="157">
        <f t="shared" si="20"/>
        <v>6</v>
      </c>
      <c r="AL225" s="160">
        <f t="shared" si="21"/>
        <v>2026</v>
      </c>
      <c r="AM225" s="210"/>
      <c r="AN225" s="209"/>
    </row>
    <row r="226" spans="1:40" ht="27.95" customHeight="1">
      <c r="A226" s="134">
        <f>IF(I226&lt;&gt;"",COUNTA($I$2:I226),"")</f>
        <v>225</v>
      </c>
      <c r="B226" s="138" t="str">
        <f t="shared" si="22"/>
        <v>الاثنين</v>
      </c>
      <c r="C226" s="93" t="str">
        <f t="array" ref="C226">IF(E226="","",IF(M226&lt;&gt;"",
M226&amp;"/"&amp;SUMPRODUCT((M$2:M226=M226)*1)&amp;" - "&amp;(ROW()-2),
"إداري/"&amp;SUMPRODUCT((M$2:M226="")*1)&amp;" - "&amp;(ROW()-2)))</f>
        <v>895/3 - 224</v>
      </c>
      <c r="D226" s="141" t="str">
        <f>IF(AND(G226="",H226="",I226=""),"",IF(COUNTIFS(LISTS!$A$2:$A$67,G226,LISTS!$B$2:$B$67,H226,LISTS!$C$2:$C$67,I226)=0,"✗ هرم",IF(NOT(OR(Z226="ممتاز 100%",Z226="جيد 80%",Z226="مقبول 60%",Z226="خطر 40%",Z226="")),"✗ قائمة R",IF(NOT(OR(AA226="ممتاز 100%",AA226="جيد 85%",AA226="مقبول 70%",AA226="ضعيف 50%",AA226="")),"✗ قائمة S",IF(NOT(OR(AB226="مكتمل 100%",AB226="جزئي 60%",AB226="معلق 30%",AB226="مفتوح 0%",AB226="")),"✗ قائمة T",IF(NOT(OR(AC226="لا خصم 0",AC226="تأخير −5",AC226="عجز −10",AC226="جودة −15",AC226="امتثال −20",AC226="مخالفة −25",AC226="")),"✗ قائمة U",IF(AND(X226="لا",AC226&lt;&gt;"",AC226&lt;&gt;"لا خصم 0"),"✗ خصم",IF(AND(X226="نعم",AC226="لا خصم 0"),"✗ خصم",IF(AND(Z226="ممتاز 100%",AA226="ممتاز 100%",AB226&lt;&gt;"",AB226&lt;&gt;"مكتمل 100%"),"✗ إغلاق",IFERROR(IF(LEN(_xlfn.TEXTJOIN("، ",TRUE,IF(E226="","التاريخ",""),IF(F226="","الوقت",""),IF(G226="","المركز",""),IF(H226="","الدائرة",""),IF(I226="","القسم",""),IF(J226="","المسؤول",""),IF(K226="","نوع النشاط",""),IF(L226="","المشروع",""),IF(N226="","الممول",""),IF(V226="","الموضوع",""),IF(W226="","الملاحظة",""),IF(X226="","مشكلة",""),IF(Y226="","الإجراء",""),IF(Z226="","التنفيذ",""),IF(AA226="","الجودة",""),IF(AB226="","الإغلاق",""),IF(AC226="","الخصم",""),IF(AND(COUNTA($O226:$U226)&gt;0,O226=""),"مدير المشروع",""),IF(AND(COUNTA($O226:$U226)&gt;0,P226=""),"المستفيدين",""),IF(AND(COUNTA($O226:$U226)&gt;0,Q226=""),"المناطق",""),IF(AND(COUNTA($O226:$U226)&gt;0,R226=""),"الميزانية",""),IF(AND(COUNTA($O226:$U226)&gt;0,S226=""),"نسبة الجاهزية",""),IF(AND(COUNTA($O226:$U226)&gt;0,T226=""),"حالة الجاهزية",""),IF(AND(COUNTA($O226:$U226)&gt;0,U226=""),"التوصيات","")))&gt;0,"✗ ناقص: "&amp;_xlfn.TEXTJOIN("، ",TRUE,IF(E226="","التاريخ",""),IF(F226="","الوقت",""),IF(G226="","المركز",""),IF(H226="","الدائرة",""),IF(I226="","القسم",""),IF(J226="","المسؤول",""),IF(K226="","نوع النشاط",""),IF(L226="","المشروع",""),IF(N226="","الممول",""),IF(V226="","الموضوع",""),IF(W226="","الملاحظة",""),IF(X226="","مشكلة",""),IF(Y226="","الإجراء",""),IF(Z226="","التنفيذ",""),IF(AA226="","الجودة",""),IF(AB226="","الإغلاق",""),IF(AC226="","الخصم",""),IF(AND(COUNTA($O226:$U226)&gt;0,O226=""),"مدير المشروع",""),IF(AND(COUNTA($O226:$U226)&gt;0,P226=""),"المستفيدين",""),IF(AND(COUNTA($O226:$U226)&gt;0,Q226=""),"المناطق",""),IF(AND(COUNTA($O226:$U226)&gt;0,R226=""),"الميزانية",""),IF(AND(COUNTA($O226:$U226)&gt;0,S226=""),"نسبة الجاهزية",""),IF(AND(COUNTA($O226:$U226)&gt;0,T226=""),"حالة الجاهزية",""),IF(AND(COUNTA($O226:$U226)&gt;0,U226=""),"التوصيات","")),"✓"),"✓"))))))))))</f>
        <v>✓</v>
      </c>
      <c r="E226" s="235">
        <v>46181</v>
      </c>
      <c r="F226" s="236">
        <v>0.5625</v>
      </c>
      <c r="G226" s="90" t="s">
        <v>97</v>
      </c>
      <c r="H226" s="123" t="s">
        <v>102</v>
      </c>
      <c r="I226" s="89" t="s">
        <v>124</v>
      </c>
      <c r="J226" s="142" t="s">
        <v>117</v>
      </c>
      <c r="K226" s="90" t="s">
        <v>116</v>
      </c>
      <c r="L226" s="90" t="s">
        <v>369</v>
      </c>
      <c r="M226" s="90">
        <v>895</v>
      </c>
      <c r="N226" s="89" t="s">
        <v>655</v>
      </c>
      <c r="O226" s="200"/>
      <c r="P226" s="201"/>
      <c r="Q226" s="201"/>
      <c r="R226" s="237"/>
      <c r="S226" s="202"/>
      <c r="T226" s="200"/>
      <c r="U226" s="203"/>
      <c r="V226" s="89" t="s">
        <v>1011</v>
      </c>
      <c r="W226" s="89" t="s">
        <v>1054</v>
      </c>
      <c r="X226" s="145" t="s">
        <v>651</v>
      </c>
      <c r="Y226" s="89" t="s">
        <v>652</v>
      </c>
      <c r="Z226" s="90" t="s">
        <v>130</v>
      </c>
      <c r="AA226" s="90" t="s">
        <v>130</v>
      </c>
      <c r="AB226" s="90" t="s">
        <v>131</v>
      </c>
      <c r="AC226" s="90" t="s">
        <v>132</v>
      </c>
      <c r="AD226" s="92" t="s">
        <v>26</v>
      </c>
      <c r="AE226" s="149">
        <f>IFERROR(VLOOKUP(Z226,LISTS!$AL$2:$AM$1000,2,FALSE()),"")</f>
        <v>100</v>
      </c>
      <c r="AF226" s="151">
        <f>IFERROR(VLOOKUP(AA226,LISTS!$AO$2:$AP$1000,2,FALSE()),"")</f>
        <v>100</v>
      </c>
      <c r="AG226" s="152">
        <f>IFERROR(VLOOKUP(AB226,LISTS!$AR$2:$AS$1000,2,FALSE()),"")</f>
        <v>100</v>
      </c>
      <c r="AH226" s="154">
        <f>IFERROR(VLOOKUP(AC226,LISTS!$AU$2:$AV$1000,2,FALSE()),"")</f>
        <v>0</v>
      </c>
      <c r="AI226" s="238">
        <f t="shared" si="18"/>
        <v>100</v>
      </c>
      <c r="AJ226" s="190" t="str">
        <f t="shared" si="19"/>
        <v>🌟 ممتاز جدًا</v>
      </c>
      <c r="AK226" s="157">
        <f t="shared" si="20"/>
        <v>6</v>
      </c>
      <c r="AL226" s="160">
        <f t="shared" si="21"/>
        <v>2026</v>
      </c>
      <c r="AM226" s="210"/>
      <c r="AN226" s="209"/>
    </row>
    <row r="227" spans="1:40" ht="27.95" customHeight="1">
      <c r="A227" s="134" t="str">
        <f>IF(I227&lt;&gt;"",COUNTA($I$2:I227),"")</f>
        <v/>
      </c>
      <c r="B227" s="138" t="str">
        <f t="shared" si="22"/>
        <v/>
      </c>
      <c r="C227" s="93" t="str">
        <f t="array" ref="C227">IF(E227="","",IF(M227&lt;&gt;"",
M227&amp;"/"&amp;SUMPRODUCT((M$2:M227=M227)*1)&amp;" - "&amp;(ROW()-2),
"إداري/"&amp;SUMPRODUCT((M$2:M227="")*1)&amp;" - "&amp;(ROW()-2)))</f>
        <v/>
      </c>
      <c r="D227" s="141" t="str">
        <f>IF(AND(G227="",H227="",I227=""),"",IF(COUNTIFS(LISTS!$A$2:$A$67,G227,LISTS!$B$2:$B$67,H227,LISTS!$C$2:$C$67,I227)=0,"✗ هرم",IF(NOT(OR(Z227="ممتاز 100%",Z227="جيد 80%",Z227="مقبول 60%",Z227="خطر 40%",Z227="")),"✗ قائمة R",IF(NOT(OR(AA227="ممتاز 100%",AA227="جيد 85%",AA227="مقبول 70%",AA227="ضعيف 50%",AA227="")),"✗ قائمة S",IF(NOT(OR(AB227="مكتمل 100%",AB227="جزئي 60%",AB227="معلق 30%",AB227="مفتوح 0%",AB227="")),"✗ قائمة T",IF(NOT(OR(AC227="لا خصم 0",AC227="تأخير −5",AC227="عجز −10",AC227="جودة −15",AC227="امتثال −20",AC227="مخالفة −25",AC227="")),"✗ قائمة U",IF(AND(X227="لا",AC227&lt;&gt;"",AC227&lt;&gt;"لا خصم 0"),"✗ خصم",IF(AND(X227="نعم",AC227="لا خصم 0"),"✗ خصم",IF(AND(Z227="ممتاز 100%",AA227="ممتاز 100%",AB227&lt;&gt;"",AB227&lt;&gt;"مكتمل 100%"),"✗ إغلاق",IFERROR(IF(LEN(_xlfn.TEXTJOIN("، ",TRUE,IF(E227="","التاريخ",""),IF(F227="","الوقت",""),IF(G227="","المركز",""),IF(H227="","الدائرة",""),IF(I227="","القسم",""),IF(J227="","المسؤول",""),IF(K227="","نوع النشاط",""),IF(L227="","المشروع",""),IF(N227="","الممول",""),IF(V227="","الموضوع",""),IF(W227="","الملاحظة",""),IF(X227="","مشكلة",""),IF(Y227="","الإجراء",""),IF(Z227="","التنفيذ",""),IF(AA227="","الجودة",""),IF(AB227="","الإغلاق",""),IF(AC227="","الخصم",""),IF(AND(COUNTA($O227:$U227)&gt;0,O227=""),"مدير المشروع",""),IF(AND(COUNTA($O227:$U227)&gt;0,P227=""),"المستفيدين",""),IF(AND(COUNTA($O227:$U227)&gt;0,Q227=""),"المناطق",""),IF(AND(COUNTA($O227:$U227)&gt;0,R227=""),"الميزانية",""),IF(AND(COUNTA($O227:$U227)&gt;0,S227=""),"نسبة الجاهزية",""),IF(AND(COUNTA($O227:$U227)&gt;0,T227=""),"حالة الجاهزية",""),IF(AND(COUNTA($O227:$U227)&gt;0,U227=""),"التوصيات","")))&gt;0,"✗ ناقص: "&amp;_xlfn.TEXTJOIN("، ",TRUE,IF(E227="","التاريخ",""),IF(F227="","الوقت",""),IF(G227="","المركز",""),IF(H227="","الدائرة",""),IF(I227="","القسم",""),IF(J227="","المسؤول",""),IF(K227="","نوع النشاط",""),IF(L227="","المشروع",""),IF(N227="","الممول",""),IF(V227="","الموضوع",""),IF(W227="","الملاحظة",""),IF(X227="","مشكلة",""),IF(Y227="","الإجراء",""),IF(Z227="","التنفيذ",""),IF(AA227="","الجودة",""),IF(AB227="","الإغلاق",""),IF(AC227="","الخصم",""),IF(AND(COUNTA($O227:$U227)&gt;0,O227=""),"مدير المشروع",""),IF(AND(COUNTA($O227:$U227)&gt;0,P227=""),"المستفيدين",""),IF(AND(COUNTA($O227:$U227)&gt;0,Q227=""),"المناطق",""),IF(AND(COUNTA($O227:$U227)&gt;0,R227=""),"الميزانية",""),IF(AND(COUNTA($O227:$U227)&gt;0,S227=""),"نسبة الجاهزية",""),IF(AND(COUNTA($O227:$U227)&gt;0,T227=""),"حالة الجاهزية",""),IF(AND(COUNTA($O227:$U227)&gt;0,U227=""),"التوصيات","")),"✓"),"✓"))))))))))</f>
        <v/>
      </c>
      <c r="E227" s="235"/>
      <c r="F227" s="236"/>
      <c r="G227" s="90"/>
      <c r="H227" s="239"/>
      <c r="I227" s="89"/>
      <c r="J227" s="142"/>
      <c r="K227" s="90"/>
      <c r="L227" s="90"/>
      <c r="M227" s="90"/>
      <c r="N227" s="89"/>
      <c r="O227" s="200"/>
      <c r="P227" s="201"/>
      <c r="Q227" s="201"/>
      <c r="R227" s="237"/>
      <c r="S227" s="202"/>
      <c r="T227" s="200"/>
      <c r="U227" s="203"/>
      <c r="V227" s="89"/>
      <c r="W227" s="89"/>
      <c r="X227" s="145"/>
      <c r="Y227" s="89"/>
      <c r="Z227" s="90"/>
      <c r="AA227" s="90"/>
      <c r="AB227" s="90"/>
      <c r="AC227" s="90"/>
      <c r="AD227" s="92"/>
      <c r="AE227" s="149" t="str">
        <f>IFERROR(VLOOKUP(Z227,LISTS!$AL$2:$AM$1000,2,FALSE()),"")</f>
        <v/>
      </c>
      <c r="AF227" s="151" t="str">
        <f>IFERROR(VLOOKUP(AA227,LISTS!$AO$2:$AP$1000,2,FALSE()),"")</f>
        <v/>
      </c>
      <c r="AG227" s="152" t="str">
        <f>IFERROR(VLOOKUP(AB227,LISTS!$AR$2:$AS$1000,2,FALSE()),"")</f>
        <v/>
      </c>
      <c r="AH227" s="154" t="str">
        <f>IFERROR(VLOOKUP(AC227,LISTS!$AU$2:$AV$1000,2,FALSE()),"")</f>
        <v/>
      </c>
      <c r="AI227" s="238" t="str">
        <f t="shared" si="18"/>
        <v>—</v>
      </c>
      <c r="AJ227" s="190" t="str">
        <f t="shared" si="19"/>
        <v>—</v>
      </c>
      <c r="AK227" s="157" t="str">
        <f t="shared" si="20"/>
        <v/>
      </c>
      <c r="AL227" s="160" t="str">
        <f t="shared" si="21"/>
        <v/>
      </c>
      <c r="AM227" s="210"/>
      <c r="AN227" s="209"/>
    </row>
    <row r="228" spans="1:40" ht="27.95" customHeight="1">
      <c r="A228" s="134" t="str">
        <f>IF(I228&lt;&gt;"",COUNTA($I$2:I228),"")</f>
        <v/>
      </c>
      <c r="B228" s="138" t="str">
        <f t="shared" si="22"/>
        <v/>
      </c>
      <c r="C228" s="93" t="str">
        <f t="array" ref="C228">IF(E228="","",IF(M228&lt;&gt;"",
M228&amp;"/"&amp;SUMPRODUCT((M$2:M228=M228)*1)&amp;" - "&amp;(ROW()-2),
"إداري/"&amp;SUMPRODUCT((M$2:M228="")*1)&amp;" - "&amp;(ROW()-2)))</f>
        <v/>
      </c>
      <c r="D228" s="141" t="str">
        <f>IF(AND(G228="",H228="",I228=""),"",IF(COUNTIFS(LISTS!$A$2:$A$67,G228,LISTS!$B$2:$B$67,H228,LISTS!$C$2:$C$67,I228)=0,"✗ هرم",IF(NOT(OR(Z228="ممتاز 100%",Z228="جيد 80%",Z228="مقبول 60%",Z228="خطر 40%",Z228="")),"✗ قائمة R",IF(NOT(OR(AA228="ممتاز 100%",AA228="جيد 85%",AA228="مقبول 70%",AA228="ضعيف 50%",AA228="")),"✗ قائمة S",IF(NOT(OR(AB228="مكتمل 100%",AB228="جزئي 60%",AB228="معلق 30%",AB228="مفتوح 0%",AB228="")),"✗ قائمة T",IF(NOT(OR(AC228="لا خصم 0",AC228="تأخير −5",AC228="عجز −10",AC228="جودة −15",AC228="امتثال −20",AC228="مخالفة −25",AC228="")),"✗ قائمة U",IF(AND(X228="لا",AC228&lt;&gt;"",AC228&lt;&gt;"لا خصم 0"),"✗ خصم",IF(AND(X228="نعم",AC228="لا خصم 0"),"✗ خصم",IF(AND(Z228="ممتاز 100%",AA228="ممتاز 100%",AB228&lt;&gt;"",AB228&lt;&gt;"مكتمل 100%"),"✗ إغلاق",IFERROR(IF(LEN(_xlfn.TEXTJOIN("، ",TRUE,IF(E228="","التاريخ",""),IF(F228="","الوقت",""),IF(G228="","المركز",""),IF(H228="","الدائرة",""),IF(I228="","القسم",""),IF(J228="","المسؤول",""),IF(K228="","نوع النشاط",""),IF(L228="","المشروع",""),IF(N228="","الممول",""),IF(V228="","الموضوع",""),IF(W228="","الملاحظة",""),IF(X228="","مشكلة",""),IF(Y228="","الإجراء",""),IF(Z228="","التنفيذ",""),IF(AA228="","الجودة",""),IF(AB228="","الإغلاق",""),IF(AC228="","الخصم",""),IF(AND(COUNTA($O228:$U228)&gt;0,O228=""),"مدير المشروع",""),IF(AND(COUNTA($O228:$U228)&gt;0,P228=""),"المستفيدين",""),IF(AND(COUNTA($O228:$U228)&gt;0,Q228=""),"المناطق",""),IF(AND(COUNTA($O228:$U228)&gt;0,R228=""),"الميزانية",""),IF(AND(COUNTA($O228:$U228)&gt;0,S228=""),"نسبة الجاهزية",""),IF(AND(COUNTA($O228:$U228)&gt;0,T228=""),"حالة الجاهزية",""),IF(AND(COUNTA($O228:$U228)&gt;0,U228=""),"التوصيات","")))&gt;0,"✗ ناقص: "&amp;_xlfn.TEXTJOIN("، ",TRUE,IF(E228="","التاريخ",""),IF(F228="","الوقت",""),IF(G228="","المركز",""),IF(H228="","الدائرة",""),IF(I228="","القسم",""),IF(J228="","المسؤول",""),IF(K228="","نوع النشاط",""),IF(L228="","المشروع",""),IF(N228="","الممول",""),IF(V228="","الموضوع",""),IF(W228="","الملاحظة",""),IF(X228="","مشكلة",""),IF(Y228="","الإجراء",""),IF(Z228="","التنفيذ",""),IF(AA228="","الجودة",""),IF(AB228="","الإغلاق",""),IF(AC228="","الخصم",""),IF(AND(COUNTA($O228:$U228)&gt;0,O228=""),"مدير المشروع",""),IF(AND(COUNTA($O228:$U228)&gt;0,P228=""),"المستفيدين",""),IF(AND(COUNTA($O228:$U228)&gt;0,Q228=""),"المناطق",""),IF(AND(COUNTA($O228:$U228)&gt;0,R228=""),"الميزانية",""),IF(AND(COUNTA($O228:$U228)&gt;0,S228=""),"نسبة الجاهزية",""),IF(AND(COUNTA($O228:$U228)&gt;0,T228=""),"حالة الجاهزية",""),IF(AND(COUNTA($O228:$U228)&gt;0,U228=""),"التوصيات","")),"✓"),"✓"))))))))))</f>
        <v/>
      </c>
      <c r="E228" s="235"/>
      <c r="F228" s="236"/>
      <c r="G228" s="90"/>
      <c r="H228" s="239"/>
      <c r="I228" s="89"/>
      <c r="J228" s="142"/>
      <c r="K228" s="90"/>
      <c r="L228" s="90"/>
      <c r="M228" s="90"/>
      <c r="N228" s="89"/>
      <c r="O228" s="200"/>
      <c r="P228" s="201"/>
      <c r="Q228" s="201"/>
      <c r="R228" s="237"/>
      <c r="S228" s="202"/>
      <c r="T228" s="200"/>
      <c r="U228" s="203"/>
      <c r="V228" s="89"/>
      <c r="W228" s="89"/>
      <c r="X228" s="145"/>
      <c r="Y228" s="89"/>
      <c r="Z228" s="90"/>
      <c r="AA228" s="90"/>
      <c r="AB228" s="90"/>
      <c r="AC228" s="90"/>
      <c r="AD228" s="92"/>
      <c r="AE228" s="149" t="str">
        <f>IFERROR(VLOOKUP(Z228,LISTS!$AL$2:$AM$1000,2,FALSE()),"")</f>
        <v/>
      </c>
      <c r="AF228" s="151" t="str">
        <f>IFERROR(VLOOKUP(AA228,LISTS!$AO$2:$AP$1000,2,FALSE()),"")</f>
        <v/>
      </c>
      <c r="AG228" s="152" t="str">
        <f>IFERROR(VLOOKUP(AB228,LISTS!$AR$2:$AS$1000,2,FALSE()),"")</f>
        <v/>
      </c>
      <c r="AH228" s="154" t="str">
        <f>IFERROR(VLOOKUP(AC228,LISTS!$AU$2:$AV$1000,2,FALSE()),"")</f>
        <v/>
      </c>
      <c r="AI228" s="238" t="str">
        <f t="shared" si="18"/>
        <v>—</v>
      </c>
      <c r="AJ228" s="190" t="str">
        <f t="shared" si="19"/>
        <v>—</v>
      </c>
      <c r="AK228" s="157" t="str">
        <f t="shared" si="20"/>
        <v/>
      </c>
      <c r="AL228" s="160" t="str">
        <f t="shared" si="21"/>
        <v/>
      </c>
      <c r="AM228" s="210"/>
      <c r="AN228" s="209"/>
    </row>
    <row r="229" spans="1:40" ht="27.95" customHeight="1">
      <c r="A229" s="134" t="str">
        <f>IF(I229&lt;&gt;"",COUNTA($I$2:I229),"")</f>
        <v/>
      </c>
      <c r="B229" s="138" t="str">
        <f t="shared" si="22"/>
        <v/>
      </c>
      <c r="C229" s="93" t="str">
        <f t="array" ref="C229">IF(E229="","",IF(M229&lt;&gt;"",
M229&amp;"/"&amp;SUMPRODUCT((M$2:M229=M229)*1)&amp;" - "&amp;(ROW()-2),
"إداري/"&amp;SUMPRODUCT((M$2:M229="")*1)&amp;" - "&amp;(ROW()-2)))</f>
        <v/>
      </c>
      <c r="D229" s="141" t="str">
        <f>IF(AND(G229="",H229="",I229=""),"",IF(COUNTIFS(LISTS!$A$2:$A$67,G229,LISTS!$B$2:$B$67,H229,LISTS!$C$2:$C$67,I229)=0,"✗ هرم",IF(NOT(OR(Z229="ممتاز 100%",Z229="جيد 80%",Z229="مقبول 60%",Z229="خطر 40%",Z229="")),"✗ قائمة R",IF(NOT(OR(AA229="ممتاز 100%",AA229="جيد 85%",AA229="مقبول 70%",AA229="ضعيف 50%",AA229="")),"✗ قائمة S",IF(NOT(OR(AB229="مكتمل 100%",AB229="جزئي 60%",AB229="معلق 30%",AB229="مفتوح 0%",AB229="")),"✗ قائمة T",IF(NOT(OR(AC229="لا خصم 0",AC229="تأخير −5",AC229="عجز −10",AC229="جودة −15",AC229="امتثال −20",AC229="مخالفة −25",AC229="")),"✗ قائمة U",IF(AND(X229="لا",AC229&lt;&gt;"",AC229&lt;&gt;"لا خصم 0"),"✗ خصم",IF(AND(X229="نعم",AC229="لا خصم 0"),"✗ خصم",IF(AND(Z229="ممتاز 100%",AA229="ممتاز 100%",AB229&lt;&gt;"",AB229&lt;&gt;"مكتمل 100%"),"✗ إغلاق",IFERROR(IF(LEN(_xlfn.TEXTJOIN("، ",TRUE,IF(E229="","التاريخ",""),IF(F229="","الوقت",""),IF(G229="","المركز",""),IF(H229="","الدائرة",""),IF(I229="","القسم",""),IF(J229="","المسؤول",""),IF(K229="","نوع النشاط",""),IF(L229="","المشروع",""),IF(N229="","الممول",""),IF(V229="","الموضوع",""),IF(W229="","الملاحظة",""),IF(X229="","مشكلة",""),IF(Y229="","الإجراء",""),IF(Z229="","التنفيذ",""),IF(AA229="","الجودة",""),IF(AB229="","الإغلاق",""),IF(AC229="","الخصم",""),IF(AND(COUNTA($O229:$U229)&gt;0,O229=""),"مدير المشروع",""),IF(AND(COUNTA($O229:$U229)&gt;0,P229=""),"المستفيدين",""),IF(AND(COUNTA($O229:$U229)&gt;0,Q229=""),"المناطق",""),IF(AND(COUNTA($O229:$U229)&gt;0,R229=""),"الميزانية",""),IF(AND(COUNTA($O229:$U229)&gt;0,S229=""),"نسبة الجاهزية",""),IF(AND(COUNTA($O229:$U229)&gt;0,T229=""),"حالة الجاهزية",""),IF(AND(COUNTA($O229:$U229)&gt;0,U229=""),"التوصيات","")))&gt;0,"✗ ناقص: "&amp;_xlfn.TEXTJOIN("، ",TRUE,IF(E229="","التاريخ",""),IF(F229="","الوقت",""),IF(G229="","المركز",""),IF(H229="","الدائرة",""),IF(I229="","القسم",""),IF(J229="","المسؤول",""),IF(K229="","نوع النشاط",""),IF(L229="","المشروع",""),IF(N229="","الممول",""),IF(V229="","الموضوع",""),IF(W229="","الملاحظة",""),IF(X229="","مشكلة",""),IF(Y229="","الإجراء",""),IF(Z229="","التنفيذ",""),IF(AA229="","الجودة",""),IF(AB229="","الإغلاق",""),IF(AC229="","الخصم",""),IF(AND(COUNTA($O229:$U229)&gt;0,O229=""),"مدير المشروع",""),IF(AND(COUNTA($O229:$U229)&gt;0,P229=""),"المستفيدين",""),IF(AND(COUNTA($O229:$U229)&gt;0,Q229=""),"المناطق",""),IF(AND(COUNTA($O229:$U229)&gt;0,R229=""),"الميزانية",""),IF(AND(COUNTA($O229:$U229)&gt;0,S229=""),"نسبة الجاهزية",""),IF(AND(COUNTA($O229:$U229)&gt;0,T229=""),"حالة الجاهزية",""),IF(AND(COUNTA($O229:$U229)&gt;0,U229=""),"التوصيات","")),"✓"),"✓"))))))))))</f>
        <v/>
      </c>
      <c r="E229" s="235"/>
      <c r="F229" s="236"/>
      <c r="G229" s="90"/>
      <c r="H229" s="239"/>
      <c r="I229" s="89"/>
      <c r="J229" s="142"/>
      <c r="K229" s="90"/>
      <c r="L229" s="90"/>
      <c r="M229" s="90"/>
      <c r="N229" s="89"/>
      <c r="O229" s="200"/>
      <c r="P229" s="201"/>
      <c r="Q229" s="201"/>
      <c r="R229" s="237"/>
      <c r="S229" s="202"/>
      <c r="T229" s="200"/>
      <c r="U229" s="203"/>
      <c r="V229" s="89"/>
      <c r="W229" s="89"/>
      <c r="X229" s="145"/>
      <c r="Y229" s="89"/>
      <c r="Z229" s="90"/>
      <c r="AA229" s="90"/>
      <c r="AB229" s="90"/>
      <c r="AC229" s="90"/>
      <c r="AD229" s="92"/>
      <c r="AE229" s="149" t="str">
        <f>IFERROR(VLOOKUP(Z229,LISTS!$AL$2:$AM$1000,2,FALSE()),"")</f>
        <v/>
      </c>
      <c r="AF229" s="151" t="str">
        <f>IFERROR(VLOOKUP(AA229,LISTS!$AO$2:$AP$1000,2,FALSE()),"")</f>
        <v/>
      </c>
      <c r="AG229" s="152" t="str">
        <f>IFERROR(VLOOKUP(AB229,LISTS!$AR$2:$AS$1000,2,FALSE()),"")</f>
        <v/>
      </c>
      <c r="AH229" s="154" t="str">
        <f>IFERROR(VLOOKUP(AC229,LISTS!$AU$2:$AV$1000,2,FALSE()),"")</f>
        <v/>
      </c>
      <c r="AI229" s="238" t="str">
        <f t="shared" si="18"/>
        <v>—</v>
      </c>
      <c r="AJ229" s="190" t="str">
        <f t="shared" si="19"/>
        <v>—</v>
      </c>
      <c r="AK229" s="157" t="str">
        <f t="shared" si="20"/>
        <v/>
      </c>
      <c r="AL229" s="160" t="str">
        <f t="shared" si="21"/>
        <v/>
      </c>
      <c r="AM229" s="210"/>
      <c r="AN229" s="209"/>
    </row>
    <row r="230" spans="1:40" ht="27.95" customHeight="1">
      <c r="A230" s="134" t="str">
        <f>IF(I230&lt;&gt;"",COUNTA($I$2:I230),"")</f>
        <v/>
      </c>
      <c r="B230" s="138" t="str">
        <f t="shared" si="22"/>
        <v/>
      </c>
      <c r="C230" s="93" t="str">
        <f t="array" ref="C230">IF(E230="","",IF(M230&lt;&gt;"",
M230&amp;"/"&amp;SUMPRODUCT((M$2:M230=M230)*1)&amp;" - "&amp;(ROW()-2),
"إداري/"&amp;SUMPRODUCT((M$2:M230="")*1)&amp;" - "&amp;(ROW()-2)))</f>
        <v/>
      </c>
      <c r="D230" s="141" t="str">
        <f>IF(AND(G230="",H230="",I230=""),"",IF(COUNTIFS(LISTS!$A$2:$A$67,G230,LISTS!$B$2:$B$67,H230,LISTS!$C$2:$C$67,I230)=0,"✗ هرم",IF(NOT(OR(Z230="ممتاز 100%",Z230="جيد 80%",Z230="مقبول 60%",Z230="خطر 40%",Z230="")),"✗ قائمة R",IF(NOT(OR(AA230="ممتاز 100%",AA230="جيد 85%",AA230="مقبول 70%",AA230="ضعيف 50%",AA230="")),"✗ قائمة S",IF(NOT(OR(AB230="مكتمل 100%",AB230="جزئي 60%",AB230="معلق 30%",AB230="مفتوح 0%",AB230="")),"✗ قائمة T",IF(NOT(OR(AC230="لا خصم 0",AC230="تأخير −5",AC230="عجز −10",AC230="جودة −15",AC230="امتثال −20",AC230="مخالفة −25",AC230="")),"✗ قائمة U",IF(AND(X230="لا",AC230&lt;&gt;"",AC230&lt;&gt;"لا خصم 0"),"✗ خصم",IF(AND(X230="نعم",AC230="لا خصم 0"),"✗ خصم",IF(AND(Z230="ممتاز 100%",AA230="ممتاز 100%",AB230&lt;&gt;"",AB230&lt;&gt;"مكتمل 100%"),"✗ إغلاق",IFERROR(IF(LEN(_xlfn.TEXTJOIN("، ",TRUE,IF(E230="","التاريخ",""),IF(F230="","الوقت",""),IF(G230="","المركز",""),IF(H230="","الدائرة",""),IF(I230="","القسم",""),IF(J230="","المسؤول",""),IF(K230="","نوع النشاط",""),IF(L230="","المشروع",""),IF(N230="","الممول",""),IF(V230="","الموضوع",""),IF(W230="","الملاحظة",""),IF(X230="","مشكلة",""),IF(Y230="","الإجراء",""),IF(Z230="","التنفيذ",""),IF(AA230="","الجودة",""),IF(AB230="","الإغلاق",""),IF(AC230="","الخصم",""),IF(AND(COUNTA($O230:$U230)&gt;0,O230=""),"مدير المشروع",""),IF(AND(COUNTA($O230:$U230)&gt;0,P230=""),"المستفيدين",""),IF(AND(COUNTA($O230:$U230)&gt;0,Q230=""),"المناطق",""),IF(AND(COUNTA($O230:$U230)&gt;0,R230=""),"الميزانية",""),IF(AND(COUNTA($O230:$U230)&gt;0,S230=""),"نسبة الجاهزية",""),IF(AND(COUNTA($O230:$U230)&gt;0,T230=""),"حالة الجاهزية",""),IF(AND(COUNTA($O230:$U230)&gt;0,U230=""),"التوصيات","")))&gt;0,"✗ ناقص: "&amp;_xlfn.TEXTJOIN("، ",TRUE,IF(E230="","التاريخ",""),IF(F230="","الوقت",""),IF(G230="","المركز",""),IF(H230="","الدائرة",""),IF(I230="","القسم",""),IF(J230="","المسؤول",""),IF(K230="","نوع النشاط",""),IF(L230="","المشروع",""),IF(N230="","الممول",""),IF(V230="","الموضوع",""),IF(W230="","الملاحظة",""),IF(X230="","مشكلة",""),IF(Y230="","الإجراء",""),IF(Z230="","التنفيذ",""),IF(AA230="","الجودة",""),IF(AB230="","الإغلاق",""),IF(AC230="","الخصم",""),IF(AND(COUNTA($O230:$U230)&gt;0,O230=""),"مدير المشروع",""),IF(AND(COUNTA($O230:$U230)&gt;0,P230=""),"المستفيدين",""),IF(AND(COUNTA($O230:$U230)&gt;0,Q230=""),"المناطق",""),IF(AND(COUNTA($O230:$U230)&gt;0,R230=""),"الميزانية",""),IF(AND(COUNTA($O230:$U230)&gt;0,S230=""),"نسبة الجاهزية",""),IF(AND(COUNTA($O230:$U230)&gt;0,T230=""),"حالة الجاهزية",""),IF(AND(COUNTA($O230:$U230)&gt;0,U230=""),"التوصيات","")),"✓"),"✓"))))))))))</f>
        <v/>
      </c>
      <c r="E230" s="235"/>
      <c r="F230" s="236"/>
      <c r="G230" s="90"/>
      <c r="H230" s="239"/>
      <c r="I230" s="89"/>
      <c r="J230" s="142"/>
      <c r="K230" s="90"/>
      <c r="L230" s="90"/>
      <c r="M230" s="90"/>
      <c r="N230" s="89"/>
      <c r="O230" s="200"/>
      <c r="P230" s="201"/>
      <c r="Q230" s="201"/>
      <c r="R230" s="237"/>
      <c r="S230" s="202"/>
      <c r="T230" s="200"/>
      <c r="U230" s="203"/>
      <c r="V230" s="89"/>
      <c r="W230" s="89"/>
      <c r="X230" s="145"/>
      <c r="Y230" s="89"/>
      <c r="Z230" s="90"/>
      <c r="AA230" s="90"/>
      <c r="AB230" s="90"/>
      <c r="AC230" s="90"/>
      <c r="AD230" s="92"/>
      <c r="AE230" s="149" t="str">
        <f>IFERROR(VLOOKUP(Z230,LISTS!$AL$2:$AM$1000,2,FALSE()),"")</f>
        <v/>
      </c>
      <c r="AF230" s="151" t="str">
        <f>IFERROR(VLOOKUP(AA230,LISTS!$AO$2:$AP$1000,2,FALSE()),"")</f>
        <v/>
      </c>
      <c r="AG230" s="152" t="str">
        <f>IFERROR(VLOOKUP(AB230,LISTS!$AR$2:$AS$1000,2,FALSE()),"")</f>
        <v/>
      </c>
      <c r="AH230" s="154" t="str">
        <f>IFERROR(VLOOKUP(AC230,LISTS!$AU$2:$AV$1000,2,FALSE()),"")</f>
        <v/>
      </c>
      <c r="AI230" s="238" t="str">
        <f t="shared" si="18"/>
        <v>—</v>
      </c>
      <c r="AJ230" s="190" t="str">
        <f t="shared" si="19"/>
        <v>—</v>
      </c>
      <c r="AK230" s="157" t="str">
        <f t="shared" si="20"/>
        <v/>
      </c>
      <c r="AL230" s="160" t="str">
        <f t="shared" si="21"/>
        <v/>
      </c>
      <c r="AM230" s="210"/>
      <c r="AN230" s="209"/>
    </row>
    <row r="231" spans="1:40" ht="27.95" customHeight="1">
      <c r="A231" s="134" t="str">
        <f>IF(I231&lt;&gt;"",COUNTA($I$2:I231),"")</f>
        <v/>
      </c>
      <c r="B231" s="138" t="str">
        <f t="shared" si="22"/>
        <v/>
      </c>
      <c r="C231" s="93" t="str">
        <f t="array" ref="C231">IF(E231="","",IF(M231&lt;&gt;"",
M231&amp;"/"&amp;SUMPRODUCT((M$2:M231=M231)*1)&amp;" - "&amp;(ROW()-2),
"إداري/"&amp;SUMPRODUCT((M$2:M231="")*1)&amp;" - "&amp;(ROW()-2)))</f>
        <v/>
      </c>
      <c r="D231" s="141" t="str">
        <f>IF(AND(G231="",H231="",I231=""),"",IF(COUNTIFS(LISTS!$A$2:$A$67,G231,LISTS!$B$2:$B$67,H231,LISTS!$C$2:$C$67,I231)=0,"✗ هرم",IF(NOT(OR(Z231="ممتاز 100%",Z231="جيد 80%",Z231="مقبول 60%",Z231="خطر 40%",Z231="")),"✗ قائمة R",IF(NOT(OR(AA231="ممتاز 100%",AA231="جيد 85%",AA231="مقبول 70%",AA231="ضعيف 50%",AA231="")),"✗ قائمة S",IF(NOT(OR(AB231="مكتمل 100%",AB231="جزئي 60%",AB231="معلق 30%",AB231="مفتوح 0%",AB231="")),"✗ قائمة T",IF(NOT(OR(AC231="لا خصم 0",AC231="تأخير −5",AC231="عجز −10",AC231="جودة −15",AC231="امتثال −20",AC231="مخالفة −25",AC231="")),"✗ قائمة U",IF(AND(X231="لا",AC231&lt;&gt;"",AC231&lt;&gt;"لا خصم 0"),"✗ خصم",IF(AND(X231="نعم",AC231="لا خصم 0"),"✗ خصم",IF(AND(Z231="ممتاز 100%",AA231="ممتاز 100%",AB231&lt;&gt;"",AB231&lt;&gt;"مكتمل 100%"),"✗ إغلاق",IFERROR(IF(LEN(_xlfn.TEXTJOIN("، ",TRUE,IF(E231="","التاريخ",""),IF(F231="","الوقت",""),IF(G231="","المركز",""),IF(H231="","الدائرة",""),IF(I231="","القسم",""),IF(J231="","المسؤول",""),IF(K231="","نوع النشاط",""),IF(L231="","المشروع",""),IF(N231="","الممول",""),IF(V231="","الموضوع",""),IF(W231="","الملاحظة",""),IF(X231="","مشكلة",""),IF(Y231="","الإجراء",""),IF(Z231="","التنفيذ",""),IF(AA231="","الجودة",""),IF(AB231="","الإغلاق",""),IF(AC231="","الخصم",""),IF(AND(COUNTA($O231:$U231)&gt;0,O231=""),"مدير المشروع",""),IF(AND(COUNTA($O231:$U231)&gt;0,P231=""),"المستفيدين",""),IF(AND(COUNTA($O231:$U231)&gt;0,Q231=""),"المناطق",""),IF(AND(COUNTA($O231:$U231)&gt;0,R231=""),"الميزانية",""),IF(AND(COUNTA($O231:$U231)&gt;0,S231=""),"نسبة الجاهزية",""),IF(AND(COUNTA($O231:$U231)&gt;0,T231=""),"حالة الجاهزية",""),IF(AND(COUNTA($O231:$U231)&gt;0,U231=""),"التوصيات","")))&gt;0,"✗ ناقص: "&amp;_xlfn.TEXTJOIN("، ",TRUE,IF(E231="","التاريخ",""),IF(F231="","الوقت",""),IF(G231="","المركز",""),IF(H231="","الدائرة",""),IF(I231="","القسم",""),IF(J231="","المسؤول",""),IF(K231="","نوع النشاط",""),IF(L231="","المشروع",""),IF(N231="","الممول",""),IF(V231="","الموضوع",""),IF(W231="","الملاحظة",""),IF(X231="","مشكلة",""),IF(Y231="","الإجراء",""),IF(Z231="","التنفيذ",""),IF(AA231="","الجودة",""),IF(AB231="","الإغلاق",""),IF(AC231="","الخصم",""),IF(AND(COUNTA($O231:$U231)&gt;0,O231=""),"مدير المشروع",""),IF(AND(COUNTA($O231:$U231)&gt;0,P231=""),"المستفيدين",""),IF(AND(COUNTA($O231:$U231)&gt;0,Q231=""),"المناطق",""),IF(AND(COUNTA($O231:$U231)&gt;0,R231=""),"الميزانية",""),IF(AND(COUNTA($O231:$U231)&gt;0,S231=""),"نسبة الجاهزية",""),IF(AND(COUNTA($O231:$U231)&gt;0,T231=""),"حالة الجاهزية",""),IF(AND(COUNTA($O231:$U231)&gt;0,U231=""),"التوصيات","")),"✓"),"✓"))))))))))</f>
        <v/>
      </c>
      <c r="E231" s="235"/>
      <c r="F231" s="236"/>
      <c r="G231" s="90"/>
      <c r="H231" s="239"/>
      <c r="I231" s="89"/>
      <c r="J231" s="142"/>
      <c r="K231" s="90"/>
      <c r="L231" s="90"/>
      <c r="M231" s="90"/>
      <c r="N231" s="89"/>
      <c r="O231" s="200"/>
      <c r="P231" s="201"/>
      <c r="Q231" s="201"/>
      <c r="R231" s="237"/>
      <c r="S231" s="202"/>
      <c r="T231" s="200"/>
      <c r="U231" s="203"/>
      <c r="V231" s="89"/>
      <c r="W231" s="89"/>
      <c r="X231" s="145"/>
      <c r="Y231" s="89"/>
      <c r="Z231" s="90"/>
      <c r="AA231" s="90"/>
      <c r="AB231" s="90"/>
      <c r="AC231" s="90"/>
      <c r="AD231" s="92"/>
      <c r="AE231" s="149" t="str">
        <f>IFERROR(VLOOKUP(Z231,LISTS!$AL$2:$AM$1000,2,FALSE()),"")</f>
        <v/>
      </c>
      <c r="AF231" s="151" t="str">
        <f>IFERROR(VLOOKUP(AA231,LISTS!$AO$2:$AP$1000,2,FALSE()),"")</f>
        <v/>
      </c>
      <c r="AG231" s="152" t="str">
        <f>IFERROR(VLOOKUP(AB231,LISTS!$AR$2:$AS$1000,2,FALSE()),"")</f>
        <v/>
      </c>
      <c r="AH231" s="154" t="str">
        <f>IFERROR(VLOOKUP(AC231,LISTS!$AU$2:$AV$1000,2,FALSE()),"")</f>
        <v/>
      </c>
      <c r="AI231" s="238" t="str">
        <f t="shared" si="18"/>
        <v>—</v>
      </c>
      <c r="AJ231" s="190" t="str">
        <f t="shared" si="19"/>
        <v>—</v>
      </c>
      <c r="AK231" s="157" t="str">
        <f t="shared" si="20"/>
        <v/>
      </c>
      <c r="AL231" s="160" t="str">
        <f t="shared" si="21"/>
        <v/>
      </c>
      <c r="AM231" s="210"/>
      <c r="AN231" s="209"/>
    </row>
    <row r="232" spans="1:40" ht="27.95" customHeight="1">
      <c r="A232" s="134" t="str">
        <f>IF(I232&lt;&gt;"",COUNTA($I$2:I232),"")</f>
        <v/>
      </c>
      <c r="B232" s="138" t="str">
        <f t="shared" si="22"/>
        <v/>
      </c>
      <c r="C232" s="93" t="str">
        <f t="array" ref="C232">IF(E232="","",IF(M232&lt;&gt;"",
M232&amp;"/"&amp;SUMPRODUCT((M$2:M232=M232)*1)&amp;" - "&amp;(ROW()-2),
"إداري/"&amp;SUMPRODUCT((M$2:M232="")*1)&amp;" - "&amp;(ROW()-2)))</f>
        <v/>
      </c>
      <c r="D232" s="141" t="str">
        <f>IF(AND(G232="",H232="",I232=""),"",IF(COUNTIFS(LISTS!$A$2:$A$67,G232,LISTS!$B$2:$B$67,H232,LISTS!$C$2:$C$67,I232)=0,"✗ هرم",IF(NOT(OR(Z232="ممتاز 100%",Z232="جيد 80%",Z232="مقبول 60%",Z232="خطر 40%",Z232="")),"✗ قائمة R",IF(NOT(OR(AA232="ممتاز 100%",AA232="جيد 85%",AA232="مقبول 70%",AA232="ضعيف 50%",AA232="")),"✗ قائمة S",IF(NOT(OR(AB232="مكتمل 100%",AB232="جزئي 60%",AB232="معلق 30%",AB232="مفتوح 0%",AB232="")),"✗ قائمة T",IF(NOT(OR(AC232="لا خصم 0",AC232="تأخير −5",AC232="عجز −10",AC232="جودة −15",AC232="امتثال −20",AC232="مخالفة −25",AC232="")),"✗ قائمة U",IF(AND(X232="لا",AC232&lt;&gt;"",AC232&lt;&gt;"لا خصم 0"),"✗ خصم",IF(AND(X232="نعم",AC232="لا خصم 0"),"✗ خصم",IF(AND(Z232="ممتاز 100%",AA232="ممتاز 100%",AB232&lt;&gt;"",AB232&lt;&gt;"مكتمل 100%"),"✗ إغلاق",IFERROR(IF(LEN(_xlfn.TEXTJOIN("، ",TRUE,IF(E232="","التاريخ",""),IF(F232="","الوقت",""),IF(G232="","المركز",""),IF(H232="","الدائرة",""),IF(I232="","القسم",""),IF(J232="","المسؤول",""),IF(K232="","نوع النشاط",""),IF(L232="","المشروع",""),IF(N232="","الممول",""),IF(V232="","الموضوع",""),IF(W232="","الملاحظة",""),IF(X232="","مشكلة",""),IF(Y232="","الإجراء",""),IF(Z232="","التنفيذ",""),IF(AA232="","الجودة",""),IF(AB232="","الإغلاق",""),IF(AC232="","الخصم",""),IF(AND(COUNTA($O232:$U232)&gt;0,O232=""),"مدير المشروع",""),IF(AND(COUNTA($O232:$U232)&gt;0,P232=""),"المستفيدين",""),IF(AND(COUNTA($O232:$U232)&gt;0,Q232=""),"المناطق",""),IF(AND(COUNTA($O232:$U232)&gt;0,R232=""),"الميزانية",""),IF(AND(COUNTA($O232:$U232)&gt;0,S232=""),"نسبة الجاهزية",""),IF(AND(COUNTA($O232:$U232)&gt;0,T232=""),"حالة الجاهزية",""),IF(AND(COUNTA($O232:$U232)&gt;0,U232=""),"التوصيات","")))&gt;0,"✗ ناقص: "&amp;_xlfn.TEXTJOIN("، ",TRUE,IF(E232="","التاريخ",""),IF(F232="","الوقت",""),IF(G232="","المركز",""),IF(H232="","الدائرة",""),IF(I232="","القسم",""),IF(J232="","المسؤول",""),IF(K232="","نوع النشاط",""),IF(L232="","المشروع",""),IF(N232="","الممول",""),IF(V232="","الموضوع",""),IF(W232="","الملاحظة",""),IF(X232="","مشكلة",""),IF(Y232="","الإجراء",""),IF(Z232="","التنفيذ",""),IF(AA232="","الجودة",""),IF(AB232="","الإغلاق",""),IF(AC232="","الخصم",""),IF(AND(COUNTA($O232:$U232)&gt;0,O232=""),"مدير المشروع",""),IF(AND(COUNTA($O232:$U232)&gt;0,P232=""),"المستفيدين",""),IF(AND(COUNTA($O232:$U232)&gt;0,Q232=""),"المناطق",""),IF(AND(COUNTA($O232:$U232)&gt;0,R232=""),"الميزانية",""),IF(AND(COUNTA($O232:$U232)&gt;0,S232=""),"نسبة الجاهزية",""),IF(AND(COUNTA($O232:$U232)&gt;0,T232=""),"حالة الجاهزية",""),IF(AND(COUNTA($O232:$U232)&gt;0,U232=""),"التوصيات","")),"✓"),"✓"))))))))))</f>
        <v/>
      </c>
      <c r="E232" s="235"/>
      <c r="F232" s="236"/>
      <c r="G232" s="90"/>
      <c r="H232" s="239"/>
      <c r="I232" s="89"/>
      <c r="J232" s="142"/>
      <c r="K232" s="90"/>
      <c r="L232" s="90"/>
      <c r="M232" s="90"/>
      <c r="N232" s="89"/>
      <c r="O232" s="200"/>
      <c r="P232" s="201"/>
      <c r="Q232" s="201"/>
      <c r="R232" s="237"/>
      <c r="S232" s="202"/>
      <c r="T232" s="200"/>
      <c r="U232" s="203"/>
      <c r="V232" s="89"/>
      <c r="W232" s="89"/>
      <c r="X232" s="145"/>
      <c r="Y232" s="89"/>
      <c r="Z232" s="90"/>
      <c r="AA232" s="90"/>
      <c r="AB232" s="90"/>
      <c r="AC232" s="90"/>
      <c r="AD232" s="92"/>
      <c r="AE232" s="149" t="str">
        <f>IFERROR(VLOOKUP(Z232,LISTS!$AL$2:$AM$1000,2,FALSE()),"")</f>
        <v/>
      </c>
      <c r="AF232" s="151" t="str">
        <f>IFERROR(VLOOKUP(AA232,LISTS!$AO$2:$AP$1000,2,FALSE()),"")</f>
        <v/>
      </c>
      <c r="AG232" s="152" t="str">
        <f>IFERROR(VLOOKUP(AB232,LISTS!$AR$2:$AS$1000,2,FALSE()),"")</f>
        <v/>
      </c>
      <c r="AH232" s="154" t="str">
        <f>IFERROR(VLOOKUP(AC232,LISTS!$AU$2:$AV$1000,2,FALSE()),"")</f>
        <v/>
      </c>
      <c r="AI232" s="238" t="str">
        <f t="shared" si="18"/>
        <v>—</v>
      </c>
      <c r="AJ232" s="190" t="str">
        <f t="shared" si="19"/>
        <v>—</v>
      </c>
      <c r="AK232" s="157" t="str">
        <f t="shared" si="20"/>
        <v/>
      </c>
      <c r="AL232" s="160" t="str">
        <f t="shared" si="21"/>
        <v/>
      </c>
      <c r="AM232" s="210"/>
      <c r="AN232" s="209"/>
    </row>
    <row r="233" spans="1:40" ht="27.95" customHeight="1">
      <c r="A233" s="134" t="str">
        <f>IF(I233&lt;&gt;"",COUNTA($I$2:I233),"")</f>
        <v/>
      </c>
      <c r="B233" s="138" t="str">
        <f t="shared" si="22"/>
        <v/>
      </c>
      <c r="C233" s="93" t="str">
        <f t="array" ref="C233">IF(E233="","",IF(M233&lt;&gt;"",
M233&amp;"/"&amp;SUMPRODUCT((M$2:M233=M233)*1)&amp;" - "&amp;(ROW()-2),
"إداري/"&amp;SUMPRODUCT((M$2:M233="")*1)&amp;" - "&amp;(ROW()-2)))</f>
        <v/>
      </c>
      <c r="D233" s="141" t="str">
        <f>IF(AND(G233="",H233="",I233=""),"",IF(COUNTIFS(LISTS!$A$2:$A$67,G233,LISTS!$B$2:$B$67,H233,LISTS!$C$2:$C$67,I233)=0,"✗ هرم",IF(NOT(OR(Z233="ممتاز 100%",Z233="جيد 80%",Z233="مقبول 60%",Z233="خطر 40%",Z233="")),"✗ قائمة R",IF(NOT(OR(AA233="ممتاز 100%",AA233="جيد 85%",AA233="مقبول 70%",AA233="ضعيف 50%",AA233="")),"✗ قائمة S",IF(NOT(OR(AB233="مكتمل 100%",AB233="جزئي 60%",AB233="معلق 30%",AB233="مفتوح 0%",AB233="")),"✗ قائمة T",IF(NOT(OR(AC233="لا خصم 0",AC233="تأخير −5",AC233="عجز −10",AC233="جودة −15",AC233="امتثال −20",AC233="مخالفة −25",AC233="")),"✗ قائمة U",IF(AND(X233="لا",AC233&lt;&gt;"",AC233&lt;&gt;"لا خصم 0"),"✗ خصم",IF(AND(X233="نعم",AC233="لا خصم 0"),"✗ خصم",IF(AND(Z233="ممتاز 100%",AA233="ممتاز 100%",AB233&lt;&gt;"",AB233&lt;&gt;"مكتمل 100%"),"✗ إغلاق",IFERROR(IF(LEN(_xlfn.TEXTJOIN("، ",TRUE,IF(E233="","التاريخ",""),IF(F233="","الوقت",""),IF(G233="","المركز",""),IF(H233="","الدائرة",""),IF(I233="","القسم",""),IF(J233="","المسؤول",""),IF(K233="","نوع النشاط",""),IF(L233="","المشروع",""),IF(N233="","الممول",""),IF(V233="","الموضوع",""),IF(W233="","الملاحظة",""),IF(X233="","مشكلة",""),IF(Y233="","الإجراء",""),IF(Z233="","التنفيذ",""),IF(AA233="","الجودة",""),IF(AB233="","الإغلاق",""),IF(AC233="","الخصم",""),IF(AND(COUNTA($O233:$U233)&gt;0,O233=""),"مدير المشروع",""),IF(AND(COUNTA($O233:$U233)&gt;0,P233=""),"المستفيدين",""),IF(AND(COUNTA($O233:$U233)&gt;0,Q233=""),"المناطق",""),IF(AND(COUNTA($O233:$U233)&gt;0,R233=""),"الميزانية",""),IF(AND(COUNTA($O233:$U233)&gt;0,S233=""),"نسبة الجاهزية",""),IF(AND(COUNTA($O233:$U233)&gt;0,T233=""),"حالة الجاهزية",""),IF(AND(COUNTA($O233:$U233)&gt;0,U233=""),"التوصيات","")))&gt;0,"✗ ناقص: "&amp;_xlfn.TEXTJOIN("، ",TRUE,IF(E233="","التاريخ",""),IF(F233="","الوقت",""),IF(G233="","المركز",""),IF(H233="","الدائرة",""),IF(I233="","القسم",""),IF(J233="","المسؤول",""),IF(K233="","نوع النشاط",""),IF(L233="","المشروع",""),IF(N233="","الممول",""),IF(V233="","الموضوع",""),IF(W233="","الملاحظة",""),IF(X233="","مشكلة",""),IF(Y233="","الإجراء",""),IF(Z233="","التنفيذ",""),IF(AA233="","الجودة",""),IF(AB233="","الإغلاق",""),IF(AC233="","الخصم",""),IF(AND(COUNTA($O233:$U233)&gt;0,O233=""),"مدير المشروع",""),IF(AND(COUNTA($O233:$U233)&gt;0,P233=""),"المستفيدين",""),IF(AND(COUNTA($O233:$U233)&gt;0,Q233=""),"المناطق",""),IF(AND(COUNTA($O233:$U233)&gt;0,R233=""),"الميزانية",""),IF(AND(COUNTA($O233:$U233)&gt;0,S233=""),"نسبة الجاهزية",""),IF(AND(COUNTA($O233:$U233)&gt;0,T233=""),"حالة الجاهزية",""),IF(AND(COUNTA($O233:$U233)&gt;0,U233=""),"التوصيات","")),"✓"),"✓"))))))))))</f>
        <v/>
      </c>
      <c r="E233" s="235"/>
      <c r="F233" s="236"/>
      <c r="G233" s="90"/>
      <c r="H233" s="239"/>
      <c r="I233" s="89"/>
      <c r="J233" s="142"/>
      <c r="K233" s="90"/>
      <c r="L233" s="90"/>
      <c r="M233" s="90"/>
      <c r="N233" s="89"/>
      <c r="O233" s="200"/>
      <c r="P233" s="201"/>
      <c r="Q233" s="201"/>
      <c r="R233" s="237"/>
      <c r="S233" s="202"/>
      <c r="T233" s="200"/>
      <c r="U233" s="203"/>
      <c r="V233" s="89"/>
      <c r="W233" s="89"/>
      <c r="X233" s="145"/>
      <c r="Y233" s="89"/>
      <c r="Z233" s="90"/>
      <c r="AA233" s="90"/>
      <c r="AB233" s="90"/>
      <c r="AC233" s="90"/>
      <c r="AD233" s="92"/>
      <c r="AE233" s="149" t="str">
        <f>IFERROR(VLOOKUP(Z233,LISTS!$AL$2:$AM$1000,2,FALSE()),"")</f>
        <v/>
      </c>
      <c r="AF233" s="151" t="str">
        <f>IFERROR(VLOOKUP(AA233,LISTS!$AO$2:$AP$1000,2,FALSE()),"")</f>
        <v/>
      </c>
      <c r="AG233" s="152" t="str">
        <f>IFERROR(VLOOKUP(AB233,LISTS!$AR$2:$AS$1000,2,FALSE()),"")</f>
        <v/>
      </c>
      <c r="AH233" s="154" t="str">
        <f>IFERROR(VLOOKUP(AC233,LISTS!$AU$2:$AV$1000,2,FALSE()),"")</f>
        <v/>
      </c>
      <c r="AI233" s="238" t="str">
        <f t="shared" si="18"/>
        <v>—</v>
      </c>
      <c r="AJ233" s="190" t="str">
        <f t="shared" si="19"/>
        <v>—</v>
      </c>
      <c r="AK233" s="157" t="str">
        <f t="shared" si="20"/>
        <v/>
      </c>
      <c r="AL233" s="160" t="str">
        <f t="shared" si="21"/>
        <v/>
      </c>
      <c r="AM233" s="210"/>
      <c r="AN233" s="209"/>
    </row>
    <row r="234" spans="1:40" ht="27.95" customHeight="1">
      <c r="A234" s="134" t="str">
        <f>IF(I234&lt;&gt;"",COUNTA($I$2:I234),"")</f>
        <v/>
      </c>
      <c r="B234" s="138" t="str">
        <f t="shared" si="22"/>
        <v/>
      </c>
      <c r="C234" s="93" t="str">
        <f t="array" ref="C234">IF(E234="","",IF(M234&lt;&gt;"",
M234&amp;"/"&amp;SUMPRODUCT((M$2:M234=M234)*1)&amp;" - "&amp;(ROW()-2),
"إداري/"&amp;SUMPRODUCT((M$2:M234="")*1)&amp;" - "&amp;(ROW()-2)))</f>
        <v/>
      </c>
      <c r="D234" s="141" t="str">
        <f>IF(AND(G234="",H234="",I234=""),"",IF(COUNTIFS(LISTS!$A$2:$A$67,G234,LISTS!$B$2:$B$67,H234,LISTS!$C$2:$C$67,I234)=0,"✗ هرم",IF(NOT(OR(Z234="ممتاز 100%",Z234="جيد 80%",Z234="مقبول 60%",Z234="خطر 40%",Z234="")),"✗ قائمة R",IF(NOT(OR(AA234="ممتاز 100%",AA234="جيد 85%",AA234="مقبول 70%",AA234="ضعيف 50%",AA234="")),"✗ قائمة S",IF(NOT(OR(AB234="مكتمل 100%",AB234="جزئي 60%",AB234="معلق 30%",AB234="مفتوح 0%",AB234="")),"✗ قائمة T",IF(NOT(OR(AC234="لا خصم 0",AC234="تأخير −5",AC234="عجز −10",AC234="جودة −15",AC234="امتثال −20",AC234="مخالفة −25",AC234="")),"✗ قائمة U",IF(AND(X234="لا",AC234&lt;&gt;"",AC234&lt;&gt;"لا خصم 0"),"✗ خصم",IF(AND(X234="نعم",AC234="لا خصم 0"),"✗ خصم",IF(AND(Z234="ممتاز 100%",AA234="ممتاز 100%",AB234&lt;&gt;"",AB234&lt;&gt;"مكتمل 100%"),"✗ إغلاق",IFERROR(IF(LEN(_xlfn.TEXTJOIN("، ",TRUE,IF(E234="","التاريخ",""),IF(F234="","الوقت",""),IF(G234="","المركز",""),IF(H234="","الدائرة",""),IF(I234="","القسم",""),IF(J234="","المسؤول",""),IF(K234="","نوع النشاط",""),IF(L234="","المشروع",""),IF(N234="","الممول",""),IF(V234="","الموضوع",""),IF(W234="","الملاحظة",""),IF(X234="","مشكلة",""),IF(Y234="","الإجراء",""),IF(Z234="","التنفيذ",""),IF(AA234="","الجودة",""),IF(AB234="","الإغلاق",""),IF(AC234="","الخصم",""),IF(AND(COUNTA($O234:$U234)&gt;0,O234=""),"مدير المشروع",""),IF(AND(COUNTA($O234:$U234)&gt;0,P234=""),"المستفيدين",""),IF(AND(COUNTA($O234:$U234)&gt;0,Q234=""),"المناطق",""),IF(AND(COUNTA($O234:$U234)&gt;0,R234=""),"الميزانية",""),IF(AND(COUNTA($O234:$U234)&gt;0,S234=""),"نسبة الجاهزية",""),IF(AND(COUNTA($O234:$U234)&gt;0,T234=""),"حالة الجاهزية",""),IF(AND(COUNTA($O234:$U234)&gt;0,U234=""),"التوصيات","")))&gt;0,"✗ ناقص: "&amp;_xlfn.TEXTJOIN("، ",TRUE,IF(E234="","التاريخ",""),IF(F234="","الوقت",""),IF(G234="","المركز",""),IF(H234="","الدائرة",""),IF(I234="","القسم",""),IF(J234="","المسؤول",""),IF(K234="","نوع النشاط",""),IF(L234="","المشروع",""),IF(N234="","الممول",""),IF(V234="","الموضوع",""),IF(W234="","الملاحظة",""),IF(X234="","مشكلة",""),IF(Y234="","الإجراء",""),IF(Z234="","التنفيذ",""),IF(AA234="","الجودة",""),IF(AB234="","الإغلاق",""),IF(AC234="","الخصم",""),IF(AND(COUNTA($O234:$U234)&gt;0,O234=""),"مدير المشروع",""),IF(AND(COUNTA($O234:$U234)&gt;0,P234=""),"المستفيدين",""),IF(AND(COUNTA($O234:$U234)&gt;0,Q234=""),"المناطق",""),IF(AND(COUNTA($O234:$U234)&gt;0,R234=""),"الميزانية",""),IF(AND(COUNTA($O234:$U234)&gt;0,S234=""),"نسبة الجاهزية",""),IF(AND(COUNTA($O234:$U234)&gt;0,T234=""),"حالة الجاهزية",""),IF(AND(COUNTA($O234:$U234)&gt;0,U234=""),"التوصيات","")),"✓"),"✓"))))))))))</f>
        <v/>
      </c>
      <c r="E234" s="235"/>
      <c r="F234" s="236"/>
      <c r="G234" s="90"/>
      <c r="H234" s="239"/>
      <c r="I234" s="89"/>
      <c r="J234" s="142"/>
      <c r="K234" s="90"/>
      <c r="L234" s="90"/>
      <c r="M234" s="90"/>
      <c r="N234" s="89"/>
      <c r="O234" s="200"/>
      <c r="P234" s="201"/>
      <c r="Q234" s="201"/>
      <c r="R234" s="237"/>
      <c r="S234" s="202"/>
      <c r="T234" s="200"/>
      <c r="U234" s="203"/>
      <c r="V234" s="89"/>
      <c r="W234" s="89"/>
      <c r="X234" s="145"/>
      <c r="Y234" s="89"/>
      <c r="Z234" s="90"/>
      <c r="AA234" s="90"/>
      <c r="AB234" s="90"/>
      <c r="AC234" s="90"/>
      <c r="AD234" s="92"/>
      <c r="AE234" s="149" t="str">
        <f>IFERROR(VLOOKUP(Z234,LISTS!$AL$2:$AM$1000,2,FALSE()),"")</f>
        <v/>
      </c>
      <c r="AF234" s="151" t="str">
        <f>IFERROR(VLOOKUP(AA234,LISTS!$AO$2:$AP$1000,2,FALSE()),"")</f>
        <v/>
      </c>
      <c r="AG234" s="152" t="str">
        <f>IFERROR(VLOOKUP(AB234,LISTS!$AR$2:$AS$1000,2,FALSE()),"")</f>
        <v/>
      </c>
      <c r="AH234" s="154" t="str">
        <f>IFERROR(VLOOKUP(AC234,LISTS!$AU$2:$AV$1000,2,FALSE()),"")</f>
        <v/>
      </c>
      <c r="AI234" s="238" t="str">
        <f t="shared" si="18"/>
        <v>—</v>
      </c>
      <c r="AJ234" s="190" t="str">
        <f t="shared" si="19"/>
        <v>—</v>
      </c>
      <c r="AK234" s="157" t="str">
        <f t="shared" si="20"/>
        <v/>
      </c>
      <c r="AL234" s="160" t="str">
        <f t="shared" si="21"/>
        <v/>
      </c>
      <c r="AM234" s="210"/>
      <c r="AN234" s="209"/>
    </row>
    <row r="235" spans="1:40" ht="27.95" customHeight="1">
      <c r="A235" s="134" t="str">
        <f>IF(I235&lt;&gt;"",COUNTA($I$2:I235),"")</f>
        <v/>
      </c>
      <c r="B235" s="138" t="str">
        <f t="shared" si="22"/>
        <v/>
      </c>
      <c r="C235" s="93" t="str">
        <f t="array" ref="C235">IF(E235="","",IF(M235&lt;&gt;"",
M235&amp;"/"&amp;SUMPRODUCT((M$2:M235=M235)*1)&amp;" - "&amp;(ROW()-2),
"إداري/"&amp;SUMPRODUCT((M$2:M235="")*1)&amp;" - "&amp;(ROW()-2)))</f>
        <v/>
      </c>
      <c r="D235" s="141" t="str">
        <f>IF(AND(G235="",H235="",I235=""),"",IF(COUNTIFS(LISTS!$A$2:$A$67,G235,LISTS!$B$2:$B$67,H235,LISTS!$C$2:$C$67,I235)=0,"✗ هرم",IF(NOT(OR(Z235="ممتاز 100%",Z235="جيد 80%",Z235="مقبول 60%",Z235="خطر 40%",Z235="")),"✗ قائمة R",IF(NOT(OR(AA235="ممتاز 100%",AA235="جيد 85%",AA235="مقبول 70%",AA235="ضعيف 50%",AA235="")),"✗ قائمة S",IF(NOT(OR(AB235="مكتمل 100%",AB235="جزئي 60%",AB235="معلق 30%",AB235="مفتوح 0%",AB235="")),"✗ قائمة T",IF(NOT(OR(AC235="لا خصم 0",AC235="تأخير −5",AC235="عجز −10",AC235="جودة −15",AC235="امتثال −20",AC235="مخالفة −25",AC235="")),"✗ قائمة U",IF(AND(X235="لا",AC235&lt;&gt;"",AC235&lt;&gt;"لا خصم 0"),"✗ خصم",IF(AND(X235="نعم",AC235="لا خصم 0"),"✗ خصم",IF(AND(Z235="ممتاز 100%",AA235="ممتاز 100%",AB235&lt;&gt;"",AB235&lt;&gt;"مكتمل 100%"),"✗ إغلاق",IFERROR(IF(LEN(_xlfn.TEXTJOIN("، ",TRUE,IF(E235="","التاريخ",""),IF(F235="","الوقت",""),IF(G235="","المركز",""),IF(H235="","الدائرة",""),IF(I235="","القسم",""),IF(J235="","المسؤول",""),IF(K235="","نوع النشاط",""),IF(L235="","المشروع",""),IF(N235="","الممول",""),IF(V235="","الموضوع",""),IF(W235="","الملاحظة",""),IF(X235="","مشكلة",""),IF(Y235="","الإجراء",""),IF(Z235="","التنفيذ",""),IF(AA235="","الجودة",""),IF(AB235="","الإغلاق",""),IF(AC235="","الخصم",""),IF(AND(COUNTA($O235:$U235)&gt;0,O235=""),"مدير المشروع",""),IF(AND(COUNTA($O235:$U235)&gt;0,P235=""),"المستفيدين",""),IF(AND(COUNTA($O235:$U235)&gt;0,Q235=""),"المناطق",""),IF(AND(COUNTA($O235:$U235)&gt;0,R235=""),"الميزانية",""),IF(AND(COUNTA($O235:$U235)&gt;0,S235=""),"نسبة الجاهزية",""),IF(AND(COUNTA($O235:$U235)&gt;0,T235=""),"حالة الجاهزية",""),IF(AND(COUNTA($O235:$U235)&gt;0,U235=""),"التوصيات","")))&gt;0,"✗ ناقص: "&amp;_xlfn.TEXTJOIN("، ",TRUE,IF(E235="","التاريخ",""),IF(F235="","الوقت",""),IF(G235="","المركز",""),IF(H235="","الدائرة",""),IF(I235="","القسم",""),IF(J235="","المسؤول",""),IF(K235="","نوع النشاط",""),IF(L235="","المشروع",""),IF(N235="","الممول",""),IF(V235="","الموضوع",""),IF(W235="","الملاحظة",""),IF(X235="","مشكلة",""),IF(Y235="","الإجراء",""),IF(Z235="","التنفيذ",""),IF(AA235="","الجودة",""),IF(AB235="","الإغلاق",""),IF(AC235="","الخصم",""),IF(AND(COUNTA($O235:$U235)&gt;0,O235=""),"مدير المشروع",""),IF(AND(COUNTA($O235:$U235)&gt;0,P235=""),"المستفيدين",""),IF(AND(COUNTA($O235:$U235)&gt;0,Q235=""),"المناطق",""),IF(AND(COUNTA($O235:$U235)&gt;0,R235=""),"الميزانية",""),IF(AND(COUNTA($O235:$U235)&gt;0,S235=""),"نسبة الجاهزية",""),IF(AND(COUNTA($O235:$U235)&gt;0,T235=""),"حالة الجاهزية",""),IF(AND(COUNTA($O235:$U235)&gt;0,U235=""),"التوصيات","")),"✓"),"✓"))))))))))</f>
        <v/>
      </c>
      <c r="E235" s="235"/>
      <c r="F235" s="236"/>
      <c r="G235" s="90"/>
      <c r="H235" s="239"/>
      <c r="I235" s="89"/>
      <c r="J235" s="142"/>
      <c r="K235" s="90"/>
      <c r="L235" s="90"/>
      <c r="M235" s="90"/>
      <c r="N235" s="89"/>
      <c r="O235" s="200"/>
      <c r="P235" s="201"/>
      <c r="Q235" s="201"/>
      <c r="R235" s="237"/>
      <c r="S235" s="202"/>
      <c r="T235" s="200"/>
      <c r="U235" s="203"/>
      <c r="V235" s="89"/>
      <c r="W235" s="89"/>
      <c r="X235" s="145"/>
      <c r="Y235" s="89"/>
      <c r="Z235" s="90"/>
      <c r="AA235" s="90"/>
      <c r="AB235" s="90"/>
      <c r="AC235" s="90"/>
      <c r="AD235" s="92"/>
      <c r="AE235" s="149" t="str">
        <f>IFERROR(VLOOKUP(Z235,LISTS!$AL$2:$AM$1000,2,FALSE()),"")</f>
        <v/>
      </c>
      <c r="AF235" s="151" t="str">
        <f>IFERROR(VLOOKUP(AA235,LISTS!$AO$2:$AP$1000,2,FALSE()),"")</f>
        <v/>
      </c>
      <c r="AG235" s="152" t="str">
        <f>IFERROR(VLOOKUP(AB235,LISTS!$AR$2:$AS$1000,2,FALSE()),"")</f>
        <v/>
      </c>
      <c r="AH235" s="154" t="str">
        <f>IFERROR(VLOOKUP(AC235,LISTS!$AU$2:$AV$1000,2,FALSE()),"")</f>
        <v/>
      </c>
      <c r="AI235" s="238" t="str">
        <f t="shared" si="18"/>
        <v>—</v>
      </c>
      <c r="AJ235" s="190" t="str">
        <f t="shared" si="19"/>
        <v>—</v>
      </c>
      <c r="AK235" s="157" t="str">
        <f t="shared" si="20"/>
        <v/>
      </c>
      <c r="AL235" s="160" t="str">
        <f t="shared" si="21"/>
        <v/>
      </c>
      <c r="AM235" s="210"/>
      <c r="AN235" s="209"/>
    </row>
    <row r="236" spans="1:40" ht="27.95" customHeight="1">
      <c r="A236" s="134" t="str">
        <f>IF(I236&lt;&gt;"",COUNTA($I$2:I236),"")</f>
        <v/>
      </c>
      <c r="B236" s="138" t="str">
        <f t="shared" si="22"/>
        <v/>
      </c>
      <c r="C236" s="93" t="str">
        <f t="array" ref="C236">IF(E236="","",IF(M236&lt;&gt;"",
M236&amp;"/"&amp;SUMPRODUCT((M$2:M236=M236)*1)&amp;" - "&amp;(ROW()-2),
"إداري/"&amp;SUMPRODUCT((M$2:M236="")*1)&amp;" - "&amp;(ROW()-2)))</f>
        <v/>
      </c>
      <c r="D236" s="141" t="str">
        <f>IF(AND(G236="",H236="",I236=""),"",IF(COUNTIFS(LISTS!$A$2:$A$67,G236,LISTS!$B$2:$B$67,H236,LISTS!$C$2:$C$67,I236)=0,"✗ هرم",IF(NOT(OR(Z236="ممتاز 100%",Z236="جيد 80%",Z236="مقبول 60%",Z236="خطر 40%",Z236="")),"✗ قائمة R",IF(NOT(OR(AA236="ممتاز 100%",AA236="جيد 85%",AA236="مقبول 70%",AA236="ضعيف 50%",AA236="")),"✗ قائمة S",IF(NOT(OR(AB236="مكتمل 100%",AB236="جزئي 60%",AB236="معلق 30%",AB236="مفتوح 0%",AB236="")),"✗ قائمة T",IF(NOT(OR(AC236="لا خصم 0",AC236="تأخير −5",AC236="عجز −10",AC236="جودة −15",AC236="امتثال −20",AC236="مخالفة −25",AC236="")),"✗ قائمة U",IF(AND(X236="لا",AC236&lt;&gt;"",AC236&lt;&gt;"لا خصم 0"),"✗ خصم",IF(AND(X236="نعم",AC236="لا خصم 0"),"✗ خصم",IF(AND(Z236="ممتاز 100%",AA236="ممتاز 100%",AB236&lt;&gt;"",AB236&lt;&gt;"مكتمل 100%"),"✗ إغلاق",IFERROR(IF(LEN(_xlfn.TEXTJOIN("، ",TRUE,IF(E236="","التاريخ",""),IF(F236="","الوقت",""),IF(G236="","المركز",""),IF(H236="","الدائرة",""),IF(I236="","القسم",""),IF(J236="","المسؤول",""),IF(K236="","نوع النشاط",""),IF(L236="","المشروع",""),IF(N236="","الممول",""),IF(V236="","الموضوع",""),IF(W236="","الملاحظة",""),IF(X236="","مشكلة",""),IF(Y236="","الإجراء",""),IF(Z236="","التنفيذ",""),IF(AA236="","الجودة",""),IF(AB236="","الإغلاق",""),IF(AC236="","الخصم",""),IF(AND(COUNTA($O236:$U236)&gt;0,O236=""),"مدير المشروع",""),IF(AND(COUNTA($O236:$U236)&gt;0,P236=""),"المستفيدين",""),IF(AND(COUNTA($O236:$U236)&gt;0,Q236=""),"المناطق",""),IF(AND(COUNTA($O236:$U236)&gt;0,R236=""),"الميزانية",""),IF(AND(COUNTA($O236:$U236)&gt;0,S236=""),"نسبة الجاهزية",""),IF(AND(COUNTA($O236:$U236)&gt;0,T236=""),"حالة الجاهزية",""),IF(AND(COUNTA($O236:$U236)&gt;0,U236=""),"التوصيات","")))&gt;0,"✗ ناقص: "&amp;_xlfn.TEXTJOIN("، ",TRUE,IF(E236="","التاريخ",""),IF(F236="","الوقت",""),IF(G236="","المركز",""),IF(H236="","الدائرة",""),IF(I236="","القسم",""),IF(J236="","المسؤول",""),IF(K236="","نوع النشاط",""),IF(L236="","المشروع",""),IF(N236="","الممول",""),IF(V236="","الموضوع",""),IF(W236="","الملاحظة",""),IF(X236="","مشكلة",""),IF(Y236="","الإجراء",""),IF(Z236="","التنفيذ",""),IF(AA236="","الجودة",""),IF(AB236="","الإغلاق",""),IF(AC236="","الخصم",""),IF(AND(COUNTA($O236:$U236)&gt;0,O236=""),"مدير المشروع",""),IF(AND(COUNTA($O236:$U236)&gt;0,P236=""),"المستفيدين",""),IF(AND(COUNTA($O236:$U236)&gt;0,Q236=""),"المناطق",""),IF(AND(COUNTA($O236:$U236)&gt;0,R236=""),"الميزانية",""),IF(AND(COUNTA($O236:$U236)&gt;0,S236=""),"نسبة الجاهزية",""),IF(AND(COUNTA($O236:$U236)&gt;0,T236=""),"حالة الجاهزية",""),IF(AND(COUNTA($O236:$U236)&gt;0,U236=""),"التوصيات","")),"✓"),"✓"))))))))))</f>
        <v/>
      </c>
      <c r="E236" s="235"/>
      <c r="F236" s="236"/>
      <c r="G236" s="90"/>
      <c r="H236" s="239"/>
      <c r="I236" s="89"/>
      <c r="J236" s="142"/>
      <c r="K236" s="90"/>
      <c r="L236" s="90"/>
      <c r="M236" s="90"/>
      <c r="N236" s="89"/>
      <c r="O236" s="200"/>
      <c r="P236" s="201"/>
      <c r="Q236" s="201"/>
      <c r="R236" s="237"/>
      <c r="S236" s="202"/>
      <c r="T236" s="200"/>
      <c r="U236" s="203"/>
      <c r="V236" s="89"/>
      <c r="W236" s="89"/>
      <c r="X236" s="145"/>
      <c r="Y236" s="89"/>
      <c r="Z236" s="90"/>
      <c r="AA236" s="90"/>
      <c r="AB236" s="90"/>
      <c r="AC236" s="90"/>
      <c r="AD236" s="92"/>
      <c r="AE236" s="149" t="str">
        <f>IFERROR(VLOOKUP(Z236,LISTS!$AL$2:$AM$1000,2,FALSE()),"")</f>
        <v/>
      </c>
      <c r="AF236" s="151" t="str">
        <f>IFERROR(VLOOKUP(AA236,LISTS!$AO$2:$AP$1000,2,FALSE()),"")</f>
        <v/>
      </c>
      <c r="AG236" s="152" t="str">
        <f>IFERROR(VLOOKUP(AB236,LISTS!$AR$2:$AS$1000,2,FALSE()),"")</f>
        <v/>
      </c>
      <c r="AH236" s="154" t="str">
        <f>IFERROR(VLOOKUP(AC236,LISTS!$AU$2:$AV$1000,2,FALSE()),"")</f>
        <v/>
      </c>
      <c r="AI236" s="238" t="str">
        <f t="shared" si="18"/>
        <v>—</v>
      </c>
      <c r="AJ236" s="190" t="str">
        <f t="shared" si="19"/>
        <v>—</v>
      </c>
      <c r="AK236" s="157" t="str">
        <f t="shared" si="20"/>
        <v/>
      </c>
      <c r="AL236" s="160" t="str">
        <f t="shared" si="21"/>
        <v/>
      </c>
      <c r="AM236" s="210"/>
      <c r="AN236" s="209"/>
    </row>
    <row r="237" spans="1:40" ht="27.95" customHeight="1">
      <c r="A237" s="134" t="str">
        <f>IF(I237&lt;&gt;"",COUNTA($I$2:I237),"")</f>
        <v/>
      </c>
      <c r="B237" s="138" t="str">
        <f t="shared" si="22"/>
        <v/>
      </c>
      <c r="C237" s="93" t="str">
        <f t="array" ref="C237">IF(E237="","",IF(M237&lt;&gt;"",
M237&amp;"/"&amp;SUMPRODUCT((M$2:M237=M237)*1)&amp;" - "&amp;(ROW()-2),
"إداري/"&amp;SUMPRODUCT((M$2:M237="")*1)&amp;" - "&amp;(ROW()-2)))</f>
        <v/>
      </c>
      <c r="D237" s="141" t="str">
        <f>IF(AND(G237="",H237="",I237=""),"",IF(COUNTIFS(LISTS!$A$2:$A$67,G237,LISTS!$B$2:$B$67,H237,LISTS!$C$2:$C$67,I237)=0,"✗ هرم",IF(NOT(OR(Z237="ممتاز 100%",Z237="جيد 80%",Z237="مقبول 60%",Z237="خطر 40%",Z237="")),"✗ قائمة R",IF(NOT(OR(AA237="ممتاز 100%",AA237="جيد 85%",AA237="مقبول 70%",AA237="ضعيف 50%",AA237="")),"✗ قائمة S",IF(NOT(OR(AB237="مكتمل 100%",AB237="جزئي 60%",AB237="معلق 30%",AB237="مفتوح 0%",AB237="")),"✗ قائمة T",IF(NOT(OR(AC237="لا خصم 0",AC237="تأخير −5",AC237="عجز −10",AC237="جودة −15",AC237="امتثال −20",AC237="مخالفة −25",AC237="")),"✗ قائمة U",IF(AND(X237="لا",AC237&lt;&gt;"",AC237&lt;&gt;"لا خصم 0"),"✗ خصم",IF(AND(X237="نعم",AC237="لا خصم 0"),"✗ خصم",IF(AND(Z237="ممتاز 100%",AA237="ممتاز 100%",AB237&lt;&gt;"",AB237&lt;&gt;"مكتمل 100%"),"✗ إغلاق",IFERROR(IF(LEN(_xlfn.TEXTJOIN("، ",TRUE,IF(E237="","التاريخ",""),IF(F237="","الوقت",""),IF(G237="","المركز",""),IF(H237="","الدائرة",""),IF(I237="","القسم",""),IF(J237="","المسؤول",""),IF(K237="","نوع النشاط",""),IF(L237="","المشروع",""),IF(N237="","الممول",""),IF(V237="","الموضوع",""),IF(W237="","الملاحظة",""),IF(X237="","مشكلة",""),IF(Y237="","الإجراء",""),IF(Z237="","التنفيذ",""),IF(AA237="","الجودة",""),IF(AB237="","الإغلاق",""),IF(AC237="","الخصم",""),IF(AND(COUNTA($O237:$U237)&gt;0,O237=""),"مدير المشروع",""),IF(AND(COUNTA($O237:$U237)&gt;0,P237=""),"المستفيدين",""),IF(AND(COUNTA($O237:$U237)&gt;0,Q237=""),"المناطق",""),IF(AND(COUNTA($O237:$U237)&gt;0,R237=""),"الميزانية",""),IF(AND(COUNTA($O237:$U237)&gt;0,S237=""),"نسبة الجاهزية",""),IF(AND(COUNTA($O237:$U237)&gt;0,T237=""),"حالة الجاهزية",""),IF(AND(COUNTA($O237:$U237)&gt;0,U237=""),"التوصيات","")))&gt;0,"✗ ناقص: "&amp;_xlfn.TEXTJOIN("، ",TRUE,IF(E237="","التاريخ",""),IF(F237="","الوقت",""),IF(G237="","المركز",""),IF(H237="","الدائرة",""),IF(I237="","القسم",""),IF(J237="","المسؤول",""),IF(K237="","نوع النشاط",""),IF(L237="","المشروع",""),IF(N237="","الممول",""),IF(V237="","الموضوع",""),IF(W237="","الملاحظة",""),IF(X237="","مشكلة",""),IF(Y237="","الإجراء",""),IF(Z237="","التنفيذ",""),IF(AA237="","الجودة",""),IF(AB237="","الإغلاق",""),IF(AC237="","الخصم",""),IF(AND(COUNTA($O237:$U237)&gt;0,O237=""),"مدير المشروع",""),IF(AND(COUNTA($O237:$U237)&gt;0,P237=""),"المستفيدين",""),IF(AND(COUNTA($O237:$U237)&gt;0,Q237=""),"المناطق",""),IF(AND(COUNTA($O237:$U237)&gt;0,R237=""),"الميزانية",""),IF(AND(COUNTA($O237:$U237)&gt;0,S237=""),"نسبة الجاهزية",""),IF(AND(COUNTA($O237:$U237)&gt;0,T237=""),"حالة الجاهزية",""),IF(AND(COUNTA($O237:$U237)&gt;0,U237=""),"التوصيات","")),"✓"),"✓"))))))))))</f>
        <v/>
      </c>
      <c r="E237" s="235"/>
      <c r="F237" s="236"/>
      <c r="G237" s="90"/>
      <c r="H237" s="239"/>
      <c r="I237" s="89"/>
      <c r="J237" s="142"/>
      <c r="K237" s="90"/>
      <c r="L237" s="90"/>
      <c r="M237" s="90"/>
      <c r="N237" s="89"/>
      <c r="O237" s="200"/>
      <c r="P237" s="201"/>
      <c r="Q237" s="201"/>
      <c r="R237" s="237"/>
      <c r="S237" s="202"/>
      <c r="T237" s="200"/>
      <c r="U237" s="203"/>
      <c r="V237" s="89"/>
      <c r="W237" s="89"/>
      <c r="X237" s="145"/>
      <c r="Y237" s="89"/>
      <c r="Z237" s="90"/>
      <c r="AA237" s="90"/>
      <c r="AB237" s="90"/>
      <c r="AC237" s="90"/>
      <c r="AD237" s="92"/>
      <c r="AE237" s="149" t="str">
        <f>IFERROR(VLOOKUP(Z237,LISTS!$AL$2:$AM$1000,2,FALSE()),"")</f>
        <v/>
      </c>
      <c r="AF237" s="151" t="str">
        <f>IFERROR(VLOOKUP(AA237,LISTS!$AO$2:$AP$1000,2,FALSE()),"")</f>
        <v/>
      </c>
      <c r="AG237" s="152" t="str">
        <f>IFERROR(VLOOKUP(AB237,LISTS!$AR$2:$AS$1000,2,FALSE()),"")</f>
        <v/>
      </c>
      <c r="AH237" s="154" t="str">
        <f>IFERROR(VLOOKUP(AC237,LISTS!$AU$2:$AV$1000,2,FALSE()),"")</f>
        <v/>
      </c>
      <c r="AI237" s="238" t="str">
        <f t="shared" si="18"/>
        <v>—</v>
      </c>
      <c r="AJ237" s="190" t="str">
        <f t="shared" si="19"/>
        <v>—</v>
      </c>
      <c r="AK237" s="157" t="str">
        <f t="shared" si="20"/>
        <v/>
      </c>
      <c r="AL237" s="160" t="str">
        <f t="shared" si="21"/>
        <v/>
      </c>
      <c r="AM237" s="210"/>
      <c r="AN237" s="209"/>
    </row>
    <row r="238" spans="1:40" ht="27.95" customHeight="1">
      <c r="A238" s="134" t="str">
        <f>IF(I238&lt;&gt;"",COUNTA($I$2:I238),"")</f>
        <v/>
      </c>
      <c r="B238" s="138" t="str">
        <f t="shared" si="22"/>
        <v/>
      </c>
      <c r="C238" s="93" t="str">
        <f t="array" ref="C238">IF(E238="","",IF(M238&lt;&gt;"",
M238&amp;"/"&amp;SUMPRODUCT((M$2:M238=M238)*1)&amp;" - "&amp;(ROW()-2),
"إداري/"&amp;SUMPRODUCT((M$2:M238="")*1)&amp;" - "&amp;(ROW()-2)))</f>
        <v/>
      </c>
      <c r="D238" s="141" t="str">
        <f>IF(AND(G238="",H238="",I238=""),"",IF(COUNTIFS(LISTS!$A$2:$A$67,G238,LISTS!$B$2:$B$67,H238,LISTS!$C$2:$C$67,I238)=0,"✗ هرم",IF(NOT(OR(Z238="ممتاز 100%",Z238="جيد 80%",Z238="مقبول 60%",Z238="خطر 40%",Z238="")),"✗ قائمة R",IF(NOT(OR(AA238="ممتاز 100%",AA238="جيد 85%",AA238="مقبول 70%",AA238="ضعيف 50%",AA238="")),"✗ قائمة S",IF(NOT(OR(AB238="مكتمل 100%",AB238="جزئي 60%",AB238="معلق 30%",AB238="مفتوح 0%",AB238="")),"✗ قائمة T",IF(NOT(OR(AC238="لا خصم 0",AC238="تأخير −5",AC238="عجز −10",AC238="جودة −15",AC238="امتثال −20",AC238="مخالفة −25",AC238="")),"✗ قائمة U",IF(AND(X238="لا",AC238&lt;&gt;"",AC238&lt;&gt;"لا خصم 0"),"✗ خصم",IF(AND(X238="نعم",AC238="لا خصم 0"),"✗ خصم",IF(AND(Z238="ممتاز 100%",AA238="ممتاز 100%",AB238&lt;&gt;"",AB238&lt;&gt;"مكتمل 100%"),"✗ إغلاق",IFERROR(IF(LEN(_xlfn.TEXTJOIN("، ",TRUE,IF(E238="","التاريخ",""),IF(F238="","الوقت",""),IF(G238="","المركز",""),IF(H238="","الدائرة",""),IF(I238="","القسم",""),IF(J238="","المسؤول",""),IF(K238="","نوع النشاط",""),IF(L238="","المشروع",""),IF(N238="","الممول",""),IF(V238="","الموضوع",""),IF(W238="","الملاحظة",""),IF(X238="","مشكلة",""),IF(Y238="","الإجراء",""),IF(Z238="","التنفيذ",""),IF(AA238="","الجودة",""),IF(AB238="","الإغلاق",""),IF(AC238="","الخصم",""),IF(AND(COUNTA($O238:$U238)&gt;0,O238=""),"مدير المشروع",""),IF(AND(COUNTA($O238:$U238)&gt;0,P238=""),"المستفيدين",""),IF(AND(COUNTA($O238:$U238)&gt;0,Q238=""),"المناطق",""),IF(AND(COUNTA($O238:$U238)&gt;0,R238=""),"الميزانية",""),IF(AND(COUNTA($O238:$U238)&gt;0,S238=""),"نسبة الجاهزية",""),IF(AND(COUNTA($O238:$U238)&gt;0,T238=""),"حالة الجاهزية",""),IF(AND(COUNTA($O238:$U238)&gt;0,U238=""),"التوصيات","")))&gt;0,"✗ ناقص: "&amp;_xlfn.TEXTJOIN("، ",TRUE,IF(E238="","التاريخ",""),IF(F238="","الوقت",""),IF(G238="","المركز",""),IF(H238="","الدائرة",""),IF(I238="","القسم",""),IF(J238="","المسؤول",""),IF(K238="","نوع النشاط",""),IF(L238="","المشروع",""),IF(N238="","الممول",""),IF(V238="","الموضوع",""),IF(W238="","الملاحظة",""),IF(X238="","مشكلة",""),IF(Y238="","الإجراء",""),IF(Z238="","التنفيذ",""),IF(AA238="","الجودة",""),IF(AB238="","الإغلاق",""),IF(AC238="","الخصم",""),IF(AND(COUNTA($O238:$U238)&gt;0,O238=""),"مدير المشروع",""),IF(AND(COUNTA($O238:$U238)&gt;0,P238=""),"المستفيدين",""),IF(AND(COUNTA($O238:$U238)&gt;0,Q238=""),"المناطق",""),IF(AND(COUNTA($O238:$U238)&gt;0,R238=""),"الميزانية",""),IF(AND(COUNTA($O238:$U238)&gt;0,S238=""),"نسبة الجاهزية",""),IF(AND(COUNTA($O238:$U238)&gt;0,T238=""),"حالة الجاهزية",""),IF(AND(COUNTA($O238:$U238)&gt;0,U238=""),"التوصيات","")),"✓"),"✓"))))))))))</f>
        <v/>
      </c>
      <c r="E238" s="235"/>
      <c r="F238" s="236"/>
      <c r="G238" s="90"/>
      <c r="H238" s="239"/>
      <c r="I238" s="89"/>
      <c r="J238" s="142"/>
      <c r="K238" s="90"/>
      <c r="L238" s="90"/>
      <c r="M238" s="90"/>
      <c r="N238" s="89"/>
      <c r="O238" s="200"/>
      <c r="P238" s="201"/>
      <c r="Q238" s="201"/>
      <c r="R238" s="237"/>
      <c r="S238" s="202"/>
      <c r="T238" s="200"/>
      <c r="U238" s="203"/>
      <c r="V238" s="89"/>
      <c r="W238" s="89"/>
      <c r="X238" s="145"/>
      <c r="Y238" s="89"/>
      <c r="Z238" s="90"/>
      <c r="AA238" s="90"/>
      <c r="AB238" s="90"/>
      <c r="AC238" s="90"/>
      <c r="AD238" s="92"/>
      <c r="AE238" s="149" t="str">
        <f>IFERROR(VLOOKUP(Z238,LISTS!$AL$2:$AM$1000,2,FALSE()),"")</f>
        <v/>
      </c>
      <c r="AF238" s="151" t="str">
        <f>IFERROR(VLOOKUP(AA238,LISTS!$AO$2:$AP$1000,2,FALSE()),"")</f>
        <v/>
      </c>
      <c r="AG238" s="152" t="str">
        <f>IFERROR(VLOOKUP(AB238,LISTS!$AR$2:$AS$1000,2,FALSE()),"")</f>
        <v/>
      </c>
      <c r="AH238" s="154" t="str">
        <f>IFERROR(VLOOKUP(AC238,LISTS!$AU$2:$AV$1000,2,FALSE()),"")</f>
        <v/>
      </c>
      <c r="AI238" s="238" t="str">
        <f t="shared" si="18"/>
        <v>—</v>
      </c>
      <c r="AJ238" s="190" t="str">
        <f t="shared" si="19"/>
        <v>—</v>
      </c>
      <c r="AK238" s="157" t="str">
        <f t="shared" si="20"/>
        <v/>
      </c>
      <c r="AL238" s="160" t="str">
        <f t="shared" si="21"/>
        <v/>
      </c>
      <c r="AM238" s="210"/>
      <c r="AN238" s="209"/>
    </row>
    <row r="239" spans="1:40" ht="27.95" customHeight="1">
      <c r="A239" s="134" t="str">
        <f>IF(I239&lt;&gt;"",COUNTA($I$2:I239),"")</f>
        <v/>
      </c>
      <c r="B239" s="138" t="str">
        <f t="shared" si="22"/>
        <v/>
      </c>
      <c r="C239" s="93" t="str">
        <f t="array" ref="C239">IF(E239="","",IF(M239&lt;&gt;"",
M239&amp;"/"&amp;SUMPRODUCT((M$2:M239=M239)*1)&amp;" - "&amp;(ROW()-2),
"إداري/"&amp;SUMPRODUCT((M$2:M239="")*1)&amp;" - "&amp;(ROW()-2)))</f>
        <v/>
      </c>
      <c r="D239" s="141" t="str">
        <f>IF(AND(G239="",H239="",I239=""),"",IF(COUNTIFS(LISTS!$A$2:$A$67,G239,LISTS!$B$2:$B$67,H239,LISTS!$C$2:$C$67,I239)=0,"✗ هرم",IF(NOT(OR(Z239="ممتاز 100%",Z239="جيد 80%",Z239="مقبول 60%",Z239="خطر 40%",Z239="")),"✗ قائمة R",IF(NOT(OR(AA239="ممتاز 100%",AA239="جيد 85%",AA239="مقبول 70%",AA239="ضعيف 50%",AA239="")),"✗ قائمة S",IF(NOT(OR(AB239="مكتمل 100%",AB239="جزئي 60%",AB239="معلق 30%",AB239="مفتوح 0%",AB239="")),"✗ قائمة T",IF(NOT(OR(AC239="لا خصم 0",AC239="تأخير −5",AC239="عجز −10",AC239="جودة −15",AC239="امتثال −20",AC239="مخالفة −25",AC239="")),"✗ قائمة U",IF(AND(X239="لا",AC239&lt;&gt;"",AC239&lt;&gt;"لا خصم 0"),"✗ خصم",IF(AND(X239="نعم",AC239="لا خصم 0"),"✗ خصم",IF(AND(Z239="ممتاز 100%",AA239="ممتاز 100%",AB239&lt;&gt;"",AB239&lt;&gt;"مكتمل 100%"),"✗ إغلاق",IFERROR(IF(LEN(_xlfn.TEXTJOIN("، ",TRUE,IF(E239="","التاريخ",""),IF(F239="","الوقت",""),IF(G239="","المركز",""),IF(H239="","الدائرة",""),IF(I239="","القسم",""),IF(J239="","المسؤول",""),IF(K239="","نوع النشاط",""),IF(L239="","المشروع",""),IF(N239="","الممول",""),IF(V239="","الموضوع",""),IF(W239="","الملاحظة",""),IF(X239="","مشكلة",""),IF(Y239="","الإجراء",""),IF(Z239="","التنفيذ",""),IF(AA239="","الجودة",""),IF(AB239="","الإغلاق",""),IF(AC239="","الخصم",""),IF(AND(COUNTA($O239:$U239)&gt;0,O239=""),"مدير المشروع",""),IF(AND(COUNTA($O239:$U239)&gt;0,P239=""),"المستفيدين",""),IF(AND(COUNTA($O239:$U239)&gt;0,Q239=""),"المناطق",""),IF(AND(COUNTA($O239:$U239)&gt;0,R239=""),"الميزانية",""),IF(AND(COUNTA($O239:$U239)&gt;0,S239=""),"نسبة الجاهزية",""),IF(AND(COUNTA($O239:$U239)&gt;0,T239=""),"حالة الجاهزية",""),IF(AND(COUNTA($O239:$U239)&gt;0,U239=""),"التوصيات","")))&gt;0,"✗ ناقص: "&amp;_xlfn.TEXTJOIN("، ",TRUE,IF(E239="","التاريخ",""),IF(F239="","الوقت",""),IF(G239="","المركز",""),IF(H239="","الدائرة",""),IF(I239="","القسم",""),IF(J239="","المسؤول",""),IF(K239="","نوع النشاط",""),IF(L239="","المشروع",""),IF(N239="","الممول",""),IF(V239="","الموضوع",""),IF(W239="","الملاحظة",""),IF(X239="","مشكلة",""),IF(Y239="","الإجراء",""),IF(Z239="","التنفيذ",""),IF(AA239="","الجودة",""),IF(AB239="","الإغلاق",""),IF(AC239="","الخصم",""),IF(AND(COUNTA($O239:$U239)&gt;0,O239=""),"مدير المشروع",""),IF(AND(COUNTA($O239:$U239)&gt;0,P239=""),"المستفيدين",""),IF(AND(COUNTA($O239:$U239)&gt;0,Q239=""),"المناطق",""),IF(AND(COUNTA($O239:$U239)&gt;0,R239=""),"الميزانية",""),IF(AND(COUNTA($O239:$U239)&gt;0,S239=""),"نسبة الجاهزية",""),IF(AND(COUNTA($O239:$U239)&gt;0,T239=""),"حالة الجاهزية",""),IF(AND(COUNTA($O239:$U239)&gt;0,U239=""),"التوصيات","")),"✓"),"✓"))))))))))</f>
        <v/>
      </c>
      <c r="E239" s="235"/>
      <c r="F239" s="236"/>
      <c r="G239" s="90"/>
      <c r="H239" s="239"/>
      <c r="I239" s="89"/>
      <c r="J239" s="142"/>
      <c r="K239" s="90"/>
      <c r="L239" s="90"/>
      <c r="M239" s="90"/>
      <c r="N239" s="89"/>
      <c r="O239" s="200"/>
      <c r="P239" s="201"/>
      <c r="Q239" s="201"/>
      <c r="R239" s="237"/>
      <c r="S239" s="202"/>
      <c r="T239" s="200"/>
      <c r="U239" s="203"/>
      <c r="V239" s="89"/>
      <c r="W239" s="89"/>
      <c r="X239" s="145"/>
      <c r="Y239" s="89"/>
      <c r="Z239" s="90"/>
      <c r="AA239" s="90"/>
      <c r="AB239" s="90"/>
      <c r="AC239" s="90"/>
      <c r="AD239" s="92"/>
      <c r="AE239" s="149" t="str">
        <f>IFERROR(VLOOKUP(Z239,LISTS!$AL$2:$AM$1000,2,FALSE()),"")</f>
        <v/>
      </c>
      <c r="AF239" s="151" t="str">
        <f>IFERROR(VLOOKUP(AA239,LISTS!$AO$2:$AP$1000,2,FALSE()),"")</f>
        <v/>
      </c>
      <c r="AG239" s="152" t="str">
        <f>IFERROR(VLOOKUP(AB239,LISTS!$AR$2:$AS$1000,2,FALSE()),"")</f>
        <v/>
      </c>
      <c r="AH239" s="154" t="str">
        <f>IFERROR(VLOOKUP(AC239,LISTS!$AU$2:$AV$1000,2,FALSE()),"")</f>
        <v/>
      </c>
      <c r="AI239" s="238" t="str">
        <f t="shared" si="18"/>
        <v>—</v>
      </c>
      <c r="AJ239" s="190" t="str">
        <f t="shared" si="19"/>
        <v>—</v>
      </c>
      <c r="AK239" s="157" t="str">
        <f t="shared" si="20"/>
        <v/>
      </c>
      <c r="AL239" s="160" t="str">
        <f t="shared" si="21"/>
        <v/>
      </c>
      <c r="AM239" s="210"/>
      <c r="AN239" s="209"/>
    </row>
    <row r="240" spans="1:40" ht="27.95" customHeight="1">
      <c r="A240" s="134" t="str">
        <f>IF(I240&lt;&gt;"",COUNTA($I$2:I240),"")</f>
        <v/>
      </c>
      <c r="B240" s="138" t="str">
        <f t="shared" si="22"/>
        <v/>
      </c>
      <c r="C240" s="93" t="str">
        <f t="array" ref="C240">IF(E240="","",IF(M240&lt;&gt;"",
M240&amp;"/"&amp;SUMPRODUCT((M$2:M240=M240)*1)&amp;" - "&amp;(ROW()-2),
"إداري/"&amp;SUMPRODUCT((M$2:M240="")*1)&amp;" - "&amp;(ROW()-2)))</f>
        <v/>
      </c>
      <c r="D240" s="141" t="str">
        <f>IF(AND(G240="",H240="",I240=""),"",IF(COUNTIFS(LISTS!$A$2:$A$67,G240,LISTS!$B$2:$B$67,H240,LISTS!$C$2:$C$67,I240)=0,"✗ هرم",IF(NOT(OR(Z240="ممتاز 100%",Z240="جيد 80%",Z240="مقبول 60%",Z240="خطر 40%",Z240="")),"✗ قائمة R",IF(NOT(OR(AA240="ممتاز 100%",AA240="جيد 85%",AA240="مقبول 70%",AA240="ضعيف 50%",AA240="")),"✗ قائمة S",IF(NOT(OR(AB240="مكتمل 100%",AB240="جزئي 60%",AB240="معلق 30%",AB240="مفتوح 0%",AB240="")),"✗ قائمة T",IF(NOT(OR(AC240="لا خصم 0",AC240="تأخير −5",AC240="عجز −10",AC240="جودة −15",AC240="امتثال −20",AC240="مخالفة −25",AC240="")),"✗ قائمة U",IF(AND(X240="لا",AC240&lt;&gt;"",AC240&lt;&gt;"لا خصم 0"),"✗ خصم",IF(AND(X240="نعم",AC240="لا خصم 0"),"✗ خصم",IF(AND(Z240="ممتاز 100%",AA240="ممتاز 100%",AB240&lt;&gt;"",AB240&lt;&gt;"مكتمل 100%"),"✗ إغلاق",IFERROR(IF(LEN(_xlfn.TEXTJOIN("، ",TRUE,IF(E240="","التاريخ",""),IF(F240="","الوقت",""),IF(G240="","المركز",""),IF(H240="","الدائرة",""),IF(I240="","القسم",""),IF(J240="","المسؤول",""),IF(K240="","نوع النشاط",""),IF(L240="","المشروع",""),IF(N240="","الممول",""),IF(V240="","الموضوع",""),IF(W240="","الملاحظة",""),IF(X240="","مشكلة",""),IF(Y240="","الإجراء",""),IF(Z240="","التنفيذ",""),IF(AA240="","الجودة",""),IF(AB240="","الإغلاق",""),IF(AC240="","الخصم",""),IF(AND(COUNTA($O240:$U240)&gt;0,O240=""),"مدير المشروع",""),IF(AND(COUNTA($O240:$U240)&gt;0,P240=""),"المستفيدين",""),IF(AND(COUNTA($O240:$U240)&gt;0,Q240=""),"المناطق",""),IF(AND(COUNTA($O240:$U240)&gt;0,R240=""),"الميزانية",""),IF(AND(COUNTA($O240:$U240)&gt;0,S240=""),"نسبة الجاهزية",""),IF(AND(COUNTA($O240:$U240)&gt;0,T240=""),"حالة الجاهزية",""),IF(AND(COUNTA($O240:$U240)&gt;0,U240=""),"التوصيات","")))&gt;0,"✗ ناقص: "&amp;_xlfn.TEXTJOIN("، ",TRUE,IF(E240="","التاريخ",""),IF(F240="","الوقت",""),IF(G240="","المركز",""),IF(H240="","الدائرة",""),IF(I240="","القسم",""),IF(J240="","المسؤول",""),IF(K240="","نوع النشاط",""),IF(L240="","المشروع",""),IF(N240="","الممول",""),IF(V240="","الموضوع",""),IF(W240="","الملاحظة",""),IF(X240="","مشكلة",""),IF(Y240="","الإجراء",""),IF(Z240="","التنفيذ",""),IF(AA240="","الجودة",""),IF(AB240="","الإغلاق",""),IF(AC240="","الخصم",""),IF(AND(COUNTA($O240:$U240)&gt;0,O240=""),"مدير المشروع",""),IF(AND(COUNTA($O240:$U240)&gt;0,P240=""),"المستفيدين",""),IF(AND(COUNTA($O240:$U240)&gt;0,Q240=""),"المناطق",""),IF(AND(COUNTA($O240:$U240)&gt;0,R240=""),"الميزانية",""),IF(AND(COUNTA($O240:$U240)&gt;0,S240=""),"نسبة الجاهزية",""),IF(AND(COUNTA($O240:$U240)&gt;0,T240=""),"حالة الجاهزية",""),IF(AND(COUNTA($O240:$U240)&gt;0,U240=""),"التوصيات","")),"✓"),"✓"))))))))))</f>
        <v/>
      </c>
      <c r="E240" s="235"/>
      <c r="F240" s="236"/>
      <c r="G240" s="90"/>
      <c r="H240" s="239"/>
      <c r="I240" s="89"/>
      <c r="J240" s="142"/>
      <c r="K240" s="90"/>
      <c r="L240" s="90"/>
      <c r="M240" s="90"/>
      <c r="N240" s="89"/>
      <c r="O240" s="200"/>
      <c r="P240" s="201"/>
      <c r="Q240" s="201"/>
      <c r="R240" s="237"/>
      <c r="S240" s="202"/>
      <c r="T240" s="200"/>
      <c r="U240" s="203"/>
      <c r="V240" s="89"/>
      <c r="W240" s="89"/>
      <c r="X240" s="145"/>
      <c r="Y240" s="89"/>
      <c r="Z240" s="90"/>
      <c r="AA240" s="90"/>
      <c r="AB240" s="90"/>
      <c r="AC240" s="90"/>
      <c r="AD240" s="92"/>
      <c r="AE240" s="149" t="str">
        <f>IFERROR(VLOOKUP(Z240,LISTS!$AL$2:$AM$1000,2,FALSE()),"")</f>
        <v/>
      </c>
      <c r="AF240" s="151" t="str">
        <f>IFERROR(VLOOKUP(AA240,LISTS!$AO$2:$AP$1000,2,FALSE()),"")</f>
        <v/>
      </c>
      <c r="AG240" s="152" t="str">
        <f>IFERROR(VLOOKUP(AB240,LISTS!$AR$2:$AS$1000,2,FALSE()),"")</f>
        <v/>
      </c>
      <c r="AH240" s="154" t="str">
        <f>IFERROR(VLOOKUP(AC240,LISTS!$AU$2:$AV$1000,2,FALSE()),"")</f>
        <v/>
      </c>
      <c r="AI240" s="238" t="str">
        <f t="shared" si="18"/>
        <v>—</v>
      </c>
      <c r="AJ240" s="190" t="str">
        <f t="shared" si="19"/>
        <v>—</v>
      </c>
      <c r="AK240" s="157" t="str">
        <f t="shared" si="20"/>
        <v/>
      </c>
      <c r="AL240" s="160" t="str">
        <f t="shared" si="21"/>
        <v/>
      </c>
      <c r="AM240" s="210"/>
      <c r="AN240" s="209"/>
    </row>
    <row r="241" spans="1:40" ht="27.95" customHeight="1">
      <c r="A241" s="134" t="str">
        <f>IF(I241&lt;&gt;"",COUNTA($I$2:I241),"")</f>
        <v/>
      </c>
      <c r="B241" s="138" t="str">
        <f t="shared" si="22"/>
        <v/>
      </c>
      <c r="C241" s="93" t="str">
        <f t="array" ref="C241">IF(E241="","",IF(M241&lt;&gt;"",
M241&amp;"/"&amp;SUMPRODUCT((M$2:M241=M241)*1)&amp;" - "&amp;(ROW()-2),
"إداري/"&amp;SUMPRODUCT((M$2:M241="")*1)&amp;" - "&amp;(ROW()-2)))</f>
        <v/>
      </c>
      <c r="D241" s="141" t="str">
        <f>IF(AND(G241="",H241="",I241=""),"",IF(COUNTIFS(LISTS!$A$2:$A$67,G241,LISTS!$B$2:$B$67,H241,LISTS!$C$2:$C$67,I241)=0,"✗ هرم",IF(NOT(OR(Z241="ممتاز 100%",Z241="جيد 80%",Z241="مقبول 60%",Z241="خطر 40%",Z241="")),"✗ قائمة R",IF(NOT(OR(AA241="ممتاز 100%",AA241="جيد 85%",AA241="مقبول 70%",AA241="ضعيف 50%",AA241="")),"✗ قائمة S",IF(NOT(OR(AB241="مكتمل 100%",AB241="جزئي 60%",AB241="معلق 30%",AB241="مفتوح 0%",AB241="")),"✗ قائمة T",IF(NOT(OR(AC241="لا خصم 0",AC241="تأخير −5",AC241="عجز −10",AC241="جودة −15",AC241="امتثال −20",AC241="مخالفة −25",AC241="")),"✗ قائمة U",IF(AND(X241="لا",AC241&lt;&gt;"",AC241&lt;&gt;"لا خصم 0"),"✗ خصم",IF(AND(X241="نعم",AC241="لا خصم 0"),"✗ خصم",IF(AND(Z241="ممتاز 100%",AA241="ممتاز 100%",AB241&lt;&gt;"",AB241&lt;&gt;"مكتمل 100%"),"✗ إغلاق",IFERROR(IF(LEN(_xlfn.TEXTJOIN("، ",TRUE,IF(E241="","التاريخ",""),IF(F241="","الوقت",""),IF(G241="","المركز",""),IF(H241="","الدائرة",""),IF(I241="","القسم",""),IF(J241="","المسؤول",""),IF(K241="","نوع النشاط",""),IF(L241="","المشروع",""),IF(N241="","الممول",""),IF(V241="","الموضوع",""),IF(W241="","الملاحظة",""),IF(X241="","مشكلة",""),IF(Y241="","الإجراء",""),IF(Z241="","التنفيذ",""),IF(AA241="","الجودة",""),IF(AB241="","الإغلاق",""),IF(AC241="","الخصم",""),IF(AND(COUNTA($O241:$U241)&gt;0,O241=""),"مدير المشروع",""),IF(AND(COUNTA($O241:$U241)&gt;0,P241=""),"المستفيدين",""),IF(AND(COUNTA($O241:$U241)&gt;0,Q241=""),"المناطق",""),IF(AND(COUNTA($O241:$U241)&gt;0,R241=""),"الميزانية",""),IF(AND(COUNTA($O241:$U241)&gt;0,S241=""),"نسبة الجاهزية",""),IF(AND(COUNTA($O241:$U241)&gt;0,T241=""),"حالة الجاهزية",""),IF(AND(COUNTA($O241:$U241)&gt;0,U241=""),"التوصيات","")))&gt;0,"✗ ناقص: "&amp;_xlfn.TEXTJOIN("، ",TRUE,IF(E241="","التاريخ",""),IF(F241="","الوقت",""),IF(G241="","المركز",""),IF(H241="","الدائرة",""),IF(I241="","القسم",""),IF(J241="","المسؤول",""),IF(K241="","نوع النشاط",""),IF(L241="","المشروع",""),IF(N241="","الممول",""),IF(V241="","الموضوع",""),IF(W241="","الملاحظة",""),IF(X241="","مشكلة",""),IF(Y241="","الإجراء",""),IF(Z241="","التنفيذ",""),IF(AA241="","الجودة",""),IF(AB241="","الإغلاق",""),IF(AC241="","الخصم",""),IF(AND(COUNTA($O241:$U241)&gt;0,O241=""),"مدير المشروع",""),IF(AND(COUNTA($O241:$U241)&gt;0,P241=""),"المستفيدين",""),IF(AND(COUNTA($O241:$U241)&gt;0,Q241=""),"المناطق",""),IF(AND(COUNTA($O241:$U241)&gt;0,R241=""),"الميزانية",""),IF(AND(COUNTA($O241:$U241)&gt;0,S241=""),"نسبة الجاهزية",""),IF(AND(COUNTA($O241:$U241)&gt;0,T241=""),"حالة الجاهزية",""),IF(AND(COUNTA($O241:$U241)&gt;0,U241=""),"التوصيات","")),"✓"),"✓"))))))))))</f>
        <v/>
      </c>
      <c r="E241" s="235"/>
      <c r="F241" s="236"/>
      <c r="G241" s="90"/>
      <c r="H241" s="239"/>
      <c r="I241" s="89"/>
      <c r="J241" s="142"/>
      <c r="K241" s="90"/>
      <c r="L241" s="90"/>
      <c r="M241" s="90"/>
      <c r="N241" s="89"/>
      <c r="O241" s="200"/>
      <c r="P241" s="201"/>
      <c r="Q241" s="201"/>
      <c r="R241" s="237"/>
      <c r="S241" s="202"/>
      <c r="T241" s="200"/>
      <c r="U241" s="203"/>
      <c r="V241" s="89"/>
      <c r="W241" s="89"/>
      <c r="X241" s="145"/>
      <c r="Y241" s="89"/>
      <c r="Z241" s="90"/>
      <c r="AA241" s="90"/>
      <c r="AB241" s="90"/>
      <c r="AC241" s="90"/>
      <c r="AD241" s="92"/>
      <c r="AE241" s="149" t="str">
        <f>IFERROR(VLOOKUP(Z241,LISTS!$AL$2:$AM$1000,2,FALSE()),"")</f>
        <v/>
      </c>
      <c r="AF241" s="151" t="str">
        <f>IFERROR(VLOOKUP(AA241,LISTS!$AO$2:$AP$1000,2,FALSE()),"")</f>
        <v/>
      </c>
      <c r="AG241" s="152" t="str">
        <f>IFERROR(VLOOKUP(AB241,LISTS!$AR$2:$AS$1000,2,FALSE()),"")</f>
        <v/>
      </c>
      <c r="AH241" s="154" t="str">
        <f>IFERROR(VLOOKUP(AC241,LISTS!$AU$2:$AV$1000,2,FALSE()),"")</f>
        <v/>
      </c>
      <c r="AI241" s="238" t="str">
        <f t="shared" si="18"/>
        <v>—</v>
      </c>
      <c r="AJ241" s="190" t="str">
        <f t="shared" si="19"/>
        <v>—</v>
      </c>
      <c r="AK241" s="157" t="str">
        <f t="shared" si="20"/>
        <v/>
      </c>
      <c r="AL241" s="160" t="str">
        <f t="shared" si="21"/>
        <v/>
      </c>
      <c r="AM241" s="210"/>
      <c r="AN241" s="209"/>
    </row>
    <row r="242" spans="1:40" ht="27.95" customHeight="1">
      <c r="A242" s="134" t="str">
        <f>IF(I242&lt;&gt;"",COUNTA($I$2:I242),"")</f>
        <v/>
      </c>
      <c r="B242" s="138" t="str">
        <f t="shared" si="22"/>
        <v/>
      </c>
      <c r="C242" s="93" t="str">
        <f t="array" ref="C242">IF(E242="","",IF(M242&lt;&gt;"",
M242&amp;"/"&amp;SUMPRODUCT((M$2:M242=M242)*1)&amp;" - "&amp;(ROW()-2),
"إداري/"&amp;SUMPRODUCT((M$2:M242="")*1)&amp;" - "&amp;(ROW()-2)))</f>
        <v/>
      </c>
      <c r="D242" s="141" t="str">
        <f>IF(AND(G242="",H242="",I242=""),"",IF(COUNTIFS(LISTS!$A$2:$A$67,G242,LISTS!$B$2:$B$67,H242,LISTS!$C$2:$C$67,I242)=0,"✗ هرم",IF(NOT(OR(Z242="ممتاز 100%",Z242="جيد 80%",Z242="مقبول 60%",Z242="خطر 40%",Z242="")),"✗ قائمة R",IF(NOT(OR(AA242="ممتاز 100%",AA242="جيد 85%",AA242="مقبول 70%",AA242="ضعيف 50%",AA242="")),"✗ قائمة S",IF(NOT(OR(AB242="مكتمل 100%",AB242="جزئي 60%",AB242="معلق 30%",AB242="مفتوح 0%",AB242="")),"✗ قائمة T",IF(NOT(OR(AC242="لا خصم 0",AC242="تأخير −5",AC242="عجز −10",AC242="جودة −15",AC242="امتثال −20",AC242="مخالفة −25",AC242="")),"✗ قائمة U",IF(AND(X242="لا",AC242&lt;&gt;"",AC242&lt;&gt;"لا خصم 0"),"✗ خصم",IF(AND(X242="نعم",AC242="لا خصم 0"),"✗ خصم",IF(AND(Z242="ممتاز 100%",AA242="ممتاز 100%",AB242&lt;&gt;"",AB242&lt;&gt;"مكتمل 100%"),"✗ إغلاق",IFERROR(IF(LEN(_xlfn.TEXTJOIN("، ",TRUE,IF(E242="","التاريخ",""),IF(F242="","الوقت",""),IF(G242="","المركز",""),IF(H242="","الدائرة",""),IF(I242="","القسم",""),IF(J242="","المسؤول",""),IF(K242="","نوع النشاط",""),IF(L242="","المشروع",""),IF(N242="","الممول",""),IF(V242="","الموضوع",""),IF(W242="","الملاحظة",""),IF(X242="","مشكلة",""),IF(Y242="","الإجراء",""),IF(Z242="","التنفيذ",""),IF(AA242="","الجودة",""),IF(AB242="","الإغلاق",""),IF(AC242="","الخصم",""),IF(AND(COUNTA($O242:$U242)&gt;0,O242=""),"مدير المشروع",""),IF(AND(COUNTA($O242:$U242)&gt;0,P242=""),"المستفيدين",""),IF(AND(COUNTA($O242:$U242)&gt;0,Q242=""),"المناطق",""),IF(AND(COUNTA($O242:$U242)&gt;0,R242=""),"الميزانية",""),IF(AND(COUNTA($O242:$U242)&gt;0,S242=""),"نسبة الجاهزية",""),IF(AND(COUNTA($O242:$U242)&gt;0,T242=""),"حالة الجاهزية",""),IF(AND(COUNTA($O242:$U242)&gt;0,U242=""),"التوصيات","")))&gt;0,"✗ ناقص: "&amp;_xlfn.TEXTJOIN("، ",TRUE,IF(E242="","التاريخ",""),IF(F242="","الوقت",""),IF(G242="","المركز",""),IF(H242="","الدائرة",""),IF(I242="","القسم",""),IF(J242="","المسؤول",""),IF(K242="","نوع النشاط",""),IF(L242="","المشروع",""),IF(N242="","الممول",""),IF(V242="","الموضوع",""),IF(W242="","الملاحظة",""),IF(X242="","مشكلة",""),IF(Y242="","الإجراء",""),IF(Z242="","التنفيذ",""),IF(AA242="","الجودة",""),IF(AB242="","الإغلاق",""),IF(AC242="","الخصم",""),IF(AND(COUNTA($O242:$U242)&gt;0,O242=""),"مدير المشروع",""),IF(AND(COUNTA($O242:$U242)&gt;0,P242=""),"المستفيدين",""),IF(AND(COUNTA($O242:$U242)&gt;0,Q242=""),"المناطق",""),IF(AND(COUNTA($O242:$U242)&gt;0,R242=""),"الميزانية",""),IF(AND(COUNTA($O242:$U242)&gt;0,S242=""),"نسبة الجاهزية",""),IF(AND(COUNTA($O242:$U242)&gt;0,T242=""),"حالة الجاهزية",""),IF(AND(COUNTA($O242:$U242)&gt;0,U242=""),"التوصيات","")),"✓"),"✓"))))))))))</f>
        <v/>
      </c>
      <c r="E242" s="235"/>
      <c r="F242" s="236"/>
      <c r="G242" s="90"/>
      <c r="H242" s="239"/>
      <c r="I242" s="89"/>
      <c r="J242" s="142"/>
      <c r="K242" s="90"/>
      <c r="L242" s="90"/>
      <c r="M242" s="90"/>
      <c r="N242" s="89"/>
      <c r="O242" s="200"/>
      <c r="P242" s="201"/>
      <c r="Q242" s="201"/>
      <c r="R242" s="237"/>
      <c r="S242" s="202"/>
      <c r="T242" s="200"/>
      <c r="U242" s="203"/>
      <c r="V242" s="89"/>
      <c r="W242" s="89"/>
      <c r="X242" s="145"/>
      <c r="Y242" s="89"/>
      <c r="Z242" s="90"/>
      <c r="AA242" s="90"/>
      <c r="AB242" s="90"/>
      <c r="AC242" s="90"/>
      <c r="AD242" s="92"/>
      <c r="AE242" s="149" t="str">
        <f>IFERROR(VLOOKUP(Z242,LISTS!$AL$2:$AM$1000,2,FALSE()),"")</f>
        <v/>
      </c>
      <c r="AF242" s="151" t="str">
        <f>IFERROR(VLOOKUP(AA242,LISTS!$AO$2:$AP$1000,2,FALSE()),"")</f>
        <v/>
      </c>
      <c r="AG242" s="152" t="str">
        <f>IFERROR(VLOOKUP(AB242,LISTS!$AR$2:$AS$1000,2,FALSE()),"")</f>
        <v/>
      </c>
      <c r="AH242" s="154" t="str">
        <f>IFERROR(VLOOKUP(AC242,LISTS!$AU$2:$AV$1000,2,FALSE()),"")</f>
        <v/>
      </c>
      <c r="AI242" s="238" t="str">
        <f t="shared" si="18"/>
        <v>—</v>
      </c>
      <c r="AJ242" s="190" t="str">
        <f t="shared" si="19"/>
        <v>—</v>
      </c>
      <c r="AK242" s="157" t="str">
        <f t="shared" si="20"/>
        <v/>
      </c>
      <c r="AL242" s="160" t="str">
        <f t="shared" si="21"/>
        <v/>
      </c>
      <c r="AM242" s="210"/>
      <c r="AN242" s="209"/>
    </row>
    <row r="243" spans="1:40" ht="27.95" customHeight="1">
      <c r="A243" s="134" t="str">
        <f>IF(I243&lt;&gt;"",COUNTA($I$2:I243),"")</f>
        <v/>
      </c>
      <c r="B243" s="138" t="str">
        <f t="shared" si="22"/>
        <v/>
      </c>
      <c r="C243" s="93" t="str">
        <f t="array" ref="C243">IF(E243="","",IF(M243&lt;&gt;"",
M243&amp;"/"&amp;SUMPRODUCT((M$2:M243=M243)*1)&amp;" - "&amp;(ROW()-2),
"إداري/"&amp;SUMPRODUCT((M$2:M243="")*1)&amp;" - "&amp;(ROW()-2)))</f>
        <v/>
      </c>
      <c r="D243" s="141" t="str">
        <f>IF(AND(G243="",H243="",I243=""),"",IF(COUNTIFS(LISTS!$A$2:$A$67,G243,LISTS!$B$2:$B$67,H243,LISTS!$C$2:$C$67,I243)=0,"✗ هرم",IF(NOT(OR(Z243="ممتاز 100%",Z243="جيد 80%",Z243="مقبول 60%",Z243="خطر 40%",Z243="")),"✗ قائمة R",IF(NOT(OR(AA243="ممتاز 100%",AA243="جيد 85%",AA243="مقبول 70%",AA243="ضعيف 50%",AA243="")),"✗ قائمة S",IF(NOT(OR(AB243="مكتمل 100%",AB243="جزئي 60%",AB243="معلق 30%",AB243="مفتوح 0%",AB243="")),"✗ قائمة T",IF(NOT(OR(AC243="لا خصم 0",AC243="تأخير −5",AC243="عجز −10",AC243="جودة −15",AC243="امتثال −20",AC243="مخالفة −25",AC243="")),"✗ قائمة U",IF(AND(X243="لا",AC243&lt;&gt;"",AC243&lt;&gt;"لا خصم 0"),"✗ خصم",IF(AND(X243="نعم",AC243="لا خصم 0"),"✗ خصم",IF(AND(Z243="ممتاز 100%",AA243="ممتاز 100%",AB243&lt;&gt;"",AB243&lt;&gt;"مكتمل 100%"),"✗ إغلاق",IFERROR(IF(LEN(_xlfn.TEXTJOIN("، ",TRUE,IF(E243="","التاريخ",""),IF(F243="","الوقت",""),IF(G243="","المركز",""),IF(H243="","الدائرة",""),IF(I243="","القسم",""),IF(J243="","المسؤول",""),IF(K243="","نوع النشاط",""),IF(L243="","المشروع",""),IF(N243="","الممول",""),IF(V243="","الموضوع",""),IF(W243="","الملاحظة",""),IF(X243="","مشكلة",""),IF(Y243="","الإجراء",""),IF(Z243="","التنفيذ",""),IF(AA243="","الجودة",""),IF(AB243="","الإغلاق",""),IF(AC243="","الخصم",""),IF(AND(COUNTA($O243:$U243)&gt;0,O243=""),"مدير المشروع",""),IF(AND(COUNTA($O243:$U243)&gt;0,P243=""),"المستفيدين",""),IF(AND(COUNTA($O243:$U243)&gt;0,Q243=""),"المناطق",""),IF(AND(COUNTA($O243:$U243)&gt;0,R243=""),"الميزانية",""),IF(AND(COUNTA($O243:$U243)&gt;0,S243=""),"نسبة الجاهزية",""),IF(AND(COUNTA($O243:$U243)&gt;0,T243=""),"حالة الجاهزية",""),IF(AND(COUNTA($O243:$U243)&gt;0,U243=""),"التوصيات","")))&gt;0,"✗ ناقص: "&amp;_xlfn.TEXTJOIN("، ",TRUE,IF(E243="","التاريخ",""),IF(F243="","الوقت",""),IF(G243="","المركز",""),IF(H243="","الدائرة",""),IF(I243="","القسم",""),IF(J243="","المسؤول",""),IF(K243="","نوع النشاط",""),IF(L243="","المشروع",""),IF(N243="","الممول",""),IF(V243="","الموضوع",""),IF(W243="","الملاحظة",""),IF(X243="","مشكلة",""),IF(Y243="","الإجراء",""),IF(Z243="","التنفيذ",""),IF(AA243="","الجودة",""),IF(AB243="","الإغلاق",""),IF(AC243="","الخصم",""),IF(AND(COUNTA($O243:$U243)&gt;0,O243=""),"مدير المشروع",""),IF(AND(COUNTA($O243:$U243)&gt;0,P243=""),"المستفيدين",""),IF(AND(COUNTA($O243:$U243)&gt;0,Q243=""),"المناطق",""),IF(AND(COUNTA($O243:$U243)&gt;0,R243=""),"الميزانية",""),IF(AND(COUNTA($O243:$U243)&gt;0,S243=""),"نسبة الجاهزية",""),IF(AND(COUNTA($O243:$U243)&gt;0,T243=""),"حالة الجاهزية",""),IF(AND(COUNTA($O243:$U243)&gt;0,U243=""),"التوصيات","")),"✓"),"✓"))))))))))</f>
        <v/>
      </c>
      <c r="E243" s="235"/>
      <c r="F243" s="236"/>
      <c r="G243" s="90"/>
      <c r="H243" s="239"/>
      <c r="I243" s="89"/>
      <c r="J243" s="142"/>
      <c r="K243" s="90"/>
      <c r="L243" s="90"/>
      <c r="M243" s="90"/>
      <c r="N243" s="89"/>
      <c r="O243" s="200"/>
      <c r="P243" s="201"/>
      <c r="Q243" s="201"/>
      <c r="R243" s="237"/>
      <c r="S243" s="202"/>
      <c r="T243" s="200"/>
      <c r="U243" s="203"/>
      <c r="V243" s="89"/>
      <c r="W243" s="89"/>
      <c r="X243" s="145"/>
      <c r="Y243" s="89"/>
      <c r="Z243" s="90"/>
      <c r="AA243" s="90"/>
      <c r="AB243" s="90"/>
      <c r="AC243" s="90"/>
      <c r="AD243" s="92"/>
      <c r="AE243" s="149" t="str">
        <f>IFERROR(VLOOKUP(Z243,LISTS!$AL$2:$AM$1000,2,FALSE()),"")</f>
        <v/>
      </c>
      <c r="AF243" s="151" t="str">
        <f>IFERROR(VLOOKUP(AA243,LISTS!$AO$2:$AP$1000,2,FALSE()),"")</f>
        <v/>
      </c>
      <c r="AG243" s="152" t="str">
        <f>IFERROR(VLOOKUP(AB243,LISTS!$AR$2:$AS$1000,2,FALSE()),"")</f>
        <v/>
      </c>
      <c r="AH243" s="154" t="str">
        <f>IFERROR(VLOOKUP(AC243,LISTS!$AU$2:$AV$1000,2,FALSE()),"")</f>
        <v/>
      </c>
      <c r="AI243" s="238" t="str">
        <f t="shared" si="18"/>
        <v>—</v>
      </c>
      <c r="AJ243" s="190" t="str">
        <f t="shared" si="19"/>
        <v>—</v>
      </c>
      <c r="AK243" s="157" t="str">
        <f t="shared" si="20"/>
        <v/>
      </c>
      <c r="AL243" s="160" t="str">
        <f t="shared" si="21"/>
        <v/>
      </c>
      <c r="AM243" s="210"/>
      <c r="AN243" s="209"/>
    </row>
    <row r="244" spans="1:40" ht="27.95" customHeight="1">
      <c r="A244" s="134" t="str">
        <f>IF(I244&lt;&gt;"",COUNTA($I$2:I244),"")</f>
        <v/>
      </c>
      <c r="B244" s="138" t="str">
        <f t="shared" si="22"/>
        <v/>
      </c>
      <c r="C244" s="93" t="str">
        <f t="array" ref="C244">IF(E244="","",IF(M244&lt;&gt;"",
M244&amp;"/"&amp;SUMPRODUCT((M$2:M244=M244)*1)&amp;" - "&amp;(ROW()-2),
"إداري/"&amp;SUMPRODUCT((M$2:M244="")*1)&amp;" - "&amp;(ROW()-2)))</f>
        <v/>
      </c>
      <c r="D244" s="141" t="str">
        <f>IF(AND(G244="",H244="",I244=""),"",IF(COUNTIFS(LISTS!$A$2:$A$67,G244,LISTS!$B$2:$B$67,H244,LISTS!$C$2:$C$67,I244)=0,"✗ هرم",IF(NOT(OR(Z244="ممتاز 100%",Z244="جيد 80%",Z244="مقبول 60%",Z244="خطر 40%",Z244="")),"✗ قائمة R",IF(NOT(OR(AA244="ممتاز 100%",AA244="جيد 85%",AA244="مقبول 70%",AA244="ضعيف 50%",AA244="")),"✗ قائمة S",IF(NOT(OR(AB244="مكتمل 100%",AB244="جزئي 60%",AB244="معلق 30%",AB244="مفتوح 0%",AB244="")),"✗ قائمة T",IF(NOT(OR(AC244="لا خصم 0",AC244="تأخير −5",AC244="عجز −10",AC244="جودة −15",AC244="امتثال −20",AC244="مخالفة −25",AC244="")),"✗ قائمة U",IF(AND(X244="لا",AC244&lt;&gt;"",AC244&lt;&gt;"لا خصم 0"),"✗ خصم",IF(AND(X244="نعم",AC244="لا خصم 0"),"✗ خصم",IF(AND(Z244="ممتاز 100%",AA244="ممتاز 100%",AB244&lt;&gt;"",AB244&lt;&gt;"مكتمل 100%"),"✗ إغلاق",IFERROR(IF(LEN(_xlfn.TEXTJOIN("، ",TRUE,IF(E244="","التاريخ",""),IF(F244="","الوقت",""),IF(G244="","المركز",""),IF(H244="","الدائرة",""),IF(I244="","القسم",""),IF(J244="","المسؤول",""),IF(K244="","نوع النشاط",""),IF(L244="","المشروع",""),IF(N244="","الممول",""),IF(V244="","الموضوع",""),IF(W244="","الملاحظة",""),IF(X244="","مشكلة",""),IF(Y244="","الإجراء",""),IF(Z244="","التنفيذ",""),IF(AA244="","الجودة",""),IF(AB244="","الإغلاق",""),IF(AC244="","الخصم",""),IF(AND(COUNTA($O244:$U244)&gt;0,O244=""),"مدير المشروع",""),IF(AND(COUNTA($O244:$U244)&gt;0,P244=""),"المستفيدين",""),IF(AND(COUNTA($O244:$U244)&gt;0,Q244=""),"المناطق",""),IF(AND(COUNTA($O244:$U244)&gt;0,R244=""),"الميزانية",""),IF(AND(COUNTA($O244:$U244)&gt;0,S244=""),"نسبة الجاهزية",""),IF(AND(COUNTA($O244:$U244)&gt;0,T244=""),"حالة الجاهزية",""),IF(AND(COUNTA($O244:$U244)&gt;0,U244=""),"التوصيات","")))&gt;0,"✗ ناقص: "&amp;_xlfn.TEXTJOIN("، ",TRUE,IF(E244="","التاريخ",""),IF(F244="","الوقت",""),IF(G244="","المركز",""),IF(H244="","الدائرة",""),IF(I244="","القسم",""),IF(J244="","المسؤول",""),IF(K244="","نوع النشاط",""),IF(L244="","المشروع",""),IF(N244="","الممول",""),IF(V244="","الموضوع",""),IF(W244="","الملاحظة",""),IF(X244="","مشكلة",""),IF(Y244="","الإجراء",""),IF(Z244="","التنفيذ",""),IF(AA244="","الجودة",""),IF(AB244="","الإغلاق",""),IF(AC244="","الخصم",""),IF(AND(COUNTA($O244:$U244)&gt;0,O244=""),"مدير المشروع",""),IF(AND(COUNTA($O244:$U244)&gt;0,P244=""),"المستفيدين",""),IF(AND(COUNTA($O244:$U244)&gt;0,Q244=""),"المناطق",""),IF(AND(COUNTA($O244:$U244)&gt;0,R244=""),"الميزانية",""),IF(AND(COUNTA($O244:$U244)&gt;0,S244=""),"نسبة الجاهزية",""),IF(AND(COUNTA($O244:$U244)&gt;0,T244=""),"حالة الجاهزية",""),IF(AND(COUNTA($O244:$U244)&gt;0,U244=""),"التوصيات","")),"✓"),"✓"))))))))))</f>
        <v/>
      </c>
      <c r="E244" s="235"/>
      <c r="F244" s="236"/>
      <c r="G244" s="90"/>
      <c r="H244" s="239"/>
      <c r="I244" s="89"/>
      <c r="J244" s="142"/>
      <c r="K244" s="90"/>
      <c r="L244" s="90"/>
      <c r="M244" s="90"/>
      <c r="N244" s="89"/>
      <c r="O244" s="200"/>
      <c r="P244" s="201"/>
      <c r="Q244" s="201"/>
      <c r="R244" s="237"/>
      <c r="S244" s="202"/>
      <c r="T244" s="200"/>
      <c r="U244" s="203"/>
      <c r="V244" s="89"/>
      <c r="W244" s="89"/>
      <c r="X244" s="145"/>
      <c r="Y244" s="89"/>
      <c r="Z244" s="90"/>
      <c r="AA244" s="90"/>
      <c r="AB244" s="90"/>
      <c r="AC244" s="90"/>
      <c r="AD244" s="92"/>
      <c r="AE244" s="149" t="str">
        <f>IFERROR(VLOOKUP(Z244,LISTS!$AL$2:$AM$1000,2,FALSE()),"")</f>
        <v/>
      </c>
      <c r="AF244" s="151" t="str">
        <f>IFERROR(VLOOKUP(AA244,LISTS!$AO$2:$AP$1000,2,FALSE()),"")</f>
        <v/>
      </c>
      <c r="AG244" s="152" t="str">
        <f>IFERROR(VLOOKUP(AB244,LISTS!$AR$2:$AS$1000,2,FALSE()),"")</f>
        <v/>
      </c>
      <c r="AH244" s="154" t="str">
        <f>IFERROR(VLOOKUP(AC244,LISTS!$AU$2:$AV$1000,2,FALSE()),"")</f>
        <v/>
      </c>
      <c r="AI244" s="238" t="str">
        <f t="shared" si="18"/>
        <v>—</v>
      </c>
      <c r="AJ244" s="190" t="str">
        <f t="shared" si="19"/>
        <v>—</v>
      </c>
      <c r="AK244" s="157" t="str">
        <f t="shared" si="20"/>
        <v/>
      </c>
      <c r="AL244" s="160" t="str">
        <f t="shared" si="21"/>
        <v/>
      </c>
      <c r="AM244" s="210"/>
      <c r="AN244" s="209"/>
    </row>
    <row r="245" spans="1:40" ht="27.95" customHeight="1">
      <c r="A245" s="134" t="str">
        <f>IF(I245&lt;&gt;"",COUNTA($I$2:I245),"")</f>
        <v/>
      </c>
      <c r="B245" s="138" t="str">
        <f t="shared" si="22"/>
        <v/>
      </c>
      <c r="C245" s="93" t="str">
        <f t="array" ref="C245">IF(E245="","",IF(M245&lt;&gt;"",
M245&amp;"/"&amp;SUMPRODUCT((M$2:M245=M245)*1)&amp;" - "&amp;(ROW()-2),
"إداري/"&amp;SUMPRODUCT((M$2:M245="")*1)&amp;" - "&amp;(ROW()-2)))</f>
        <v/>
      </c>
      <c r="D245" s="141" t="str">
        <f>IF(AND(G245="",H245="",I245=""),"",IF(COUNTIFS(LISTS!$A$2:$A$67,G245,LISTS!$B$2:$B$67,H245,LISTS!$C$2:$C$67,I245)=0,"✗ هرم",IF(NOT(OR(Z245="ممتاز 100%",Z245="جيد 80%",Z245="مقبول 60%",Z245="خطر 40%",Z245="")),"✗ قائمة R",IF(NOT(OR(AA245="ممتاز 100%",AA245="جيد 85%",AA245="مقبول 70%",AA245="ضعيف 50%",AA245="")),"✗ قائمة S",IF(NOT(OR(AB245="مكتمل 100%",AB245="جزئي 60%",AB245="معلق 30%",AB245="مفتوح 0%",AB245="")),"✗ قائمة T",IF(NOT(OR(AC245="لا خصم 0",AC245="تأخير −5",AC245="عجز −10",AC245="جودة −15",AC245="امتثال −20",AC245="مخالفة −25",AC245="")),"✗ قائمة U",IF(AND(X245="لا",AC245&lt;&gt;"",AC245&lt;&gt;"لا خصم 0"),"✗ خصم",IF(AND(X245="نعم",AC245="لا خصم 0"),"✗ خصم",IF(AND(Z245="ممتاز 100%",AA245="ممتاز 100%",AB245&lt;&gt;"",AB245&lt;&gt;"مكتمل 100%"),"✗ إغلاق",IFERROR(IF(LEN(_xlfn.TEXTJOIN("، ",TRUE,IF(E245="","التاريخ",""),IF(F245="","الوقت",""),IF(G245="","المركز",""),IF(H245="","الدائرة",""),IF(I245="","القسم",""),IF(J245="","المسؤول",""),IF(K245="","نوع النشاط",""),IF(L245="","المشروع",""),IF(N245="","الممول",""),IF(V245="","الموضوع",""),IF(W245="","الملاحظة",""),IF(X245="","مشكلة",""),IF(Y245="","الإجراء",""),IF(Z245="","التنفيذ",""),IF(AA245="","الجودة",""),IF(AB245="","الإغلاق",""),IF(AC245="","الخصم",""),IF(AND(COUNTA($O245:$U245)&gt;0,O245=""),"مدير المشروع",""),IF(AND(COUNTA($O245:$U245)&gt;0,P245=""),"المستفيدين",""),IF(AND(COUNTA($O245:$U245)&gt;0,Q245=""),"المناطق",""),IF(AND(COUNTA($O245:$U245)&gt;0,R245=""),"الميزانية",""),IF(AND(COUNTA($O245:$U245)&gt;0,S245=""),"نسبة الجاهزية",""),IF(AND(COUNTA($O245:$U245)&gt;0,T245=""),"حالة الجاهزية",""),IF(AND(COUNTA($O245:$U245)&gt;0,U245=""),"التوصيات","")))&gt;0,"✗ ناقص: "&amp;_xlfn.TEXTJOIN("، ",TRUE,IF(E245="","التاريخ",""),IF(F245="","الوقت",""),IF(G245="","المركز",""),IF(H245="","الدائرة",""),IF(I245="","القسم",""),IF(J245="","المسؤول",""),IF(K245="","نوع النشاط",""),IF(L245="","المشروع",""),IF(N245="","الممول",""),IF(V245="","الموضوع",""),IF(W245="","الملاحظة",""),IF(X245="","مشكلة",""),IF(Y245="","الإجراء",""),IF(Z245="","التنفيذ",""),IF(AA245="","الجودة",""),IF(AB245="","الإغلاق",""),IF(AC245="","الخصم",""),IF(AND(COUNTA($O245:$U245)&gt;0,O245=""),"مدير المشروع",""),IF(AND(COUNTA($O245:$U245)&gt;0,P245=""),"المستفيدين",""),IF(AND(COUNTA($O245:$U245)&gt;0,Q245=""),"المناطق",""),IF(AND(COUNTA($O245:$U245)&gt;0,R245=""),"الميزانية",""),IF(AND(COUNTA($O245:$U245)&gt;0,S245=""),"نسبة الجاهزية",""),IF(AND(COUNTA($O245:$U245)&gt;0,T245=""),"حالة الجاهزية",""),IF(AND(COUNTA($O245:$U245)&gt;0,U245=""),"التوصيات","")),"✓"),"✓"))))))))))</f>
        <v/>
      </c>
      <c r="E245" s="235"/>
      <c r="F245" s="236"/>
      <c r="G245" s="90"/>
      <c r="H245" s="239"/>
      <c r="I245" s="89"/>
      <c r="J245" s="142"/>
      <c r="K245" s="90"/>
      <c r="L245" s="90"/>
      <c r="M245" s="90"/>
      <c r="N245" s="89"/>
      <c r="O245" s="200"/>
      <c r="P245" s="201"/>
      <c r="Q245" s="201"/>
      <c r="R245" s="237"/>
      <c r="S245" s="202"/>
      <c r="T245" s="200"/>
      <c r="U245" s="203"/>
      <c r="V245" s="89"/>
      <c r="W245" s="89"/>
      <c r="X245" s="145"/>
      <c r="Y245" s="89"/>
      <c r="Z245" s="90"/>
      <c r="AA245" s="90"/>
      <c r="AB245" s="90"/>
      <c r="AC245" s="90"/>
      <c r="AD245" s="92"/>
      <c r="AE245" s="149" t="str">
        <f>IFERROR(VLOOKUP(Z245,LISTS!$AL$2:$AM$1000,2,FALSE()),"")</f>
        <v/>
      </c>
      <c r="AF245" s="151" t="str">
        <f>IFERROR(VLOOKUP(AA245,LISTS!$AO$2:$AP$1000,2,FALSE()),"")</f>
        <v/>
      </c>
      <c r="AG245" s="152" t="str">
        <f>IFERROR(VLOOKUP(AB245,LISTS!$AR$2:$AS$1000,2,FALSE()),"")</f>
        <v/>
      </c>
      <c r="AH245" s="154" t="str">
        <f>IFERROR(VLOOKUP(AC245,LISTS!$AU$2:$AV$1000,2,FALSE()),"")</f>
        <v/>
      </c>
      <c r="AI245" s="238" t="str">
        <f t="shared" si="18"/>
        <v>—</v>
      </c>
      <c r="AJ245" s="190" t="str">
        <f t="shared" si="19"/>
        <v>—</v>
      </c>
      <c r="AK245" s="157" t="str">
        <f t="shared" si="20"/>
        <v/>
      </c>
      <c r="AL245" s="160" t="str">
        <f t="shared" si="21"/>
        <v/>
      </c>
      <c r="AM245" s="210"/>
      <c r="AN245" s="209"/>
    </row>
    <row r="246" spans="1:40" ht="27.95" customHeight="1">
      <c r="A246" s="134" t="str">
        <f>IF(I246&lt;&gt;"",COUNTA($I$2:I246),"")</f>
        <v/>
      </c>
      <c r="B246" s="138" t="str">
        <f t="shared" si="22"/>
        <v/>
      </c>
      <c r="C246" s="93" t="str">
        <f t="array" ref="C246">IF(E246="","",IF(M246&lt;&gt;"",
M246&amp;"/"&amp;SUMPRODUCT((M$2:M246=M246)*1)&amp;" - "&amp;(ROW()-2),
"إداري/"&amp;SUMPRODUCT((M$2:M246="")*1)&amp;" - "&amp;(ROW()-2)))</f>
        <v/>
      </c>
      <c r="D246" s="141" t="str">
        <f>IF(AND(G246="",H246="",I246=""),"",IF(COUNTIFS(LISTS!$A$2:$A$67,G246,LISTS!$B$2:$B$67,H246,LISTS!$C$2:$C$67,I246)=0,"✗ هرم",IF(NOT(OR(Z246="ممتاز 100%",Z246="جيد 80%",Z246="مقبول 60%",Z246="خطر 40%",Z246="")),"✗ قائمة R",IF(NOT(OR(AA246="ممتاز 100%",AA246="جيد 85%",AA246="مقبول 70%",AA246="ضعيف 50%",AA246="")),"✗ قائمة S",IF(NOT(OR(AB246="مكتمل 100%",AB246="جزئي 60%",AB246="معلق 30%",AB246="مفتوح 0%",AB246="")),"✗ قائمة T",IF(NOT(OR(AC246="لا خصم 0",AC246="تأخير −5",AC246="عجز −10",AC246="جودة −15",AC246="امتثال −20",AC246="مخالفة −25",AC246="")),"✗ قائمة U",IF(AND(X246="لا",AC246&lt;&gt;"",AC246&lt;&gt;"لا خصم 0"),"✗ خصم",IF(AND(X246="نعم",AC246="لا خصم 0"),"✗ خصم",IF(AND(Z246="ممتاز 100%",AA246="ممتاز 100%",AB246&lt;&gt;"",AB246&lt;&gt;"مكتمل 100%"),"✗ إغلاق",IFERROR(IF(LEN(_xlfn.TEXTJOIN("، ",TRUE,IF(E246="","التاريخ",""),IF(F246="","الوقت",""),IF(G246="","المركز",""),IF(H246="","الدائرة",""),IF(I246="","القسم",""),IF(J246="","المسؤول",""),IF(K246="","نوع النشاط",""),IF(L246="","المشروع",""),IF(N246="","الممول",""),IF(V246="","الموضوع",""),IF(W246="","الملاحظة",""),IF(X246="","مشكلة",""),IF(Y246="","الإجراء",""),IF(Z246="","التنفيذ",""),IF(AA246="","الجودة",""),IF(AB246="","الإغلاق",""),IF(AC246="","الخصم",""),IF(AND(COUNTA($O246:$U246)&gt;0,O246=""),"مدير المشروع",""),IF(AND(COUNTA($O246:$U246)&gt;0,P246=""),"المستفيدين",""),IF(AND(COUNTA($O246:$U246)&gt;0,Q246=""),"المناطق",""),IF(AND(COUNTA($O246:$U246)&gt;0,R246=""),"الميزانية",""),IF(AND(COUNTA($O246:$U246)&gt;0,S246=""),"نسبة الجاهزية",""),IF(AND(COUNTA($O246:$U246)&gt;0,T246=""),"حالة الجاهزية",""),IF(AND(COUNTA($O246:$U246)&gt;0,U246=""),"التوصيات","")))&gt;0,"✗ ناقص: "&amp;_xlfn.TEXTJOIN("، ",TRUE,IF(E246="","التاريخ",""),IF(F246="","الوقت",""),IF(G246="","المركز",""),IF(H246="","الدائرة",""),IF(I246="","القسم",""),IF(J246="","المسؤول",""),IF(K246="","نوع النشاط",""),IF(L246="","المشروع",""),IF(N246="","الممول",""),IF(V246="","الموضوع",""),IF(W246="","الملاحظة",""),IF(X246="","مشكلة",""),IF(Y246="","الإجراء",""),IF(Z246="","التنفيذ",""),IF(AA246="","الجودة",""),IF(AB246="","الإغلاق",""),IF(AC246="","الخصم",""),IF(AND(COUNTA($O246:$U246)&gt;0,O246=""),"مدير المشروع",""),IF(AND(COUNTA($O246:$U246)&gt;0,P246=""),"المستفيدين",""),IF(AND(COUNTA($O246:$U246)&gt;0,Q246=""),"المناطق",""),IF(AND(COUNTA($O246:$U246)&gt;0,R246=""),"الميزانية",""),IF(AND(COUNTA($O246:$U246)&gt;0,S246=""),"نسبة الجاهزية",""),IF(AND(COUNTA($O246:$U246)&gt;0,T246=""),"حالة الجاهزية",""),IF(AND(COUNTA($O246:$U246)&gt;0,U246=""),"التوصيات","")),"✓"),"✓"))))))))))</f>
        <v/>
      </c>
      <c r="E246" s="235"/>
      <c r="F246" s="236"/>
      <c r="G246" s="90"/>
      <c r="H246" s="239"/>
      <c r="I246" s="89"/>
      <c r="J246" s="142"/>
      <c r="K246" s="90"/>
      <c r="L246" s="90"/>
      <c r="M246" s="90"/>
      <c r="N246" s="89"/>
      <c r="O246" s="200"/>
      <c r="P246" s="201"/>
      <c r="Q246" s="201"/>
      <c r="R246" s="237"/>
      <c r="S246" s="202"/>
      <c r="T246" s="200"/>
      <c r="U246" s="203"/>
      <c r="V246" s="89"/>
      <c r="W246" s="89"/>
      <c r="X246" s="145"/>
      <c r="Y246" s="89"/>
      <c r="Z246" s="90"/>
      <c r="AA246" s="90"/>
      <c r="AB246" s="90"/>
      <c r="AC246" s="90"/>
      <c r="AD246" s="92"/>
      <c r="AE246" s="149" t="str">
        <f>IFERROR(VLOOKUP(Z246,LISTS!$AL$2:$AM$1000,2,FALSE()),"")</f>
        <v/>
      </c>
      <c r="AF246" s="151" t="str">
        <f>IFERROR(VLOOKUP(AA246,LISTS!$AO$2:$AP$1000,2,FALSE()),"")</f>
        <v/>
      </c>
      <c r="AG246" s="152" t="str">
        <f>IFERROR(VLOOKUP(AB246,LISTS!$AR$2:$AS$1000,2,FALSE()),"")</f>
        <v/>
      </c>
      <c r="AH246" s="154" t="str">
        <f>IFERROR(VLOOKUP(AC246,LISTS!$AU$2:$AV$1000,2,FALSE()),"")</f>
        <v/>
      </c>
      <c r="AI246" s="238" t="str">
        <f t="shared" si="18"/>
        <v>—</v>
      </c>
      <c r="AJ246" s="190" t="str">
        <f t="shared" si="19"/>
        <v>—</v>
      </c>
      <c r="AK246" s="157" t="str">
        <f t="shared" si="20"/>
        <v/>
      </c>
      <c r="AL246" s="160" t="str">
        <f t="shared" si="21"/>
        <v/>
      </c>
      <c r="AM246" s="210"/>
      <c r="AN246" s="209"/>
    </row>
    <row r="247" spans="1:40" ht="27.95" customHeight="1">
      <c r="A247" s="134" t="str">
        <f>IF(I247&lt;&gt;"",COUNTA($I$2:I247),"")</f>
        <v/>
      </c>
      <c r="B247" s="138" t="str">
        <f t="shared" si="22"/>
        <v/>
      </c>
      <c r="C247" s="93" t="str">
        <f t="array" ref="C247">IF(E247="","",IF(M247&lt;&gt;"",
M247&amp;"/"&amp;SUMPRODUCT((M$2:M247=M247)*1)&amp;" - "&amp;(ROW()-2),
"إداري/"&amp;SUMPRODUCT((M$2:M247="")*1)&amp;" - "&amp;(ROW()-2)))</f>
        <v/>
      </c>
      <c r="D247" s="141" t="str">
        <f>IF(AND(G247="",H247="",I247=""),"",IF(COUNTIFS(LISTS!$A$2:$A$67,G247,LISTS!$B$2:$B$67,H247,LISTS!$C$2:$C$67,I247)=0,"✗ هرم",IF(NOT(OR(Z247="ممتاز 100%",Z247="جيد 80%",Z247="مقبول 60%",Z247="خطر 40%",Z247="")),"✗ قائمة R",IF(NOT(OR(AA247="ممتاز 100%",AA247="جيد 85%",AA247="مقبول 70%",AA247="ضعيف 50%",AA247="")),"✗ قائمة S",IF(NOT(OR(AB247="مكتمل 100%",AB247="جزئي 60%",AB247="معلق 30%",AB247="مفتوح 0%",AB247="")),"✗ قائمة T",IF(NOT(OR(AC247="لا خصم 0",AC247="تأخير −5",AC247="عجز −10",AC247="جودة −15",AC247="امتثال −20",AC247="مخالفة −25",AC247="")),"✗ قائمة U",IF(AND(X247="لا",AC247&lt;&gt;"",AC247&lt;&gt;"لا خصم 0"),"✗ خصم",IF(AND(X247="نعم",AC247="لا خصم 0"),"✗ خصم",IF(AND(Z247="ممتاز 100%",AA247="ممتاز 100%",AB247&lt;&gt;"",AB247&lt;&gt;"مكتمل 100%"),"✗ إغلاق",IFERROR(IF(LEN(_xlfn.TEXTJOIN("، ",TRUE,IF(E247="","التاريخ",""),IF(F247="","الوقت",""),IF(G247="","المركز",""),IF(H247="","الدائرة",""),IF(I247="","القسم",""),IF(J247="","المسؤول",""),IF(K247="","نوع النشاط",""),IF(L247="","المشروع",""),IF(N247="","الممول",""),IF(V247="","الموضوع",""),IF(W247="","الملاحظة",""),IF(X247="","مشكلة",""),IF(Y247="","الإجراء",""),IF(Z247="","التنفيذ",""),IF(AA247="","الجودة",""),IF(AB247="","الإغلاق",""),IF(AC247="","الخصم",""),IF(AND(COUNTA($O247:$U247)&gt;0,O247=""),"مدير المشروع",""),IF(AND(COUNTA($O247:$U247)&gt;0,P247=""),"المستفيدين",""),IF(AND(COUNTA($O247:$U247)&gt;0,Q247=""),"المناطق",""),IF(AND(COUNTA($O247:$U247)&gt;0,R247=""),"الميزانية",""),IF(AND(COUNTA($O247:$U247)&gt;0,S247=""),"نسبة الجاهزية",""),IF(AND(COUNTA($O247:$U247)&gt;0,T247=""),"حالة الجاهزية",""),IF(AND(COUNTA($O247:$U247)&gt;0,U247=""),"التوصيات","")))&gt;0,"✗ ناقص: "&amp;_xlfn.TEXTJOIN("، ",TRUE,IF(E247="","التاريخ",""),IF(F247="","الوقت",""),IF(G247="","المركز",""),IF(H247="","الدائرة",""),IF(I247="","القسم",""),IF(J247="","المسؤول",""),IF(K247="","نوع النشاط",""),IF(L247="","المشروع",""),IF(N247="","الممول",""),IF(V247="","الموضوع",""),IF(W247="","الملاحظة",""),IF(X247="","مشكلة",""),IF(Y247="","الإجراء",""),IF(Z247="","التنفيذ",""),IF(AA247="","الجودة",""),IF(AB247="","الإغلاق",""),IF(AC247="","الخصم",""),IF(AND(COUNTA($O247:$U247)&gt;0,O247=""),"مدير المشروع",""),IF(AND(COUNTA($O247:$U247)&gt;0,P247=""),"المستفيدين",""),IF(AND(COUNTA($O247:$U247)&gt;0,Q247=""),"المناطق",""),IF(AND(COUNTA($O247:$U247)&gt;0,R247=""),"الميزانية",""),IF(AND(COUNTA($O247:$U247)&gt;0,S247=""),"نسبة الجاهزية",""),IF(AND(COUNTA($O247:$U247)&gt;0,T247=""),"حالة الجاهزية",""),IF(AND(COUNTA($O247:$U247)&gt;0,U247=""),"التوصيات","")),"✓"),"✓"))))))))))</f>
        <v/>
      </c>
      <c r="E247" s="235"/>
      <c r="F247" s="236"/>
      <c r="G247" s="90"/>
      <c r="H247" s="239"/>
      <c r="I247" s="89"/>
      <c r="J247" s="142"/>
      <c r="K247" s="90"/>
      <c r="L247" s="90"/>
      <c r="M247" s="90"/>
      <c r="N247" s="89"/>
      <c r="O247" s="200"/>
      <c r="P247" s="201"/>
      <c r="Q247" s="201"/>
      <c r="R247" s="237"/>
      <c r="S247" s="202"/>
      <c r="T247" s="200"/>
      <c r="U247" s="203"/>
      <c r="V247" s="89"/>
      <c r="W247" s="89"/>
      <c r="X247" s="145"/>
      <c r="Y247" s="89"/>
      <c r="Z247" s="90"/>
      <c r="AA247" s="90"/>
      <c r="AB247" s="90"/>
      <c r="AC247" s="90"/>
      <c r="AD247" s="92"/>
      <c r="AE247" s="149" t="str">
        <f>IFERROR(VLOOKUP(Z247,LISTS!$AL$2:$AM$1000,2,FALSE()),"")</f>
        <v/>
      </c>
      <c r="AF247" s="151" t="str">
        <f>IFERROR(VLOOKUP(AA247,LISTS!$AO$2:$AP$1000,2,FALSE()),"")</f>
        <v/>
      </c>
      <c r="AG247" s="152" t="str">
        <f>IFERROR(VLOOKUP(AB247,LISTS!$AR$2:$AS$1000,2,FALSE()),"")</f>
        <v/>
      </c>
      <c r="AH247" s="154" t="str">
        <f>IFERROR(VLOOKUP(AC247,LISTS!$AU$2:$AV$1000,2,FALSE()),"")</f>
        <v/>
      </c>
      <c r="AI247" s="238" t="str">
        <f t="shared" si="18"/>
        <v>—</v>
      </c>
      <c r="AJ247" s="190" t="str">
        <f t="shared" si="19"/>
        <v>—</v>
      </c>
      <c r="AK247" s="157" t="str">
        <f t="shared" si="20"/>
        <v/>
      </c>
      <c r="AL247" s="160" t="str">
        <f t="shared" si="21"/>
        <v/>
      </c>
      <c r="AM247" s="210"/>
      <c r="AN247" s="209"/>
    </row>
    <row r="248" spans="1:40" ht="27.95" customHeight="1">
      <c r="A248" s="134" t="str">
        <f>IF(I248&lt;&gt;"",COUNTA($I$2:I248),"")</f>
        <v/>
      </c>
      <c r="B248" s="138" t="str">
        <f t="shared" si="22"/>
        <v/>
      </c>
      <c r="C248" s="93" t="str">
        <f t="array" ref="C248">IF(E248="","",IF(M248&lt;&gt;"",
M248&amp;"/"&amp;SUMPRODUCT((M$2:M248=M248)*1)&amp;" - "&amp;(ROW()-2),
"إداري/"&amp;SUMPRODUCT((M$2:M248="")*1)&amp;" - "&amp;(ROW()-2)))</f>
        <v/>
      </c>
      <c r="D248" s="141" t="str">
        <f>IF(AND(G248="",H248="",I248=""),"",IF(COUNTIFS(LISTS!$A$2:$A$67,G248,LISTS!$B$2:$B$67,H248,LISTS!$C$2:$C$67,I248)=0,"✗ هرم",IF(NOT(OR(Z248="ممتاز 100%",Z248="جيد 80%",Z248="مقبول 60%",Z248="خطر 40%",Z248="")),"✗ قائمة R",IF(NOT(OR(AA248="ممتاز 100%",AA248="جيد 85%",AA248="مقبول 70%",AA248="ضعيف 50%",AA248="")),"✗ قائمة S",IF(NOT(OR(AB248="مكتمل 100%",AB248="جزئي 60%",AB248="معلق 30%",AB248="مفتوح 0%",AB248="")),"✗ قائمة T",IF(NOT(OR(AC248="لا خصم 0",AC248="تأخير −5",AC248="عجز −10",AC248="جودة −15",AC248="امتثال −20",AC248="مخالفة −25",AC248="")),"✗ قائمة U",IF(AND(X248="لا",AC248&lt;&gt;"",AC248&lt;&gt;"لا خصم 0"),"✗ خصم",IF(AND(X248="نعم",AC248="لا خصم 0"),"✗ خصم",IF(AND(Z248="ممتاز 100%",AA248="ممتاز 100%",AB248&lt;&gt;"",AB248&lt;&gt;"مكتمل 100%"),"✗ إغلاق",IFERROR(IF(LEN(_xlfn.TEXTJOIN("، ",TRUE,IF(E248="","التاريخ",""),IF(F248="","الوقت",""),IF(G248="","المركز",""),IF(H248="","الدائرة",""),IF(I248="","القسم",""),IF(J248="","المسؤول",""),IF(K248="","نوع النشاط",""),IF(L248="","المشروع",""),IF(N248="","الممول",""),IF(V248="","الموضوع",""),IF(W248="","الملاحظة",""),IF(X248="","مشكلة",""),IF(Y248="","الإجراء",""),IF(Z248="","التنفيذ",""),IF(AA248="","الجودة",""),IF(AB248="","الإغلاق",""),IF(AC248="","الخصم",""),IF(AND(COUNTA($O248:$U248)&gt;0,O248=""),"مدير المشروع",""),IF(AND(COUNTA($O248:$U248)&gt;0,P248=""),"المستفيدين",""),IF(AND(COUNTA($O248:$U248)&gt;0,Q248=""),"المناطق",""),IF(AND(COUNTA($O248:$U248)&gt;0,R248=""),"الميزانية",""),IF(AND(COUNTA($O248:$U248)&gt;0,S248=""),"نسبة الجاهزية",""),IF(AND(COUNTA($O248:$U248)&gt;0,T248=""),"حالة الجاهزية",""),IF(AND(COUNTA($O248:$U248)&gt;0,U248=""),"التوصيات","")))&gt;0,"✗ ناقص: "&amp;_xlfn.TEXTJOIN("، ",TRUE,IF(E248="","التاريخ",""),IF(F248="","الوقت",""),IF(G248="","المركز",""),IF(H248="","الدائرة",""),IF(I248="","القسم",""),IF(J248="","المسؤول",""),IF(K248="","نوع النشاط",""),IF(L248="","المشروع",""),IF(N248="","الممول",""),IF(V248="","الموضوع",""),IF(W248="","الملاحظة",""),IF(X248="","مشكلة",""),IF(Y248="","الإجراء",""),IF(Z248="","التنفيذ",""),IF(AA248="","الجودة",""),IF(AB248="","الإغلاق",""),IF(AC248="","الخصم",""),IF(AND(COUNTA($O248:$U248)&gt;0,O248=""),"مدير المشروع",""),IF(AND(COUNTA($O248:$U248)&gt;0,P248=""),"المستفيدين",""),IF(AND(COUNTA($O248:$U248)&gt;0,Q248=""),"المناطق",""),IF(AND(COUNTA($O248:$U248)&gt;0,R248=""),"الميزانية",""),IF(AND(COUNTA($O248:$U248)&gt;0,S248=""),"نسبة الجاهزية",""),IF(AND(COUNTA($O248:$U248)&gt;0,T248=""),"حالة الجاهزية",""),IF(AND(COUNTA($O248:$U248)&gt;0,U248=""),"التوصيات","")),"✓"),"✓"))))))))))</f>
        <v/>
      </c>
      <c r="E248" s="235"/>
      <c r="F248" s="236"/>
      <c r="G248" s="90"/>
      <c r="H248" s="239"/>
      <c r="I248" s="89"/>
      <c r="J248" s="142"/>
      <c r="K248" s="90"/>
      <c r="L248" s="90"/>
      <c r="M248" s="90"/>
      <c r="N248" s="89"/>
      <c r="O248" s="200"/>
      <c r="P248" s="201"/>
      <c r="Q248" s="201"/>
      <c r="R248" s="237"/>
      <c r="S248" s="202"/>
      <c r="T248" s="200"/>
      <c r="U248" s="203"/>
      <c r="V248" s="89"/>
      <c r="W248" s="89"/>
      <c r="X248" s="145"/>
      <c r="Y248" s="89"/>
      <c r="Z248" s="90"/>
      <c r="AA248" s="90"/>
      <c r="AB248" s="90"/>
      <c r="AC248" s="90"/>
      <c r="AD248" s="92"/>
      <c r="AE248" s="149" t="str">
        <f>IFERROR(VLOOKUP(Z248,LISTS!$AL$2:$AM$1000,2,FALSE()),"")</f>
        <v/>
      </c>
      <c r="AF248" s="151" t="str">
        <f>IFERROR(VLOOKUP(AA248,LISTS!$AO$2:$AP$1000,2,FALSE()),"")</f>
        <v/>
      </c>
      <c r="AG248" s="152" t="str">
        <f>IFERROR(VLOOKUP(AB248,LISTS!$AR$2:$AS$1000,2,FALSE()),"")</f>
        <v/>
      </c>
      <c r="AH248" s="154" t="str">
        <f>IFERROR(VLOOKUP(AC248,LISTS!$AU$2:$AV$1000,2,FALSE()),"")</f>
        <v/>
      </c>
      <c r="AI248" s="238" t="str">
        <f t="shared" si="18"/>
        <v>—</v>
      </c>
      <c r="AJ248" s="190" t="str">
        <f t="shared" si="19"/>
        <v>—</v>
      </c>
      <c r="AK248" s="157" t="str">
        <f t="shared" si="20"/>
        <v/>
      </c>
      <c r="AL248" s="160" t="str">
        <f t="shared" si="21"/>
        <v/>
      </c>
      <c r="AM248" s="210"/>
      <c r="AN248" s="209"/>
    </row>
    <row r="249" spans="1:40" ht="27.95" customHeight="1">
      <c r="A249" s="134" t="str">
        <f>IF(I249&lt;&gt;"",COUNTA($I$2:I249),"")</f>
        <v/>
      </c>
      <c r="B249" s="138" t="str">
        <f t="shared" si="22"/>
        <v/>
      </c>
      <c r="C249" s="93" t="str">
        <f t="array" ref="C249">IF(E249="","",IF(M249&lt;&gt;"",
M249&amp;"/"&amp;SUMPRODUCT((M$2:M249=M249)*1)&amp;" - "&amp;(ROW()-2),
"إداري/"&amp;SUMPRODUCT((M$2:M249="")*1)&amp;" - "&amp;(ROW()-2)))</f>
        <v/>
      </c>
      <c r="D249" s="141" t="str">
        <f>IF(AND(G249="",H249="",I249=""),"",IF(COUNTIFS(LISTS!$A$2:$A$67,G249,LISTS!$B$2:$B$67,H249,LISTS!$C$2:$C$67,I249)=0,"✗ هرم",IF(NOT(OR(Z249="ممتاز 100%",Z249="جيد 80%",Z249="مقبول 60%",Z249="خطر 40%",Z249="")),"✗ قائمة R",IF(NOT(OR(AA249="ممتاز 100%",AA249="جيد 85%",AA249="مقبول 70%",AA249="ضعيف 50%",AA249="")),"✗ قائمة S",IF(NOT(OR(AB249="مكتمل 100%",AB249="جزئي 60%",AB249="معلق 30%",AB249="مفتوح 0%",AB249="")),"✗ قائمة T",IF(NOT(OR(AC249="لا خصم 0",AC249="تأخير −5",AC249="عجز −10",AC249="جودة −15",AC249="امتثال −20",AC249="مخالفة −25",AC249="")),"✗ قائمة U",IF(AND(X249="لا",AC249&lt;&gt;"",AC249&lt;&gt;"لا خصم 0"),"✗ خصم",IF(AND(X249="نعم",AC249="لا خصم 0"),"✗ خصم",IF(AND(Z249="ممتاز 100%",AA249="ممتاز 100%",AB249&lt;&gt;"",AB249&lt;&gt;"مكتمل 100%"),"✗ إغلاق",IFERROR(IF(LEN(_xlfn.TEXTJOIN("، ",TRUE,IF(E249="","التاريخ",""),IF(F249="","الوقت",""),IF(G249="","المركز",""),IF(H249="","الدائرة",""),IF(I249="","القسم",""),IF(J249="","المسؤول",""),IF(K249="","نوع النشاط",""),IF(L249="","المشروع",""),IF(N249="","الممول",""),IF(V249="","الموضوع",""),IF(W249="","الملاحظة",""),IF(X249="","مشكلة",""),IF(Y249="","الإجراء",""),IF(Z249="","التنفيذ",""),IF(AA249="","الجودة",""),IF(AB249="","الإغلاق",""),IF(AC249="","الخصم",""),IF(AND(COUNTA($O249:$U249)&gt;0,O249=""),"مدير المشروع",""),IF(AND(COUNTA($O249:$U249)&gt;0,P249=""),"المستفيدين",""),IF(AND(COUNTA($O249:$U249)&gt;0,Q249=""),"المناطق",""),IF(AND(COUNTA($O249:$U249)&gt;0,R249=""),"الميزانية",""),IF(AND(COUNTA($O249:$U249)&gt;0,S249=""),"نسبة الجاهزية",""),IF(AND(COUNTA($O249:$U249)&gt;0,T249=""),"حالة الجاهزية",""),IF(AND(COUNTA($O249:$U249)&gt;0,U249=""),"التوصيات","")))&gt;0,"✗ ناقص: "&amp;_xlfn.TEXTJOIN("، ",TRUE,IF(E249="","التاريخ",""),IF(F249="","الوقت",""),IF(G249="","المركز",""),IF(H249="","الدائرة",""),IF(I249="","القسم",""),IF(J249="","المسؤول",""),IF(K249="","نوع النشاط",""),IF(L249="","المشروع",""),IF(N249="","الممول",""),IF(V249="","الموضوع",""),IF(W249="","الملاحظة",""),IF(X249="","مشكلة",""),IF(Y249="","الإجراء",""),IF(Z249="","التنفيذ",""),IF(AA249="","الجودة",""),IF(AB249="","الإغلاق",""),IF(AC249="","الخصم",""),IF(AND(COUNTA($O249:$U249)&gt;0,O249=""),"مدير المشروع",""),IF(AND(COUNTA($O249:$U249)&gt;0,P249=""),"المستفيدين",""),IF(AND(COUNTA($O249:$U249)&gt;0,Q249=""),"المناطق",""),IF(AND(COUNTA($O249:$U249)&gt;0,R249=""),"الميزانية",""),IF(AND(COUNTA($O249:$U249)&gt;0,S249=""),"نسبة الجاهزية",""),IF(AND(COUNTA($O249:$U249)&gt;0,T249=""),"حالة الجاهزية",""),IF(AND(COUNTA($O249:$U249)&gt;0,U249=""),"التوصيات","")),"✓"),"✓"))))))))))</f>
        <v/>
      </c>
      <c r="E249" s="235"/>
      <c r="F249" s="236"/>
      <c r="G249" s="90"/>
      <c r="H249" s="239"/>
      <c r="I249" s="89"/>
      <c r="J249" s="142"/>
      <c r="K249" s="90"/>
      <c r="L249" s="90"/>
      <c r="M249" s="90"/>
      <c r="N249" s="89"/>
      <c r="O249" s="200"/>
      <c r="P249" s="201"/>
      <c r="Q249" s="201"/>
      <c r="R249" s="237"/>
      <c r="S249" s="202"/>
      <c r="T249" s="200"/>
      <c r="U249" s="203"/>
      <c r="V249" s="89"/>
      <c r="W249" s="89"/>
      <c r="X249" s="145"/>
      <c r="Y249" s="89"/>
      <c r="Z249" s="90"/>
      <c r="AA249" s="90"/>
      <c r="AB249" s="90"/>
      <c r="AC249" s="90"/>
      <c r="AD249" s="92"/>
      <c r="AE249" s="149" t="str">
        <f>IFERROR(VLOOKUP(Z249,LISTS!$AL$2:$AM$1000,2,FALSE()),"")</f>
        <v/>
      </c>
      <c r="AF249" s="151" t="str">
        <f>IFERROR(VLOOKUP(AA249,LISTS!$AO$2:$AP$1000,2,FALSE()),"")</f>
        <v/>
      </c>
      <c r="AG249" s="152" t="str">
        <f>IFERROR(VLOOKUP(AB249,LISTS!$AR$2:$AS$1000,2,FALSE()),"")</f>
        <v/>
      </c>
      <c r="AH249" s="154" t="str">
        <f>IFERROR(VLOOKUP(AC249,LISTS!$AU$2:$AV$1000,2,FALSE()),"")</f>
        <v/>
      </c>
      <c r="AI249" s="238" t="str">
        <f t="shared" si="18"/>
        <v>—</v>
      </c>
      <c r="AJ249" s="190" t="str">
        <f t="shared" si="19"/>
        <v>—</v>
      </c>
      <c r="AK249" s="157" t="str">
        <f t="shared" si="20"/>
        <v/>
      </c>
      <c r="AL249" s="160" t="str">
        <f t="shared" si="21"/>
        <v/>
      </c>
      <c r="AM249" s="210"/>
      <c r="AN249" s="209"/>
    </row>
    <row r="250" spans="1:40" ht="27.95" customHeight="1">
      <c r="A250" s="134" t="str">
        <f>IF(I250&lt;&gt;"",COUNTA($I$2:I250),"")</f>
        <v/>
      </c>
      <c r="B250" s="138" t="str">
        <f t="shared" si="22"/>
        <v/>
      </c>
      <c r="C250" s="93" t="str">
        <f t="array" ref="C250">IF(E250="","",IF(M250&lt;&gt;"",
M250&amp;"/"&amp;SUMPRODUCT((M$2:M250=M250)*1)&amp;" - "&amp;(ROW()-2),
"إداري/"&amp;SUMPRODUCT((M$2:M250="")*1)&amp;" - "&amp;(ROW()-2)))</f>
        <v/>
      </c>
      <c r="D250" s="141" t="str">
        <f>IF(AND(G250="",H250="",I250=""),"",IF(COUNTIFS(LISTS!$A$2:$A$67,G250,LISTS!$B$2:$B$67,H250,LISTS!$C$2:$C$67,I250)=0,"✗ هرم",IF(NOT(OR(Z250="ممتاز 100%",Z250="جيد 80%",Z250="مقبول 60%",Z250="خطر 40%",Z250="")),"✗ قائمة R",IF(NOT(OR(AA250="ممتاز 100%",AA250="جيد 85%",AA250="مقبول 70%",AA250="ضعيف 50%",AA250="")),"✗ قائمة S",IF(NOT(OR(AB250="مكتمل 100%",AB250="جزئي 60%",AB250="معلق 30%",AB250="مفتوح 0%",AB250="")),"✗ قائمة T",IF(NOT(OR(AC250="لا خصم 0",AC250="تأخير −5",AC250="عجز −10",AC250="جودة −15",AC250="امتثال −20",AC250="مخالفة −25",AC250="")),"✗ قائمة U",IF(AND(X250="لا",AC250&lt;&gt;"",AC250&lt;&gt;"لا خصم 0"),"✗ خصم",IF(AND(X250="نعم",AC250="لا خصم 0"),"✗ خصم",IF(AND(Z250="ممتاز 100%",AA250="ممتاز 100%",AB250&lt;&gt;"",AB250&lt;&gt;"مكتمل 100%"),"✗ إغلاق",IFERROR(IF(LEN(_xlfn.TEXTJOIN("، ",TRUE,IF(E250="","التاريخ",""),IF(F250="","الوقت",""),IF(G250="","المركز",""),IF(H250="","الدائرة",""),IF(I250="","القسم",""),IF(J250="","المسؤول",""),IF(K250="","نوع النشاط",""),IF(L250="","المشروع",""),IF(N250="","الممول",""),IF(V250="","الموضوع",""),IF(W250="","الملاحظة",""),IF(X250="","مشكلة",""),IF(Y250="","الإجراء",""),IF(Z250="","التنفيذ",""),IF(AA250="","الجودة",""),IF(AB250="","الإغلاق",""),IF(AC250="","الخصم",""),IF(AND(COUNTA($O250:$U250)&gt;0,O250=""),"مدير المشروع",""),IF(AND(COUNTA($O250:$U250)&gt;0,P250=""),"المستفيدين",""),IF(AND(COUNTA($O250:$U250)&gt;0,Q250=""),"المناطق",""),IF(AND(COUNTA($O250:$U250)&gt;0,R250=""),"الميزانية",""),IF(AND(COUNTA($O250:$U250)&gt;0,S250=""),"نسبة الجاهزية",""),IF(AND(COUNTA($O250:$U250)&gt;0,T250=""),"حالة الجاهزية",""),IF(AND(COUNTA($O250:$U250)&gt;0,U250=""),"التوصيات","")))&gt;0,"✗ ناقص: "&amp;_xlfn.TEXTJOIN("، ",TRUE,IF(E250="","التاريخ",""),IF(F250="","الوقت",""),IF(G250="","المركز",""),IF(H250="","الدائرة",""),IF(I250="","القسم",""),IF(J250="","المسؤول",""),IF(K250="","نوع النشاط",""),IF(L250="","المشروع",""),IF(N250="","الممول",""),IF(V250="","الموضوع",""),IF(W250="","الملاحظة",""),IF(X250="","مشكلة",""),IF(Y250="","الإجراء",""),IF(Z250="","التنفيذ",""),IF(AA250="","الجودة",""),IF(AB250="","الإغلاق",""),IF(AC250="","الخصم",""),IF(AND(COUNTA($O250:$U250)&gt;0,O250=""),"مدير المشروع",""),IF(AND(COUNTA($O250:$U250)&gt;0,P250=""),"المستفيدين",""),IF(AND(COUNTA($O250:$U250)&gt;0,Q250=""),"المناطق",""),IF(AND(COUNTA($O250:$U250)&gt;0,R250=""),"الميزانية",""),IF(AND(COUNTA($O250:$U250)&gt;0,S250=""),"نسبة الجاهزية",""),IF(AND(COUNTA($O250:$U250)&gt;0,T250=""),"حالة الجاهزية",""),IF(AND(COUNTA($O250:$U250)&gt;0,U250=""),"التوصيات","")),"✓"),"✓"))))))))))</f>
        <v/>
      </c>
      <c r="E250" s="235"/>
      <c r="F250" s="236"/>
      <c r="G250" s="90"/>
      <c r="H250" s="239"/>
      <c r="I250" s="89"/>
      <c r="J250" s="142"/>
      <c r="K250" s="90"/>
      <c r="L250" s="90"/>
      <c r="M250" s="90"/>
      <c r="N250" s="89"/>
      <c r="O250" s="200"/>
      <c r="P250" s="201"/>
      <c r="Q250" s="201"/>
      <c r="R250" s="237"/>
      <c r="S250" s="202"/>
      <c r="T250" s="200"/>
      <c r="U250" s="203"/>
      <c r="V250" s="89"/>
      <c r="W250" s="89"/>
      <c r="X250" s="145"/>
      <c r="Y250" s="89"/>
      <c r="Z250" s="90"/>
      <c r="AA250" s="90"/>
      <c r="AB250" s="90"/>
      <c r="AC250" s="90"/>
      <c r="AD250" s="92"/>
      <c r="AE250" s="149" t="str">
        <f>IFERROR(VLOOKUP(Z250,LISTS!$AL$2:$AM$1000,2,FALSE()),"")</f>
        <v/>
      </c>
      <c r="AF250" s="151" t="str">
        <f>IFERROR(VLOOKUP(AA250,LISTS!$AO$2:$AP$1000,2,FALSE()),"")</f>
        <v/>
      </c>
      <c r="AG250" s="152" t="str">
        <f>IFERROR(VLOOKUP(AB250,LISTS!$AR$2:$AS$1000,2,FALSE()),"")</f>
        <v/>
      </c>
      <c r="AH250" s="154" t="str">
        <f>IFERROR(VLOOKUP(AC250,LISTS!$AU$2:$AV$1000,2,FALSE()),"")</f>
        <v/>
      </c>
      <c r="AI250" s="238" t="str">
        <f t="shared" si="18"/>
        <v>—</v>
      </c>
      <c r="AJ250" s="190" t="str">
        <f t="shared" si="19"/>
        <v>—</v>
      </c>
      <c r="AK250" s="157" t="str">
        <f t="shared" si="20"/>
        <v/>
      </c>
      <c r="AL250" s="160" t="str">
        <f t="shared" si="21"/>
        <v/>
      </c>
      <c r="AM250" s="210"/>
      <c r="AN250" s="209"/>
    </row>
    <row r="251" spans="1:40" ht="27.95" customHeight="1">
      <c r="A251" s="134" t="str">
        <f>IF(I251&lt;&gt;"",COUNTA($I$2:I251),"")</f>
        <v/>
      </c>
      <c r="B251" s="138" t="str">
        <f t="shared" si="22"/>
        <v/>
      </c>
      <c r="C251" s="93" t="str">
        <f t="array" ref="C251">IF(E251="","",IF(M251&lt;&gt;"",
M251&amp;"/"&amp;SUMPRODUCT((M$2:M251=M251)*1)&amp;" - "&amp;(ROW()-2),
"إداري/"&amp;SUMPRODUCT((M$2:M251="")*1)&amp;" - "&amp;(ROW()-2)))</f>
        <v/>
      </c>
      <c r="D251" s="141" t="str">
        <f>IF(AND(G251="",H251="",I251=""),"",IF(COUNTIFS(LISTS!$A$2:$A$67,G251,LISTS!$B$2:$B$67,H251,LISTS!$C$2:$C$67,I251)=0,"✗ هرم",IF(NOT(OR(Z251="ممتاز 100%",Z251="جيد 80%",Z251="مقبول 60%",Z251="خطر 40%",Z251="")),"✗ قائمة R",IF(NOT(OR(AA251="ممتاز 100%",AA251="جيد 85%",AA251="مقبول 70%",AA251="ضعيف 50%",AA251="")),"✗ قائمة S",IF(NOT(OR(AB251="مكتمل 100%",AB251="جزئي 60%",AB251="معلق 30%",AB251="مفتوح 0%",AB251="")),"✗ قائمة T",IF(NOT(OR(AC251="لا خصم 0",AC251="تأخير −5",AC251="عجز −10",AC251="جودة −15",AC251="امتثال −20",AC251="مخالفة −25",AC251="")),"✗ قائمة U",IF(AND(X251="لا",AC251&lt;&gt;"",AC251&lt;&gt;"لا خصم 0"),"✗ خصم",IF(AND(X251="نعم",AC251="لا خصم 0"),"✗ خصم",IF(AND(Z251="ممتاز 100%",AA251="ممتاز 100%",AB251&lt;&gt;"",AB251&lt;&gt;"مكتمل 100%"),"✗ إغلاق",IFERROR(IF(LEN(_xlfn.TEXTJOIN("، ",TRUE,IF(E251="","التاريخ",""),IF(F251="","الوقت",""),IF(G251="","المركز",""),IF(H251="","الدائرة",""),IF(I251="","القسم",""),IF(J251="","المسؤول",""),IF(K251="","نوع النشاط",""),IF(L251="","المشروع",""),IF(N251="","الممول",""),IF(V251="","الموضوع",""),IF(W251="","الملاحظة",""),IF(X251="","مشكلة",""),IF(Y251="","الإجراء",""),IF(Z251="","التنفيذ",""),IF(AA251="","الجودة",""),IF(AB251="","الإغلاق",""),IF(AC251="","الخصم",""),IF(AND(COUNTA($O251:$U251)&gt;0,O251=""),"مدير المشروع",""),IF(AND(COUNTA($O251:$U251)&gt;0,P251=""),"المستفيدين",""),IF(AND(COUNTA($O251:$U251)&gt;0,Q251=""),"المناطق",""),IF(AND(COUNTA($O251:$U251)&gt;0,R251=""),"الميزانية",""),IF(AND(COUNTA($O251:$U251)&gt;0,S251=""),"نسبة الجاهزية",""),IF(AND(COUNTA($O251:$U251)&gt;0,T251=""),"حالة الجاهزية",""),IF(AND(COUNTA($O251:$U251)&gt;0,U251=""),"التوصيات","")))&gt;0,"✗ ناقص: "&amp;_xlfn.TEXTJOIN("، ",TRUE,IF(E251="","التاريخ",""),IF(F251="","الوقت",""),IF(G251="","المركز",""),IF(H251="","الدائرة",""),IF(I251="","القسم",""),IF(J251="","المسؤول",""),IF(K251="","نوع النشاط",""),IF(L251="","المشروع",""),IF(N251="","الممول",""),IF(V251="","الموضوع",""),IF(W251="","الملاحظة",""),IF(X251="","مشكلة",""),IF(Y251="","الإجراء",""),IF(Z251="","التنفيذ",""),IF(AA251="","الجودة",""),IF(AB251="","الإغلاق",""),IF(AC251="","الخصم",""),IF(AND(COUNTA($O251:$U251)&gt;0,O251=""),"مدير المشروع",""),IF(AND(COUNTA($O251:$U251)&gt;0,P251=""),"المستفيدين",""),IF(AND(COUNTA($O251:$U251)&gt;0,Q251=""),"المناطق",""),IF(AND(COUNTA($O251:$U251)&gt;0,R251=""),"الميزانية",""),IF(AND(COUNTA($O251:$U251)&gt;0,S251=""),"نسبة الجاهزية",""),IF(AND(COUNTA($O251:$U251)&gt;0,T251=""),"حالة الجاهزية",""),IF(AND(COUNTA($O251:$U251)&gt;0,U251=""),"التوصيات","")),"✓"),"✓"))))))))))</f>
        <v/>
      </c>
      <c r="E251" s="235"/>
      <c r="F251" s="236"/>
      <c r="G251" s="90"/>
      <c r="H251" s="239"/>
      <c r="I251" s="89"/>
      <c r="J251" s="142"/>
      <c r="K251" s="90"/>
      <c r="L251" s="90"/>
      <c r="M251" s="90"/>
      <c r="N251" s="89"/>
      <c r="O251" s="200"/>
      <c r="P251" s="201"/>
      <c r="Q251" s="201"/>
      <c r="R251" s="237"/>
      <c r="S251" s="202"/>
      <c r="T251" s="200"/>
      <c r="U251" s="203"/>
      <c r="V251" s="89"/>
      <c r="W251" s="89"/>
      <c r="X251" s="145"/>
      <c r="Y251" s="89"/>
      <c r="Z251" s="90"/>
      <c r="AA251" s="90"/>
      <c r="AB251" s="90"/>
      <c r="AC251" s="90"/>
      <c r="AD251" s="92"/>
      <c r="AE251" s="149" t="str">
        <f>IFERROR(VLOOKUP(Z251,LISTS!$AL$2:$AM$1000,2,FALSE()),"")</f>
        <v/>
      </c>
      <c r="AF251" s="151" t="str">
        <f>IFERROR(VLOOKUP(AA251,LISTS!$AO$2:$AP$1000,2,FALSE()),"")</f>
        <v/>
      </c>
      <c r="AG251" s="152" t="str">
        <f>IFERROR(VLOOKUP(AB251,LISTS!$AR$2:$AS$1000,2,FALSE()),"")</f>
        <v/>
      </c>
      <c r="AH251" s="154" t="str">
        <f>IFERROR(VLOOKUP(AC251,LISTS!$AU$2:$AV$1000,2,FALSE()),"")</f>
        <v/>
      </c>
      <c r="AI251" s="238" t="str">
        <f t="shared" si="18"/>
        <v>—</v>
      </c>
      <c r="AJ251" s="190" t="str">
        <f t="shared" si="19"/>
        <v>—</v>
      </c>
      <c r="AK251" s="157" t="str">
        <f t="shared" si="20"/>
        <v/>
      </c>
      <c r="AL251" s="160" t="str">
        <f t="shared" si="21"/>
        <v/>
      </c>
      <c r="AM251" s="210"/>
      <c r="AN251" s="209"/>
    </row>
    <row r="252" spans="1:40" ht="27.95" customHeight="1">
      <c r="A252" s="134" t="str">
        <f>IF(I252&lt;&gt;"",COUNTA($I$2:I252),"")</f>
        <v/>
      </c>
      <c r="B252" s="138" t="str">
        <f t="shared" si="22"/>
        <v/>
      </c>
      <c r="C252" s="93" t="str">
        <f t="array" ref="C252">IF(E252="","",IF(M252&lt;&gt;"",
M252&amp;"/"&amp;SUMPRODUCT((M$2:M252=M252)*1)&amp;" - "&amp;(ROW()-2),
"إداري/"&amp;SUMPRODUCT((M$2:M252="")*1)&amp;" - "&amp;(ROW()-2)))</f>
        <v/>
      </c>
      <c r="D252" s="141" t="str">
        <f>IF(AND(G252="",H252="",I252=""),"",IF(COUNTIFS(LISTS!$A$2:$A$67,G252,LISTS!$B$2:$B$67,H252,LISTS!$C$2:$C$67,I252)=0,"✗ هرم",IF(NOT(OR(Z252="ممتاز 100%",Z252="جيد 80%",Z252="مقبول 60%",Z252="خطر 40%",Z252="")),"✗ قائمة R",IF(NOT(OR(AA252="ممتاز 100%",AA252="جيد 85%",AA252="مقبول 70%",AA252="ضعيف 50%",AA252="")),"✗ قائمة S",IF(NOT(OR(AB252="مكتمل 100%",AB252="جزئي 60%",AB252="معلق 30%",AB252="مفتوح 0%",AB252="")),"✗ قائمة T",IF(NOT(OR(AC252="لا خصم 0",AC252="تأخير −5",AC252="عجز −10",AC252="جودة −15",AC252="امتثال −20",AC252="مخالفة −25",AC252="")),"✗ قائمة U",IF(AND(X252="لا",AC252&lt;&gt;"",AC252&lt;&gt;"لا خصم 0"),"✗ خصم",IF(AND(X252="نعم",AC252="لا خصم 0"),"✗ خصم",IF(AND(Z252="ممتاز 100%",AA252="ممتاز 100%",AB252&lt;&gt;"",AB252&lt;&gt;"مكتمل 100%"),"✗ إغلاق",IFERROR(IF(LEN(_xlfn.TEXTJOIN("، ",TRUE,IF(E252="","التاريخ",""),IF(F252="","الوقت",""),IF(G252="","المركز",""),IF(H252="","الدائرة",""),IF(I252="","القسم",""),IF(J252="","المسؤول",""),IF(K252="","نوع النشاط",""),IF(L252="","المشروع",""),IF(N252="","الممول",""),IF(V252="","الموضوع",""),IF(W252="","الملاحظة",""),IF(X252="","مشكلة",""),IF(Y252="","الإجراء",""),IF(Z252="","التنفيذ",""),IF(AA252="","الجودة",""),IF(AB252="","الإغلاق",""),IF(AC252="","الخصم",""),IF(AND(COUNTA($O252:$U252)&gt;0,O252=""),"مدير المشروع",""),IF(AND(COUNTA($O252:$U252)&gt;0,P252=""),"المستفيدين",""),IF(AND(COUNTA($O252:$U252)&gt;0,Q252=""),"المناطق",""),IF(AND(COUNTA($O252:$U252)&gt;0,R252=""),"الميزانية",""),IF(AND(COUNTA($O252:$U252)&gt;0,S252=""),"نسبة الجاهزية",""),IF(AND(COUNTA($O252:$U252)&gt;0,T252=""),"حالة الجاهزية",""),IF(AND(COUNTA($O252:$U252)&gt;0,U252=""),"التوصيات","")))&gt;0,"✗ ناقص: "&amp;_xlfn.TEXTJOIN("، ",TRUE,IF(E252="","التاريخ",""),IF(F252="","الوقت",""),IF(G252="","المركز",""),IF(H252="","الدائرة",""),IF(I252="","القسم",""),IF(J252="","المسؤول",""),IF(K252="","نوع النشاط",""),IF(L252="","المشروع",""),IF(N252="","الممول",""),IF(V252="","الموضوع",""),IF(W252="","الملاحظة",""),IF(X252="","مشكلة",""),IF(Y252="","الإجراء",""),IF(Z252="","التنفيذ",""),IF(AA252="","الجودة",""),IF(AB252="","الإغلاق",""),IF(AC252="","الخصم",""),IF(AND(COUNTA($O252:$U252)&gt;0,O252=""),"مدير المشروع",""),IF(AND(COUNTA($O252:$U252)&gt;0,P252=""),"المستفيدين",""),IF(AND(COUNTA($O252:$U252)&gt;0,Q252=""),"المناطق",""),IF(AND(COUNTA($O252:$U252)&gt;0,R252=""),"الميزانية",""),IF(AND(COUNTA($O252:$U252)&gt;0,S252=""),"نسبة الجاهزية",""),IF(AND(COUNTA($O252:$U252)&gt;0,T252=""),"حالة الجاهزية",""),IF(AND(COUNTA($O252:$U252)&gt;0,U252=""),"التوصيات","")),"✓"),"✓"))))))))))</f>
        <v/>
      </c>
      <c r="E252" s="235"/>
      <c r="F252" s="236"/>
      <c r="G252" s="90"/>
      <c r="H252" s="239"/>
      <c r="I252" s="89"/>
      <c r="J252" s="142"/>
      <c r="K252" s="90"/>
      <c r="L252" s="90"/>
      <c r="M252" s="90"/>
      <c r="N252" s="89"/>
      <c r="O252" s="200"/>
      <c r="P252" s="201"/>
      <c r="Q252" s="201"/>
      <c r="R252" s="237"/>
      <c r="S252" s="202"/>
      <c r="T252" s="200"/>
      <c r="U252" s="203"/>
      <c r="V252" s="89"/>
      <c r="W252" s="89"/>
      <c r="X252" s="145"/>
      <c r="Y252" s="89"/>
      <c r="Z252" s="90"/>
      <c r="AA252" s="90"/>
      <c r="AB252" s="90"/>
      <c r="AC252" s="90"/>
      <c r="AD252" s="92"/>
      <c r="AE252" s="149" t="str">
        <f>IFERROR(VLOOKUP(Z252,LISTS!$AL$2:$AM$1000,2,FALSE()),"")</f>
        <v/>
      </c>
      <c r="AF252" s="151" t="str">
        <f>IFERROR(VLOOKUP(AA252,LISTS!$AO$2:$AP$1000,2,FALSE()),"")</f>
        <v/>
      </c>
      <c r="AG252" s="152" t="str">
        <f>IFERROR(VLOOKUP(AB252,LISTS!$AR$2:$AS$1000,2,FALSE()),"")</f>
        <v/>
      </c>
      <c r="AH252" s="154" t="str">
        <f>IFERROR(VLOOKUP(AC252,LISTS!$AU$2:$AV$1000,2,FALSE()),"")</f>
        <v/>
      </c>
      <c r="AI252" s="238" t="str">
        <f t="shared" si="18"/>
        <v>—</v>
      </c>
      <c r="AJ252" s="190" t="str">
        <f t="shared" si="19"/>
        <v>—</v>
      </c>
      <c r="AK252" s="157" t="str">
        <f t="shared" si="20"/>
        <v/>
      </c>
      <c r="AL252" s="160" t="str">
        <f t="shared" si="21"/>
        <v/>
      </c>
      <c r="AM252" s="210"/>
      <c r="AN252" s="209"/>
    </row>
    <row r="253" spans="1:40" ht="27.95" customHeight="1">
      <c r="A253" s="134" t="str">
        <f>IF(I253&lt;&gt;"",COUNTA($I$2:I253),"")</f>
        <v/>
      </c>
      <c r="B253" s="138" t="str">
        <f t="shared" si="22"/>
        <v/>
      </c>
      <c r="C253" s="93" t="str">
        <f t="array" ref="C253">IF(E253="","",IF(M253&lt;&gt;"",
M253&amp;"/"&amp;SUMPRODUCT((M$2:M253=M253)*1)&amp;" - "&amp;(ROW()-2),
"إداري/"&amp;SUMPRODUCT((M$2:M253="")*1)&amp;" - "&amp;(ROW()-2)))</f>
        <v/>
      </c>
      <c r="D253" s="141" t="str">
        <f>IF(AND(G253="",H253="",I253=""),"",IF(COUNTIFS(LISTS!$A$2:$A$67,G253,LISTS!$B$2:$B$67,H253,LISTS!$C$2:$C$67,I253)=0,"✗ هرم",IF(NOT(OR(Z253="ممتاز 100%",Z253="جيد 80%",Z253="مقبول 60%",Z253="خطر 40%",Z253="")),"✗ قائمة R",IF(NOT(OR(AA253="ممتاز 100%",AA253="جيد 85%",AA253="مقبول 70%",AA253="ضعيف 50%",AA253="")),"✗ قائمة S",IF(NOT(OR(AB253="مكتمل 100%",AB253="جزئي 60%",AB253="معلق 30%",AB253="مفتوح 0%",AB253="")),"✗ قائمة T",IF(NOT(OR(AC253="لا خصم 0",AC253="تأخير −5",AC253="عجز −10",AC253="جودة −15",AC253="امتثال −20",AC253="مخالفة −25",AC253="")),"✗ قائمة U",IF(AND(X253="لا",AC253&lt;&gt;"",AC253&lt;&gt;"لا خصم 0"),"✗ خصم",IF(AND(X253="نعم",AC253="لا خصم 0"),"✗ خصم",IF(AND(Z253="ممتاز 100%",AA253="ممتاز 100%",AB253&lt;&gt;"",AB253&lt;&gt;"مكتمل 100%"),"✗ إغلاق",IFERROR(IF(LEN(_xlfn.TEXTJOIN("، ",TRUE,IF(E253="","التاريخ",""),IF(F253="","الوقت",""),IF(G253="","المركز",""),IF(H253="","الدائرة",""),IF(I253="","القسم",""),IF(J253="","المسؤول",""),IF(K253="","نوع النشاط",""),IF(L253="","المشروع",""),IF(N253="","الممول",""),IF(V253="","الموضوع",""),IF(W253="","الملاحظة",""),IF(X253="","مشكلة",""),IF(Y253="","الإجراء",""),IF(Z253="","التنفيذ",""),IF(AA253="","الجودة",""),IF(AB253="","الإغلاق",""),IF(AC253="","الخصم",""),IF(AND(COUNTA($O253:$U253)&gt;0,O253=""),"مدير المشروع",""),IF(AND(COUNTA($O253:$U253)&gt;0,P253=""),"المستفيدين",""),IF(AND(COUNTA($O253:$U253)&gt;0,Q253=""),"المناطق",""),IF(AND(COUNTA($O253:$U253)&gt;0,R253=""),"الميزانية",""),IF(AND(COUNTA($O253:$U253)&gt;0,S253=""),"نسبة الجاهزية",""),IF(AND(COUNTA($O253:$U253)&gt;0,T253=""),"حالة الجاهزية",""),IF(AND(COUNTA($O253:$U253)&gt;0,U253=""),"التوصيات","")))&gt;0,"✗ ناقص: "&amp;_xlfn.TEXTJOIN("، ",TRUE,IF(E253="","التاريخ",""),IF(F253="","الوقت",""),IF(G253="","المركز",""),IF(H253="","الدائرة",""),IF(I253="","القسم",""),IF(J253="","المسؤول",""),IF(K253="","نوع النشاط",""),IF(L253="","المشروع",""),IF(N253="","الممول",""),IF(V253="","الموضوع",""),IF(W253="","الملاحظة",""),IF(X253="","مشكلة",""),IF(Y253="","الإجراء",""),IF(Z253="","التنفيذ",""),IF(AA253="","الجودة",""),IF(AB253="","الإغلاق",""),IF(AC253="","الخصم",""),IF(AND(COUNTA($O253:$U253)&gt;0,O253=""),"مدير المشروع",""),IF(AND(COUNTA($O253:$U253)&gt;0,P253=""),"المستفيدين",""),IF(AND(COUNTA($O253:$U253)&gt;0,Q253=""),"المناطق",""),IF(AND(COUNTA($O253:$U253)&gt;0,R253=""),"الميزانية",""),IF(AND(COUNTA($O253:$U253)&gt;0,S253=""),"نسبة الجاهزية",""),IF(AND(COUNTA($O253:$U253)&gt;0,T253=""),"حالة الجاهزية",""),IF(AND(COUNTA($O253:$U253)&gt;0,U253=""),"التوصيات","")),"✓"),"✓"))))))))))</f>
        <v/>
      </c>
      <c r="E253" s="235"/>
      <c r="F253" s="236"/>
      <c r="G253" s="90"/>
      <c r="H253" s="239"/>
      <c r="I253" s="89"/>
      <c r="J253" s="142"/>
      <c r="K253" s="90"/>
      <c r="L253" s="90"/>
      <c r="M253" s="90"/>
      <c r="N253" s="89"/>
      <c r="O253" s="200"/>
      <c r="P253" s="201"/>
      <c r="Q253" s="201"/>
      <c r="R253" s="237"/>
      <c r="S253" s="202"/>
      <c r="T253" s="200"/>
      <c r="U253" s="203"/>
      <c r="V253" s="89"/>
      <c r="W253" s="89"/>
      <c r="X253" s="145"/>
      <c r="Y253" s="89"/>
      <c r="Z253" s="90"/>
      <c r="AA253" s="90"/>
      <c r="AB253" s="90"/>
      <c r="AC253" s="90"/>
      <c r="AD253" s="92"/>
      <c r="AE253" s="149" t="str">
        <f>IFERROR(VLOOKUP(Z253,LISTS!$AL$2:$AM$1000,2,FALSE()),"")</f>
        <v/>
      </c>
      <c r="AF253" s="151" t="str">
        <f>IFERROR(VLOOKUP(AA253,LISTS!$AO$2:$AP$1000,2,FALSE()),"")</f>
        <v/>
      </c>
      <c r="AG253" s="152" t="str">
        <f>IFERROR(VLOOKUP(AB253,LISTS!$AR$2:$AS$1000,2,FALSE()),"")</f>
        <v/>
      </c>
      <c r="AH253" s="154" t="str">
        <f>IFERROR(VLOOKUP(AC253,LISTS!$AU$2:$AV$1000,2,FALSE()),"")</f>
        <v/>
      </c>
      <c r="AI253" s="238" t="str">
        <f t="shared" si="18"/>
        <v>—</v>
      </c>
      <c r="AJ253" s="190" t="str">
        <f t="shared" si="19"/>
        <v>—</v>
      </c>
      <c r="AK253" s="157" t="str">
        <f t="shared" si="20"/>
        <v/>
      </c>
      <c r="AL253" s="160" t="str">
        <f t="shared" si="21"/>
        <v/>
      </c>
      <c r="AM253" s="210"/>
      <c r="AN253" s="209"/>
    </row>
    <row r="254" spans="1:40" ht="27.95" customHeight="1">
      <c r="A254" s="134" t="str">
        <f>IF(I254&lt;&gt;"",COUNTA($I$2:I254),"")</f>
        <v/>
      </c>
      <c r="B254" s="138" t="str">
        <f t="shared" si="22"/>
        <v/>
      </c>
      <c r="C254" s="93" t="str">
        <f t="array" ref="C254">IF(E254="","",IF(M254&lt;&gt;"",
M254&amp;"/"&amp;SUMPRODUCT((M$2:M254=M254)*1)&amp;" - "&amp;(ROW()-2),
"إداري/"&amp;SUMPRODUCT((M$2:M254="")*1)&amp;" - "&amp;(ROW()-2)))</f>
        <v/>
      </c>
      <c r="D254" s="141" t="str">
        <f>IF(AND(G254="",H254="",I254=""),"",IF(COUNTIFS(LISTS!$A$2:$A$67,G254,LISTS!$B$2:$B$67,H254,LISTS!$C$2:$C$67,I254)=0,"✗ هرم",IF(NOT(OR(Z254="ممتاز 100%",Z254="جيد 80%",Z254="مقبول 60%",Z254="خطر 40%",Z254="")),"✗ قائمة R",IF(NOT(OR(AA254="ممتاز 100%",AA254="جيد 85%",AA254="مقبول 70%",AA254="ضعيف 50%",AA254="")),"✗ قائمة S",IF(NOT(OR(AB254="مكتمل 100%",AB254="جزئي 60%",AB254="معلق 30%",AB254="مفتوح 0%",AB254="")),"✗ قائمة T",IF(NOT(OR(AC254="لا خصم 0",AC254="تأخير −5",AC254="عجز −10",AC254="جودة −15",AC254="امتثال −20",AC254="مخالفة −25",AC254="")),"✗ قائمة U",IF(AND(X254="لا",AC254&lt;&gt;"",AC254&lt;&gt;"لا خصم 0"),"✗ خصم",IF(AND(X254="نعم",AC254="لا خصم 0"),"✗ خصم",IF(AND(Z254="ممتاز 100%",AA254="ممتاز 100%",AB254&lt;&gt;"",AB254&lt;&gt;"مكتمل 100%"),"✗ إغلاق",IFERROR(IF(LEN(_xlfn.TEXTJOIN("، ",TRUE,IF(E254="","التاريخ",""),IF(F254="","الوقت",""),IF(G254="","المركز",""),IF(H254="","الدائرة",""),IF(I254="","القسم",""),IF(J254="","المسؤول",""),IF(K254="","نوع النشاط",""),IF(L254="","المشروع",""),IF(N254="","الممول",""),IF(V254="","الموضوع",""),IF(W254="","الملاحظة",""),IF(X254="","مشكلة",""),IF(Y254="","الإجراء",""),IF(Z254="","التنفيذ",""),IF(AA254="","الجودة",""),IF(AB254="","الإغلاق",""),IF(AC254="","الخصم",""),IF(AND(COUNTA($O254:$U254)&gt;0,O254=""),"مدير المشروع",""),IF(AND(COUNTA($O254:$U254)&gt;0,P254=""),"المستفيدين",""),IF(AND(COUNTA($O254:$U254)&gt;0,Q254=""),"المناطق",""),IF(AND(COUNTA($O254:$U254)&gt;0,R254=""),"الميزانية",""),IF(AND(COUNTA($O254:$U254)&gt;0,S254=""),"نسبة الجاهزية",""),IF(AND(COUNTA($O254:$U254)&gt;0,T254=""),"حالة الجاهزية",""),IF(AND(COUNTA($O254:$U254)&gt;0,U254=""),"التوصيات","")))&gt;0,"✗ ناقص: "&amp;_xlfn.TEXTJOIN("، ",TRUE,IF(E254="","التاريخ",""),IF(F254="","الوقت",""),IF(G254="","المركز",""),IF(H254="","الدائرة",""),IF(I254="","القسم",""),IF(J254="","المسؤول",""),IF(K254="","نوع النشاط",""),IF(L254="","المشروع",""),IF(N254="","الممول",""),IF(V254="","الموضوع",""),IF(W254="","الملاحظة",""),IF(X254="","مشكلة",""),IF(Y254="","الإجراء",""),IF(Z254="","التنفيذ",""),IF(AA254="","الجودة",""),IF(AB254="","الإغلاق",""),IF(AC254="","الخصم",""),IF(AND(COUNTA($O254:$U254)&gt;0,O254=""),"مدير المشروع",""),IF(AND(COUNTA($O254:$U254)&gt;0,P254=""),"المستفيدين",""),IF(AND(COUNTA($O254:$U254)&gt;0,Q254=""),"المناطق",""),IF(AND(COUNTA($O254:$U254)&gt;0,R254=""),"الميزانية",""),IF(AND(COUNTA($O254:$U254)&gt;0,S254=""),"نسبة الجاهزية",""),IF(AND(COUNTA($O254:$U254)&gt;0,T254=""),"حالة الجاهزية",""),IF(AND(COUNTA($O254:$U254)&gt;0,U254=""),"التوصيات","")),"✓"),"✓"))))))))))</f>
        <v/>
      </c>
      <c r="E254" s="235"/>
      <c r="F254" s="236"/>
      <c r="G254" s="90"/>
      <c r="H254" s="239"/>
      <c r="I254" s="89"/>
      <c r="J254" s="142"/>
      <c r="K254" s="90"/>
      <c r="L254" s="90"/>
      <c r="M254" s="90"/>
      <c r="N254" s="89"/>
      <c r="O254" s="200"/>
      <c r="P254" s="201"/>
      <c r="Q254" s="201"/>
      <c r="R254" s="237"/>
      <c r="S254" s="202"/>
      <c r="T254" s="200"/>
      <c r="U254" s="203"/>
      <c r="V254" s="89"/>
      <c r="W254" s="89"/>
      <c r="X254" s="145"/>
      <c r="Y254" s="89"/>
      <c r="Z254" s="90"/>
      <c r="AA254" s="90"/>
      <c r="AB254" s="90"/>
      <c r="AC254" s="90"/>
      <c r="AD254" s="92"/>
      <c r="AE254" s="149" t="str">
        <f>IFERROR(VLOOKUP(Z254,LISTS!$AL$2:$AM$1000,2,FALSE()),"")</f>
        <v/>
      </c>
      <c r="AF254" s="151" t="str">
        <f>IFERROR(VLOOKUP(AA254,LISTS!$AO$2:$AP$1000,2,FALSE()),"")</f>
        <v/>
      </c>
      <c r="AG254" s="152" t="str">
        <f>IFERROR(VLOOKUP(AB254,LISTS!$AR$2:$AS$1000,2,FALSE()),"")</f>
        <v/>
      </c>
      <c r="AH254" s="154" t="str">
        <f>IFERROR(VLOOKUP(AC254,LISTS!$AU$2:$AV$1000,2,FALSE()),"")</f>
        <v/>
      </c>
      <c r="AI254" s="238" t="str">
        <f t="shared" si="18"/>
        <v>—</v>
      </c>
      <c r="AJ254" s="190" t="str">
        <f t="shared" si="19"/>
        <v>—</v>
      </c>
      <c r="AK254" s="157" t="str">
        <f t="shared" si="20"/>
        <v/>
      </c>
      <c r="AL254" s="160" t="str">
        <f t="shared" si="21"/>
        <v/>
      </c>
      <c r="AM254" s="210"/>
      <c r="AN254" s="209"/>
    </row>
    <row r="255" spans="1:40" ht="27.95" customHeight="1">
      <c r="A255" s="134" t="str">
        <f>IF(I255&lt;&gt;"",COUNTA($I$2:I255),"")</f>
        <v/>
      </c>
      <c r="B255" s="138" t="str">
        <f t="shared" si="22"/>
        <v/>
      </c>
      <c r="C255" s="93" t="str">
        <f t="array" ref="C255">IF(E255="","",IF(M255&lt;&gt;"",
M255&amp;"/"&amp;SUMPRODUCT((M$2:M255=M255)*1)&amp;" - "&amp;(ROW()-2),
"إداري/"&amp;SUMPRODUCT((M$2:M255="")*1)&amp;" - "&amp;(ROW()-2)))</f>
        <v/>
      </c>
      <c r="D255" s="141" t="str">
        <f>IF(AND(G255="",H255="",I255=""),"",IF(COUNTIFS(LISTS!$A$2:$A$67,G255,LISTS!$B$2:$B$67,H255,LISTS!$C$2:$C$67,I255)=0,"✗ هرم",IF(NOT(OR(Z255="ممتاز 100%",Z255="جيد 80%",Z255="مقبول 60%",Z255="خطر 40%",Z255="")),"✗ قائمة R",IF(NOT(OR(AA255="ممتاز 100%",AA255="جيد 85%",AA255="مقبول 70%",AA255="ضعيف 50%",AA255="")),"✗ قائمة S",IF(NOT(OR(AB255="مكتمل 100%",AB255="جزئي 60%",AB255="معلق 30%",AB255="مفتوح 0%",AB255="")),"✗ قائمة T",IF(NOT(OR(AC255="لا خصم 0",AC255="تأخير −5",AC255="عجز −10",AC255="جودة −15",AC255="امتثال −20",AC255="مخالفة −25",AC255="")),"✗ قائمة U",IF(AND(X255="لا",AC255&lt;&gt;"",AC255&lt;&gt;"لا خصم 0"),"✗ خصم",IF(AND(X255="نعم",AC255="لا خصم 0"),"✗ خصم",IF(AND(Z255="ممتاز 100%",AA255="ممتاز 100%",AB255&lt;&gt;"",AB255&lt;&gt;"مكتمل 100%"),"✗ إغلاق",IFERROR(IF(LEN(_xlfn.TEXTJOIN("، ",TRUE,IF(E255="","التاريخ",""),IF(F255="","الوقت",""),IF(G255="","المركز",""),IF(H255="","الدائرة",""),IF(I255="","القسم",""),IF(J255="","المسؤول",""),IF(K255="","نوع النشاط",""),IF(L255="","المشروع",""),IF(N255="","الممول",""),IF(V255="","الموضوع",""),IF(W255="","الملاحظة",""),IF(X255="","مشكلة",""),IF(Y255="","الإجراء",""),IF(Z255="","التنفيذ",""),IF(AA255="","الجودة",""),IF(AB255="","الإغلاق",""),IF(AC255="","الخصم",""),IF(AND(COUNTA($O255:$U255)&gt;0,O255=""),"مدير المشروع",""),IF(AND(COUNTA($O255:$U255)&gt;0,P255=""),"المستفيدين",""),IF(AND(COUNTA($O255:$U255)&gt;0,Q255=""),"المناطق",""),IF(AND(COUNTA($O255:$U255)&gt;0,R255=""),"الميزانية",""),IF(AND(COUNTA($O255:$U255)&gt;0,S255=""),"نسبة الجاهزية",""),IF(AND(COUNTA($O255:$U255)&gt;0,T255=""),"حالة الجاهزية",""),IF(AND(COUNTA($O255:$U255)&gt;0,U255=""),"التوصيات","")))&gt;0,"✗ ناقص: "&amp;_xlfn.TEXTJOIN("، ",TRUE,IF(E255="","التاريخ",""),IF(F255="","الوقت",""),IF(G255="","المركز",""),IF(H255="","الدائرة",""),IF(I255="","القسم",""),IF(J255="","المسؤول",""),IF(K255="","نوع النشاط",""),IF(L255="","المشروع",""),IF(N255="","الممول",""),IF(V255="","الموضوع",""),IF(W255="","الملاحظة",""),IF(X255="","مشكلة",""),IF(Y255="","الإجراء",""),IF(Z255="","التنفيذ",""),IF(AA255="","الجودة",""),IF(AB255="","الإغلاق",""),IF(AC255="","الخصم",""),IF(AND(COUNTA($O255:$U255)&gt;0,O255=""),"مدير المشروع",""),IF(AND(COUNTA($O255:$U255)&gt;0,P255=""),"المستفيدين",""),IF(AND(COUNTA($O255:$U255)&gt;0,Q255=""),"المناطق",""),IF(AND(COUNTA($O255:$U255)&gt;0,R255=""),"الميزانية",""),IF(AND(COUNTA($O255:$U255)&gt;0,S255=""),"نسبة الجاهزية",""),IF(AND(COUNTA($O255:$U255)&gt;0,T255=""),"حالة الجاهزية",""),IF(AND(COUNTA($O255:$U255)&gt;0,U255=""),"التوصيات","")),"✓"),"✓"))))))))))</f>
        <v/>
      </c>
      <c r="E255" s="235"/>
      <c r="F255" s="236"/>
      <c r="G255" s="90"/>
      <c r="H255" s="239"/>
      <c r="I255" s="89"/>
      <c r="J255" s="142"/>
      <c r="K255" s="90"/>
      <c r="L255" s="90"/>
      <c r="M255" s="90"/>
      <c r="N255" s="89"/>
      <c r="O255" s="200"/>
      <c r="P255" s="201"/>
      <c r="Q255" s="201"/>
      <c r="R255" s="237"/>
      <c r="S255" s="202"/>
      <c r="T255" s="200"/>
      <c r="U255" s="203"/>
      <c r="V255" s="89"/>
      <c r="W255" s="89"/>
      <c r="X255" s="145"/>
      <c r="Y255" s="89"/>
      <c r="Z255" s="90"/>
      <c r="AA255" s="90"/>
      <c r="AB255" s="90"/>
      <c r="AC255" s="90"/>
      <c r="AD255" s="92"/>
      <c r="AE255" s="149" t="str">
        <f>IFERROR(VLOOKUP(Z255,LISTS!$AL$2:$AM$1000,2,FALSE()),"")</f>
        <v/>
      </c>
      <c r="AF255" s="151" t="str">
        <f>IFERROR(VLOOKUP(AA255,LISTS!$AO$2:$AP$1000,2,FALSE()),"")</f>
        <v/>
      </c>
      <c r="AG255" s="152" t="str">
        <f>IFERROR(VLOOKUP(AB255,LISTS!$AR$2:$AS$1000,2,FALSE()),"")</f>
        <v/>
      </c>
      <c r="AH255" s="154" t="str">
        <f>IFERROR(VLOOKUP(AC255,LISTS!$AU$2:$AV$1000,2,FALSE()),"")</f>
        <v/>
      </c>
      <c r="AI255" s="238" t="str">
        <f t="shared" si="18"/>
        <v>—</v>
      </c>
      <c r="AJ255" s="190" t="str">
        <f t="shared" si="19"/>
        <v>—</v>
      </c>
      <c r="AK255" s="157" t="str">
        <f t="shared" si="20"/>
        <v/>
      </c>
      <c r="AL255" s="160" t="str">
        <f t="shared" si="21"/>
        <v/>
      </c>
      <c r="AM255" s="210"/>
      <c r="AN255" s="209"/>
    </row>
    <row r="256" spans="1:40" ht="27.95" customHeight="1">
      <c r="A256" s="134" t="str">
        <f>IF(I256&lt;&gt;"",COUNTA($I$2:I256),"")</f>
        <v/>
      </c>
      <c r="B256" s="138" t="str">
        <f t="shared" si="22"/>
        <v/>
      </c>
      <c r="C256" s="93" t="str">
        <f t="array" ref="C256">IF(E256="","",IF(M256&lt;&gt;"",
M256&amp;"/"&amp;SUMPRODUCT((M$2:M256=M256)*1)&amp;" - "&amp;(ROW()-2),
"إداري/"&amp;SUMPRODUCT((M$2:M256="")*1)&amp;" - "&amp;(ROW()-2)))</f>
        <v/>
      </c>
      <c r="D256" s="141" t="str">
        <f>IF(AND(G256="",H256="",I256=""),"",IF(COUNTIFS(LISTS!$A$2:$A$67,G256,LISTS!$B$2:$B$67,H256,LISTS!$C$2:$C$67,I256)=0,"✗ هرم",IF(NOT(OR(Z256="ممتاز 100%",Z256="جيد 80%",Z256="مقبول 60%",Z256="خطر 40%",Z256="")),"✗ قائمة R",IF(NOT(OR(AA256="ممتاز 100%",AA256="جيد 85%",AA256="مقبول 70%",AA256="ضعيف 50%",AA256="")),"✗ قائمة S",IF(NOT(OR(AB256="مكتمل 100%",AB256="جزئي 60%",AB256="معلق 30%",AB256="مفتوح 0%",AB256="")),"✗ قائمة T",IF(NOT(OR(AC256="لا خصم 0",AC256="تأخير −5",AC256="عجز −10",AC256="جودة −15",AC256="امتثال −20",AC256="مخالفة −25",AC256="")),"✗ قائمة U",IF(AND(X256="لا",AC256&lt;&gt;"",AC256&lt;&gt;"لا خصم 0"),"✗ خصم",IF(AND(X256="نعم",AC256="لا خصم 0"),"✗ خصم",IF(AND(Z256="ممتاز 100%",AA256="ممتاز 100%",AB256&lt;&gt;"",AB256&lt;&gt;"مكتمل 100%"),"✗ إغلاق",IFERROR(IF(LEN(_xlfn.TEXTJOIN("، ",TRUE,IF(E256="","التاريخ",""),IF(F256="","الوقت",""),IF(G256="","المركز",""),IF(H256="","الدائرة",""),IF(I256="","القسم",""),IF(J256="","المسؤول",""),IF(K256="","نوع النشاط",""),IF(L256="","المشروع",""),IF(N256="","الممول",""),IF(V256="","الموضوع",""),IF(W256="","الملاحظة",""),IF(X256="","مشكلة",""),IF(Y256="","الإجراء",""),IF(Z256="","التنفيذ",""),IF(AA256="","الجودة",""),IF(AB256="","الإغلاق",""),IF(AC256="","الخصم",""),IF(AND(COUNTA($O256:$U256)&gt;0,O256=""),"مدير المشروع",""),IF(AND(COUNTA($O256:$U256)&gt;0,P256=""),"المستفيدين",""),IF(AND(COUNTA($O256:$U256)&gt;0,Q256=""),"المناطق",""),IF(AND(COUNTA($O256:$U256)&gt;0,R256=""),"الميزانية",""),IF(AND(COUNTA($O256:$U256)&gt;0,S256=""),"نسبة الجاهزية",""),IF(AND(COUNTA($O256:$U256)&gt;0,T256=""),"حالة الجاهزية",""),IF(AND(COUNTA($O256:$U256)&gt;0,U256=""),"التوصيات","")))&gt;0,"✗ ناقص: "&amp;_xlfn.TEXTJOIN("، ",TRUE,IF(E256="","التاريخ",""),IF(F256="","الوقت",""),IF(G256="","المركز",""),IF(H256="","الدائرة",""),IF(I256="","القسم",""),IF(J256="","المسؤول",""),IF(K256="","نوع النشاط",""),IF(L256="","المشروع",""),IF(N256="","الممول",""),IF(V256="","الموضوع",""),IF(W256="","الملاحظة",""),IF(X256="","مشكلة",""),IF(Y256="","الإجراء",""),IF(Z256="","التنفيذ",""),IF(AA256="","الجودة",""),IF(AB256="","الإغلاق",""),IF(AC256="","الخصم",""),IF(AND(COUNTA($O256:$U256)&gt;0,O256=""),"مدير المشروع",""),IF(AND(COUNTA($O256:$U256)&gt;0,P256=""),"المستفيدين",""),IF(AND(COUNTA($O256:$U256)&gt;0,Q256=""),"المناطق",""),IF(AND(COUNTA($O256:$U256)&gt;0,R256=""),"الميزانية",""),IF(AND(COUNTA($O256:$U256)&gt;0,S256=""),"نسبة الجاهزية",""),IF(AND(COUNTA($O256:$U256)&gt;0,T256=""),"حالة الجاهزية",""),IF(AND(COUNTA($O256:$U256)&gt;0,U256=""),"التوصيات","")),"✓"),"✓"))))))))))</f>
        <v/>
      </c>
      <c r="E256" s="235"/>
      <c r="F256" s="236"/>
      <c r="G256" s="90"/>
      <c r="H256" s="239"/>
      <c r="I256" s="89"/>
      <c r="J256" s="142"/>
      <c r="K256" s="90"/>
      <c r="L256" s="90"/>
      <c r="M256" s="90"/>
      <c r="N256" s="89"/>
      <c r="O256" s="200"/>
      <c r="P256" s="201"/>
      <c r="Q256" s="201"/>
      <c r="R256" s="237"/>
      <c r="S256" s="202"/>
      <c r="T256" s="200"/>
      <c r="U256" s="203"/>
      <c r="V256" s="89"/>
      <c r="W256" s="89"/>
      <c r="X256" s="145"/>
      <c r="Y256" s="89"/>
      <c r="Z256" s="90"/>
      <c r="AA256" s="90"/>
      <c r="AB256" s="90"/>
      <c r="AC256" s="90"/>
      <c r="AD256" s="92"/>
      <c r="AE256" s="149" t="str">
        <f>IFERROR(VLOOKUP(Z256,LISTS!$AL$2:$AM$1000,2,FALSE()),"")</f>
        <v/>
      </c>
      <c r="AF256" s="151" t="str">
        <f>IFERROR(VLOOKUP(AA256,LISTS!$AO$2:$AP$1000,2,FALSE()),"")</f>
        <v/>
      </c>
      <c r="AG256" s="152" t="str">
        <f>IFERROR(VLOOKUP(AB256,LISTS!$AR$2:$AS$1000,2,FALSE()),"")</f>
        <v/>
      </c>
      <c r="AH256" s="154" t="str">
        <f>IFERROR(VLOOKUP(AC256,LISTS!$AU$2:$AV$1000,2,FALSE()),"")</f>
        <v/>
      </c>
      <c r="AI256" s="238" t="str">
        <f t="shared" si="18"/>
        <v>—</v>
      </c>
      <c r="AJ256" s="190" t="str">
        <f t="shared" si="19"/>
        <v>—</v>
      </c>
      <c r="AK256" s="157" t="str">
        <f t="shared" si="20"/>
        <v/>
      </c>
      <c r="AL256" s="160" t="str">
        <f t="shared" si="21"/>
        <v/>
      </c>
      <c r="AM256" s="210"/>
      <c r="AN256" s="209"/>
    </row>
    <row r="257" spans="1:40" ht="27.95" customHeight="1">
      <c r="A257" s="134" t="str">
        <f>IF(I257&lt;&gt;"",COUNTA($I$2:I257),"")</f>
        <v/>
      </c>
      <c r="B257" s="138" t="str">
        <f t="shared" si="22"/>
        <v/>
      </c>
      <c r="C257" s="93" t="str">
        <f t="array" ref="C257">IF(E257="","",IF(M257&lt;&gt;"",
M257&amp;"/"&amp;SUMPRODUCT((M$2:M257=M257)*1)&amp;" - "&amp;(ROW()-2),
"إداري/"&amp;SUMPRODUCT((M$2:M257="")*1)&amp;" - "&amp;(ROW()-2)))</f>
        <v/>
      </c>
      <c r="D257" s="141" t="str">
        <f>IF(AND(G257="",H257="",I257=""),"",IF(COUNTIFS(LISTS!$A$2:$A$67,G257,LISTS!$B$2:$B$67,H257,LISTS!$C$2:$C$67,I257)=0,"✗ هرم",IF(NOT(OR(Z257="ممتاز 100%",Z257="جيد 80%",Z257="مقبول 60%",Z257="خطر 40%",Z257="")),"✗ قائمة R",IF(NOT(OR(AA257="ممتاز 100%",AA257="جيد 85%",AA257="مقبول 70%",AA257="ضعيف 50%",AA257="")),"✗ قائمة S",IF(NOT(OR(AB257="مكتمل 100%",AB257="جزئي 60%",AB257="معلق 30%",AB257="مفتوح 0%",AB257="")),"✗ قائمة T",IF(NOT(OR(AC257="لا خصم 0",AC257="تأخير −5",AC257="عجز −10",AC257="جودة −15",AC257="امتثال −20",AC257="مخالفة −25",AC257="")),"✗ قائمة U",IF(AND(X257="لا",AC257&lt;&gt;"",AC257&lt;&gt;"لا خصم 0"),"✗ خصم",IF(AND(X257="نعم",AC257="لا خصم 0"),"✗ خصم",IF(AND(Z257="ممتاز 100%",AA257="ممتاز 100%",AB257&lt;&gt;"",AB257&lt;&gt;"مكتمل 100%"),"✗ إغلاق",IFERROR(IF(LEN(_xlfn.TEXTJOIN("، ",TRUE,IF(E257="","التاريخ",""),IF(F257="","الوقت",""),IF(G257="","المركز",""),IF(H257="","الدائرة",""),IF(I257="","القسم",""),IF(J257="","المسؤول",""),IF(K257="","نوع النشاط",""),IF(L257="","المشروع",""),IF(N257="","الممول",""),IF(V257="","الموضوع",""),IF(W257="","الملاحظة",""),IF(X257="","مشكلة",""),IF(Y257="","الإجراء",""),IF(Z257="","التنفيذ",""),IF(AA257="","الجودة",""),IF(AB257="","الإغلاق",""),IF(AC257="","الخصم",""),IF(AND(COUNTA($O257:$U257)&gt;0,O257=""),"مدير المشروع",""),IF(AND(COUNTA($O257:$U257)&gt;0,P257=""),"المستفيدين",""),IF(AND(COUNTA($O257:$U257)&gt;0,Q257=""),"المناطق",""),IF(AND(COUNTA($O257:$U257)&gt;0,R257=""),"الميزانية",""),IF(AND(COUNTA($O257:$U257)&gt;0,S257=""),"نسبة الجاهزية",""),IF(AND(COUNTA($O257:$U257)&gt;0,T257=""),"حالة الجاهزية",""),IF(AND(COUNTA($O257:$U257)&gt;0,U257=""),"التوصيات","")))&gt;0,"✗ ناقص: "&amp;_xlfn.TEXTJOIN("، ",TRUE,IF(E257="","التاريخ",""),IF(F257="","الوقت",""),IF(G257="","المركز",""),IF(H257="","الدائرة",""),IF(I257="","القسم",""),IF(J257="","المسؤول",""),IF(K257="","نوع النشاط",""),IF(L257="","المشروع",""),IF(N257="","الممول",""),IF(V257="","الموضوع",""),IF(W257="","الملاحظة",""),IF(X257="","مشكلة",""),IF(Y257="","الإجراء",""),IF(Z257="","التنفيذ",""),IF(AA257="","الجودة",""),IF(AB257="","الإغلاق",""),IF(AC257="","الخصم",""),IF(AND(COUNTA($O257:$U257)&gt;0,O257=""),"مدير المشروع",""),IF(AND(COUNTA($O257:$U257)&gt;0,P257=""),"المستفيدين",""),IF(AND(COUNTA($O257:$U257)&gt;0,Q257=""),"المناطق",""),IF(AND(COUNTA($O257:$U257)&gt;0,R257=""),"الميزانية",""),IF(AND(COUNTA($O257:$U257)&gt;0,S257=""),"نسبة الجاهزية",""),IF(AND(COUNTA($O257:$U257)&gt;0,T257=""),"حالة الجاهزية",""),IF(AND(COUNTA($O257:$U257)&gt;0,U257=""),"التوصيات","")),"✓"),"✓"))))))))))</f>
        <v/>
      </c>
      <c r="E257" s="235"/>
      <c r="F257" s="236"/>
      <c r="G257" s="90"/>
      <c r="H257" s="239"/>
      <c r="I257" s="89"/>
      <c r="J257" s="142"/>
      <c r="K257" s="90"/>
      <c r="L257" s="90"/>
      <c r="M257" s="90"/>
      <c r="N257" s="89"/>
      <c r="O257" s="200"/>
      <c r="P257" s="201"/>
      <c r="Q257" s="201"/>
      <c r="R257" s="237"/>
      <c r="S257" s="202"/>
      <c r="T257" s="200"/>
      <c r="U257" s="203"/>
      <c r="V257" s="89"/>
      <c r="W257" s="89"/>
      <c r="X257" s="145"/>
      <c r="Y257" s="89"/>
      <c r="Z257" s="90"/>
      <c r="AA257" s="90"/>
      <c r="AB257" s="90"/>
      <c r="AC257" s="90"/>
      <c r="AD257" s="92"/>
      <c r="AE257" s="149" t="str">
        <f>IFERROR(VLOOKUP(Z257,LISTS!$AL$2:$AM$1000,2,FALSE()),"")</f>
        <v/>
      </c>
      <c r="AF257" s="151" t="str">
        <f>IFERROR(VLOOKUP(AA257,LISTS!$AO$2:$AP$1000,2,FALSE()),"")</f>
        <v/>
      </c>
      <c r="AG257" s="152" t="str">
        <f>IFERROR(VLOOKUP(AB257,LISTS!$AR$2:$AS$1000,2,FALSE()),"")</f>
        <v/>
      </c>
      <c r="AH257" s="154" t="str">
        <f>IFERROR(VLOOKUP(AC257,LISTS!$AU$2:$AV$1000,2,FALSE()),"")</f>
        <v/>
      </c>
      <c r="AI257" s="238" t="str">
        <f t="shared" si="18"/>
        <v>—</v>
      </c>
      <c r="AJ257" s="190" t="str">
        <f t="shared" si="19"/>
        <v>—</v>
      </c>
      <c r="AK257" s="157" t="str">
        <f t="shared" si="20"/>
        <v/>
      </c>
      <c r="AL257" s="160" t="str">
        <f t="shared" si="21"/>
        <v/>
      </c>
      <c r="AM257" s="210"/>
      <c r="AN257" s="209"/>
    </row>
    <row r="258" spans="1:40" ht="27.95" customHeight="1">
      <c r="A258" s="134" t="str">
        <f>IF(I258&lt;&gt;"",COUNTA($I$2:I258),"")</f>
        <v/>
      </c>
      <c r="B258" s="138" t="str">
        <f t="shared" si="22"/>
        <v/>
      </c>
      <c r="C258" s="93" t="str">
        <f t="array" ref="C258">IF(E258="","",IF(M258&lt;&gt;"",
M258&amp;"/"&amp;SUMPRODUCT((M$2:M258=M258)*1)&amp;" - "&amp;(ROW()-2),
"إداري/"&amp;SUMPRODUCT((M$2:M258="")*1)&amp;" - "&amp;(ROW()-2)))</f>
        <v/>
      </c>
      <c r="D258" s="141" t="str">
        <f>IF(AND(G258="",H258="",I258=""),"",IF(COUNTIFS(LISTS!$A$2:$A$67,G258,LISTS!$B$2:$B$67,H258,LISTS!$C$2:$C$67,I258)=0,"✗ هرم",IF(NOT(OR(Z258="ممتاز 100%",Z258="جيد 80%",Z258="مقبول 60%",Z258="خطر 40%",Z258="")),"✗ قائمة R",IF(NOT(OR(AA258="ممتاز 100%",AA258="جيد 85%",AA258="مقبول 70%",AA258="ضعيف 50%",AA258="")),"✗ قائمة S",IF(NOT(OR(AB258="مكتمل 100%",AB258="جزئي 60%",AB258="معلق 30%",AB258="مفتوح 0%",AB258="")),"✗ قائمة T",IF(NOT(OR(AC258="لا خصم 0",AC258="تأخير −5",AC258="عجز −10",AC258="جودة −15",AC258="امتثال −20",AC258="مخالفة −25",AC258="")),"✗ قائمة U",IF(AND(X258="لا",AC258&lt;&gt;"",AC258&lt;&gt;"لا خصم 0"),"✗ خصم",IF(AND(X258="نعم",AC258="لا خصم 0"),"✗ خصم",IF(AND(Z258="ممتاز 100%",AA258="ممتاز 100%",AB258&lt;&gt;"",AB258&lt;&gt;"مكتمل 100%"),"✗ إغلاق",IFERROR(IF(LEN(_xlfn.TEXTJOIN("، ",TRUE,IF(E258="","التاريخ",""),IF(F258="","الوقت",""),IF(G258="","المركز",""),IF(H258="","الدائرة",""),IF(I258="","القسم",""),IF(J258="","المسؤول",""),IF(K258="","نوع النشاط",""),IF(L258="","المشروع",""),IF(N258="","الممول",""),IF(V258="","الموضوع",""),IF(W258="","الملاحظة",""),IF(X258="","مشكلة",""),IF(Y258="","الإجراء",""),IF(Z258="","التنفيذ",""),IF(AA258="","الجودة",""),IF(AB258="","الإغلاق",""),IF(AC258="","الخصم",""),IF(AND(COUNTA($O258:$U258)&gt;0,O258=""),"مدير المشروع",""),IF(AND(COUNTA($O258:$U258)&gt;0,P258=""),"المستفيدين",""),IF(AND(COUNTA($O258:$U258)&gt;0,Q258=""),"المناطق",""),IF(AND(COUNTA($O258:$U258)&gt;0,R258=""),"الميزانية",""),IF(AND(COUNTA($O258:$U258)&gt;0,S258=""),"نسبة الجاهزية",""),IF(AND(COUNTA($O258:$U258)&gt;0,T258=""),"حالة الجاهزية",""),IF(AND(COUNTA($O258:$U258)&gt;0,U258=""),"التوصيات","")))&gt;0,"✗ ناقص: "&amp;_xlfn.TEXTJOIN("، ",TRUE,IF(E258="","التاريخ",""),IF(F258="","الوقت",""),IF(G258="","المركز",""),IF(H258="","الدائرة",""),IF(I258="","القسم",""),IF(J258="","المسؤول",""),IF(K258="","نوع النشاط",""),IF(L258="","المشروع",""),IF(N258="","الممول",""),IF(V258="","الموضوع",""),IF(W258="","الملاحظة",""),IF(X258="","مشكلة",""),IF(Y258="","الإجراء",""),IF(Z258="","التنفيذ",""),IF(AA258="","الجودة",""),IF(AB258="","الإغلاق",""),IF(AC258="","الخصم",""),IF(AND(COUNTA($O258:$U258)&gt;0,O258=""),"مدير المشروع",""),IF(AND(COUNTA($O258:$U258)&gt;0,P258=""),"المستفيدين",""),IF(AND(COUNTA($O258:$U258)&gt;0,Q258=""),"المناطق",""),IF(AND(COUNTA($O258:$U258)&gt;0,R258=""),"الميزانية",""),IF(AND(COUNTA($O258:$U258)&gt;0,S258=""),"نسبة الجاهزية",""),IF(AND(COUNTA($O258:$U258)&gt;0,T258=""),"حالة الجاهزية",""),IF(AND(COUNTA($O258:$U258)&gt;0,U258=""),"التوصيات","")),"✓"),"✓"))))))))))</f>
        <v/>
      </c>
      <c r="E258" s="235"/>
      <c r="F258" s="236"/>
      <c r="G258" s="90"/>
      <c r="H258" s="239"/>
      <c r="I258" s="89"/>
      <c r="J258" s="142"/>
      <c r="K258" s="90"/>
      <c r="L258" s="90"/>
      <c r="M258" s="90"/>
      <c r="N258" s="89"/>
      <c r="O258" s="200"/>
      <c r="P258" s="201"/>
      <c r="Q258" s="201"/>
      <c r="R258" s="237"/>
      <c r="S258" s="202"/>
      <c r="T258" s="200"/>
      <c r="U258" s="203"/>
      <c r="V258" s="89"/>
      <c r="W258" s="89"/>
      <c r="X258" s="145"/>
      <c r="Y258" s="89"/>
      <c r="Z258" s="90"/>
      <c r="AA258" s="90"/>
      <c r="AB258" s="90"/>
      <c r="AC258" s="90"/>
      <c r="AD258" s="92"/>
      <c r="AE258" s="149" t="str">
        <f>IFERROR(VLOOKUP(Z258,LISTS!$AL$2:$AM$1000,2,FALSE()),"")</f>
        <v/>
      </c>
      <c r="AF258" s="151" t="str">
        <f>IFERROR(VLOOKUP(AA258,LISTS!$AO$2:$AP$1000,2,FALSE()),"")</f>
        <v/>
      </c>
      <c r="AG258" s="152" t="str">
        <f>IFERROR(VLOOKUP(AB258,LISTS!$AR$2:$AS$1000,2,FALSE()),"")</f>
        <v/>
      </c>
      <c r="AH258" s="154" t="str">
        <f>IFERROR(VLOOKUP(AC258,LISTS!$AU$2:$AV$1000,2,FALSE()),"")</f>
        <v/>
      </c>
      <c r="AI258" s="238" t="str">
        <f t="shared" ref="AI258:AI321" si="23">IF(OR(AE258="",AF258="",AG258=""),"—",IFERROR(ROUND(AE258*0.4+AF258*0.3+AG258*0.3-IF(ISNUMBER(AH258),AH258,0),1),"⚠️"))</f>
        <v>—</v>
      </c>
      <c r="AJ258" s="190" t="str">
        <f t="shared" ref="AJ258:AJ321" si="24">IF(AI258="—","—",IF(NOT(ISNUMBER(AI258)),"⚠️",IF(AI258&gt;=98,"🌟 ممتاز جدًا",IF(AI258&gt;=90,"⭐ ممتاز",IF(AI258&gt;=75,"🟢 جيد",IF(AI258&gt;=60,"🟡 مقبول",IF(AI258&gt;=40,"🔴 ضعيف","🚨 خطر شديد")))))))</f>
        <v>—</v>
      </c>
      <c r="AK258" s="157" t="str">
        <f t="shared" si="20"/>
        <v/>
      </c>
      <c r="AL258" s="160" t="str">
        <f t="shared" si="21"/>
        <v/>
      </c>
      <c r="AM258" s="210"/>
      <c r="AN258" s="209"/>
    </row>
    <row r="259" spans="1:40" ht="27.95" customHeight="1">
      <c r="A259" s="134" t="str">
        <f>IF(I259&lt;&gt;"",COUNTA($I$2:I259),"")</f>
        <v/>
      </c>
      <c r="B259" s="138" t="str">
        <f t="shared" si="22"/>
        <v/>
      </c>
      <c r="C259" s="93" t="str">
        <f t="array" ref="C259">IF(E259="","",IF(M259&lt;&gt;"",
M259&amp;"/"&amp;SUMPRODUCT((M$2:M259=M259)*1)&amp;" - "&amp;(ROW()-2),
"إداري/"&amp;SUMPRODUCT((M$2:M259="")*1)&amp;" - "&amp;(ROW()-2)))</f>
        <v/>
      </c>
      <c r="D259" s="141" t="str">
        <f>IF(AND(G259="",H259="",I259=""),"",IF(COUNTIFS(LISTS!$A$2:$A$67,G259,LISTS!$B$2:$B$67,H259,LISTS!$C$2:$C$67,I259)=0,"✗ هرم",IF(NOT(OR(Z259="ممتاز 100%",Z259="جيد 80%",Z259="مقبول 60%",Z259="خطر 40%",Z259="")),"✗ قائمة R",IF(NOT(OR(AA259="ممتاز 100%",AA259="جيد 85%",AA259="مقبول 70%",AA259="ضعيف 50%",AA259="")),"✗ قائمة S",IF(NOT(OR(AB259="مكتمل 100%",AB259="جزئي 60%",AB259="معلق 30%",AB259="مفتوح 0%",AB259="")),"✗ قائمة T",IF(NOT(OR(AC259="لا خصم 0",AC259="تأخير −5",AC259="عجز −10",AC259="جودة −15",AC259="امتثال −20",AC259="مخالفة −25",AC259="")),"✗ قائمة U",IF(AND(X259="لا",AC259&lt;&gt;"",AC259&lt;&gt;"لا خصم 0"),"✗ خصم",IF(AND(X259="نعم",AC259="لا خصم 0"),"✗ خصم",IF(AND(Z259="ممتاز 100%",AA259="ممتاز 100%",AB259&lt;&gt;"",AB259&lt;&gt;"مكتمل 100%"),"✗ إغلاق",IFERROR(IF(LEN(_xlfn.TEXTJOIN("، ",TRUE,IF(E259="","التاريخ",""),IF(F259="","الوقت",""),IF(G259="","المركز",""),IF(H259="","الدائرة",""),IF(I259="","القسم",""),IF(J259="","المسؤول",""),IF(K259="","نوع النشاط",""),IF(L259="","المشروع",""),IF(N259="","الممول",""),IF(V259="","الموضوع",""),IF(W259="","الملاحظة",""),IF(X259="","مشكلة",""),IF(Y259="","الإجراء",""),IF(Z259="","التنفيذ",""),IF(AA259="","الجودة",""),IF(AB259="","الإغلاق",""),IF(AC259="","الخصم",""),IF(AND(COUNTA($O259:$U259)&gt;0,O259=""),"مدير المشروع",""),IF(AND(COUNTA($O259:$U259)&gt;0,P259=""),"المستفيدين",""),IF(AND(COUNTA($O259:$U259)&gt;0,Q259=""),"المناطق",""),IF(AND(COUNTA($O259:$U259)&gt;0,R259=""),"الميزانية",""),IF(AND(COUNTA($O259:$U259)&gt;0,S259=""),"نسبة الجاهزية",""),IF(AND(COUNTA($O259:$U259)&gt;0,T259=""),"حالة الجاهزية",""),IF(AND(COUNTA($O259:$U259)&gt;0,U259=""),"التوصيات","")))&gt;0,"✗ ناقص: "&amp;_xlfn.TEXTJOIN("، ",TRUE,IF(E259="","التاريخ",""),IF(F259="","الوقت",""),IF(G259="","المركز",""),IF(H259="","الدائرة",""),IF(I259="","القسم",""),IF(J259="","المسؤول",""),IF(K259="","نوع النشاط",""),IF(L259="","المشروع",""),IF(N259="","الممول",""),IF(V259="","الموضوع",""),IF(W259="","الملاحظة",""),IF(X259="","مشكلة",""),IF(Y259="","الإجراء",""),IF(Z259="","التنفيذ",""),IF(AA259="","الجودة",""),IF(AB259="","الإغلاق",""),IF(AC259="","الخصم",""),IF(AND(COUNTA($O259:$U259)&gt;0,O259=""),"مدير المشروع",""),IF(AND(COUNTA($O259:$U259)&gt;0,P259=""),"المستفيدين",""),IF(AND(COUNTA($O259:$U259)&gt;0,Q259=""),"المناطق",""),IF(AND(COUNTA($O259:$U259)&gt;0,R259=""),"الميزانية",""),IF(AND(COUNTA($O259:$U259)&gt;0,S259=""),"نسبة الجاهزية",""),IF(AND(COUNTA($O259:$U259)&gt;0,T259=""),"حالة الجاهزية",""),IF(AND(COUNTA($O259:$U259)&gt;0,U259=""),"التوصيات","")),"✓"),"✓"))))))))))</f>
        <v/>
      </c>
      <c r="E259" s="235"/>
      <c r="F259" s="236"/>
      <c r="G259" s="90"/>
      <c r="H259" s="239"/>
      <c r="I259" s="89"/>
      <c r="J259" s="142"/>
      <c r="K259" s="90"/>
      <c r="L259" s="90"/>
      <c r="M259" s="90"/>
      <c r="N259" s="89"/>
      <c r="O259" s="200"/>
      <c r="P259" s="201"/>
      <c r="Q259" s="201"/>
      <c r="R259" s="237"/>
      <c r="S259" s="202"/>
      <c r="T259" s="200"/>
      <c r="U259" s="203"/>
      <c r="V259" s="89"/>
      <c r="W259" s="89"/>
      <c r="X259" s="145"/>
      <c r="Y259" s="89"/>
      <c r="Z259" s="90"/>
      <c r="AA259" s="90"/>
      <c r="AB259" s="90"/>
      <c r="AC259" s="90"/>
      <c r="AD259" s="92"/>
      <c r="AE259" s="149" t="str">
        <f>IFERROR(VLOOKUP(Z259,LISTS!$AL$2:$AM$1000,2,FALSE()),"")</f>
        <v/>
      </c>
      <c r="AF259" s="151" t="str">
        <f>IFERROR(VLOOKUP(AA259,LISTS!$AO$2:$AP$1000,2,FALSE()),"")</f>
        <v/>
      </c>
      <c r="AG259" s="152" t="str">
        <f>IFERROR(VLOOKUP(AB259,LISTS!$AR$2:$AS$1000,2,FALSE()),"")</f>
        <v/>
      </c>
      <c r="AH259" s="154" t="str">
        <f>IFERROR(VLOOKUP(AC259,LISTS!$AU$2:$AV$1000,2,FALSE()),"")</f>
        <v/>
      </c>
      <c r="AI259" s="238" t="str">
        <f t="shared" si="23"/>
        <v>—</v>
      </c>
      <c r="AJ259" s="190" t="str">
        <f t="shared" si="24"/>
        <v>—</v>
      </c>
      <c r="AK259" s="157" t="str">
        <f t="shared" si="20"/>
        <v/>
      </c>
      <c r="AL259" s="160" t="str">
        <f t="shared" si="21"/>
        <v/>
      </c>
      <c r="AM259" s="210"/>
      <c r="AN259" s="209"/>
    </row>
    <row r="260" spans="1:40" ht="27.95" customHeight="1">
      <c r="A260" s="134" t="str">
        <f>IF(I260&lt;&gt;"",COUNTA($I$2:I260),"")</f>
        <v/>
      </c>
      <c r="B260" s="138" t="str">
        <f t="shared" si="22"/>
        <v/>
      </c>
      <c r="C260" s="93" t="str">
        <f t="array" ref="C260">IF(E260="","",IF(M260&lt;&gt;"",
M260&amp;"/"&amp;SUMPRODUCT((M$2:M260=M260)*1)&amp;" - "&amp;(ROW()-2),
"إداري/"&amp;SUMPRODUCT((M$2:M260="")*1)&amp;" - "&amp;(ROW()-2)))</f>
        <v/>
      </c>
      <c r="D260" s="141" t="str">
        <f>IF(AND(G260="",H260="",I260=""),"",IF(COUNTIFS(LISTS!$A$2:$A$67,G260,LISTS!$B$2:$B$67,H260,LISTS!$C$2:$C$67,I260)=0,"✗ هرم",IF(NOT(OR(Z260="ممتاز 100%",Z260="جيد 80%",Z260="مقبول 60%",Z260="خطر 40%",Z260="")),"✗ قائمة R",IF(NOT(OR(AA260="ممتاز 100%",AA260="جيد 85%",AA260="مقبول 70%",AA260="ضعيف 50%",AA260="")),"✗ قائمة S",IF(NOT(OR(AB260="مكتمل 100%",AB260="جزئي 60%",AB260="معلق 30%",AB260="مفتوح 0%",AB260="")),"✗ قائمة T",IF(NOT(OR(AC260="لا خصم 0",AC260="تأخير −5",AC260="عجز −10",AC260="جودة −15",AC260="امتثال −20",AC260="مخالفة −25",AC260="")),"✗ قائمة U",IF(AND(X260="لا",AC260&lt;&gt;"",AC260&lt;&gt;"لا خصم 0"),"✗ خصم",IF(AND(X260="نعم",AC260="لا خصم 0"),"✗ خصم",IF(AND(Z260="ممتاز 100%",AA260="ممتاز 100%",AB260&lt;&gt;"",AB260&lt;&gt;"مكتمل 100%"),"✗ إغلاق",IFERROR(IF(LEN(_xlfn.TEXTJOIN("، ",TRUE,IF(E260="","التاريخ",""),IF(F260="","الوقت",""),IF(G260="","المركز",""),IF(H260="","الدائرة",""),IF(I260="","القسم",""),IF(J260="","المسؤول",""),IF(K260="","نوع النشاط",""),IF(L260="","المشروع",""),IF(N260="","الممول",""),IF(V260="","الموضوع",""),IF(W260="","الملاحظة",""),IF(X260="","مشكلة",""),IF(Y260="","الإجراء",""),IF(Z260="","التنفيذ",""),IF(AA260="","الجودة",""),IF(AB260="","الإغلاق",""),IF(AC260="","الخصم",""),IF(AND(COUNTA($O260:$U260)&gt;0,O260=""),"مدير المشروع",""),IF(AND(COUNTA($O260:$U260)&gt;0,P260=""),"المستفيدين",""),IF(AND(COUNTA($O260:$U260)&gt;0,Q260=""),"المناطق",""),IF(AND(COUNTA($O260:$U260)&gt;0,R260=""),"الميزانية",""),IF(AND(COUNTA($O260:$U260)&gt;0,S260=""),"نسبة الجاهزية",""),IF(AND(COUNTA($O260:$U260)&gt;0,T260=""),"حالة الجاهزية",""),IF(AND(COUNTA($O260:$U260)&gt;0,U260=""),"التوصيات","")))&gt;0,"✗ ناقص: "&amp;_xlfn.TEXTJOIN("، ",TRUE,IF(E260="","التاريخ",""),IF(F260="","الوقت",""),IF(G260="","المركز",""),IF(H260="","الدائرة",""),IF(I260="","القسم",""),IF(J260="","المسؤول",""),IF(K260="","نوع النشاط",""),IF(L260="","المشروع",""),IF(N260="","الممول",""),IF(V260="","الموضوع",""),IF(W260="","الملاحظة",""),IF(X260="","مشكلة",""),IF(Y260="","الإجراء",""),IF(Z260="","التنفيذ",""),IF(AA260="","الجودة",""),IF(AB260="","الإغلاق",""),IF(AC260="","الخصم",""),IF(AND(COUNTA($O260:$U260)&gt;0,O260=""),"مدير المشروع",""),IF(AND(COUNTA($O260:$U260)&gt;0,P260=""),"المستفيدين",""),IF(AND(COUNTA($O260:$U260)&gt;0,Q260=""),"المناطق",""),IF(AND(COUNTA($O260:$U260)&gt;0,R260=""),"الميزانية",""),IF(AND(COUNTA($O260:$U260)&gt;0,S260=""),"نسبة الجاهزية",""),IF(AND(COUNTA($O260:$U260)&gt;0,T260=""),"حالة الجاهزية",""),IF(AND(COUNTA($O260:$U260)&gt;0,U260=""),"التوصيات","")),"✓"),"✓"))))))))))</f>
        <v/>
      </c>
      <c r="E260" s="235"/>
      <c r="F260" s="236"/>
      <c r="G260" s="90"/>
      <c r="H260" s="239"/>
      <c r="I260" s="89"/>
      <c r="J260" s="142"/>
      <c r="K260" s="90"/>
      <c r="L260" s="90"/>
      <c r="M260" s="90"/>
      <c r="N260" s="89"/>
      <c r="O260" s="200"/>
      <c r="P260" s="201"/>
      <c r="Q260" s="201"/>
      <c r="R260" s="237"/>
      <c r="S260" s="202"/>
      <c r="T260" s="200"/>
      <c r="U260" s="203"/>
      <c r="V260" s="89"/>
      <c r="W260" s="89"/>
      <c r="X260" s="145"/>
      <c r="Y260" s="89"/>
      <c r="Z260" s="90"/>
      <c r="AA260" s="90"/>
      <c r="AB260" s="90"/>
      <c r="AC260" s="90"/>
      <c r="AD260" s="92"/>
      <c r="AE260" s="149" t="str">
        <f>IFERROR(VLOOKUP(Z260,LISTS!$AL$2:$AM$1000,2,FALSE()),"")</f>
        <v/>
      </c>
      <c r="AF260" s="151" t="str">
        <f>IFERROR(VLOOKUP(AA260,LISTS!$AO$2:$AP$1000,2,FALSE()),"")</f>
        <v/>
      </c>
      <c r="AG260" s="152" t="str">
        <f>IFERROR(VLOOKUP(AB260,LISTS!$AR$2:$AS$1000,2,FALSE()),"")</f>
        <v/>
      </c>
      <c r="AH260" s="154" t="str">
        <f>IFERROR(VLOOKUP(AC260,LISTS!$AU$2:$AV$1000,2,FALSE()),"")</f>
        <v/>
      </c>
      <c r="AI260" s="238" t="str">
        <f t="shared" si="23"/>
        <v>—</v>
      </c>
      <c r="AJ260" s="190" t="str">
        <f t="shared" si="24"/>
        <v>—</v>
      </c>
      <c r="AK260" s="157" t="str">
        <f t="shared" si="20"/>
        <v/>
      </c>
      <c r="AL260" s="160" t="str">
        <f t="shared" si="21"/>
        <v/>
      </c>
      <c r="AM260" s="210"/>
      <c r="AN260" s="209"/>
    </row>
    <row r="261" spans="1:40" ht="27.95" customHeight="1">
      <c r="A261" s="134" t="str">
        <f>IF(I261&lt;&gt;"",COUNTA($I$2:I261),"")</f>
        <v/>
      </c>
      <c r="B261" s="138" t="str">
        <f t="shared" si="22"/>
        <v/>
      </c>
      <c r="C261" s="93" t="str">
        <f t="array" ref="C261">IF(E261="","",IF(M261&lt;&gt;"",
M261&amp;"/"&amp;SUMPRODUCT((M$2:M261=M261)*1)&amp;" - "&amp;(ROW()-2),
"إداري/"&amp;SUMPRODUCT((M$2:M261="")*1)&amp;" - "&amp;(ROW()-2)))</f>
        <v/>
      </c>
      <c r="D261" s="141" t="str">
        <f>IF(AND(G261="",H261="",I261=""),"",IF(COUNTIFS(LISTS!$A$2:$A$67,G261,LISTS!$B$2:$B$67,H261,LISTS!$C$2:$C$67,I261)=0,"✗ هرم",IF(NOT(OR(Z261="ممتاز 100%",Z261="جيد 80%",Z261="مقبول 60%",Z261="خطر 40%",Z261="")),"✗ قائمة R",IF(NOT(OR(AA261="ممتاز 100%",AA261="جيد 85%",AA261="مقبول 70%",AA261="ضعيف 50%",AA261="")),"✗ قائمة S",IF(NOT(OR(AB261="مكتمل 100%",AB261="جزئي 60%",AB261="معلق 30%",AB261="مفتوح 0%",AB261="")),"✗ قائمة T",IF(NOT(OR(AC261="لا خصم 0",AC261="تأخير −5",AC261="عجز −10",AC261="جودة −15",AC261="امتثال −20",AC261="مخالفة −25",AC261="")),"✗ قائمة U",IF(AND(X261="لا",AC261&lt;&gt;"",AC261&lt;&gt;"لا خصم 0"),"✗ خصم",IF(AND(X261="نعم",AC261="لا خصم 0"),"✗ خصم",IF(AND(Z261="ممتاز 100%",AA261="ممتاز 100%",AB261&lt;&gt;"",AB261&lt;&gt;"مكتمل 100%"),"✗ إغلاق",IFERROR(IF(LEN(_xlfn.TEXTJOIN("، ",TRUE,IF(E261="","التاريخ",""),IF(F261="","الوقت",""),IF(G261="","المركز",""),IF(H261="","الدائرة",""),IF(I261="","القسم",""),IF(J261="","المسؤول",""),IF(K261="","نوع النشاط",""),IF(L261="","المشروع",""),IF(N261="","الممول",""),IF(V261="","الموضوع",""),IF(W261="","الملاحظة",""),IF(X261="","مشكلة",""),IF(Y261="","الإجراء",""),IF(Z261="","التنفيذ",""),IF(AA261="","الجودة",""),IF(AB261="","الإغلاق",""),IF(AC261="","الخصم",""),IF(AND(COUNTA($O261:$U261)&gt;0,O261=""),"مدير المشروع",""),IF(AND(COUNTA($O261:$U261)&gt;0,P261=""),"المستفيدين",""),IF(AND(COUNTA($O261:$U261)&gt;0,Q261=""),"المناطق",""),IF(AND(COUNTA($O261:$U261)&gt;0,R261=""),"الميزانية",""),IF(AND(COUNTA($O261:$U261)&gt;0,S261=""),"نسبة الجاهزية",""),IF(AND(COUNTA($O261:$U261)&gt;0,T261=""),"حالة الجاهزية",""),IF(AND(COUNTA($O261:$U261)&gt;0,U261=""),"التوصيات","")))&gt;0,"✗ ناقص: "&amp;_xlfn.TEXTJOIN("، ",TRUE,IF(E261="","التاريخ",""),IF(F261="","الوقت",""),IF(G261="","المركز",""),IF(H261="","الدائرة",""),IF(I261="","القسم",""),IF(J261="","المسؤول",""),IF(K261="","نوع النشاط",""),IF(L261="","المشروع",""),IF(N261="","الممول",""),IF(V261="","الموضوع",""),IF(W261="","الملاحظة",""),IF(X261="","مشكلة",""),IF(Y261="","الإجراء",""),IF(Z261="","التنفيذ",""),IF(AA261="","الجودة",""),IF(AB261="","الإغلاق",""),IF(AC261="","الخصم",""),IF(AND(COUNTA($O261:$U261)&gt;0,O261=""),"مدير المشروع",""),IF(AND(COUNTA($O261:$U261)&gt;0,P261=""),"المستفيدين",""),IF(AND(COUNTA($O261:$U261)&gt;0,Q261=""),"المناطق",""),IF(AND(COUNTA($O261:$U261)&gt;0,R261=""),"الميزانية",""),IF(AND(COUNTA($O261:$U261)&gt;0,S261=""),"نسبة الجاهزية",""),IF(AND(COUNTA($O261:$U261)&gt;0,T261=""),"حالة الجاهزية",""),IF(AND(COUNTA($O261:$U261)&gt;0,U261=""),"التوصيات","")),"✓"),"✓"))))))))))</f>
        <v/>
      </c>
      <c r="E261" s="235"/>
      <c r="F261" s="236"/>
      <c r="G261" s="90"/>
      <c r="H261" s="239"/>
      <c r="I261" s="89"/>
      <c r="J261" s="142"/>
      <c r="K261" s="90"/>
      <c r="L261" s="90"/>
      <c r="M261" s="90"/>
      <c r="N261" s="89"/>
      <c r="O261" s="200"/>
      <c r="P261" s="201"/>
      <c r="Q261" s="201"/>
      <c r="R261" s="237"/>
      <c r="S261" s="202"/>
      <c r="T261" s="200"/>
      <c r="U261" s="203"/>
      <c r="V261" s="89"/>
      <c r="W261" s="89"/>
      <c r="X261" s="145"/>
      <c r="Y261" s="89"/>
      <c r="Z261" s="90"/>
      <c r="AA261" s="90"/>
      <c r="AB261" s="90"/>
      <c r="AC261" s="90"/>
      <c r="AD261" s="92"/>
      <c r="AE261" s="149" t="str">
        <f>IFERROR(VLOOKUP(Z261,LISTS!$AL$2:$AM$1000,2,FALSE()),"")</f>
        <v/>
      </c>
      <c r="AF261" s="151" t="str">
        <f>IFERROR(VLOOKUP(AA261,LISTS!$AO$2:$AP$1000,2,FALSE()),"")</f>
        <v/>
      </c>
      <c r="AG261" s="152" t="str">
        <f>IFERROR(VLOOKUP(AB261,LISTS!$AR$2:$AS$1000,2,FALSE()),"")</f>
        <v/>
      </c>
      <c r="AH261" s="154" t="str">
        <f>IFERROR(VLOOKUP(AC261,LISTS!$AU$2:$AV$1000,2,FALSE()),"")</f>
        <v/>
      </c>
      <c r="AI261" s="238" t="str">
        <f t="shared" si="23"/>
        <v>—</v>
      </c>
      <c r="AJ261" s="190" t="str">
        <f t="shared" si="24"/>
        <v>—</v>
      </c>
      <c r="AK261" s="157" t="str">
        <f t="shared" si="20"/>
        <v/>
      </c>
      <c r="AL261" s="160" t="str">
        <f t="shared" si="21"/>
        <v/>
      </c>
      <c r="AM261" s="210"/>
      <c r="AN261" s="209"/>
    </row>
    <row r="262" spans="1:40" ht="27.95" customHeight="1">
      <c r="A262" s="134" t="str">
        <f>IF(I262&lt;&gt;"",COUNTA($I$2:I262),"")</f>
        <v/>
      </c>
      <c r="B262" s="138" t="str">
        <f t="shared" si="22"/>
        <v/>
      </c>
      <c r="C262" s="93" t="str">
        <f t="array" ref="C262">IF(E262="","",IF(M262&lt;&gt;"",
M262&amp;"/"&amp;SUMPRODUCT((M$2:M262=M262)*1)&amp;" - "&amp;(ROW()-2),
"إداري/"&amp;SUMPRODUCT((M$2:M262="")*1)&amp;" - "&amp;(ROW()-2)))</f>
        <v/>
      </c>
      <c r="D262" s="141" t="str">
        <f>IF(AND(G262="",H262="",I262=""),"",IF(COUNTIFS(LISTS!$A$2:$A$67,G262,LISTS!$B$2:$B$67,H262,LISTS!$C$2:$C$67,I262)=0,"✗ هرم",IF(NOT(OR(Z262="ممتاز 100%",Z262="جيد 80%",Z262="مقبول 60%",Z262="خطر 40%",Z262="")),"✗ قائمة R",IF(NOT(OR(AA262="ممتاز 100%",AA262="جيد 85%",AA262="مقبول 70%",AA262="ضعيف 50%",AA262="")),"✗ قائمة S",IF(NOT(OR(AB262="مكتمل 100%",AB262="جزئي 60%",AB262="معلق 30%",AB262="مفتوح 0%",AB262="")),"✗ قائمة T",IF(NOT(OR(AC262="لا خصم 0",AC262="تأخير −5",AC262="عجز −10",AC262="جودة −15",AC262="امتثال −20",AC262="مخالفة −25",AC262="")),"✗ قائمة U",IF(AND(X262="لا",AC262&lt;&gt;"",AC262&lt;&gt;"لا خصم 0"),"✗ خصم",IF(AND(X262="نعم",AC262="لا خصم 0"),"✗ خصم",IF(AND(Z262="ممتاز 100%",AA262="ممتاز 100%",AB262&lt;&gt;"",AB262&lt;&gt;"مكتمل 100%"),"✗ إغلاق",IFERROR(IF(LEN(_xlfn.TEXTJOIN("، ",TRUE,IF(E262="","التاريخ",""),IF(F262="","الوقت",""),IF(G262="","المركز",""),IF(H262="","الدائرة",""),IF(I262="","القسم",""),IF(J262="","المسؤول",""),IF(K262="","نوع النشاط",""),IF(L262="","المشروع",""),IF(N262="","الممول",""),IF(V262="","الموضوع",""),IF(W262="","الملاحظة",""),IF(X262="","مشكلة",""),IF(Y262="","الإجراء",""),IF(Z262="","التنفيذ",""),IF(AA262="","الجودة",""),IF(AB262="","الإغلاق",""),IF(AC262="","الخصم",""),IF(AND(COUNTA($O262:$U262)&gt;0,O262=""),"مدير المشروع",""),IF(AND(COUNTA($O262:$U262)&gt;0,P262=""),"المستفيدين",""),IF(AND(COUNTA($O262:$U262)&gt;0,Q262=""),"المناطق",""),IF(AND(COUNTA($O262:$U262)&gt;0,R262=""),"الميزانية",""),IF(AND(COUNTA($O262:$U262)&gt;0,S262=""),"نسبة الجاهزية",""),IF(AND(COUNTA($O262:$U262)&gt;0,T262=""),"حالة الجاهزية",""),IF(AND(COUNTA($O262:$U262)&gt;0,U262=""),"التوصيات","")))&gt;0,"✗ ناقص: "&amp;_xlfn.TEXTJOIN("، ",TRUE,IF(E262="","التاريخ",""),IF(F262="","الوقت",""),IF(G262="","المركز",""),IF(H262="","الدائرة",""),IF(I262="","القسم",""),IF(J262="","المسؤول",""),IF(K262="","نوع النشاط",""),IF(L262="","المشروع",""),IF(N262="","الممول",""),IF(V262="","الموضوع",""),IF(W262="","الملاحظة",""),IF(X262="","مشكلة",""),IF(Y262="","الإجراء",""),IF(Z262="","التنفيذ",""),IF(AA262="","الجودة",""),IF(AB262="","الإغلاق",""),IF(AC262="","الخصم",""),IF(AND(COUNTA($O262:$U262)&gt;0,O262=""),"مدير المشروع",""),IF(AND(COUNTA($O262:$U262)&gt;0,P262=""),"المستفيدين",""),IF(AND(COUNTA($O262:$U262)&gt;0,Q262=""),"المناطق",""),IF(AND(COUNTA($O262:$U262)&gt;0,R262=""),"الميزانية",""),IF(AND(COUNTA($O262:$U262)&gt;0,S262=""),"نسبة الجاهزية",""),IF(AND(COUNTA($O262:$U262)&gt;0,T262=""),"حالة الجاهزية",""),IF(AND(COUNTA($O262:$U262)&gt;0,U262=""),"التوصيات","")),"✓"),"✓"))))))))))</f>
        <v/>
      </c>
      <c r="E262" s="235"/>
      <c r="F262" s="236"/>
      <c r="G262" s="90"/>
      <c r="H262" s="239"/>
      <c r="I262" s="89"/>
      <c r="J262" s="142"/>
      <c r="K262" s="90"/>
      <c r="L262" s="90"/>
      <c r="M262" s="90"/>
      <c r="N262" s="89"/>
      <c r="O262" s="200"/>
      <c r="P262" s="201"/>
      <c r="Q262" s="201"/>
      <c r="R262" s="237"/>
      <c r="S262" s="202"/>
      <c r="T262" s="200"/>
      <c r="U262" s="203"/>
      <c r="V262" s="89"/>
      <c r="W262" s="89"/>
      <c r="X262" s="145"/>
      <c r="Y262" s="89"/>
      <c r="Z262" s="90"/>
      <c r="AA262" s="90"/>
      <c r="AB262" s="90"/>
      <c r="AC262" s="90"/>
      <c r="AD262" s="92"/>
      <c r="AE262" s="149" t="str">
        <f>IFERROR(VLOOKUP(Z262,LISTS!$AL$2:$AM$1000,2,FALSE()),"")</f>
        <v/>
      </c>
      <c r="AF262" s="151" t="str">
        <f>IFERROR(VLOOKUP(AA262,LISTS!$AO$2:$AP$1000,2,FALSE()),"")</f>
        <v/>
      </c>
      <c r="AG262" s="152" t="str">
        <f>IFERROR(VLOOKUP(AB262,LISTS!$AR$2:$AS$1000,2,FALSE()),"")</f>
        <v/>
      </c>
      <c r="AH262" s="154" t="str">
        <f>IFERROR(VLOOKUP(AC262,LISTS!$AU$2:$AV$1000,2,FALSE()),"")</f>
        <v/>
      </c>
      <c r="AI262" s="238" t="str">
        <f t="shared" si="23"/>
        <v>—</v>
      </c>
      <c r="AJ262" s="190" t="str">
        <f t="shared" si="24"/>
        <v>—</v>
      </c>
      <c r="AK262" s="157" t="str">
        <f t="shared" si="20"/>
        <v/>
      </c>
      <c r="AL262" s="160" t="str">
        <f t="shared" si="21"/>
        <v/>
      </c>
      <c r="AM262" s="210"/>
      <c r="AN262" s="209"/>
    </row>
    <row r="263" spans="1:40" ht="27.95" customHeight="1">
      <c r="A263" s="134" t="str">
        <f>IF(I263&lt;&gt;"",COUNTA($I$2:I263),"")</f>
        <v/>
      </c>
      <c r="B263" s="138" t="str">
        <f t="shared" si="22"/>
        <v/>
      </c>
      <c r="C263" s="93" t="str">
        <f t="array" ref="C263">IF(E263="","",IF(M263&lt;&gt;"",
M263&amp;"/"&amp;SUMPRODUCT((M$2:M263=M263)*1)&amp;" - "&amp;(ROW()-2),
"إداري/"&amp;SUMPRODUCT((M$2:M263="")*1)&amp;" - "&amp;(ROW()-2)))</f>
        <v/>
      </c>
      <c r="D263" s="141" t="str">
        <f>IF(AND(G263="",H263="",I263=""),"",IF(COUNTIFS(LISTS!$A$2:$A$67,G263,LISTS!$B$2:$B$67,H263,LISTS!$C$2:$C$67,I263)=0,"✗ هرم",IF(NOT(OR(Z263="ممتاز 100%",Z263="جيد 80%",Z263="مقبول 60%",Z263="خطر 40%",Z263="")),"✗ قائمة R",IF(NOT(OR(AA263="ممتاز 100%",AA263="جيد 85%",AA263="مقبول 70%",AA263="ضعيف 50%",AA263="")),"✗ قائمة S",IF(NOT(OR(AB263="مكتمل 100%",AB263="جزئي 60%",AB263="معلق 30%",AB263="مفتوح 0%",AB263="")),"✗ قائمة T",IF(NOT(OR(AC263="لا خصم 0",AC263="تأخير −5",AC263="عجز −10",AC263="جودة −15",AC263="امتثال −20",AC263="مخالفة −25",AC263="")),"✗ قائمة U",IF(AND(X263="لا",AC263&lt;&gt;"",AC263&lt;&gt;"لا خصم 0"),"✗ خصم",IF(AND(X263="نعم",AC263="لا خصم 0"),"✗ خصم",IF(AND(Z263="ممتاز 100%",AA263="ممتاز 100%",AB263&lt;&gt;"",AB263&lt;&gt;"مكتمل 100%"),"✗ إغلاق",IFERROR(IF(LEN(_xlfn.TEXTJOIN("، ",TRUE,IF(E263="","التاريخ",""),IF(F263="","الوقت",""),IF(G263="","المركز",""),IF(H263="","الدائرة",""),IF(I263="","القسم",""),IF(J263="","المسؤول",""),IF(K263="","نوع النشاط",""),IF(L263="","المشروع",""),IF(N263="","الممول",""),IF(V263="","الموضوع",""),IF(W263="","الملاحظة",""),IF(X263="","مشكلة",""),IF(Y263="","الإجراء",""),IF(Z263="","التنفيذ",""),IF(AA263="","الجودة",""),IF(AB263="","الإغلاق",""),IF(AC263="","الخصم",""),IF(AND(COUNTA($O263:$U263)&gt;0,O263=""),"مدير المشروع",""),IF(AND(COUNTA($O263:$U263)&gt;0,P263=""),"المستفيدين",""),IF(AND(COUNTA($O263:$U263)&gt;0,Q263=""),"المناطق",""),IF(AND(COUNTA($O263:$U263)&gt;0,R263=""),"الميزانية",""),IF(AND(COUNTA($O263:$U263)&gt;0,S263=""),"نسبة الجاهزية",""),IF(AND(COUNTA($O263:$U263)&gt;0,T263=""),"حالة الجاهزية",""),IF(AND(COUNTA($O263:$U263)&gt;0,U263=""),"التوصيات","")))&gt;0,"✗ ناقص: "&amp;_xlfn.TEXTJOIN("، ",TRUE,IF(E263="","التاريخ",""),IF(F263="","الوقت",""),IF(G263="","المركز",""),IF(H263="","الدائرة",""),IF(I263="","القسم",""),IF(J263="","المسؤول",""),IF(K263="","نوع النشاط",""),IF(L263="","المشروع",""),IF(N263="","الممول",""),IF(V263="","الموضوع",""),IF(W263="","الملاحظة",""),IF(X263="","مشكلة",""),IF(Y263="","الإجراء",""),IF(Z263="","التنفيذ",""),IF(AA263="","الجودة",""),IF(AB263="","الإغلاق",""),IF(AC263="","الخصم",""),IF(AND(COUNTA($O263:$U263)&gt;0,O263=""),"مدير المشروع",""),IF(AND(COUNTA($O263:$U263)&gt;0,P263=""),"المستفيدين",""),IF(AND(COUNTA($O263:$U263)&gt;0,Q263=""),"المناطق",""),IF(AND(COUNTA($O263:$U263)&gt;0,R263=""),"الميزانية",""),IF(AND(COUNTA($O263:$U263)&gt;0,S263=""),"نسبة الجاهزية",""),IF(AND(COUNTA($O263:$U263)&gt;0,T263=""),"حالة الجاهزية",""),IF(AND(COUNTA($O263:$U263)&gt;0,U263=""),"التوصيات","")),"✓"),"✓"))))))))))</f>
        <v/>
      </c>
      <c r="E263" s="235"/>
      <c r="F263" s="236"/>
      <c r="G263" s="90"/>
      <c r="H263" s="239"/>
      <c r="I263" s="89"/>
      <c r="J263" s="142"/>
      <c r="K263" s="90"/>
      <c r="L263" s="90"/>
      <c r="M263" s="90"/>
      <c r="N263" s="89"/>
      <c r="O263" s="200"/>
      <c r="P263" s="201"/>
      <c r="Q263" s="201"/>
      <c r="R263" s="237"/>
      <c r="S263" s="202"/>
      <c r="T263" s="200"/>
      <c r="U263" s="203"/>
      <c r="V263" s="89"/>
      <c r="W263" s="89"/>
      <c r="X263" s="145"/>
      <c r="Y263" s="89"/>
      <c r="Z263" s="90"/>
      <c r="AA263" s="90"/>
      <c r="AB263" s="90"/>
      <c r="AC263" s="90"/>
      <c r="AD263" s="92"/>
      <c r="AE263" s="149" t="str">
        <f>IFERROR(VLOOKUP(Z263,LISTS!$AL$2:$AM$1000,2,FALSE()),"")</f>
        <v/>
      </c>
      <c r="AF263" s="151" t="str">
        <f>IFERROR(VLOOKUP(AA263,LISTS!$AO$2:$AP$1000,2,FALSE()),"")</f>
        <v/>
      </c>
      <c r="AG263" s="152" t="str">
        <f>IFERROR(VLOOKUP(AB263,LISTS!$AR$2:$AS$1000,2,FALSE()),"")</f>
        <v/>
      </c>
      <c r="AH263" s="154" t="str">
        <f>IFERROR(VLOOKUP(AC263,LISTS!$AU$2:$AV$1000,2,FALSE()),"")</f>
        <v/>
      </c>
      <c r="AI263" s="238" t="str">
        <f t="shared" si="23"/>
        <v>—</v>
      </c>
      <c r="AJ263" s="190" t="str">
        <f t="shared" si="24"/>
        <v>—</v>
      </c>
      <c r="AK263" s="157" t="str">
        <f t="shared" si="20"/>
        <v/>
      </c>
      <c r="AL263" s="160" t="str">
        <f t="shared" si="21"/>
        <v/>
      </c>
      <c r="AM263" s="210"/>
      <c r="AN263" s="209"/>
    </row>
    <row r="264" spans="1:40" ht="27.95" customHeight="1">
      <c r="A264" s="134" t="str">
        <f>IF(I264&lt;&gt;"",COUNTA($I$2:I264),"")</f>
        <v/>
      </c>
      <c r="B264" s="138" t="str">
        <f t="shared" si="22"/>
        <v/>
      </c>
      <c r="C264" s="93" t="str">
        <f t="array" ref="C264">IF(E264="","",IF(M264&lt;&gt;"",
M264&amp;"/"&amp;SUMPRODUCT((M$2:M264=M264)*1)&amp;" - "&amp;(ROW()-2),
"إداري/"&amp;SUMPRODUCT((M$2:M264="")*1)&amp;" - "&amp;(ROW()-2)))</f>
        <v/>
      </c>
      <c r="D264" s="141" t="str">
        <f>IF(AND(G264="",H264="",I264=""),"",IF(COUNTIFS(LISTS!$A$2:$A$67,G264,LISTS!$B$2:$B$67,H264,LISTS!$C$2:$C$67,I264)=0,"✗ هرم",IF(NOT(OR(Z264="ممتاز 100%",Z264="جيد 80%",Z264="مقبول 60%",Z264="خطر 40%",Z264="")),"✗ قائمة R",IF(NOT(OR(AA264="ممتاز 100%",AA264="جيد 85%",AA264="مقبول 70%",AA264="ضعيف 50%",AA264="")),"✗ قائمة S",IF(NOT(OR(AB264="مكتمل 100%",AB264="جزئي 60%",AB264="معلق 30%",AB264="مفتوح 0%",AB264="")),"✗ قائمة T",IF(NOT(OR(AC264="لا خصم 0",AC264="تأخير −5",AC264="عجز −10",AC264="جودة −15",AC264="امتثال −20",AC264="مخالفة −25",AC264="")),"✗ قائمة U",IF(AND(X264="لا",AC264&lt;&gt;"",AC264&lt;&gt;"لا خصم 0"),"✗ خصم",IF(AND(X264="نعم",AC264="لا خصم 0"),"✗ خصم",IF(AND(Z264="ممتاز 100%",AA264="ممتاز 100%",AB264&lt;&gt;"",AB264&lt;&gt;"مكتمل 100%"),"✗ إغلاق",IFERROR(IF(LEN(_xlfn.TEXTJOIN("، ",TRUE,IF(E264="","التاريخ",""),IF(F264="","الوقت",""),IF(G264="","المركز",""),IF(H264="","الدائرة",""),IF(I264="","القسم",""),IF(J264="","المسؤول",""),IF(K264="","نوع النشاط",""),IF(L264="","المشروع",""),IF(N264="","الممول",""),IF(V264="","الموضوع",""),IF(W264="","الملاحظة",""),IF(X264="","مشكلة",""),IF(Y264="","الإجراء",""),IF(Z264="","التنفيذ",""),IF(AA264="","الجودة",""),IF(AB264="","الإغلاق",""),IF(AC264="","الخصم",""),IF(AND(COUNTA($O264:$U264)&gt;0,O264=""),"مدير المشروع",""),IF(AND(COUNTA($O264:$U264)&gt;0,P264=""),"المستفيدين",""),IF(AND(COUNTA($O264:$U264)&gt;0,Q264=""),"المناطق",""),IF(AND(COUNTA($O264:$U264)&gt;0,R264=""),"الميزانية",""),IF(AND(COUNTA($O264:$U264)&gt;0,S264=""),"نسبة الجاهزية",""),IF(AND(COUNTA($O264:$U264)&gt;0,T264=""),"حالة الجاهزية",""),IF(AND(COUNTA($O264:$U264)&gt;0,U264=""),"التوصيات","")))&gt;0,"✗ ناقص: "&amp;_xlfn.TEXTJOIN("، ",TRUE,IF(E264="","التاريخ",""),IF(F264="","الوقت",""),IF(G264="","المركز",""),IF(H264="","الدائرة",""),IF(I264="","القسم",""),IF(J264="","المسؤول",""),IF(K264="","نوع النشاط",""),IF(L264="","المشروع",""),IF(N264="","الممول",""),IF(V264="","الموضوع",""),IF(W264="","الملاحظة",""),IF(X264="","مشكلة",""),IF(Y264="","الإجراء",""),IF(Z264="","التنفيذ",""),IF(AA264="","الجودة",""),IF(AB264="","الإغلاق",""),IF(AC264="","الخصم",""),IF(AND(COUNTA($O264:$U264)&gt;0,O264=""),"مدير المشروع",""),IF(AND(COUNTA($O264:$U264)&gt;0,P264=""),"المستفيدين",""),IF(AND(COUNTA($O264:$U264)&gt;0,Q264=""),"المناطق",""),IF(AND(COUNTA($O264:$U264)&gt;0,R264=""),"الميزانية",""),IF(AND(COUNTA($O264:$U264)&gt;0,S264=""),"نسبة الجاهزية",""),IF(AND(COUNTA($O264:$U264)&gt;0,T264=""),"حالة الجاهزية",""),IF(AND(COUNTA($O264:$U264)&gt;0,U264=""),"التوصيات","")),"✓"),"✓"))))))))))</f>
        <v/>
      </c>
      <c r="E264" s="235"/>
      <c r="F264" s="236"/>
      <c r="G264" s="90"/>
      <c r="H264" s="239"/>
      <c r="I264" s="89"/>
      <c r="J264" s="142"/>
      <c r="K264" s="90"/>
      <c r="L264" s="90"/>
      <c r="M264" s="90"/>
      <c r="N264" s="89"/>
      <c r="O264" s="200"/>
      <c r="P264" s="201"/>
      <c r="Q264" s="201"/>
      <c r="R264" s="237"/>
      <c r="S264" s="202"/>
      <c r="T264" s="200"/>
      <c r="U264" s="203"/>
      <c r="V264" s="89"/>
      <c r="W264" s="89"/>
      <c r="X264" s="145"/>
      <c r="Y264" s="89"/>
      <c r="Z264" s="90"/>
      <c r="AA264" s="90"/>
      <c r="AB264" s="90"/>
      <c r="AC264" s="90"/>
      <c r="AD264" s="92"/>
      <c r="AE264" s="149" t="str">
        <f>IFERROR(VLOOKUP(Z264,LISTS!$AL$2:$AM$1000,2,FALSE()),"")</f>
        <v/>
      </c>
      <c r="AF264" s="151" t="str">
        <f>IFERROR(VLOOKUP(AA264,LISTS!$AO$2:$AP$1000,2,FALSE()),"")</f>
        <v/>
      </c>
      <c r="AG264" s="152" t="str">
        <f>IFERROR(VLOOKUP(AB264,LISTS!$AR$2:$AS$1000,2,FALSE()),"")</f>
        <v/>
      </c>
      <c r="AH264" s="154" t="str">
        <f>IFERROR(VLOOKUP(AC264,LISTS!$AU$2:$AV$1000,2,FALSE()),"")</f>
        <v/>
      </c>
      <c r="AI264" s="238" t="str">
        <f t="shared" si="23"/>
        <v>—</v>
      </c>
      <c r="AJ264" s="190" t="str">
        <f t="shared" si="24"/>
        <v>—</v>
      </c>
      <c r="AK264" s="157" t="str">
        <f t="shared" si="20"/>
        <v/>
      </c>
      <c r="AL264" s="160" t="str">
        <f t="shared" si="21"/>
        <v/>
      </c>
      <c r="AM264" s="210"/>
      <c r="AN264" s="209"/>
    </row>
    <row r="265" spans="1:40" ht="27.95" customHeight="1">
      <c r="A265" s="134" t="str">
        <f>IF(I265&lt;&gt;"",COUNTA($I$2:I265),"")</f>
        <v/>
      </c>
      <c r="B265" s="138" t="str">
        <f t="shared" si="22"/>
        <v/>
      </c>
      <c r="C265" s="93" t="str">
        <f t="array" ref="C265">IF(E265="","",IF(M265&lt;&gt;"",
M265&amp;"/"&amp;SUMPRODUCT((M$2:M265=M265)*1)&amp;" - "&amp;(ROW()-2),
"إداري/"&amp;SUMPRODUCT((M$2:M265="")*1)&amp;" - "&amp;(ROW()-2)))</f>
        <v/>
      </c>
      <c r="D265" s="141" t="str">
        <f>IF(AND(G265="",H265="",I265=""),"",IF(COUNTIFS(LISTS!$A$2:$A$67,G265,LISTS!$B$2:$B$67,H265,LISTS!$C$2:$C$67,I265)=0,"✗ هرم",IF(NOT(OR(Z265="ممتاز 100%",Z265="جيد 80%",Z265="مقبول 60%",Z265="خطر 40%",Z265="")),"✗ قائمة R",IF(NOT(OR(AA265="ممتاز 100%",AA265="جيد 85%",AA265="مقبول 70%",AA265="ضعيف 50%",AA265="")),"✗ قائمة S",IF(NOT(OR(AB265="مكتمل 100%",AB265="جزئي 60%",AB265="معلق 30%",AB265="مفتوح 0%",AB265="")),"✗ قائمة T",IF(NOT(OR(AC265="لا خصم 0",AC265="تأخير −5",AC265="عجز −10",AC265="جودة −15",AC265="امتثال −20",AC265="مخالفة −25",AC265="")),"✗ قائمة U",IF(AND(X265="لا",AC265&lt;&gt;"",AC265&lt;&gt;"لا خصم 0"),"✗ خصم",IF(AND(X265="نعم",AC265="لا خصم 0"),"✗ خصم",IF(AND(Z265="ممتاز 100%",AA265="ممتاز 100%",AB265&lt;&gt;"",AB265&lt;&gt;"مكتمل 100%"),"✗ إغلاق",IFERROR(IF(LEN(_xlfn.TEXTJOIN("، ",TRUE,IF(E265="","التاريخ",""),IF(F265="","الوقت",""),IF(G265="","المركز",""),IF(H265="","الدائرة",""),IF(I265="","القسم",""),IF(J265="","المسؤول",""),IF(K265="","نوع النشاط",""),IF(L265="","المشروع",""),IF(N265="","الممول",""),IF(V265="","الموضوع",""),IF(W265="","الملاحظة",""),IF(X265="","مشكلة",""),IF(Y265="","الإجراء",""),IF(Z265="","التنفيذ",""),IF(AA265="","الجودة",""),IF(AB265="","الإغلاق",""),IF(AC265="","الخصم",""),IF(AND(COUNTA($O265:$U265)&gt;0,O265=""),"مدير المشروع",""),IF(AND(COUNTA($O265:$U265)&gt;0,P265=""),"المستفيدين",""),IF(AND(COUNTA($O265:$U265)&gt;0,Q265=""),"المناطق",""),IF(AND(COUNTA($O265:$U265)&gt;0,R265=""),"الميزانية",""),IF(AND(COUNTA($O265:$U265)&gt;0,S265=""),"نسبة الجاهزية",""),IF(AND(COUNTA($O265:$U265)&gt;0,T265=""),"حالة الجاهزية",""),IF(AND(COUNTA($O265:$U265)&gt;0,U265=""),"التوصيات","")))&gt;0,"✗ ناقص: "&amp;_xlfn.TEXTJOIN("، ",TRUE,IF(E265="","التاريخ",""),IF(F265="","الوقت",""),IF(G265="","المركز",""),IF(H265="","الدائرة",""),IF(I265="","القسم",""),IF(J265="","المسؤول",""),IF(K265="","نوع النشاط",""),IF(L265="","المشروع",""),IF(N265="","الممول",""),IF(V265="","الموضوع",""),IF(W265="","الملاحظة",""),IF(X265="","مشكلة",""),IF(Y265="","الإجراء",""),IF(Z265="","التنفيذ",""),IF(AA265="","الجودة",""),IF(AB265="","الإغلاق",""),IF(AC265="","الخصم",""),IF(AND(COUNTA($O265:$U265)&gt;0,O265=""),"مدير المشروع",""),IF(AND(COUNTA($O265:$U265)&gt;0,P265=""),"المستفيدين",""),IF(AND(COUNTA($O265:$U265)&gt;0,Q265=""),"المناطق",""),IF(AND(COUNTA($O265:$U265)&gt;0,R265=""),"الميزانية",""),IF(AND(COUNTA($O265:$U265)&gt;0,S265=""),"نسبة الجاهزية",""),IF(AND(COUNTA($O265:$U265)&gt;0,T265=""),"حالة الجاهزية",""),IF(AND(COUNTA($O265:$U265)&gt;0,U265=""),"التوصيات","")),"✓"),"✓"))))))))))</f>
        <v/>
      </c>
      <c r="E265" s="235"/>
      <c r="F265" s="236"/>
      <c r="G265" s="90"/>
      <c r="H265" s="239"/>
      <c r="I265" s="89"/>
      <c r="J265" s="142"/>
      <c r="K265" s="90"/>
      <c r="L265" s="90"/>
      <c r="M265" s="90"/>
      <c r="N265" s="89"/>
      <c r="O265" s="200"/>
      <c r="P265" s="201"/>
      <c r="Q265" s="201"/>
      <c r="R265" s="237"/>
      <c r="S265" s="202"/>
      <c r="T265" s="200"/>
      <c r="U265" s="203"/>
      <c r="V265" s="89"/>
      <c r="W265" s="89"/>
      <c r="X265" s="145"/>
      <c r="Y265" s="89"/>
      <c r="Z265" s="90"/>
      <c r="AA265" s="90"/>
      <c r="AB265" s="90"/>
      <c r="AC265" s="90"/>
      <c r="AD265" s="92"/>
      <c r="AE265" s="149" t="str">
        <f>IFERROR(VLOOKUP(Z265,LISTS!$AL$2:$AM$1000,2,FALSE()),"")</f>
        <v/>
      </c>
      <c r="AF265" s="151" t="str">
        <f>IFERROR(VLOOKUP(AA265,LISTS!$AO$2:$AP$1000,2,FALSE()),"")</f>
        <v/>
      </c>
      <c r="AG265" s="152" t="str">
        <f>IFERROR(VLOOKUP(AB265,LISTS!$AR$2:$AS$1000,2,FALSE()),"")</f>
        <v/>
      </c>
      <c r="AH265" s="154" t="str">
        <f>IFERROR(VLOOKUP(AC265,LISTS!$AU$2:$AV$1000,2,FALSE()),"")</f>
        <v/>
      </c>
      <c r="AI265" s="238" t="str">
        <f t="shared" si="23"/>
        <v>—</v>
      </c>
      <c r="AJ265" s="190" t="str">
        <f t="shared" si="24"/>
        <v>—</v>
      </c>
      <c r="AK265" s="157" t="str">
        <f t="shared" si="20"/>
        <v/>
      </c>
      <c r="AL265" s="160" t="str">
        <f t="shared" si="21"/>
        <v/>
      </c>
      <c r="AM265" s="210"/>
      <c r="AN265" s="209"/>
    </row>
    <row r="266" spans="1:40" ht="27.95" customHeight="1">
      <c r="A266" s="134" t="str">
        <f>IF(I266&lt;&gt;"",COUNTA($I$2:I266),"")</f>
        <v/>
      </c>
      <c r="B266" s="138" t="str">
        <f t="shared" si="22"/>
        <v/>
      </c>
      <c r="C266" s="93" t="str">
        <f t="array" ref="C266">IF(E266="","",IF(M266&lt;&gt;"",
M266&amp;"/"&amp;SUMPRODUCT((M$2:M266=M266)*1)&amp;" - "&amp;(ROW()-2),
"إداري/"&amp;SUMPRODUCT((M$2:M266="")*1)&amp;" - "&amp;(ROW()-2)))</f>
        <v/>
      </c>
      <c r="D266" s="141" t="str">
        <f>IF(AND(G266="",H266="",I266=""),"",IF(COUNTIFS(LISTS!$A$2:$A$67,G266,LISTS!$B$2:$B$67,H266,LISTS!$C$2:$C$67,I266)=0,"✗ هرم",IF(NOT(OR(Z266="ممتاز 100%",Z266="جيد 80%",Z266="مقبول 60%",Z266="خطر 40%",Z266="")),"✗ قائمة R",IF(NOT(OR(AA266="ممتاز 100%",AA266="جيد 85%",AA266="مقبول 70%",AA266="ضعيف 50%",AA266="")),"✗ قائمة S",IF(NOT(OR(AB266="مكتمل 100%",AB266="جزئي 60%",AB266="معلق 30%",AB266="مفتوح 0%",AB266="")),"✗ قائمة T",IF(NOT(OR(AC266="لا خصم 0",AC266="تأخير −5",AC266="عجز −10",AC266="جودة −15",AC266="امتثال −20",AC266="مخالفة −25",AC266="")),"✗ قائمة U",IF(AND(X266="لا",AC266&lt;&gt;"",AC266&lt;&gt;"لا خصم 0"),"✗ خصم",IF(AND(X266="نعم",AC266="لا خصم 0"),"✗ خصم",IF(AND(Z266="ممتاز 100%",AA266="ممتاز 100%",AB266&lt;&gt;"",AB266&lt;&gt;"مكتمل 100%"),"✗ إغلاق",IFERROR(IF(LEN(_xlfn.TEXTJOIN("، ",TRUE,IF(E266="","التاريخ",""),IF(F266="","الوقت",""),IF(G266="","المركز",""),IF(H266="","الدائرة",""),IF(I266="","القسم",""),IF(J266="","المسؤول",""),IF(K266="","نوع النشاط",""),IF(L266="","المشروع",""),IF(N266="","الممول",""),IF(V266="","الموضوع",""),IF(W266="","الملاحظة",""),IF(X266="","مشكلة",""),IF(Y266="","الإجراء",""),IF(Z266="","التنفيذ",""),IF(AA266="","الجودة",""),IF(AB266="","الإغلاق",""),IF(AC266="","الخصم",""),IF(AND(COUNTA($O266:$U266)&gt;0,O266=""),"مدير المشروع",""),IF(AND(COUNTA($O266:$U266)&gt;0,P266=""),"المستفيدين",""),IF(AND(COUNTA($O266:$U266)&gt;0,Q266=""),"المناطق",""),IF(AND(COUNTA($O266:$U266)&gt;0,R266=""),"الميزانية",""),IF(AND(COUNTA($O266:$U266)&gt;0,S266=""),"نسبة الجاهزية",""),IF(AND(COUNTA($O266:$U266)&gt;0,T266=""),"حالة الجاهزية",""),IF(AND(COUNTA($O266:$U266)&gt;0,U266=""),"التوصيات","")))&gt;0,"✗ ناقص: "&amp;_xlfn.TEXTJOIN("، ",TRUE,IF(E266="","التاريخ",""),IF(F266="","الوقت",""),IF(G266="","المركز",""),IF(H266="","الدائرة",""),IF(I266="","القسم",""),IF(J266="","المسؤول",""),IF(K266="","نوع النشاط",""),IF(L266="","المشروع",""),IF(N266="","الممول",""),IF(V266="","الموضوع",""),IF(W266="","الملاحظة",""),IF(X266="","مشكلة",""),IF(Y266="","الإجراء",""),IF(Z266="","التنفيذ",""),IF(AA266="","الجودة",""),IF(AB266="","الإغلاق",""),IF(AC266="","الخصم",""),IF(AND(COUNTA($O266:$U266)&gt;0,O266=""),"مدير المشروع",""),IF(AND(COUNTA($O266:$U266)&gt;0,P266=""),"المستفيدين",""),IF(AND(COUNTA($O266:$U266)&gt;0,Q266=""),"المناطق",""),IF(AND(COUNTA($O266:$U266)&gt;0,R266=""),"الميزانية",""),IF(AND(COUNTA($O266:$U266)&gt;0,S266=""),"نسبة الجاهزية",""),IF(AND(COUNTA($O266:$U266)&gt;0,T266=""),"حالة الجاهزية",""),IF(AND(COUNTA($O266:$U266)&gt;0,U266=""),"التوصيات","")),"✓"),"✓"))))))))))</f>
        <v/>
      </c>
      <c r="E266" s="235"/>
      <c r="F266" s="236"/>
      <c r="G266" s="90"/>
      <c r="H266" s="239"/>
      <c r="I266" s="89"/>
      <c r="J266" s="142"/>
      <c r="K266" s="90"/>
      <c r="L266" s="90"/>
      <c r="M266" s="90"/>
      <c r="N266" s="89"/>
      <c r="O266" s="200"/>
      <c r="P266" s="201"/>
      <c r="Q266" s="201"/>
      <c r="R266" s="237"/>
      <c r="S266" s="202"/>
      <c r="T266" s="200"/>
      <c r="U266" s="203"/>
      <c r="V266" s="89"/>
      <c r="W266" s="89"/>
      <c r="X266" s="145"/>
      <c r="Y266" s="89"/>
      <c r="Z266" s="90"/>
      <c r="AA266" s="90"/>
      <c r="AB266" s="90"/>
      <c r="AC266" s="90"/>
      <c r="AD266" s="92"/>
      <c r="AE266" s="149" t="str">
        <f>IFERROR(VLOOKUP(Z266,LISTS!$AL$2:$AM$1000,2,FALSE()),"")</f>
        <v/>
      </c>
      <c r="AF266" s="151" t="str">
        <f>IFERROR(VLOOKUP(AA266,LISTS!$AO$2:$AP$1000,2,FALSE()),"")</f>
        <v/>
      </c>
      <c r="AG266" s="152" t="str">
        <f>IFERROR(VLOOKUP(AB266,LISTS!$AR$2:$AS$1000,2,FALSE()),"")</f>
        <v/>
      </c>
      <c r="AH266" s="154" t="str">
        <f>IFERROR(VLOOKUP(AC266,LISTS!$AU$2:$AV$1000,2,FALSE()),"")</f>
        <v/>
      </c>
      <c r="AI266" s="238" t="str">
        <f t="shared" si="23"/>
        <v>—</v>
      </c>
      <c r="AJ266" s="190" t="str">
        <f t="shared" si="24"/>
        <v>—</v>
      </c>
      <c r="AK266" s="157" t="str">
        <f t="shared" si="20"/>
        <v/>
      </c>
      <c r="AL266" s="160" t="str">
        <f t="shared" si="21"/>
        <v/>
      </c>
      <c r="AM266" s="210"/>
      <c r="AN266" s="209"/>
    </row>
    <row r="267" spans="1:40" ht="27.95" customHeight="1">
      <c r="A267" s="134" t="str">
        <f>IF(I267&lt;&gt;"",COUNTA($I$2:I267),"")</f>
        <v/>
      </c>
      <c r="B267" s="138" t="str">
        <f t="shared" si="22"/>
        <v/>
      </c>
      <c r="C267" s="93" t="str">
        <f t="array" ref="C267">IF(E267="","",IF(M267&lt;&gt;"",
M267&amp;"/"&amp;SUMPRODUCT((M$2:M267=M267)*1)&amp;" - "&amp;(ROW()-2),
"إداري/"&amp;SUMPRODUCT((M$2:M267="")*1)&amp;" - "&amp;(ROW()-2)))</f>
        <v/>
      </c>
      <c r="D267" s="141" t="str">
        <f>IF(AND(G267="",H267="",I267=""),"",IF(COUNTIFS(LISTS!$A$2:$A$67,G267,LISTS!$B$2:$B$67,H267,LISTS!$C$2:$C$67,I267)=0,"✗ هرم",IF(NOT(OR(Z267="ممتاز 100%",Z267="جيد 80%",Z267="مقبول 60%",Z267="خطر 40%",Z267="")),"✗ قائمة R",IF(NOT(OR(AA267="ممتاز 100%",AA267="جيد 85%",AA267="مقبول 70%",AA267="ضعيف 50%",AA267="")),"✗ قائمة S",IF(NOT(OR(AB267="مكتمل 100%",AB267="جزئي 60%",AB267="معلق 30%",AB267="مفتوح 0%",AB267="")),"✗ قائمة T",IF(NOT(OR(AC267="لا خصم 0",AC267="تأخير −5",AC267="عجز −10",AC267="جودة −15",AC267="امتثال −20",AC267="مخالفة −25",AC267="")),"✗ قائمة U",IF(AND(X267="لا",AC267&lt;&gt;"",AC267&lt;&gt;"لا خصم 0"),"✗ خصم",IF(AND(X267="نعم",AC267="لا خصم 0"),"✗ خصم",IF(AND(Z267="ممتاز 100%",AA267="ممتاز 100%",AB267&lt;&gt;"",AB267&lt;&gt;"مكتمل 100%"),"✗ إغلاق",IFERROR(IF(LEN(_xlfn.TEXTJOIN("، ",TRUE,IF(E267="","التاريخ",""),IF(F267="","الوقت",""),IF(G267="","المركز",""),IF(H267="","الدائرة",""),IF(I267="","القسم",""),IF(J267="","المسؤول",""),IF(K267="","نوع النشاط",""),IF(L267="","المشروع",""),IF(N267="","الممول",""),IF(V267="","الموضوع",""),IF(W267="","الملاحظة",""),IF(X267="","مشكلة",""),IF(Y267="","الإجراء",""),IF(Z267="","التنفيذ",""),IF(AA267="","الجودة",""),IF(AB267="","الإغلاق",""),IF(AC267="","الخصم",""),IF(AND(COUNTA($O267:$U267)&gt;0,O267=""),"مدير المشروع",""),IF(AND(COUNTA($O267:$U267)&gt;0,P267=""),"المستفيدين",""),IF(AND(COUNTA($O267:$U267)&gt;0,Q267=""),"المناطق",""),IF(AND(COUNTA($O267:$U267)&gt;0,R267=""),"الميزانية",""),IF(AND(COUNTA($O267:$U267)&gt;0,S267=""),"نسبة الجاهزية",""),IF(AND(COUNTA($O267:$U267)&gt;0,T267=""),"حالة الجاهزية",""),IF(AND(COUNTA($O267:$U267)&gt;0,U267=""),"التوصيات","")))&gt;0,"✗ ناقص: "&amp;_xlfn.TEXTJOIN("، ",TRUE,IF(E267="","التاريخ",""),IF(F267="","الوقت",""),IF(G267="","المركز",""),IF(H267="","الدائرة",""),IF(I267="","القسم",""),IF(J267="","المسؤول",""),IF(K267="","نوع النشاط",""),IF(L267="","المشروع",""),IF(N267="","الممول",""),IF(V267="","الموضوع",""),IF(W267="","الملاحظة",""),IF(X267="","مشكلة",""),IF(Y267="","الإجراء",""),IF(Z267="","التنفيذ",""),IF(AA267="","الجودة",""),IF(AB267="","الإغلاق",""),IF(AC267="","الخصم",""),IF(AND(COUNTA($O267:$U267)&gt;0,O267=""),"مدير المشروع",""),IF(AND(COUNTA($O267:$U267)&gt;0,P267=""),"المستفيدين",""),IF(AND(COUNTA($O267:$U267)&gt;0,Q267=""),"المناطق",""),IF(AND(COUNTA($O267:$U267)&gt;0,R267=""),"الميزانية",""),IF(AND(COUNTA($O267:$U267)&gt;0,S267=""),"نسبة الجاهزية",""),IF(AND(COUNTA($O267:$U267)&gt;0,T267=""),"حالة الجاهزية",""),IF(AND(COUNTA($O267:$U267)&gt;0,U267=""),"التوصيات","")),"✓"),"✓"))))))))))</f>
        <v/>
      </c>
      <c r="E267" s="235"/>
      <c r="F267" s="236"/>
      <c r="G267" s="90"/>
      <c r="H267" s="239"/>
      <c r="I267" s="89"/>
      <c r="J267" s="142"/>
      <c r="K267" s="90"/>
      <c r="L267" s="90"/>
      <c r="M267" s="90"/>
      <c r="N267" s="89"/>
      <c r="O267" s="200"/>
      <c r="P267" s="201"/>
      <c r="Q267" s="201"/>
      <c r="R267" s="237"/>
      <c r="S267" s="202"/>
      <c r="T267" s="200"/>
      <c r="U267" s="203"/>
      <c r="V267" s="89"/>
      <c r="W267" s="89"/>
      <c r="X267" s="145"/>
      <c r="Y267" s="89"/>
      <c r="Z267" s="90"/>
      <c r="AA267" s="90"/>
      <c r="AB267" s="90"/>
      <c r="AC267" s="90"/>
      <c r="AD267" s="92"/>
      <c r="AE267" s="149" t="str">
        <f>IFERROR(VLOOKUP(Z267,LISTS!$AL$2:$AM$1000,2,FALSE()),"")</f>
        <v/>
      </c>
      <c r="AF267" s="151" t="str">
        <f>IFERROR(VLOOKUP(AA267,LISTS!$AO$2:$AP$1000,2,FALSE()),"")</f>
        <v/>
      </c>
      <c r="AG267" s="152" t="str">
        <f>IFERROR(VLOOKUP(AB267,LISTS!$AR$2:$AS$1000,2,FALSE()),"")</f>
        <v/>
      </c>
      <c r="AH267" s="154" t="str">
        <f>IFERROR(VLOOKUP(AC267,LISTS!$AU$2:$AV$1000,2,FALSE()),"")</f>
        <v/>
      </c>
      <c r="AI267" s="238" t="str">
        <f t="shared" si="23"/>
        <v>—</v>
      </c>
      <c r="AJ267" s="190" t="str">
        <f t="shared" si="24"/>
        <v>—</v>
      </c>
      <c r="AK267" s="157" t="str">
        <f t="shared" si="20"/>
        <v/>
      </c>
      <c r="AL267" s="160" t="str">
        <f t="shared" si="21"/>
        <v/>
      </c>
      <c r="AM267" s="210"/>
      <c r="AN267" s="209"/>
    </row>
    <row r="268" spans="1:40" ht="27.95" customHeight="1">
      <c r="A268" s="134" t="str">
        <f>IF(I268&lt;&gt;"",COUNTA($I$2:I268),"")</f>
        <v/>
      </c>
      <c r="B268" s="138" t="str">
        <f t="shared" si="22"/>
        <v/>
      </c>
      <c r="C268" s="93" t="str">
        <f t="array" ref="C268">IF(E268="","",IF(M268&lt;&gt;"",
M268&amp;"/"&amp;SUMPRODUCT((M$2:M268=M268)*1)&amp;" - "&amp;(ROW()-2),
"إداري/"&amp;SUMPRODUCT((M$2:M268="")*1)&amp;" - "&amp;(ROW()-2)))</f>
        <v/>
      </c>
      <c r="D268" s="141" t="str">
        <f>IF(AND(G268="",H268="",I268=""),"",IF(COUNTIFS(LISTS!$A$2:$A$67,G268,LISTS!$B$2:$B$67,H268,LISTS!$C$2:$C$67,I268)=0,"✗ هرم",IF(NOT(OR(Z268="ممتاز 100%",Z268="جيد 80%",Z268="مقبول 60%",Z268="خطر 40%",Z268="")),"✗ قائمة R",IF(NOT(OR(AA268="ممتاز 100%",AA268="جيد 85%",AA268="مقبول 70%",AA268="ضعيف 50%",AA268="")),"✗ قائمة S",IF(NOT(OR(AB268="مكتمل 100%",AB268="جزئي 60%",AB268="معلق 30%",AB268="مفتوح 0%",AB268="")),"✗ قائمة T",IF(NOT(OR(AC268="لا خصم 0",AC268="تأخير −5",AC268="عجز −10",AC268="جودة −15",AC268="امتثال −20",AC268="مخالفة −25",AC268="")),"✗ قائمة U",IF(AND(X268="لا",AC268&lt;&gt;"",AC268&lt;&gt;"لا خصم 0"),"✗ خصم",IF(AND(X268="نعم",AC268="لا خصم 0"),"✗ خصم",IF(AND(Z268="ممتاز 100%",AA268="ممتاز 100%",AB268&lt;&gt;"",AB268&lt;&gt;"مكتمل 100%"),"✗ إغلاق",IFERROR(IF(LEN(_xlfn.TEXTJOIN("، ",TRUE,IF(E268="","التاريخ",""),IF(F268="","الوقت",""),IF(G268="","المركز",""),IF(H268="","الدائرة",""),IF(I268="","القسم",""),IF(J268="","المسؤول",""),IF(K268="","نوع النشاط",""),IF(L268="","المشروع",""),IF(N268="","الممول",""),IF(V268="","الموضوع",""),IF(W268="","الملاحظة",""),IF(X268="","مشكلة",""),IF(Y268="","الإجراء",""),IF(Z268="","التنفيذ",""),IF(AA268="","الجودة",""),IF(AB268="","الإغلاق",""),IF(AC268="","الخصم",""),IF(AND(COUNTA($O268:$U268)&gt;0,O268=""),"مدير المشروع",""),IF(AND(COUNTA($O268:$U268)&gt;0,P268=""),"المستفيدين",""),IF(AND(COUNTA($O268:$U268)&gt;0,Q268=""),"المناطق",""),IF(AND(COUNTA($O268:$U268)&gt;0,R268=""),"الميزانية",""),IF(AND(COUNTA($O268:$U268)&gt;0,S268=""),"نسبة الجاهزية",""),IF(AND(COUNTA($O268:$U268)&gt;0,T268=""),"حالة الجاهزية",""),IF(AND(COUNTA($O268:$U268)&gt;0,U268=""),"التوصيات","")))&gt;0,"✗ ناقص: "&amp;_xlfn.TEXTJOIN("، ",TRUE,IF(E268="","التاريخ",""),IF(F268="","الوقت",""),IF(G268="","المركز",""),IF(H268="","الدائرة",""),IF(I268="","القسم",""),IF(J268="","المسؤول",""),IF(K268="","نوع النشاط",""),IF(L268="","المشروع",""),IF(N268="","الممول",""),IF(V268="","الموضوع",""),IF(W268="","الملاحظة",""),IF(X268="","مشكلة",""),IF(Y268="","الإجراء",""),IF(Z268="","التنفيذ",""),IF(AA268="","الجودة",""),IF(AB268="","الإغلاق",""),IF(AC268="","الخصم",""),IF(AND(COUNTA($O268:$U268)&gt;0,O268=""),"مدير المشروع",""),IF(AND(COUNTA($O268:$U268)&gt;0,P268=""),"المستفيدين",""),IF(AND(COUNTA($O268:$U268)&gt;0,Q268=""),"المناطق",""),IF(AND(COUNTA($O268:$U268)&gt;0,R268=""),"الميزانية",""),IF(AND(COUNTA($O268:$U268)&gt;0,S268=""),"نسبة الجاهزية",""),IF(AND(COUNTA($O268:$U268)&gt;0,T268=""),"حالة الجاهزية",""),IF(AND(COUNTA($O268:$U268)&gt;0,U268=""),"التوصيات","")),"✓"),"✓"))))))))))</f>
        <v/>
      </c>
      <c r="E268" s="235"/>
      <c r="F268" s="236"/>
      <c r="G268" s="90"/>
      <c r="H268" s="239"/>
      <c r="I268" s="89"/>
      <c r="J268" s="142"/>
      <c r="K268" s="90"/>
      <c r="L268" s="90"/>
      <c r="M268" s="90"/>
      <c r="N268" s="89"/>
      <c r="O268" s="200"/>
      <c r="P268" s="201"/>
      <c r="Q268" s="201"/>
      <c r="R268" s="237"/>
      <c r="S268" s="202"/>
      <c r="T268" s="200"/>
      <c r="U268" s="203"/>
      <c r="V268" s="89"/>
      <c r="W268" s="89"/>
      <c r="X268" s="145"/>
      <c r="Y268" s="89"/>
      <c r="Z268" s="90"/>
      <c r="AA268" s="90"/>
      <c r="AB268" s="90"/>
      <c r="AC268" s="90"/>
      <c r="AD268" s="92"/>
      <c r="AE268" s="149" t="str">
        <f>IFERROR(VLOOKUP(Z268,LISTS!$AL$2:$AM$1000,2,FALSE()),"")</f>
        <v/>
      </c>
      <c r="AF268" s="151" t="str">
        <f>IFERROR(VLOOKUP(AA268,LISTS!$AO$2:$AP$1000,2,FALSE()),"")</f>
        <v/>
      </c>
      <c r="AG268" s="152" t="str">
        <f>IFERROR(VLOOKUP(AB268,LISTS!$AR$2:$AS$1000,2,FALSE()),"")</f>
        <v/>
      </c>
      <c r="AH268" s="154" t="str">
        <f>IFERROR(VLOOKUP(AC268,LISTS!$AU$2:$AV$1000,2,FALSE()),"")</f>
        <v/>
      </c>
      <c r="AI268" s="238" t="str">
        <f t="shared" si="23"/>
        <v>—</v>
      </c>
      <c r="AJ268" s="190" t="str">
        <f t="shared" si="24"/>
        <v>—</v>
      </c>
      <c r="AK268" s="157" t="str">
        <f t="shared" si="20"/>
        <v/>
      </c>
      <c r="AL268" s="160" t="str">
        <f t="shared" si="21"/>
        <v/>
      </c>
      <c r="AM268" s="210"/>
      <c r="AN268" s="209"/>
    </row>
    <row r="269" spans="1:40" ht="27.95" customHeight="1">
      <c r="A269" s="134" t="str">
        <f>IF(I269&lt;&gt;"",COUNTA($I$2:I269),"")</f>
        <v/>
      </c>
      <c r="B269" s="138" t="str">
        <f t="shared" si="22"/>
        <v/>
      </c>
      <c r="C269" s="93" t="str">
        <f t="array" ref="C269">IF(E269="","",IF(M269&lt;&gt;"",
M269&amp;"/"&amp;SUMPRODUCT((M$2:M269=M269)*1)&amp;" - "&amp;(ROW()-2),
"إداري/"&amp;SUMPRODUCT((M$2:M269="")*1)&amp;" - "&amp;(ROW()-2)))</f>
        <v/>
      </c>
      <c r="D269" s="141" t="str">
        <f>IF(AND(G269="",H269="",I269=""),"",IF(COUNTIFS(LISTS!$A$2:$A$67,G269,LISTS!$B$2:$B$67,H269,LISTS!$C$2:$C$67,I269)=0,"✗ هرم",IF(NOT(OR(Z269="ممتاز 100%",Z269="جيد 80%",Z269="مقبول 60%",Z269="خطر 40%",Z269="")),"✗ قائمة R",IF(NOT(OR(AA269="ممتاز 100%",AA269="جيد 85%",AA269="مقبول 70%",AA269="ضعيف 50%",AA269="")),"✗ قائمة S",IF(NOT(OR(AB269="مكتمل 100%",AB269="جزئي 60%",AB269="معلق 30%",AB269="مفتوح 0%",AB269="")),"✗ قائمة T",IF(NOT(OR(AC269="لا خصم 0",AC269="تأخير −5",AC269="عجز −10",AC269="جودة −15",AC269="امتثال −20",AC269="مخالفة −25",AC269="")),"✗ قائمة U",IF(AND(X269="لا",AC269&lt;&gt;"",AC269&lt;&gt;"لا خصم 0"),"✗ خصم",IF(AND(X269="نعم",AC269="لا خصم 0"),"✗ خصم",IF(AND(Z269="ممتاز 100%",AA269="ممتاز 100%",AB269&lt;&gt;"",AB269&lt;&gt;"مكتمل 100%"),"✗ إغلاق",IFERROR(IF(LEN(_xlfn.TEXTJOIN("، ",TRUE,IF(E269="","التاريخ",""),IF(F269="","الوقت",""),IF(G269="","المركز",""),IF(H269="","الدائرة",""),IF(I269="","القسم",""),IF(J269="","المسؤول",""),IF(K269="","نوع النشاط",""),IF(L269="","المشروع",""),IF(N269="","الممول",""),IF(V269="","الموضوع",""),IF(W269="","الملاحظة",""),IF(X269="","مشكلة",""),IF(Y269="","الإجراء",""),IF(Z269="","التنفيذ",""),IF(AA269="","الجودة",""),IF(AB269="","الإغلاق",""),IF(AC269="","الخصم",""),IF(AND(COUNTA($O269:$U269)&gt;0,O269=""),"مدير المشروع",""),IF(AND(COUNTA($O269:$U269)&gt;0,P269=""),"المستفيدين",""),IF(AND(COUNTA($O269:$U269)&gt;0,Q269=""),"المناطق",""),IF(AND(COUNTA($O269:$U269)&gt;0,R269=""),"الميزانية",""),IF(AND(COUNTA($O269:$U269)&gt;0,S269=""),"نسبة الجاهزية",""),IF(AND(COUNTA($O269:$U269)&gt;0,T269=""),"حالة الجاهزية",""),IF(AND(COUNTA($O269:$U269)&gt;0,U269=""),"التوصيات","")))&gt;0,"✗ ناقص: "&amp;_xlfn.TEXTJOIN("، ",TRUE,IF(E269="","التاريخ",""),IF(F269="","الوقت",""),IF(G269="","المركز",""),IF(H269="","الدائرة",""),IF(I269="","القسم",""),IF(J269="","المسؤول",""),IF(K269="","نوع النشاط",""),IF(L269="","المشروع",""),IF(N269="","الممول",""),IF(V269="","الموضوع",""),IF(W269="","الملاحظة",""),IF(X269="","مشكلة",""),IF(Y269="","الإجراء",""),IF(Z269="","التنفيذ",""),IF(AA269="","الجودة",""),IF(AB269="","الإغلاق",""),IF(AC269="","الخصم",""),IF(AND(COUNTA($O269:$U269)&gt;0,O269=""),"مدير المشروع",""),IF(AND(COUNTA($O269:$U269)&gt;0,P269=""),"المستفيدين",""),IF(AND(COUNTA($O269:$U269)&gt;0,Q269=""),"المناطق",""),IF(AND(COUNTA($O269:$U269)&gt;0,R269=""),"الميزانية",""),IF(AND(COUNTA($O269:$U269)&gt;0,S269=""),"نسبة الجاهزية",""),IF(AND(COUNTA($O269:$U269)&gt;0,T269=""),"حالة الجاهزية",""),IF(AND(COUNTA($O269:$U269)&gt;0,U269=""),"التوصيات","")),"✓"),"✓"))))))))))</f>
        <v/>
      </c>
      <c r="E269" s="235"/>
      <c r="F269" s="236"/>
      <c r="G269" s="90"/>
      <c r="H269" s="239"/>
      <c r="I269" s="89"/>
      <c r="J269" s="142"/>
      <c r="K269" s="90"/>
      <c r="L269" s="90"/>
      <c r="M269" s="90"/>
      <c r="N269" s="89"/>
      <c r="O269" s="200"/>
      <c r="P269" s="201"/>
      <c r="Q269" s="201"/>
      <c r="R269" s="237"/>
      <c r="S269" s="202"/>
      <c r="T269" s="200"/>
      <c r="U269" s="203"/>
      <c r="V269" s="89"/>
      <c r="W269" s="89"/>
      <c r="X269" s="145"/>
      <c r="Y269" s="89"/>
      <c r="Z269" s="90"/>
      <c r="AA269" s="90"/>
      <c r="AB269" s="90"/>
      <c r="AC269" s="90"/>
      <c r="AD269" s="92"/>
      <c r="AE269" s="149" t="str">
        <f>IFERROR(VLOOKUP(Z269,LISTS!$AL$2:$AM$1000,2,FALSE()),"")</f>
        <v/>
      </c>
      <c r="AF269" s="151" t="str">
        <f>IFERROR(VLOOKUP(AA269,LISTS!$AO$2:$AP$1000,2,FALSE()),"")</f>
        <v/>
      </c>
      <c r="AG269" s="152" t="str">
        <f>IFERROR(VLOOKUP(AB269,LISTS!$AR$2:$AS$1000,2,FALSE()),"")</f>
        <v/>
      </c>
      <c r="AH269" s="154" t="str">
        <f>IFERROR(VLOOKUP(AC269,LISTS!$AU$2:$AV$1000,2,FALSE()),"")</f>
        <v/>
      </c>
      <c r="AI269" s="238" t="str">
        <f t="shared" si="23"/>
        <v>—</v>
      </c>
      <c r="AJ269" s="190" t="str">
        <f t="shared" si="24"/>
        <v>—</v>
      </c>
      <c r="AK269" s="157" t="str">
        <f t="shared" si="20"/>
        <v/>
      </c>
      <c r="AL269" s="160" t="str">
        <f t="shared" si="21"/>
        <v/>
      </c>
      <c r="AM269" s="210"/>
      <c r="AN269" s="209"/>
    </row>
    <row r="270" spans="1:40" ht="27.95" customHeight="1">
      <c r="A270" s="134" t="str">
        <f>IF(I270&lt;&gt;"",COUNTA($I$2:I270),"")</f>
        <v/>
      </c>
      <c r="B270" s="138" t="str">
        <f t="shared" si="22"/>
        <v/>
      </c>
      <c r="C270" s="93" t="str">
        <f t="array" ref="C270">IF(E270="","",IF(M270&lt;&gt;"",
M270&amp;"/"&amp;SUMPRODUCT((M$2:M270=M270)*1)&amp;" - "&amp;(ROW()-2),
"إداري/"&amp;SUMPRODUCT((M$2:M270="")*1)&amp;" - "&amp;(ROW()-2)))</f>
        <v/>
      </c>
      <c r="D270" s="141" t="str">
        <f>IF(AND(G270="",H270="",I270=""),"",IF(COUNTIFS(LISTS!$A$2:$A$67,G270,LISTS!$B$2:$B$67,H270,LISTS!$C$2:$C$67,I270)=0,"✗ هرم",IF(NOT(OR(Z270="ممتاز 100%",Z270="جيد 80%",Z270="مقبول 60%",Z270="خطر 40%",Z270="")),"✗ قائمة R",IF(NOT(OR(AA270="ممتاز 100%",AA270="جيد 85%",AA270="مقبول 70%",AA270="ضعيف 50%",AA270="")),"✗ قائمة S",IF(NOT(OR(AB270="مكتمل 100%",AB270="جزئي 60%",AB270="معلق 30%",AB270="مفتوح 0%",AB270="")),"✗ قائمة T",IF(NOT(OR(AC270="لا خصم 0",AC270="تأخير −5",AC270="عجز −10",AC270="جودة −15",AC270="امتثال −20",AC270="مخالفة −25",AC270="")),"✗ قائمة U",IF(AND(X270="لا",AC270&lt;&gt;"",AC270&lt;&gt;"لا خصم 0"),"✗ خصم",IF(AND(X270="نعم",AC270="لا خصم 0"),"✗ خصم",IF(AND(Z270="ممتاز 100%",AA270="ممتاز 100%",AB270&lt;&gt;"",AB270&lt;&gt;"مكتمل 100%"),"✗ إغلاق",IFERROR(IF(LEN(_xlfn.TEXTJOIN("، ",TRUE,IF(E270="","التاريخ",""),IF(F270="","الوقت",""),IF(G270="","المركز",""),IF(H270="","الدائرة",""),IF(I270="","القسم",""),IF(J270="","المسؤول",""),IF(K270="","نوع النشاط",""),IF(L270="","المشروع",""),IF(N270="","الممول",""),IF(V270="","الموضوع",""),IF(W270="","الملاحظة",""),IF(X270="","مشكلة",""),IF(Y270="","الإجراء",""),IF(Z270="","التنفيذ",""),IF(AA270="","الجودة",""),IF(AB270="","الإغلاق",""),IF(AC270="","الخصم",""),IF(AND(COUNTA($O270:$U270)&gt;0,O270=""),"مدير المشروع",""),IF(AND(COUNTA($O270:$U270)&gt;0,P270=""),"المستفيدين",""),IF(AND(COUNTA($O270:$U270)&gt;0,Q270=""),"المناطق",""),IF(AND(COUNTA($O270:$U270)&gt;0,R270=""),"الميزانية",""),IF(AND(COUNTA($O270:$U270)&gt;0,S270=""),"نسبة الجاهزية",""),IF(AND(COUNTA($O270:$U270)&gt;0,T270=""),"حالة الجاهزية",""),IF(AND(COUNTA($O270:$U270)&gt;0,U270=""),"التوصيات","")))&gt;0,"✗ ناقص: "&amp;_xlfn.TEXTJOIN("، ",TRUE,IF(E270="","التاريخ",""),IF(F270="","الوقت",""),IF(G270="","المركز",""),IF(H270="","الدائرة",""),IF(I270="","القسم",""),IF(J270="","المسؤول",""),IF(K270="","نوع النشاط",""),IF(L270="","المشروع",""),IF(N270="","الممول",""),IF(V270="","الموضوع",""),IF(W270="","الملاحظة",""),IF(X270="","مشكلة",""),IF(Y270="","الإجراء",""),IF(Z270="","التنفيذ",""),IF(AA270="","الجودة",""),IF(AB270="","الإغلاق",""),IF(AC270="","الخصم",""),IF(AND(COUNTA($O270:$U270)&gt;0,O270=""),"مدير المشروع",""),IF(AND(COUNTA($O270:$U270)&gt;0,P270=""),"المستفيدين",""),IF(AND(COUNTA($O270:$U270)&gt;0,Q270=""),"المناطق",""),IF(AND(COUNTA($O270:$U270)&gt;0,R270=""),"الميزانية",""),IF(AND(COUNTA($O270:$U270)&gt;0,S270=""),"نسبة الجاهزية",""),IF(AND(COUNTA($O270:$U270)&gt;0,T270=""),"حالة الجاهزية",""),IF(AND(COUNTA($O270:$U270)&gt;0,U270=""),"التوصيات","")),"✓"),"✓"))))))))))</f>
        <v/>
      </c>
      <c r="E270" s="235"/>
      <c r="F270" s="236"/>
      <c r="G270" s="90"/>
      <c r="H270" s="239"/>
      <c r="I270" s="89"/>
      <c r="J270" s="142"/>
      <c r="K270" s="90"/>
      <c r="L270" s="90"/>
      <c r="M270" s="90"/>
      <c r="N270" s="89"/>
      <c r="O270" s="200"/>
      <c r="P270" s="201"/>
      <c r="Q270" s="201"/>
      <c r="R270" s="237"/>
      <c r="S270" s="202"/>
      <c r="T270" s="200"/>
      <c r="U270" s="203"/>
      <c r="V270" s="89"/>
      <c r="W270" s="89"/>
      <c r="X270" s="145"/>
      <c r="Y270" s="89"/>
      <c r="Z270" s="90"/>
      <c r="AA270" s="90"/>
      <c r="AB270" s="90"/>
      <c r="AC270" s="90"/>
      <c r="AD270" s="92"/>
      <c r="AE270" s="149" t="str">
        <f>IFERROR(VLOOKUP(Z270,LISTS!$AL$2:$AM$1000,2,FALSE()),"")</f>
        <v/>
      </c>
      <c r="AF270" s="151" t="str">
        <f>IFERROR(VLOOKUP(AA270,LISTS!$AO$2:$AP$1000,2,FALSE()),"")</f>
        <v/>
      </c>
      <c r="AG270" s="152" t="str">
        <f>IFERROR(VLOOKUP(AB270,LISTS!$AR$2:$AS$1000,2,FALSE()),"")</f>
        <v/>
      </c>
      <c r="AH270" s="154" t="str">
        <f>IFERROR(VLOOKUP(AC270,LISTS!$AU$2:$AV$1000,2,FALSE()),"")</f>
        <v/>
      </c>
      <c r="AI270" s="238" t="str">
        <f t="shared" si="23"/>
        <v>—</v>
      </c>
      <c r="AJ270" s="190" t="str">
        <f t="shared" si="24"/>
        <v>—</v>
      </c>
      <c r="AK270" s="157" t="str">
        <f t="shared" si="20"/>
        <v/>
      </c>
      <c r="AL270" s="160" t="str">
        <f t="shared" si="21"/>
        <v/>
      </c>
      <c r="AM270" s="210"/>
      <c r="AN270" s="209"/>
    </row>
    <row r="271" spans="1:40" ht="27.95" customHeight="1">
      <c r="A271" s="134" t="str">
        <f>IF(I271&lt;&gt;"",COUNTA($I$2:I271),"")</f>
        <v/>
      </c>
      <c r="B271" s="138" t="str">
        <f t="shared" si="22"/>
        <v/>
      </c>
      <c r="C271" s="93" t="str">
        <f t="array" ref="C271">IF(E271="","",IF(M271&lt;&gt;"",
M271&amp;"/"&amp;SUMPRODUCT((M$2:M271=M271)*1)&amp;" - "&amp;(ROW()-2),
"إداري/"&amp;SUMPRODUCT((M$2:M271="")*1)&amp;" - "&amp;(ROW()-2)))</f>
        <v/>
      </c>
      <c r="D271" s="141" t="str">
        <f>IF(AND(G271="",H271="",I271=""),"",IF(COUNTIFS(LISTS!$A$2:$A$67,G271,LISTS!$B$2:$B$67,H271,LISTS!$C$2:$C$67,I271)=0,"✗ هرم",IF(NOT(OR(Z271="ممتاز 100%",Z271="جيد 80%",Z271="مقبول 60%",Z271="خطر 40%",Z271="")),"✗ قائمة R",IF(NOT(OR(AA271="ممتاز 100%",AA271="جيد 85%",AA271="مقبول 70%",AA271="ضعيف 50%",AA271="")),"✗ قائمة S",IF(NOT(OR(AB271="مكتمل 100%",AB271="جزئي 60%",AB271="معلق 30%",AB271="مفتوح 0%",AB271="")),"✗ قائمة T",IF(NOT(OR(AC271="لا خصم 0",AC271="تأخير −5",AC271="عجز −10",AC271="جودة −15",AC271="امتثال −20",AC271="مخالفة −25",AC271="")),"✗ قائمة U",IF(AND(X271="لا",AC271&lt;&gt;"",AC271&lt;&gt;"لا خصم 0"),"✗ خصم",IF(AND(X271="نعم",AC271="لا خصم 0"),"✗ خصم",IF(AND(Z271="ممتاز 100%",AA271="ممتاز 100%",AB271&lt;&gt;"",AB271&lt;&gt;"مكتمل 100%"),"✗ إغلاق",IFERROR(IF(LEN(_xlfn.TEXTJOIN("، ",TRUE,IF(E271="","التاريخ",""),IF(F271="","الوقت",""),IF(G271="","المركز",""),IF(H271="","الدائرة",""),IF(I271="","القسم",""),IF(J271="","المسؤول",""),IF(K271="","نوع النشاط",""),IF(L271="","المشروع",""),IF(N271="","الممول",""),IF(V271="","الموضوع",""),IF(W271="","الملاحظة",""),IF(X271="","مشكلة",""),IF(Y271="","الإجراء",""),IF(Z271="","التنفيذ",""),IF(AA271="","الجودة",""),IF(AB271="","الإغلاق",""),IF(AC271="","الخصم",""),IF(AND(COUNTA($O271:$U271)&gt;0,O271=""),"مدير المشروع",""),IF(AND(COUNTA($O271:$U271)&gt;0,P271=""),"المستفيدين",""),IF(AND(COUNTA($O271:$U271)&gt;0,Q271=""),"المناطق",""),IF(AND(COUNTA($O271:$U271)&gt;0,R271=""),"الميزانية",""),IF(AND(COUNTA($O271:$U271)&gt;0,S271=""),"نسبة الجاهزية",""),IF(AND(COUNTA($O271:$U271)&gt;0,T271=""),"حالة الجاهزية",""),IF(AND(COUNTA($O271:$U271)&gt;0,U271=""),"التوصيات","")))&gt;0,"✗ ناقص: "&amp;_xlfn.TEXTJOIN("، ",TRUE,IF(E271="","التاريخ",""),IF(F271="","الوقت",""),IF(G271="","المركز",""),IF(H271="","الدائرة",""),IF(I271="","القسم",""),IF(J271="","المسؤول",""),IF(K271="","نوع النشاط",""),IF(L271="","المشروع",""),IF(N271="","الممول",""),IF(V271="","الموضوع",""),IF(W271="","الملاحظة",""),IF(X271="","مشكلة",""),IF(Y271="","الإجراء",""),IF(Z271="","التنفيذ",""),IF(AA271="","الجودة",""),IF(AB271="","الإغلاق",""),IF(AC271="","الخصم",""),IF(AND(COUNTA($O271:$U271)&gt;0,O271=""),"مدير المشروع",""),IF(AND(COUNTA($O271:$U271)&gt;0,P271=""),"المستفيدين",""),IF(AND(COUNTA($O271:$U271)&gt;0,Q271=""),"المناطق",""),IF(AND(COUNTA($O271:$U271)&gt;0,R271=""),"الميزانية",""),IF(AND(COUNTA($O271:$U271)&gt;0,S271=""),"نسبة الجاهزية",""),IF(AND(COUNTA($O271:$U271)&gt;0,T271=""),"حالة الجاهزية",""),IF(AND(COUNTA($O271:$U271)&gt;0,U271=""),"التوصيات","")),"✓"),"✓"))))))))))</f>
        <v/>
      </c>
      <c r="E271" s="235"/>
      <c r="F271" s="236"/>
      <c r="G271" s="90"/>
      <c r="H271" s="239"/>
      <c r="I271" s="89"/>
      <c r="J271" s="142"/>
      <c r="K271" s="90"/>
      <c r="L271" s="90"/>
      <c r="M271" s="90"/>
      <c r="N271" s="89"/>
      <c r="O271" s="200"/>
      <c r="P271" s="201"/>
      <c r="Q271" s="201"/>
      <c r="R271" s="237"/>
      <c r="S271" s="202"/>
      <c r="T271" s="200"/>
      <c r="U271" s="203"/>
      <c r="V271" s="89"/>
      <c r="W271" s="89"/>
      <c r="X271" s="145"/>
      <c r="Y271" s="89"/>
      <c r="Z271" s="90"/>
      <c r="AA271" s="90"/>
      <c r="AB271" s="90"/>
      <c r="AC271" s="90"/>
      <c r="AD271" s="92"/>
      <c r="AE271" s="149" t="str">
        <f>IFERROR(VLOOKUP(Z271,LISTS!$AL$2:$AM$1000,2,FALSE()),"")</f>
        <v/>
      </c>
      <c r="AF271" s="151" t="str">
        <f>IFERROR(VLOOKUP(AA271,LISTS!$AO$2:$AP$1000,2,FALSE()),"")</f>
        <v/>
      </c>
      <c r="AG271" s="152" t="str">
        <f>IFERROR(VLOOKUP(AB271,LISTS!$AR$2:$AS$1000,2,FALSE()),"")</f>
        <v/>
      </c>
      <c r="AH271" s="154" t="str">
        <f>IFERROR(VLOOKUP(AC271,LISTS!$AU$2:$AV$1000,2,FALSE()),"")</f>
        <v/>
      </c>
      <c r="AI271" s="238" t="str">
        <f t="shared" si="23"/>
        <v>—</v>
      </c>
      <c r="AJ271" s="190" t="str">
        <f t="shared" si="24"/>
        <v>—</v>
      </c>
      <c r="AK271" s="157" t="str">
        <f t="shared" si="20"/>
        <v/>
      </c>
      <c r="AL271" s="160" t="str">
        <f t="shared" si="21"/>
        <v/>
      </c>
      <c r="AM271" s="210"/>
      <c r="AN271" s="209"/>
    </row>
    <row r="272" spans="1:40" ht="27.95" customHeight="1">
      <c r="A272" s="134" t="str">
        <f>IF(I272&lt;&gt;"",COUNTA($I$2:I272),"")</f>
        <v/>
      </c>
      <c r="B272" s="138" t="str">
        <f t="shared" si="22"/>
        <v/>
      </c>
      <c r="C272" s="93" t="str">
        <f t="array" ref="C272">IF(E272="","",IF(M272&lt;&gt;"",
M272&amp;"/"&amp;SUMPRODUCT((M$2:M272=M272)*1)&amp;" - "&amp;(ROW()-2),
"إداري/"&amp;SUMPRODUCT((M$2:M272="")*1)&amp;" - "&amp;(ROW()-2)))</f>
        <v/>
      </c>
      <c r="D272" s="141" t="str">
        <f>IF(AND(G272="",H272="",I272=""),"",IF(COUNTIFS(LISTS!$A$2:$A$67,G272,LISTS!$B$2:$B$67,H272,LISTS!$C$2:$C$67,I272)=0,"✗ هرم",IF(NOT(OR(Z272="ممتاز 100%",Z272="جيد 80%",Z272="مقبول 60%",Z272="خطر 40%",Z272="")),"✗ قائمة R",IF(NOT(OR(AA272="ممتاز 100%",AA272="جيد 85%",AA272="مقبول 70%",AA272="ضعيف 50%",AA272="")),"✗ قائمة S",IF(NOT(OR(AB272="مكتمل 100%",AB272="جزئي 60%",AB272="معلق 30%",AB272="مفتوح 0%",AB272="")),"✗ قائمة T",IF(NOT(OR(AC272="لا خصم 0",AC272="تأخير −5",AC272="عجز −10",AC272="جودة −15",AC272="امتثال −20",AC272="مخالفة −25",AC272="")),"✗ قائمة U",IF(AND(X272="لا",AC272&lt;&gt;"",AC272&lt;&gt;"لا خصم 0"),"✗ خصم",IF(AND(X272="نعم",AC272="لا خصم 0"),"✗ خصم",IF(AND(Z272="ممتاز 100%",AA272="ممتاز 100%",AB272&lt;&gt;"",AB272&lt;&gt;"مكتمل 100%"),"✗ إغلاق",IFERROR(IF(LEN(_xlfn.TEXTJOIN("، ",TRUE,IF(E272="","التاريخ",""),IF(F272="","الوقت",""),IF(G272="","المركز",""),IF(H272="","الدائرة",""),IF(I272="","القسم",""),IF(J272="","المسؤول",""),IF(K272="","نوع النشاط",""),IF(L272="","المشروع",""),IF(N272="","الممول",""),IF(V272="","الموضوع",""),IF(W272="","الملاحظة",""),IF(X272="","مشكلة",""),IF(Y272="","الإجراء",""),IF(Z272="","التنفيذ",""),IF(AA272="","الجودة",""),IF(AB272="","الإغلاق",""),IF(AC272="","الخصم",""),IF(AND(COUNTA($O272:$U272)&gt;0,O272=""),"مدير المشروع",""),IF(AND(COUNTA($O272:$U272)&gt;0,P272=""),"المستفيدين",""),IF(AND(COUNTA($O272:$U272)&gt;0,Q272=""),"المناطق",""),IF(AND(COUNTA($O272:$U272)&gt;0,R272=""),"الميزانية",""),IF(AND(COUNTA($O272:$U272)&gt;0,S272=""),"نسبة الجاهزية",""),IF(AND(COUNTA($O272:$U272)&gt;0,T272=""),"حالة الجاهزية",""),IF(AND(COUNTA($O272:$U272)&gt;0,U272=""),"التوصيات","")))&gt;0,"✗ ناقص: "&amp;_xlfn.TEXTJOIN("، ",TRUE,IF(E272="","التاريخ",""),IF(F272="","الوقت",""),IF(G272="","المركز",""),IF(H272="","الدائرة",""),IF(I272="","القسم",""),IF(J272="","المسؤول",""),IF(K272="","نوع النشاط",""),IF(L272="","المشروع",""),IF(N272="","الممول",""),IF(V272="","الموضوع",""),IF(W272="","الملاحظة",""),IF(X272="","مشكلة",""),IF(Y272="","الإجراء",""),IF(Z272="","التنفيذ",""),IF(AA272="","الجودة",""),IF(AB272="","الإغلاق",""),IF(AC272="","الخصم",""),IF(AND(COUNTA($O272:$U272)&gt;0,O272=""),"مدير المشروع",""),IF(AND(COUNTA($O272:$U272)&gt;0,P272=""),"المستفيدين",""),IF(AND(COUNTA($O272:$U272)&gt;0,Q272=""),"المناطق",""),IF(AND(COUNTA($O272:$U272)&gt;0,R272=""),"الميزانية",""),IF(AND(COUNTA($O272:$U272)&gt;0,S272=""),"نسبة الجاهزية",""),IF(AND(COUNTA($O272:$U272)&gt;0,T272=""),"حالة الجاهزية",""),IF(AND(COUNTA($O272:$U272)&gt;0,U272=""),"التوصيات","")),"✓"),"✓"))))))))))</f>
        <v/>
      </c>
      <c r="E272" s="235"/>
      <c r="F272" s="236"/>
      <c r="G272" s="90"/>
      <c r="H272" s="239"/>
      <c r="I272" s="89"/>
      <c r="J272" s="142"/>
      <c r="K272" s="90"/>
      <c r="L272" s="90"/>
      <c r="M272" s="90"/>
      <c r="N272" s="89"/>
      <c r="O272" s="200"/>
      <c r="P272" s="201"/>
      <c r="Q272" s="201"/>
      <c r="R272" s="237"/>
      <c r="S272" s="202"/>
      <c r="T272" s="200"/>
      <c r="U272" s="203"/>
      <c r="V272" s="89"/>
      <c r="W272" s="89"/>
      <c r="X272" s="145"/>
      <c r="Y272" s="89"/>
      <c r="Z272" s="90"/>
      <c r="AA272" s="90"/>
      <c r="AB272" s="90"/>
      <c r="AC272" s="90"/>
      <c r="AD272" s="92"/>
      <c r="AE272" s="149" t="str">
        <f>IFERROR(VLOOKUP(Z272,LISTS!$AL$2:$AM$1000,2,FALSE()),"")</f>
        <v/>
      </c>
      <c r="AF272" s="151" t="str">
        <f>IFERROR(VLOOKUP(AA272,LISTS!$AO$2:$AP$1000,2,FALSE()),"")</f>
        <v/>
      </c>
      <c r="AG272" s="152" t="str">
        <f>IFERROR(VLOOKUP(AB272,LISTS!$AR$2:$AS$1000,2,FALSE()),"")</f>
        <v/>
      </c>
      <c r="AH272" s="154" t="str">
        <f>IFERROR(VLOOKUP(AC272,LISTS!$AU$2:$AV$1000,2,FALSE()),"")</f>
        <v/>
      </c>
      <c r="AI272" s="238" t="str">
        <f t="shared" si="23"/>
        <v>—</v>
      </c>
      <c r="AJ272" s="190" t="str">
        <f t="shared" si="24"/>
        <v>—</v>
      </c>
      <c r="AK272" s="157" t="str">
        <f t="shared" si="20"/>
        <v/>
      </c>
      <c r="AL272" s="160" t="str">
        <f t="shared" si="21"/>
        <v/>
      </c>
      <c r="AM272" s="210"/>
      <c r="AN272" s="209"/>
    </row>
    <row r="273" spans="1:40" ht="27.95" customHeight="1">
      <c r="A273" s="134" t="str">
        <f>IF(I273&lt;&gt;"",COUNTA($I$2:I273),"")</f>
        <v/>
      </c>
      <c r="B273" s="138" t="str">
        <f t="shared" si="22"/>
        <v/>
      </c>
      <c r="C273" s="93" t="str">
        <f t="array" ref="C273">IF(E273="","",IF(M273&lt;&gt;"",
M273&amp;"/"&amp;SUMPRODUCT((M$2:M273=M273)*1)&amp;" - "&amp;(ROW()-2),
"إداري/"&amp;SUMPRODUCT((M$2:M273="")*1)&amp;" - "&amp;(ROW()-2)))</f>
        <v/>
      </c>
      <c r="D273" s="141" t="str">
        <f>IF(AND(G273="",H273="",I273=""),"",IF(COUNTIFS(LISTS!$A$2:$A$67,G273,LISTS!$B$2:$B$67,H273,LISTS!$C$2:$C$67,I273)=0,"✗ هرم",IF(NOT(OR(Z273="ممتاز 100%",Z273="جيد 80%",Z273="مقبول 60%",Z273="خطر 40%",Z273="")),"✗ قائمة R",IF(NOT(OR(AA273="ممتاز 100%",AA273="جيد 85%",AA273="مقبول 70%",AA273="ضعيف 50%",AA273="")),"✗ قائمة S",IF(NOT(OR(AB273="مكتمل 100%",AB273="جزئي 60%",AB273="معلق 30%",AB273="مفتوح 0%",AB273="")),"✗ قائمة T",IF(NOT(OR(AC273="لا خصم 0",AC273="تأخير −5",AC273="عجز −10",AC273="جودة −15",AC273="امتثال −20",AC273="مخالفة −25",AC273="")),"✗ قائمة U",IF(AND(X273="لا",AC273&lt;&gt;"",AC273&lt;&gt;"لا خصم 0"),"✗ خصم",IF(AND(X273="نعم",AC273="لا خصم 0"),"✗ خصم",IF(AND(Z273="ممتاز 100%",AA273="ممتاز 100%",AB273&lt;&gt;"",AB273&lt;&gt;"مكتمل 100%"),"✗ إغلاق",IFERROR(IF(LEN(_xlfn.TEXTJOIN("، ",TRUE,IF(E273="","التاريخ",""),IF(F273="","الوقت",""),IF(G273="","المركز",""),IF(H273="","الدائرة",""),IF(I273="","القسم",""),IF(J273="","المسؤول",""),IF(K273="","نوع النشاط",""),IF(L273="","المشروع",""),IF(N273="","الممول",""),IF(V273="","الموضوع",""),IF(W273="","الملاحظة",""),IF(X273="","مشكلة",""),IF(Y273="","الإجراء",""),IF(Z273="","التنفيذ",""),IF(AA273="","الجودة",""),IF(AB273="","الإغلاق",""),IF(AC273="","الخصم",""),IF(AND(COUNTA($O273:$U273)&gt;0,O273=""),"مدير المشروع",""),IF(AND(COUNTA($O273:$U273)&gt;0,P273=""),"المستفيدين",""),IF(AND(COUNTA($O273:$U273)&gt;0,Q273=""),"المناطق",""),IF(AND(COUNTA($O273:$U273)&gt;0,R273=""),"الميزانية",""),IF(AND(COUNTA($O273:$U273)&gt;0,S273=""),"نسبة الجاهزية",""),IF(AND(COUNTA($O273:$U273)&gt;0,T273=""),"حالة الجاهزية",""),IF(AND(COUNTA($O273:$U273)&gt;0,U273=""),"التوصيات","")))&gt;0,"✗ ناقص: "&amp;_xlfn.TEXTJOIN("، ",TRUE,IF(E273="","التاريخ",""),IF(F273="","الوقت",""),IF(G273="","المركز",""),IF(H273="","الدائرة",""),IF(I273="","القسم",""),IF(J273="","المسؤول",""),IF(K273="","نوع النشاط",""),IF(L273="","المشروع",""),IF(N273="","الممول",""),IF(V273="","الموضوع",""),IF(W273="","الملاحظة",""),IF(X273="","مشكلة",""),IF(Y273="","الإجراء",""),IF(Z273="","التنفيذ",""),IF(AA273="","الجودة",""),IF(AB273="","الإغلاق",""),IF(AC273="","الخصم",""),IF(AND(COUNTA($O273:$U273)&gt;0,O273=""),"مدير المشروع",""),IF(AND(COUNTA($O273:$U273)&gt;0,P273=""),"المستفيدين",""),IF(AND(COUNTA($O273:$U273)&gt;0,Q273=""),"المناطق",""),IF(AND(COUNTA($O273:$U273)&gt;0,R273=""),"الميزانية",""),IF(AND(COUNTA($O273:$U273)&gt;0,S273=""),"نسبة الجاهزية",""),IF(AND(COUNTA($O273:$U273)&gt;0,T273=""),"حالة الجاهزية",""),IF(AND(COUNTA($O273:$U273)&gt;0,U273=""),"التوصيات","")),"✓"),"✓"))))))))))</f>
        <v/>
      </c>
      <c r="E273" s="235"/>
      <c r="F273" s="236"/>
      <c r="G273" s="90"/>
      <c r="H273" s="239"/>
      <c r="I273" s="89"/>
      <c r="J273" s="142"/>
      <c r="K273" s="90"/>
      <c r="L273" s="90"/>
      <c r="M273" s="90"/>
      <c r="N273" s="89"/>
      <c r="O273" s="200"/>
      <c r="P273" s="201"/>
      <c r="Q273" s="201"/>
      <c r="R273" s="237"/>
      <c r="S273" s="202"/>
      <c r="T273" s="200"/>
      <c r="U273" s="203"/>
      <c r="V273" s="89"/>
      <c r="W273" s="89"/>
      <c r="X273" s="145"/>
      <c r="Y273" s="89"/>
      <c r="Z273" s="90"/>
      <c r="AA273" s="90"/>
      <c r="AB273" s="90"/>
      <c r="AC273" s="90"/>
      <c r="AD273" s="92"/>
      <c r="AE273" s="149" t="str">
        <f>IFERROR(VLOOKUP(Z273,LISTS!$AL$2:$AM$1000,2,FALSE()),"")</f>
        <v/>
      </c>
      <c r="AF273" s="151" t="str">
        <f>IFERROR(VLOOKUP(AA273,LISTS!$AO$2:$AP$1000,2,FALSE()),"")</f>
        <v/>
      </c>
      <c r="AG273" s="152" t="str">
        <f>IFERROR(VLOOKUP(AB273,LISTS!$AR$2:$AS$1000,2,FALSE()),"")</f>
        <v/>
      </c>
      <c r="AH273" s="154" t="str">
        <f>IFERROR(VLOOKUP(AC273,LISTS!$AU$2:$AV$1000,2,FALSE()),"")</f>
        <v/>
      </c>
      <c r="AI273" s="238" t="str">
        <f t="shared" si="23"/>
        <v>—</v>
      </c>
      <c r="AJ273" s="190" t="str">
        <f t="shared" si="24"/>
        <v>—</v>
      </c>
      <c r="AK273" s="157" t="str">
        <f t="shared" si="20"/>
        <v/>
      </c>
      <c r="AL273" s="160" t="str">
        <f t="shared" si="21"/>
        <v/>
      </c>
      <c r="AM273" s="210"/>
      <c r="AN273" s="209"/>
    </row>
    <row r="274" spans="1:40" ht="27.95" customHeight="1">
      <c r="A274" s="134" t="str">
        <f>IF(I274&lt;&gt;"",COUNTA($I$2:I274),"")</f>
        <v/>
      </c>
      <c r="B274" s="138" t="str">
        <f t="shared" si="22"/>
        <v/>
      </c>
      <c r="C274" s="93" t="str">
        <f t="array" ref="C274">IF(E274="","",IF(M274&lt;&gt;"",
M274&amp;"/"&amp;SUMPRODUCT((M$2:M274=M274)*1)&amp;" - "&amp;(ROW()-2),
"إداري/"&amp;SUMPRODUCT((M$2:M274="")*1)&amp;" - "&amp;(ROW()-2)))</f>
        <v/>
      </c>
      <c r="D274" s="141" t="str">
        <f>IF(AND(G274="",H274="",I274=""),"",IF(COUNTIFS(LISTS!$A$2:$A$67,G274,LISTS!$B$2:$B$67,H274,LISTS!$C$2:$C$67,I274)=0,"✗ هرم",IF(NOT(OR(Z274="ممتاز 100%",Z274="جيد 80%",Z274="مقبول 60%",Z274="خطر 40%",Z274="")),"✗ قائمة R",IF(NOT(OR(AA274="ممتاز 100%",AA274="جيد 85%",AA274="مقبول 70%",AA274="ضعيف 50%",AA274="")),"✗ قائمة S",IF(NOT(OR(AB274="مكتمل 100%",AB274="جزئي 60%",AB274="معلق 30%",AB274="مفتوح 0%",AB274="")),"✗ قائمة T",IF(NOT(OR(AC274="لا خصم 0",AC274="تأخير −5",AC274="عجز −10",AC274="جودة −15",AC274="امتثال −20",AC274="مخالفة −25",AC274="")),"✗ قائمة U",IF(AND(X274="لا",AC274&lt;&gt;"",AC274&lt;&gt;"لا خصم 0"),"✗ خصم",IF(AND(X274="نعم",AC274="لا خصم 0"),"✗ خصم",IF(AND(Z274="ممتاز 100%",AA274="ممتاز 100%",AB274&lt;&gt;"",AB274&lt;&gt;"مكتمل 100%"),"✗ إغلاق",IFERROR(IF(LEN(_xlfn.TEXTJOIN("، ",TRUE,IF(E274="","التاريخ",""),IF(F274="","الوقت",""),IF(G274="","المركز",""),IF(H274="","الدائرة",""),IF(I274="","القسم",""),IF(J274="","المسؤول",""),IF(K274="","نوع النشاط",""),IF(L274="","المشروع",""),IF(N274="","الممول",""),IF(V274="","الموضوع",""),IF(W274="","الملاحظة",""),IF(X274="","مشكلة",""),IF(Y274="","الإجراء",""),IF(Z274="","التنفيذ",""),IF(AA274="","الجودة",""),IF(AB274="","الإغلاق",""),IF(AC274="","الخصم",""),IF(AND(COUNTA($O274:$U274)&gt;0,O274=""),"مدير المشروع",""),IF(AND(COUNTA($O274:$U274)&gt;0,P274=""),"المستفيدين",""),IF(AND(COUNTA($O274:$U274)&gt;0,Q274=""),"المناطق",""),IF(AND(COUNTA($O274:$U274)&gt;0,R274=""),"الميزانية",""),IF(AND(COUNTA($O274:$U274)&gt;0,S274=""),"نسبة الجاهزية",""),IF(AND(COUNTA($O274:$U274)&gt;0,T274=""),"حالة الجاهزية",""),IF(AND(COUNTA($O274:$U274)&gt;0,U274=""),"التوصيات","")))&gt;0,"✗ ناقص: "&amp;_xlfn.TEXTJOIN("، ",TRUE,IF(E274="","التاريخ",""),IF(F274="","الوقت",""),IF(G274="","المركز",""),IF(H274="","الدائرة",""),IF(I274="","القسم",""),IF(J274="","المسؤول",""),IF(K274="","نوع النشاط",""),IF(L274="","المشروع",""),IF(N274="","الممول",""),IF(V274="","الموضوع",""),IF(W274="","الملاحظة",""),IF(X274="","مشكلة",""),IF(Y274="","الإجراء",""),IF(Z274="","التنفيذ",""),IF(AA274="","الجودة",""),IF(AB274="","الإغلاق",""),IF(AC274="","الخصم",""),IF(AND(COUNTA($O274:$U274)&gt;0,O274=""),"مدير المشروع",""),IF(AND(COUNTA($O274:$U274)&gt;0,P274=""),"المستفيدين",""),IF(AND(COUNTA($O274:$U274)&gt;0,Q274=""),"المناطق",""),IF(AND(COUNTA($O274:$U274)&gt;0,R274=""),"الميزانية",""),IF(AND(COUNTA($O274:$U274)&gt;0,S274=""),"نسبة الجاهزية",""),IF(AND(COUNTA($O274:$U274)&gt;0,T274=""),"حالة الجاهزية",""),IF(AND(COUNTA($O274:$U274)&gt;0,U274=""),"التوصيات","")),"✓"),"✓"))))))))))</f>
        <v/>
      </c>
      <c r="E274" s="235"/>
      <c r="F274" s="236"/>
      <c r="G274" s="90"/>
      <c r="H274" s="239"/>
      <c r="I274" s="89"/>
      <c r="J274" s="142"/>
      <c r="K274" s="90"/>
      <c r="L274" s="90"/>
      <c r="M274" s="90"/>
      <c r="N274" s="89"/>
      <c r="O274" s="200"/>
      <c r="P274" s="201"/>
      <c r="Q274" s="201"/>
      <c r="R274" s="237"/>
      <c r="S274" s="202"/>
      <c r="T274" s="200"/>
      <c r="U274" s="203"/>
      <c r="V274" s="89"/>
      <c r="W274" s="89"/>
      <c r="X274" s="145"/>
      <c r="Y274" s="89"/>
      <c r="Z274" s="90"/>
      <c r="AA274" s="90"/>
      <c r="AB274" s="90"/>
      <c r="AC274" s="90"/>
      <c r="AD274" s="92"/>
      <c r="AE274" s="149" t="str">
        <f>IFERROR(VLOOKUP(Z274,LISTS!$AL$2:$AM$1000,2,FALSE()),"")</f>
        <v/>
      </c>
      <c r="AF274" s="151" t="str">
        <f>IFERROR(VLOOKUP(AA274,LISTS!$AO$2:$AP$1000,2,FALSE()),"")</f>
        <v/>
      </c>
      <c r="AG274" s="152" t="str">
        <f>IFERROR(VLOOKUP(AB274,LISTS!$AR$2:$AS$1000,2,FALSE()),"")</f>
        <v/>
      </c>
      <c r="AH274" s="154" t="str">
        <f>IFERROR(VLOOKUP(AC274,LISTS!$AU$2:$AV$1000,2,FALSE()),"")</f>
        <v/>
      </c>
      <c r="AI274" s="238" t="str">
        <f t="shared" si="23"/>
        <v>—</v>
      </c>
      <c r="AJ274" s="190" t="str">
        <f t="shared" si="24"/>
        <v>—</v>
      </c>
      <c r="AK274" s="157" t="str">
        <f t="shared" si="20"/>
        <v/>
      </c>
      <c r="AL274" s="160" t="str">
        <f t="shared" si="21"/>
        <v/>
      </c>
      <c r="AM274" s="210"/>
      <c r="AN274" s="209"/>
    </row>
    <row r="275" spans="1:40" ht="27.95" customHeight="1">
      <c r="A275" s="134" t="str">
        <f>IF(I275&lt;&gt;"",COUNTA($I$2:I275),"")</f>
        <v/>
      </c>
      <c r="B275" s="138" t="str">
        <f t="shared" si="22"/>
        <v/>
      </c>
      <c r="C275" s="93" t="str">
        <f t="array" ref="C275">IF(E275="","",IF(M275&lt;&gt;"",
M275&amp;"/"&amp;SUMPRODUCT((M$2:M275=M275)*1)&amp;" - "&amp;(ROW()-2),
"إداري/"&amp;SUMPRODUCT((M$2:M275="")*1)&amp;" - "&amp;(ROW()-2)))</f>
        <v/>
      </c>
      <c r="D275" s="141" t="str">
        <f>IF(AND(G275="",H275="",I275=""),"",IF(COUNTIFS(LISTS!$A$2:$A$67,G275,LISTS!$B$2:$B$67,H275,LISTS!$C$2:$C$67,I275)=0,"✗ هرم",IF(NOT(OR(Z275="ممتاز 100%",Z275="جيد 80%",Z275="مقبول 60%",Z275="خطر 40%",Z275="")),"✗ قائمة R",IF(NOT(OR(AA275="ممتاز 100%",AA275="جيد 85%",AA275="مقبول 70%",AA275="ضعيف 50%",AA275="")),"✗ قائمة S",IF(NOT(OR(AB275="مكتمل 100%",AB275="جزئي 60%",AB275="معلق 30%",AB275="مفتوح 0%",AB275="")),"✗ قائمة T",IF(NOT(OR(AC275="لا خصم 0",AC275="تأخير −5",AC275="عجز −10",AC275="جودة −15",AC275="امتثال −20",AC275="مخالفة −25",AC275="")),"✗ قائمة U",IF(AND(X275="لا",AC275&lt;&gt;"",AC275&lt;&gt;"لا خصم 0"),"✗ خصم",IF(AND(X275="نعم",AC275="لا خصم 0"),"✗ خصم",IF(AND(Z275="ممتاز 100%",AA275="ممتاز 100%",AB275&lt;&gt;"",AB275&lt;&gt;"مكتمل 100%"),"✗ إغلاق",IFERROR(IF(LEN(_xlfn.TEXTJOIN("، ",TRUE,IF(E275="","التاريخ",""),IF(F275="","الوقت",""),IF(G275="","المركز",""),IF(H275="","الدائرة",""),IF(I275="","القسم",""),IF(J275="","المسؤول",""),IF(K275="","نوع النشاط",""),IF(L275="","المشروع",""),IF(N275="","الممول",""),IF(V275="","الموضوع",""),IF(W275="","الملاحظة",""),IF(X275="","مشكلة",""),IF(Y275="","الإجراء",""),IF(Z275="","التنفيذ",""),IF(AA275="","الجودة",""),IF(AB275="","الإغلاق",""),IF(AC275="","الخصم",""),IF(AND(COUNTA($O275:$U275)&gt;0,O275=""),"مدير المشروع",""),IF(AND(COUNTA($O275:$U275)&gt;0,P275=""),"المستفيدين",""),IF(AND(COUNTA($O275:$U275)&gt;0,Q275=""),"المناطق",""),IF(AND(COUNTA($O275:$U275)&gt;0,R275=""),"الميزانية",""),IF(AND(COUNTA($O275:$U275)&gt;0,S275=""),"نسبة الجاهزية",""),IF(AND(COUNTA($O275:$U275)&gt;0,T275=""),"حالة الجاهزية",""),IF(AND(COUNTA($O275:$U275)&gt;0,U275=""),"التوصيات","")))&gt;0,"✗ ناقص: "&amp;_xlfn.TEXTJOIN("، ",TRUE,IF(E275="","التاريخ",""),IF(F275="","الوقت",""),IF(G275="","المركز",""),IF(H275="","الدائرة",""),IF(I275="","القسم",""),IF(J275="","المسؤول",""),IF(K275="","نوع النشاط",""),IF(L275="","المشروع",""),IF(N275="","الممول",""),IF(V275="","الموضوع",""),IF(W275="","الملاحظة",""),IF(X275="","مشكلة",""),IF(Y275="","الإجراء",""),IF(Z275="","التنفيذ",""),IF(AA275="","الجودة",""),IF(AB275="","الإغلاق",""),IF(AC275="","الخصم",""),IF(AND(COUNTA($O275:$U275)&gt;0,O275=""),"مدير المشروع",""),IF(AND(COUNTA($O275:$U275)&gt;0,P275=""),"المستفيدين",""),IF(AND(COUNTA($O275:$U275)&gt;0,Q275=""),"المناطق",""),IF(AND(COUNTA($O275:$U275)&gt;0,R275=""),"الميزانية",""),IF(AND(COUNTA($O275:$U275)&gt;0,S275=""),"نسبة الجاهزية",""),IF(AND(COUNTA($O275:$U275)&gt;0,T275=""),"حالة الجاهزية",""),IF(AND(COUNTA($O275:$U275)&gt;0,U275=""),"التوصيات","")),"✓"),"✓"))))))))))</f>
        <v/>
      </c>
      <c r="E275" s="235"/>
      <c r="F275" s="236"/>
      <c r="G275" s="90"/>
      <c r="H275" s="239"/>
      <c r="I275" s="89"/>
      <c r="J275" s="142"/>
      <c r="K275" s="90"/>
      <c r="L275" s="90"/>
      <c r="M275" s="90"/>
      <c r="N275" s="89"/>
      <c r="O275" s="200"/>
      <c r="P275" s="201"/>
      <c r="Q275" s="201"/>
      <c r="R275" s="237"/>
      <c r="S275" s="202"/>
      <c r="T275" s="200"/>
      <c r="U275" s="203"/>
      <c r="V275" s="89"/>
      <c r="W275" s="89"/>
      <c r="X275" s="145"/>
      <c r="Y275" s="89"/>
      <c r="Z275" s="90"/>
      <c r="AA275" s="90"/>
      <c r="AB275" s="90"/>
      <c r="AC275" s="90"/>
      <c r="AD275" s="92"/>
      <c r="AE275" s="149" t="str">
        <f>IFERROR(VLOOKUP(Z275,LISTS!$AL$2:$AM$1000,2,FALSE()),"")</f>
        <v/>
      </c>
      <c r="AF275" s="151" t="str">
        <f>IFERROR(VLOOKUP(AA275,LISTS!$AO$2:$AP$1000,2,FALSE()),"")</f>
        <v/>
      </c>
      <c r="AG275" s="152" t="str">
        <f>IFERROR(VLOOKUP(AB275,LISTS!$AR$2:$AS$1000,2,FALSE()),"")</f>
        <v/>
      </c>
      <c r="AH275" s="154" t="str">
        <f>IFERROR(VLOOKUP(AC275,LISTS!$AU$2:$AV$1000,2,FALSE()),"")</f>
        <v/>
      </c>
      <c r="AI275" s="238" t="str">
        <f t="shared" si="23"/>
        <v>—</v>
      </c>
      <c r="AJ275" s="190" t="str">
        <f t="shared" si="24"/>
        <v>—</v>
      </c>
      <c r="AK275" s="157" t="str">
        <f t="shared" si="20"/>
        <v/>
      </c>
      <c r="AL275" s="160" t="str">
        <f t="shared" si="21"/>
        <v/>
      </c>
      <c r="AM275" s="210"/>
      <c r="AN275" s="209"/>
    </row>
    <row r="276" spans="1:40" ht="27.95" customHeight="1">
      <c r="A276" s="134" t="str">
        <f>IF(I276&lt;&gt;"",COUNTA($I$2:I276),"")</f>
        <v/>
      </c>
      <c r="B276" s="138" t="str">
        <f t="shared" si="22"/>
        <v/>
      </c>
      <c r="C276" s="93" t="str">
        <f t="array" ref="C276">IF(E276="","",IF(M276&lt;&gt;"",
M276&amp;"/"&amp;SUMPRODUCT((M$2:M276=M276)*1)&amp;" - "&amp;(ROW()-2),
"إداري/"&amp;SUMPRODUCT((M$2:M276="")*1)&amp;" - "&amp;(ROW()-2)))</f>
        <v/>
      </c>
      <c r="D276" s="141" t="str">
        <f>IF(AND(G276="",H276="",I276=""),"",IF(COUNTIFS(LISTS!$A$2:$A$67,G276,LISTS!$B$2:$B$67,H276,LISTS!$C$2:$C$67,I276)=0,"✗ هرم",IF(NOT(OR(Z276="ممتاز 100%",Z276="جيد 80%",Z276="مقبول 60%",Z276="خطر 40%",Z276="")),"✗ قائمة R",IF(NOT(OR(AA276="ممتاز 100%",AA276="جيد 85%",AA276="مقبول 70%",AA276="ضعيف 50%",AA276="")),"✗ قائمة S",IF(NOT(OR(AB276="مكتمل 100%",AB276="جزئي 60%",AB276="معلق 30%",AB276="مفتوح 0%",AB276="")),"✗ قائمة T",IF(NOT(OR(AC276="لا خصم 0",AC276="تأخير −5",AC276="عجز −10",AC276="جودة −15",AC276="امتثال −20",AC276="مخالفة −25",AC276="")),"✗ قائمة U",IF(AND(X276="لا",AC276&lt;&gt;"",AC276&lt;&gt;"لا خصم 0"),"✗ خصم",IF(AND(X276="نعم",AC276="لا خصم 0"),"✗ خصم",IF(AND(Z276="ممتاز 100%",AA276="ممتاز 100%",AB276&lt;&gt;"",AB276&lt;&gt;"مكتمل 100%"),"✗ إغلاق",IFERROR(IF(LEN(_xlfn.TEXTJOIN("، ",TRUE,IF(E276="","التاريخ",""),IF(F276="","الوقت",""),IF(G276="","المركز",""),IF(H276="","الدائرة",""),IF(I276="","القسم",""),IF(J276="","المسؤول",""),IF(K276="","نوع النشاط",""),IF(L276="","المشروع",""),IF(N276="","الممول",""),IF(V276="","الموضوع",""),IF(W276="","الملاحظة",""),IF(X276="","مشكلة",""),IF(Y276="","الإجراء",""),IF(Z276="","التنفيذ",""),IF(AA276="","الجودة",""),IF(AB276="","الإغلاق",""),IF(AC276="","الخصم",""),IF(AND(COUNTA($O276:$U276)&gt;0,O276=""),"مدير المشروع",""),IF(AND(COUNTA($O276:$U276)&gt;0,P276=""),"المستفيدين",""),IF(AND(COUNTA($O276:$U276)&gt;0,Q276=""),"المناطق",""),IF(AND(COUNTA($O276:$U276)&gt;0,R276=""),"الميزانية",""),IF(AND(COUNTA($O276:$U276)&gt;0,S276=""),"نسبة الجاهزية",""),IF(AND(COUNTA($O276:$U276)&gt;0,T276=""),"حالة الجاهزية",""),IF(AND(COUNTA($O276:$U276)&gt;0,U276=""),"التوصيات","")))&gt;0,"✗ ناقص: "&amp;_xlfn.TEXTJOIN("، ",TRUE,IF(E276="","التاريخ",""),IF(F276="","الوقت",""),IF(G276="","المركز",""),IF(H276="","الدائرة",""),IF(I276="","القسم",""),IF(J276="","المسؤول",""),IF(K276="","نوع النشاط",""),IF(L276="","المشروع",""),IF(N276="","الممول",""),IF(V276="","الموضوع",""),IF(W276="","الملاحظة",""),IF(X276="","مشكلة",""),IF(Y276="","الإجراء",""),IF(Z276="","التنفيذ",""),IF(AA276="","الجودة",""),IF(AB276="","الإغلاق",""),IF(AC276="","الخصم",""),IF(AND(COUNTA($O276:$U276)&gt;0,O276=""),"مدير المشروع",""),IF(AND(COUNTA($O276:$U276)&gt;0,P276=""),"المستفيدين",""),IF(AND(COUNTA($O276:$U276)&gt;0,Q276=""),"المناطق",""),IF(AND(COUNTA($O276:$U276)&gt;0,R276=""),"الميزانية",""),IF(AND(COUNTA($O276:$U276)&gt;0,S276=""),"نسبة الجاهزية",""),IF(AND(COUNTA($O276:$U276)&gt;0,T276=""),"حالة الجاهزية",""),IF(AND(COUNTA($O276:$U276)&gt;0,U276=""),"التوصيات","")),"✓"),"✓"))))))))))</f>
        <v/>
      </c>
      <c r="E276" s="235"/>
      <c r="F276" s="236"/>
      <c r="G276" s="90"/>
      <c r="H276" s="239"/>
      <c r="I276" s="89"/>
      <c r="J276" s="142"/>
      <c r="K276" s="90"/>
      <c r="L276" s="90"/>
      <c r="M276" s="90"/>
      <c r="N276" s="89"/>
      <c r="O276" s="200"/>
      <c r="P276" s="201"/>
      <c r="Q276" s="201"/>
      <c r="R276" s="237"/>
      <c r="S276" s="202"/>
      <c r="T276" s="200"/>
      <c r="U276" s="203"/>
      <c r="V276" s="89"/>
      <c r="W276" s="89"/>
      <c r="X276" s="145"/>
      <c r="Y276" s="89"/>
      <c r="Z276" s="90"/>
      <c r="AA276" s="90"/>
      <c r="AB276" s="90"/>
      <c r="AC276" s="90"/>
      <c r="AD276" s="92"/>
      <c r="AE276" s="149" t="str">
        <f>IFERROR(VLOOKUP(Z276,LISTS!$AL$2:$AM$1000,2,FALSE()),"")</f>
        <v/>
      </c>
      <c r="AF276" s="151" t="str">
        <f>IFERROR(VLOOKUP(AA276,LISTS!$AO$2:$AP$1000,2,FALSE()),"")</f>
        <v/>
      </c>
      <c r="AG276" s="152" t="str">
        <f>IFERROR(VLOOKUP(AB276,LISTS!$AR$2:$AS$1000,2,FALSE()),"")</f>
        <v/>
      </c>
      <c r="AH276" s="154" t="str">
        <f>IFERROR(VLOOKUP(AC276,LISTS!$AU$2:$AV$1000,2,FALSE()),"")</f>
        <v/>
      </c>
      <c r="AI276" s="238" t="str">
        <f t="shared" si="23"/>
        <v>—</v>
      </c>
      <c r="AJ276" s="190" t="str">
        <f t="shared" si="24"/>
        <v>—</v>
      </c>
      <c r="AK276" s="157" t="str">
        <f t="shared" si="20"/>
        <v/>
      </c>
      <c r="AL276" s="160" t="str">
        <f t="shared" si="21"/>
        <v/>
      </c>
      <c r="AM276" s="210"/>
      <c r="AN276" s="209"/>
    </row>
    <row r="277" spans="1:40" ht="27.95" customHeight="1">
      <c r="A277" s="134" t="str">
        <f>IF(I277&lt;&gt;"",COUNTA($I$2:I277),"")</f>
        <v/>
      </c>
      <c r="B277" s="138" t="str">
        <f t="shared" si="22"/>
        <v/>
      </c>
      <c r="C277" s="93" t="str">
        <f t="array" ref="C277">IF(E277="","",IF(M277&lt;&gt;"",
M277&amp;"/"&amp;SUMPRODUCT((M$2:M277=M277)*1)&amp;" - "&amp;(ROW()-2),
"إداري/"&amp;SUMPRODUCT((M$2:M277="")*1)&amp;" - "&amp;(ROW()-2)))</f>
        <v/>
      </c>
      <c r="D277" s="141" t="str">
        <f>IF(AND(G277="",H277="",I277=""),"",IF(COUNTIFS(LISTS!$A$2:$A$67,G277,LISTS!$B$2:$B$67,H277,LISTS!$C$2:$C$67,I277)=0,"✗ هرم",IF(NOT(OR(Z277="ممتاز 100%",Z277="جيد 80%",Z277="مقبول 60%",Z277="خطر 40%",Z277="")),"✗ قائمة R",IF(NOT(OR(AA277="ممتاز 100%",AA277="جيد 85%",AA277="مقبول 70%",AA277="ضعيف 50%",AA277="")),"✗ قائمة S",IF(NOT(OR(AB277="مكتمل 100%",AB277="جزئي 60%",AB277="معلق 30%",AB277="مفتوح 0%",AB277="")),"✗ قائمة T",IF(NOT(OR(AC277="لا خصم 0",AC277="تأخير −5",AC277="عجز −10",AC277="جودة −15",AC277="امتثال −20",AC277="مخالفة −25",AC277="")),"✗ قائمة U",IF(AND(X277="لا",AC277&lt;&gt;"",AC277&lt;&gt;"لا خصم 0"),"✗ خصم",IF(AND(X277="نعم",AC277="لا خصم 0"),"✗ خصم",IF(AND(Z277="ممتاز 100%",AA277="ممتاز 100%",AB277&lt;&gt;"",AB277&lt;&gt;"مكتمل 100%"),"✗ إغلاق",IFERROR(IF(LEN(_xlfn.TEXTJOIN("، ",TRUE,IF(E277="","التاريخ",""),IF(F277="","الوقت",""),IF(G277="","المركز",""),IF(H277="","الدائرة",""),IF(I277="","القسم",""),IF(J277="","المسؤول",""),IF(K277="","نوع النشاط",""),IF(L277="","المشروع",""),IF(N277="","الممول",""),IF(V277="","الموضوع",""),IF(W277="","الملاحظة",""),IF(X277="","مشكلة",""),IF(Y277="","الإجراء",""),IF(Z277="","التنفيذ",""),IF(AA277="","الجودة",""),IF(AB277="","الإغلاق",""),IF(AC277="","الخصم",""),IF(AND(COUNTA($O277:$U277)&gt;0,O277=""),"مدير المشروع",""),IF(AND(COUNTA($O277:$U277)&gt;0,P277=""),"المستفيدين",""),IF(AND(COUNTA($O277:$U277)&gt;0,Q277=""),"المناطق",""),IF(AND(COUNTA($O277:$U277)&gt;0,R277=""),"الميزانية",""),IF(AND(COUNTA($O277:$U277)&gt;0,S277=""),"نسبة الجاهزية",""),IF(AND(COUNTA($O277:$U277)&gt;0,T277=""),"حالة الجاهزية",""),IF(AND(COUNTA($O277:$U277)&gt;0,U277=""),"التوصيات","")))&gt;0,"✗ ناقص: "&amp;_xlfn.TEXTJOIN("، ",TRUE,IF(E277="","التاريخ",""),IF(F277="","الوقت",""),IF(G277="","المركز",""),IF(H277="","الدائرة",""),IF(I277="","القسم",""),IF(J277="","المسؤول",""),IF(K277="","نوع النشاط",""),IF(L277="","المشروع",""),IF(N277="","الممول",""),IF(V277="","الموضوع",""),IF(W277="","الملاحظة",""),IF(X277="","مشكلة",""),IF(Y277="","الإجراء",""),IF(Z277="","التنفيذ",""),IF(AA277="","الجودة",""),IF(AB277="","الإغلاق",""),IF(AC277="","الخصم",""),IF(AND(COUNTA($O277:$U277)&gt;0,O277=""),"مدير المشروع",""),IF(AND(COUNTA($O277:$U277)&gt;0,P277=""),"المستفيدين",""),IF(AND(COUNTA($O277:$U277)&gt;0,Q277=""),"المناطق",""),IF(AND(COUNTA($O277:$U277)&gt;0,R277=""),"الميزانية",""),IF(AND(COUNTA($O277:$U277)&gt;0,S277=""),"نسبة الجاهزية",""),IF(AND(COUNTA($O277:$U277)&gt;0,T277=""),"حالة الجاهزية",""),IF(AND(COUNTA($O277:$U277)&gt;0,U277=""),"التوصيات","")),"✓"),"✓"))))))))))</f>
        <v/>
      </c>
      <c r="E277" s="235"/>
      <c r="F277" s="236"/>
      <c r="G277" s="90"/>
      <c r="H277" s="239"/>
      <c r="I277" s="89"/>
      <c r="J277" s="142"/>
      <c r="K277" s="90"/>
      <c r="L277" s="90"/>
      <c r="M277" s="90"/>
      <c r="N277" s="89"/>
      <c r="O277" s="200"/>
      <c r="P277" s="201"/>
      <c r="Q277" s="201"/>
      <c r="R277" s="237"/>
      <c r="S277" s="202"/>
      <c r="T277" s="200"/>
      <c r="U277" s="203"/>
      <c r="V277" s="89"/>
      <c r="W277" s="89"/>
      <c r="X277" s="145"/>
      <c r="Y277" s="89"/>
      <c r="Z277" s="90"/>
      <c r="AA277" s="90"/>
      <c r="AB277" s="90"/>
      <c r="AC277" s="90"/>
      <c r="AD277" s="92"/>
      <c r="AE277" s="149" t="str">
        <f>IFERROR(VLOOKUP(Z277,LISTS!$AL$2:$AM$1000,2,FALSE()),"")</f>
        <v/>
      </c>
      <c r="AF277" s="151" t="str">
        <f>IFERROR(VLOOKUP(AA277,LISTS!$AO$2:$AP$1000,2,FALSE()),"")</f>
        <v/>
      </c>
      <c r="AG277" s="152" t="str">
        <f>IFERROR(VLOOKUP(AB277,LISTS!$AR$2:$AS$1000,2,FALSE()),"")</f>
        <v/>
      </c>
      <c r="AH277" s="154" t="str">
        <f>IFERROR(VLOOKUP(AC277,LISTS!$AU$2:$AV$1000,2,FALSE()),"")</f>
        <v/>
      </c>
      <c r="AI277" s="238" t="str">
        <f t="shared" si="23"/>
        <v>—</v>
      </c>
      <c r="AJ277" s="190" t="str">
        <f t="shared" si="24"/>
        <v>—</v>
      </c>
      <c r="AK277" s="157" t="str">
        <f t="shared" si="20"/>
        <v/>
      </c>
      <c r="AL277" s="160" t="str">
        <f t="shared" si="21"/>
        <v/>
      </c>
      <c r="AM277" s="210"/>
      <c r="AN277" s="209"/>
    </row>
    <row r="278" spans="1:40" ht="27.95" customHeight="1">
      <c r="A278" s="134" t="str">
        <f>IF(I278&lt;&gt;"",COUNTA($I$2:I278),"")</f>
        <v/>
      </c>
      <c r="B278" s="138" t="str">
        <f t="shared" si="22"/>
        <v/>
      </c>
      <c r="C278" s="93" t="str">
        <f t="array" ref="C278">IF(E278="","",IF(M278&lt;&gt;"",
M278&amp;"/"&amp;SUMPRODUCT((M$2:M278=M278)*1)&amp;" - "&amp;(ROW()-2),
"إداري/"&amp;SUMPRODUCT((M$2:M278="")*1)&amp;" - "&amp;(ROW()-2)))</f>
        <v/>
      </c>
      <c r="D278" s="141" t="str">
        <f>IF(AND(G278="",H278="",I278=""),"",IF(COUNTIFS(LISTS!$A$2:$A$67,G278,LISTS!$B$2:$B$67,H278,LISTS!$C$2:$C$67,I278)=0,"✗ هرم",IF(NOT(OR(Z278="ممتاز 100%",Z278="جيد 80%",Z278="مقبول 60%",Z278="خطر 40%",Z278="")),"✗ قائمة R",IF(NOT(OR(AA278="ممتاز 100%",AA278="جيد 85%",AA278="مقبول 70%",AA278="ضعيف 50%",AA278="")),"✗ قائمة S",IF(NOT(OR(AB278="مكتمل 100%",AB278="جزئي 60%",AB278="معلق 30%",AB278="مفتوح 0%",AB278="")),"✗ قائمة T",IF(NOT(OR(AC278="لا خصم 0",AC278="تأخير −5",AC278="عجز −10",AC278="جودة −15",AC278="امتثال −20",AC278="مخالفة −25",AC278="")),"✗ قائمة U",IF(AND(X278="لا",AC278&lt;&gt;"",AC278&lt;&gt;"لا خصم 0"),"✗ خصم",IF(AND(X278="نعم",AC278="لا خصم 0"),"✗ خصم",IF(AND(Z278="ممتاز 100%",AA278="ممتاز 100%",AB278&lt;&gt;"",AB278&lt;&gt;"مكتمل 100%"),"✗ إغلاق",IFERROR(IF(LEN(_xlfn.TEXTJOIN("، ",TRUE,IF(E278="","التاريخ",""),IF(F278="","الوقت",""),IF(G278="","المركز",""),IF(H278="","الدائرة",""),IF(I278="","القسم",""),IF(J278="","المسؤول",""),IF(K278="","نوع النشاط",""),IF(L278="","المشروع",""),IF(N278="","الممول",""),IF(V278="","الموضوع",""),IF(W278="","الملاحظة",""),IF(X278="","مشكلة",""),IF(Y278="","الإجراء",""),IF(Z278="","التنفيذ",""),IF(AA278="","الجودة",""),IF(AB278="","الإغلاق",""),IF(AC278="","الخصم",""),IF(AND(COUNTA($O278:$U278)&gt;0,O278=""),"مدير المشروع",""),IF(AND(COUNTA($O278:$U278)&gt;0,P278=""),"المستفيدين",""),IF(AND(COUNTA($O278:$U278)&gt;0,Q278=""),"المناطق",""),IF(AND(COUNTA($O278:$U278)&gt;0,R278=""),"الميزانية",""),IF(AND(COUNTA($O278:$U278)&gt;0,S278=""),"نسبة الجاهزية",""),IF(AND(COUNTA($O278:$U278)&gt;0,T278=""),"حالة الجاهزية",""),IF(AND(COUNTA($O278:$U278)&gt;0,U278=""),"التوصيات","")))&gt;0,"✗ ناقص: "&amp;_xlfn.TEXTJOIN("، ",TRUE,IF(E278="","التاريخ",""),IF(F278="","الوقت",""),IF(G278="","المركز",""),IF(H278="","الدائرة",""),IF(I278="","القسم",""),IF(J278="","المسؤول",""),IF(K278="","نوع النشاط",""),IF(L278="","المشروع",""),IF(N278="","الممول",""),IF(V278="","الموضوع",""),IF(W278="","الملاحظة",""),IF(X278="","مشكلة",""),IF(Y278="","الإجراء",""),IF(Z278="","التنفيذ",""),IF(AA278="","الجودة",""),IF(AB278="","الإغلاق",""),IF(AC278="","الخصم",""),IF(AND(COUNTA($O278:$U278)&gt;0,O278=""),"مدير المشروع",""),IF(AND(COUNTA($O278:$U278)&gt;0,P278=""),"المستفيدين",""),IF(AND(COUNTA($O278:$U278)&gt;0,Q278=""),"المناطق",""),IF(AND(COUNTA($O278:$U278)&gt;0,R278=""),"الميزانية",""),IF(AND(COUNTA($O278:$U278)&gt;0,S278=""),"نسبة الجاهزية",""),IF(AND(COUNTA($O278:$U278)&gt;0,T278=""),"حالة الجاهزية",""),IF(AND(COUNTA($O278:$U278)&gt;0,U278=""),"التوصيات","")),"✓"),"✓"))))))))))</f>
        <v/>
      </c>
      <c r="E278" s="235"/>
      <c r="F278" s="236"/>
      <c r="G278" s="90"/>
      <c r="H278" s="239"/>
      <c r="I278" s="89"/>
      <c r="J278" s="142"/>
      <c r="K278" s="90"/>
      <c r="L278" s="90"/>
      <c r="M278" s="90"/>
      <c r="N278" s="89"/>
      <c r="O278" s="200"/>
      <c r="P278" s="201"/>
      <c r="Q278" s="201"/>
      <c r="R278" s="237"/>
      <c r="S278" s="202"/>
      <c r="T278" s="200"/>
      <c r="U278" s="203"/>
      <c r="V278" s="89"/>
      <c r="W278" s="89"/>
      <c r="X278" s="145"/>
      <c r="Y278" s="89"/>
      <c r="Z278" s="90"/>
      <c r="AA278" s="90"/>
      <c r="AB278" s="90"/>
      <c r="AC278" s="90"/>
      <c r="AD278" s="92"/>
      <c r="AE278" s="149" t="str">
        <f>IFERROR(VLOOKUP(Z278,LISTS!$AL$2:$AM$1000,2,FALSE()),"")</f>
        <v/>
      </c>
      <c r="AF278" s="151" t="str">
        <f>IFERROR(VLOOKUP(AA278,LISTS!$AO$2:$AP$1000,2,FALSE()),"")</f>
        <v/>
      </c>
      <c r="AG278" s="152" t="str">
        <f>IFERROR(VLOOKUP(AB278,LISTS!$AR$2:$AS$1000,2,FALSE()),"")</f>
        <v/>
      </c>
      <c r="AH278" s="154" t="str">
        <f>IFERROR(VLOOKUP(AC278,LISTS!$AU$2:$AV$1000,2,FALSE()),"")</f>
        <v/>
      </c>
      <c r="AI278" s="238" t="str">
        <f t="shared" si="23"/>
        <v>—</v>
      </c>
      <c r="AJ278" s="190" t="str">
        <f t="shared" si="24"/>
        <v>—</v>
      </c>
      <c r="AK278" s="157" t="str">
        <f t="shared" si="20"/>
        <v/>
      </c>
      <c r="AL278" s="160" t="str">
        <f t="shared" si="21"/>
        <v/>
      </c>
      <c r="AM278" s="210"/>
      <c r="AN278" s="209"/>
    </row>
    <row r="279" spans="1:40" ht="27.95" customHeight="1">
      <c r="A279" s="134" t="str">
        <f>IF(I279&lt;&gt;"",COUNTA($I$2:I279),"")</f>
        <v/>
      </c>
      <c r="B279" s="138" t="str">
        <f t="shared" si="22"/>
        <v/>
      </c>
      <c r="C279" s="93" t="str">
        <f t="array" ref="C279">IF(E279="","",IF(M279&lt;&gt;"",
M279&amp;"/"&amp;SUMPRODUCT((M$2:M279=M279)*1)&amp;" - "&amp;(ROW()-2),
"إداري/"&amp;SUMPRODUCT((M$2:M279="")*1)&amp;" - "&amp;(ROW()-2)))</f>
        <v/>
      </c>
      <c r="D279" s="141" t="str">
        <f>IF(AND(G279="",H279="",I279=""),"",IF(COUNTIFS(LISTS!$A$2:$A$67,G279,LISTS!$B$2:$B$67,H279,LISTS!$C$2:$C$67,I279)=0,"✗ هرم",IF(NOT(OR(Z279="ممتاز 100%",Z279="جيد 80%",Z279="مقبول 60%",Z279="خطر 40%",Z279="")),"✗ قائمة R",IF(NOT(OR(AA279="ممتاز 100%",AA279="جيد 85%",AA279="مقبول 70%",AA279="ضعيف 50%",AA279="")),"✗ قائمة S",IF(NOT(OR(AB279="مكتمل 100%",AB279="جزئي 60%",AB279="معلق 30%",AB279="مفتوح 0%",AB279="")),"✗ قائمة T",IF(NOT(OR(AC279="لا خصم 0",AC279="تأخير −5",AC279="عجز −10",AC279="جودة −15",AC279="امتثال −20",AC279="مخالفة −25",AC279="")),"✗ قائمة U",IF(AND(X279="لا",AC279&lt;&gt;"",AC279&lt;&gt;"لا خصم 0"),"✗ خصم",IF(AND(X279="نعم",AC279="لا خصم 0"),"✗ خصم",IF(AND(Z279="ممتاز 100%",AA279="ممتاز 100%",AB279&lt;&gt;"",AB279&lt;&gt;"مكتمل 100%"),"✗ إغلاق",IFERROR(IF(LEN(_xlfn.TEXTJOIN("، ",TRUE,IF(E279="","التاريخ",""),IF(F279="","الوقت",""),IF(G279="","المركز",""),IF(H279="","الدائرة",""),IF(I279="","القسم",""),IF(J279="","المسؤول",""),IF(K279="","نوع النشاط",""),IF(L279="","المشروع",""),IF(N279="","الممول",""),IF(V279="","الموضوع",""),IF(W279="","الملاحظة",""),IF(X279="","مشكلة",""),IF(Y279="","الإجراء",""),IF(Z279="","التنفيذ",""),IF(AA279="","الجودة",""),IF(AB279="","الإغلاق",""),IF(AC279="","الخصم",""),IF(AND(COUNTA($O279:$U279)&gt;0,O279=""),"مدير المشروع",""),IF(AND(COUNTA($O279:$U279)&gt;0,P279=""),"المستفيدين",""),IF(AND(COUNTA($O279:$U279)&gt;0,Q279=""),"المناطق",""),IF(AND(COUNTA($O279:$U279)&gt;0,R279=""),"الميزانية",""),IF(AND(COUNTA($O279:$U279)&gt;0,S279=""),"نسبة الجاهزية",""),IF(AND(COUNTA($O279:$U279)&gt;0,T279=""),"حالة الجاهزية",""),IF(AND(COUNTA($O279:$U279)&gt;0,U279=""),"التوصيات","")))&gt;0,"✗ ناقص: "&amp;_xlfn.TEXTJOIN("، ",TRUE,IF(E279="","التاريخ",""),IF(F279="","الوقت",""),IF(G279="","المركز",""),IF(H279="","الدائرة",""),IF(I279="","القسم",""),IF(J279="","المسؤول",""),IF(K279="","نوع النشاط",""),IF(L279="","المشروع",""),IF(N279="","الممول",""),IF(V279="","الموضوع",""),IF(W279="","الملاحظة",""),IF(X279="","مشكلة",""),IF(Y279="","الإجراء",""),IF(Z279="","التنفيذ",""),IF(AA279="","الجودة",""),IF(AB279="","الإغلاق",""),IF(AC279="","الخصم",""),IF(AND(COUNTA($O279:$U279)&gt;0,O279=""),"مدير المشروع",""),IF(AND(COUNTA($O279:$U279)&gt;0,P279=""),"المستفيدين",""),IF(AND(COUNTA($O279:$U279)&gt;0,Q279=""),"المناطق",""),IF(AND(COUNTA($O279:$U279)&gt;0,R279=""),"الميزانية",""),IF(AND(COUNTA($O279:$U279)&gt;0,S279=""),"نسبة الجاهزية",""),IF(AND(COUNTA($O279:$U279)&gt;0,T279=""),"حالة الجاهزية",""),IF(AND(COUNTA($O279:$U279)&gt;0,U279=""),"التوصيات","")),"✓"),"✓"))))))))))</f>
        <v/>
      </c>
      <c r="E279" s="235"/>
      <c r="F279" s="236"/>
      <c r="G279" s="90"/>
      <c r="H279" s="239"/>
      <c r="I279" s="89"/>
      <c r="J279" s="142"/>
      <c r="K279" s="90"/>
      <c r="L279" s="90"/>
      <c r="M279" s="90"/>
      <c r="N279" s="89"/>
      <c r="O279" s="200"/>
      <c r="P279" s="201"/>
      <c r="Q279" s="201"/>
      <c r="R279" s="237"/>
      <c r="S279" s="202"/>
      <c r="T279" s="200"/>
      <c r="U279" s="203"/>
      <c r="V279" s="89"/>
      <c r="W279" s="89"/>
      <c r="X279" s="145"/>
      <c r="Y279" s="89"/>
      <c r="Z279" s="90"/>
      <c r="AA279" s="90"/>
      <c r="AB279" s="90"/>
      <c r="AC279" s="90"/>
      <c r="AD279" s="92"/>
      <c r="AE279" s="149" t="str">
        <f>IFERROR(VLOOKUP(Z279,LISTS!$AL$2:$AM$1000,2,FALSE()),"")</f>
        <v/>
      </c>
      <c r="AF279" s="151" t="str">
        <f>IFERROR(VLOOKUP(AA279,LISTS!$AO$2:$AP$1000,2,FALSE()),"")</f>
        <v/>
      </c>
      <c r="AG279" s="152" t="str">
        <f>IFERROR(VLOOKUP(AB279,LISTS!$AR$2:$AS$1000,2,FALSE()),"")</f>
        <v/>
      </c>
      <c r="AH279" s="154" t="str">
        <f>IFERROR(VLOOKUP(AC279,LISTS!$AU$2:$AV$1000,2,FALSE()),"")</f>
        <v/>
      </c>
      <c r="AI279" s="238" t="str">
        <f t="shared" si="23"/>
        <v>—</v>
      </c>
      <c r="AJ279" s="190" t="str">
        <f t="shared" si="24"/>
        <v>—</v>
      </c>
      <c r="AK279" s="157" t="str">
        <f t="shared" si="20"/>
        <v/>
      </c>
      <c r="AL279" s="160" t="str">
        <f t="shared" si="21"/>
        <v/>
      </c>
      <c r="AM279" s="210"/>
      <c r="AN279" s="209"/>
    </row>
    <row r="280" spans="1:40" ht="27.95" customHeight="1">
      <c r="A280" s="134" t="str">
        <f>IF(I280&lt;&gt;"",COUNTA($I$2:I280),"")</f>
        <v/>
      </c>
      <c r="B280" s="138" t="str">
        <f t="shared" si="22"/>
        <v/>
      </c>
      <c r="C280" s="93" t="str">
        <f t="array" ref="C280">IF(E280="","",IF(M280&lt;&gt;"",
M280&amp;"/"&amp;SUMPRODUCT((M$2:M280=M280)*1)&amp;" - "&amp;(ROW()-2),
"إداري/"&amp;SUMPRODUCT((M$2:M280="")*1)&amp;" - "&amp;(ROW()-2)))</f>
        <v/>
      </c>
      <c r="D280" s="141" t="str">
        <f>IF(AND(G280="",H280="",I280=""),"",IF(COUNTIFS(LISTS!$A$2:$A$67,G280,LISTS!$B$2:$B$67,H280,LISTS!$C$2:$C$67,I280)=0,"✗ هرم",IF(NOT(OR(Z280="ممتاز 100%",Z280="جيد 80%",Z280="مقبول 60%",Z280="خطر 40%",Z280="")),"✗ قائمة R",IF(NOT(OR(AA280="ممتاز 100%",AA280="جيد 85%",AA280="مقبول 70%",AA280="ضعيف 50%",AA280="")),"✗ قائمة S",IF(NOT(OR(AB280="مكتمل 100%",AB280="جزئي 60%",AB280="معلق 30%",AB280="مفتوح 0%",AB280="")),"✗ قائمة T",IF(NOT(OR(AC280="لا خصم 0",AC280="تأخير −5",AC280="عجز −10",AC280="جودة −15",AC280="امتثال −20",AC280="مخالفة −25",AC280="")),"✗ قائمة U",IF(AND(X280="لا",AC280&lt;&gt;"",AC280&lt;&gt;"لا خصم 0"),"✗ خصم",IF(AND(X280="نعم",AC280="لا خصم 0"),"✗ خصم",IF(AND(Z280="ممتاز 100%",AA280="ممتاز 100%",AB280&lt;&gt;"",AB280&lt;&gt;"مكتمل 100%"),"✗ إغلاق",IFERROR(IF(LEN(_xlfn.TEXTJOIN("، ",TRUE,IF(E280="","التاريخ",""),IF(F280="","الوقت",""),IF(G280="","المركز",""),IF(H280="","الدائرة",""),IF(I280="","القسم",""),IF(J280="","المسؤول",""),IF(K280="","نوع النشاط",""),IF(L280="","المشروع",""),IF(N280="","الممول",""),IF(V280="","الموضوع",""),IF(W280="","الملاحظة",""),IF(X280="","مشكلة",""),IF(Y280="","الإجراء",""),IF(Z280="","التنفيذ",""),IF(AA280="","الجودة",""),IF(AB280="","الإغلاق",""),IF(AC280="","الخصم",""),IF(AND(COUNTA($O280:$U280)&gt;0,O280=""),"مدير المشروع",""),IF(AND(COUNTA($O280:$U280)&gt;0,P280=""),"المستفيدين",""),IF(AND(COUNTA($O280:$U280)&gt;0,Q280=""),"المناطق",""),IF(AND(COUNTA($O280:$U280)&gt;0,R280=""),"الميزانية",""),IF(AND(COUNTA($O280:$U280)&gt;0,S280=""),"نسبة الجاهزية",""),IF(AND(COUNTA($O280:$U280)&gt;0,T280=""),"حالة الجاهزية",""),IF(AND(COUNTA($O280:$U280)&gt;0,U280=""),"التوصيات","")))&gt;0,"✗ ناقص: "&amp;_xlfn.TEXTJOIN("، ",TRUE,IF(E280="","التاريخ",""),IF(F280="","الوقت",""),IF(G280="","المركز",""),IF(H280="","الدائرة",""),IF(I280="","القسم",""),IF(J280="","المسؤول",""),IF(K280="","نوع النشاط",""),IF(L280="","المشروع",""),IF(N280="","الممول",""),IF(V280="","الموضوع",""),IF(W280="","الملاحظة",""),IF(X280="","مشكلة",""),IF(Y280="","الإجراء",""),IF(Z280="","التنفيذ",""),IF(AA280="","الجودة",""),IF(AB280="","الإغلاق",""),IF(AC280="","الخصم",""),IF(AND(COUNTA($O280:$U280)&gt;0,O280=""),"مدير المشروع",""),IF(AND(COUNTA($O280:$U280)&gt;0,P280=""),"المستفيدين",""),IF(AND(COUNTA($O280:$U280)&gt;0,Q280=""),"المناطق",""),IF(AND(COUNTA($O280:$U280)&gt;0,R280=""),"الميزانية",""),IF(AND(COUNTA($O280:$U280)&gt;0,S280=""),"نسبة الجاهزية",""),IF(AND(COUNTA($O280:$U280)&gt;0,T280=""),"حالة الجاهزية",""),IF(AND(COUNTA($O280:$U280)&gt;0,U280=""),"التوصيات","")),"✓"),"✓"))))))))))</f>
        <v/>
      </c>
      <c r="E280" s="235"/>
      <c r="F280" s="236"/>
      <c r="G280" s="90"/>
      <c r="H280" s="239"/>
      <c r="I280" s="89"/>
      <c r="J280" s="142"/>
      <c r="K280" s="90"/>
      <c r="L280" s="90"/>
      <c r="M280" s="90"/>
      <c r="N280" s="89"/>
      <c r="O280" s="200"/>
      <c r="P280" s="201"/>
      <c r="Q280" s="201"/>
      <c r="R280" s="237"/>
      <c r="S280" s="202"/>
      <c r="T280" s="200"/>
      <c r="U280" s="203"/>
      <c r="V280" s="89"/>
      <c r="W280" s="89"/>
      <c r="X280" s="145"/>
      <c r="Y280" s="89"/>
      <c r="Z280" s="90"/>
      <c r="AA280" s="90"/>
      <c r="AB280" s="90"/>
      <c r="AC280" s="90"/>
      <c r="AD280" s="92"/>
      <c r="AE280" s="149" t="str">
        <f>IFERROR(VLOOKUP(Z280,LISTS!$AL$2:$AM$1000,2,FALSE()),"")</f>
        <v/>
      </c>
      <c r="AF280" s="151" t="str">
        <f>IFERROR(VLOOKUP(AA280,LISTS!$AO$2:$AP$1000,2,FALSE()),"")</f>
        <v/>
      </c>
      <c r="AG280" s="152" t="str">
        <f>IFERROR(VLOOKUP(AB280,LISTS!$AR$2:$AS$1000,2,FALSE()),"")</f>
        <v/>
      </c>
      <c r="AH280" s="154" t="str">
        <f>IFERROR(VLOOKUP(AC280,LISTS!$AU$2:$AV$1000,2,FALSE()),"")</f>
        <v/>
      </c>
      <c r="AI280" s="238" t="str">
        <f t="shared" si="23"/>
        <v>—</v>
      </c>
      <c r="AJ280" s="190" t="str">
        <f t="shared" si="24"/>
        <v>—</v>
      </c>
      <c r="AK280" s="157" t="str">
        <f t="shared" si="20"/>
        <v/>
      </c>
      <c r="AL280" s="160" t="str">
        <f t="shared" si="21"/>
        <v/>
      </c>
      <c r="AM280" s="210"/>
      <c r="AN280" s="209"/>
    </row>
    <row r="281" spans="1:40" ht="27.95" customHeight="1">
      <c r="A281" s="134" t="str">
        <f>IF(I281&lt;&gt;"",COUNTA($I$2:I281),"")</f>
        <v/>
      </c>
      <c r="B281" s="138" t="str">
        <f t="shared" si="22"/>
        <v/>
      </c>
      <c r="C281" s="93" t="str">
        <f t="array" ref="C281">IF(E281="","",IF(M281&lt;&gt;"",
M281&amp;"/"&amp;SUMPRODUCT((M$2:M281=M281)*1)&amp;" - "&amp;(ROW()-2),
"إداري/"&amp;SUMPRODUCT((M$2:M281="")*1)&amp;" - "&amp;(ROW()-2)))</f>
        <v/>
      </c>
      <c r="D281" s="141" t="str">
        <f>IF(AND(G281="",H281="",I281=""),"",IF(COUNTIFS(LISTS!$A$2:$A$67,G281,LISTS!$B$2:$B$67,H281,LISTS!$C$2:$C$67,I281)=0,"✗ هرم",IF(NOT(OR(Z281="ممتاز 100%",Z281="جيد 80%",Z281="مقبول 60%",Z281="خطر 40%",Z281="")),"✗ قائمة R",IF(NOT(OR(AA281="ممتاز 100%",AA281="جيد 85%",AA281="مقبول 70%",AA281="ضعيف 50%",AA281="")),"✗ قائمة S",IF(NOT(OR(AB281="مكتمل 100%",AB281="جزئي 60%",AB281="معلق 30%",AB281="مفتوح 0%",AB281="")),"✗ قائمة T",IF(NOT(OR(AC281="لا خصم 0",AC281="تأخير −5",AC281="عجز −10",AC281="جودة −15",AC281="امتثال −20",AC281="مخالفة −25",AC281="")),"✗ قائمة U",IF(AND(X281="لا",AC281&lt;&gt;"",AC281&lt;&gt;"لا خصم 0"),"✗ خصم",IF(AND(X281="نعم",AC281="لا خصم 0"),"✗ خصم",IF(AND(Z281="ممتاز 100%",AA281="ممتاز 100%",AB281&lt;&gt;"",AB281&lt;&gt;"مكتمل 100%"),"✗ إغلاق",IFERROR(IF(LEN(_xlfn.TEXTJOIN("، ",TRUE,IF(E281="","التاريخ",""),IF(F281="","الوقت",""),IF(G281="","المركز",""),IF(H281="","الدائرة",""),IF(I281="","القسم",""),IF(J281="","المسؤول",""),IF(K281="","نوع النشاط",""),IF(L281="","المشروع",""),IF(N281="","الممول",""),IF(V281="","الموضوع",""),IF(W281="","الملاحظة",""),IF(X281="","مشكلة",""),IF(Y281="","الإجراء",""),IF(Z281="","التنفيذ",""),IF(AA281="","الجودة",""),IF(AB281="","الإغلاق",""),IF(AC281="","الخصم",""),IF(AND(COUNTA($O281:$U281)&gt;0,O281=""),"مدير المشروع",""),IF(AND(COUNTA($O281:$U281)&gt;0,P281=""),"المستفيدين",""),IF(AND(COUNTA($O281:$U281)&gt;0,Q281=""),"المناطق",""),IF(AND(COUNTA($O281:$U281)&gt;0,R281=""),"الميزانية",""),IF(AND(COUNTA($O281:$U281)&gt;0,S281=""),"نسبة الجاهزية",""),IF(AND(COUNTA($O281:$U281)&gt;0,T281=""),"حالة الجاهزية",""),IF(AND(COUNTA($O281:$U281)&gt;0,U281=""),"التوصيات","")))&gt;0,"✗ ناقص: "&amp;_xlfn.TEXTJOIN("، ",TRUE,IF(E281="","التاريخ",""),IF(F281="","الوقت",""),IF(G281="","المركز",""),IF(H281="","الدائرة",""),IF(I281="","القسم",""),IF(J281="","المسؤول",""),IF(K281="","نوع النشاط",""),IF(L281="","المشروع",""),IF(N281="","الممول",""),IF(V281="","الموضوع",""),IF(W281="","الملاحظة",""),IF(X281="","مشكلة",""),IF(Y281="","الإجراء",""),IF(Z281="","التنفيذ",""),IF(AA281="","الجودة",""),IF(AB281="","الإغلاق",""),IF(AC281="","الخصم",""),IF(AND(COUNTA($O281:$U281)&gt;0,O281=""),"مدير المشروع",""),IF(AND(COUNTA($O281:$U281)&gt;0,P281=""),"المستفيدين",""),IF(AND(COUNTA($O281:$U281)&gt;0,Q281=""),"المناطق",""),IF(AND(COUNTA($O281:$U281)&gt;0,R281=""),"الميزانية",""),IF(AND(COUNTA($O281:$U281)&gt;0,S281=""),"نسبة الجاهزية",""),IF(AND(COUNTA($O281:$U281)&gt;0,T281=""),"حالة الجاهزية",""),IF(AND(COUNTA($O281:$U281)&gt;0,U281=""),"التوصيات","")),"✓"),"✓"))))))))))</f>
        <v/>
      </c>
      <c r="E281" s="235"/>
      <c r="F281" s="236"/>
      <c r="G281" s="90"/>
      <c r="H281" s="239"/>
      <c r="I281" s="89"/>
      <c r="J281" s="142"/>
      <c r="K281" s="90"/>
      <c r="L281" s="90"/>
      <c r="M281" s="90"/>
      <c r="N281" s="89"/>
      <c r="O281" s="200"/>
      <c r="P281" s="201"/>
      <c r="Q281" s="201"/>
      <c r="R281" s="237"/>
      <c r="S281" s="202"/>
      <c r="T281" s="200"/>
      <c r="U281" s="203"/>
      <c r="V281" s="89"/>
      <c r="W281" s="89"/>
      <c r="X281" s="145"/>
      <c r="Y281" s="89"/>
      <c r="Z281" s="90"/>
      <c r="AA281" s="90"/>
      <c r="AB281" s="90"/>
      <c r="AC281" s="90"/>
      <c r="AD281" s="92"/>
      <c r="AE281" s="149" t="str">
        <f>IFERROR(VLOOKUP(Z281,LISTS!$AL$2:$AM$1000,2,FALSE()),"")</f>
        <v/>
      </c>
      <c r="AF281" s="151" t="str">
        <f>IFERROR(VLOOKUP(AA281,LISTS!$AO$2:$AP$1000,2,FALSE()),"")</f>
        <v/>
      </c>
      <c r="AG281" s="152" t="str">
        <f>IFERROR(VLOOKUP(AB281,LISTS!$AR$2:$AS$1000,2,FALSE()),"")</f>
        <v/>
      </c>
      <c r="AH281" s="154" t="str">
        <f>IFERROR(VLOOKUP(AC281,LISTS!$AU$2:$AV$1000,2,FALSE()),"")</f>
        <v/>
      </c>
      <c r="AI281" s="238" t="str">
        <f t="shared" si="23"/>
        <v>—</v>
      </c>
      <c r="AJ281" s="190" t="str">
        <f t="shared" si="24"/>
        <v>—</v>
      </c>
      <c r="AK281" s="157" t="str">
        <f t="shared" si="20"/>
        <v/>
      </c>
      <c r="AL281" s="160" t="str">
        <f t="shared" si="21"/>
        <v/>
      </c>
      <c r="AM281" s="210"/>
      <c r="AN281" s="209"/>
    </row>
    <row r="282" spans="1:40" ht="27.95" customHeight="1">
      <c r="A282" s="134" t="str">
        <f>IF(I282&lt;&gt;"",COUNTA($I$2:I282),"")</f>
        <v/>
      </c>
      <c r="B282" s="138" t="str">
        <f t="shared" si="22"/>
        <v/>
      </c>
      <c r="C282" s="93" t="str">
        <f t="array" ref="C282">IF(E282="","",IF(M282&lt;&gt;"",
M282&amp;"/"&amp;SUMPRODUCT((M$2:M282=M282)*1)&amp;" - "&amp;(ROW()-2),
"إداري/"&amp;SUMPRODUCT((M$2:M282="")*1)&amp;" - "&amp;(ROW()-2)))</f>
        <v/>
      </c>
      <c r="D282" s="141" t="str">
        <f>IF(AND(G282="",H282="",I282=""),"",IF(COUNTIFS(LISTS!$A$2:$A$67,G282,LISTS!$B$2:$B$67,H282,LISTS!$C$2:$C$67,I282)=0,"✗ هرم",IF(NOT(OR(Z282="ممتاز 100%",Z282="جيد 80%",Z282="مقبول 60%",Z282="خطر 40%",Z282="")),"✗ قائمة R",IF(NOT(OR(AA282="ممتاز 100%",AA282="جيد 85%",AA282="مقبول 70%",AA282="ضعيف 50%",AA282="")),"✗ قائمة S",IF(NOT(OR(AB282="مكتمل 100%",AB282="جزئي 60%",AB282="معلق 30%",AB282="مفتوح 0%",AB282="")),"✗ قائمة T",IF(NOT(OR(AC282="لا خصم 0",AC282="تأخير −5",AC282="عجز −10",AC282="جودة −15",AC282="امتثال −20",AC282="مخالفة −25",AC282="")),"✗ قائمة U",IF(AND(X282="لا",AC282&lt;&gt;"",AC282&lt;&gt;"لا خصم 0"),"✗ خصم",IF(AND(X282="نعم",AC282="لا خصم 0"),"✗ خصم",IF(AND(Z282="ممتاز 100%",AA282="ممتاز 100%",AB282&lt;&gt;"",AB282&lt;&gt;"مكتمل 100%"),"✗ إغلاق",IFERROR(IF(LEN(_xlfn.TEXTJOIN("، ",TRUE,IF(E282="","التاريخ",""),IF(F282="","الوقت",""),IF(G282="","المركز",""),IF(H282="","الدائرة",""),IF(I282="","القسم",""),IF(J282="","المسؤول",""),IF(K282="","نوع النشاط",""),IF(L282="","المشروع",""),IF(N282="","الممول",""),IF(V282="","الموضوع",""),IF(W282="","الملاحظة",""),IF(X282="","مشكلة",""),IF(Y282="","الإجراء",""),IF(Z282="","التنفيذ",""),IF(AA282="","الجودة",""),IF(AB282="","الإغلاق",""),IF(AC282="","الخصم",""),IF(AND(COUNTA($O282:$U282)&gt;0,O282=""),"مدير المشروع",""),IF(AND(COUNTA($O282:$U282)&gt;0,P282=""),"المستفيدين",""),IF(AND(COUNTA($O282:$U282)&gt;0,Q282=""),"المناطق",""),IF(AND(COUNTA($O282:$U282)&gt;0,R282=""),"الميزانية",""),IF(AND(COUNTA($O282:$U282)&gt;0,S282=""),"نسبة الجاهزية",""),IF(AND(COUNTA($O282:$U282)&gt;0,T282=""),"حالة الجاهزية",""),IF(AND(COUNTA($O282:$U282)&gt;0,U282=""),"التوصيات","")))&gt;0,"✗ ناقص: "&amp;_xlfn.TEXTJOIN("، ",TRUE,IF(E282="","التاريخ",""),IF(F282="","الوقت",""),IF(G282="","المركز",""),IF(H282="","الدائرة",""),IF(I282="","القسم",""),IF(J282="","المسؤول",""),IF(K282="","نوع النشاط",""),IF(L282="","المشروع",""),IF(N282="","الممول",""),IF(V282="","الموضوع",""),IF(W282="","الملاحظة",""),IF(X282="","مشكلة",""),IF(Y282="","الإجراء",""),IF(Z282="","التنفيذ",""),IF(AA282="","الجودة",""),IF(AB282="","الإغلاق",""),IF(AC282="","الخصم",""),IF(AND(COUNTA($O282:$U282)&gt;0,O282=""),"مدير المشروع",""),IF(AND(COUNTA($O282:$U282)&gt;0,P282=""),"المستفيدين",""),IF(AND(COUNTA($O282:$U282)&gt;0,Q282=""),"المناطق",""),IF(AND(COUNTA($O282:$U282)&gt;0,R282=""),"الميزانية",""),IF(AND(COUNTA($O282:$U282)&gt;0,S282=""),"نسبة الجاهزية",""),IF(AND(COUNTA($O282:$U282)&gt;0,T282=""),"حالة الجاهزية",""),IF(AND(COUNTA($O282:$U282)&gt;0,U282=""),"التوصيات","")),"✓"),"✓"))))))))))</f>
        <v/>
      </c>
      <c r="E282" s="235"/>
      <c r="F282" s="236"/>
      <c r="G282" s="90"/>
      <c r="H282" s="239"/>
      <c r="I282" s="89"/>
      <c r="J282" s="142"/>
      <c r="K282" s="90"/>
      <c r="L282" s="90"/>
      <c r="M282" s="90"/>
      <c r="N282" s="89"/>
      <c r="O282" s="200"/>
      <c r="P282" s="201"/>
      <c r="Q282" s="201"/>
      <c r="R282" s="237"/>
      <c r="S282" s="202"/>
      <c r="T282" s="200"/>
      <c r="U282" s="203"/>
      <c r="V282" s="89"/>
      <c r="W282" s="89"/>
      <c r="X282" s="145"/>
      <c r="Y282" s="89"/>
      <c r="Z282" s="90"/>
      <c r="AA282" s="90"/>
      <c r="AB282" s="90"/>
      <c r="AC282" s="90"/>
      <c r="AD282" s="92"/>
      <c r="AE282" s="149" t="str">
        <f>IFERROR(VLOOKUP(Z282,LISTS!$AL$2:$AM$1000,2,FALSE()),"")</f>
        <v/>
      </c>
      <c r="AF282" s="151" t="str">
        <f>IFERROR(VLOOKUP(AA282,LISTS!$AO$2:$AP$1000,2,FALSE()),"")</f>
        <v/>
      </c>
      <c r="AG282" s="152" t="str">
        <f>IFERROR(VLOOKUP(AB282,LISTS!$AR$2:$AS$1000,2,FALSE()),"")</f>
        <v/>
      </c>
      <c r="AH282" s="154" t="str">
        <f>IFERROR(VLOOKUP(AC282,LISTS!$AU$2:$AV$1000,2,FALSE()),"")</f>
        <v/>
      </c>
      <c r="AI282" s="238" t="str">
        <f t="shared" si="23"/>
        <v>—</v>
      </c>
      <c r="AJ282" s="190" t="str">
        <f t="shared" si="24"/>
        <v>—</v>
      </c>
      <c r="AK282" s="157" t="str">
        <f t="shared" si="20"/>
        <v/>
      </c>
      <c r="AL282" s="160" t="str">
        <f t="shared" si="21"/>
        <v/>
      </c>
      <c r="AM282" s="210"/>
      <c r="AN282" s="209"/>
    </row>
    <row r="283" spans="1:40" ht="27.95" customHeight="1">
      <c r="A283" s="134" t="str">
        <f>IF(I283&lt;&gt;"",COUNTA($I$2:I283),"")</f>
        <v/>
      </c>
      <c r="B283" s="138" t="str">
        <f t="shared" si="22"/>
        <v/>
      </c>
      <c r="C283" s="93" t="str">
        <f t="array" ref="C283">IF(E283="","",IF(M283&lt;&gt;"",
M283&amp;"/"&amp;SUMPRODUCT((M$2:M283=M283)*1)&amp;" - "&amp;(ROW()-2),
"إداري/"&amp;SUMPRODUCT((M$2:M283="")*1)&amp;" - "&amp;(ROW()-2)))</f>
        <v/>
      </c>
      <c r="D283" s="141" t="str">
        <f>IF(AND(G283="",H283="",I283=""),"",IF(COUNTIFS(LISTS!$A$2:$A$67,G283,LISTS!$B$2:$B$67,H283,LISTS!$C$2:$C$67,I283)=0,"✗ هرم",IF(NOT(OR(Z283="ممتاز 100%",Z283="جيد 80%",Z283="مقبول 60%",Z283="خطر 40%",Z283="")),"✗ قائمة R",IF(NOT(OR(AA283="ممتاز 100%",AA283="جيد 85%",AA283="مقبول 70%",AA283="ضعيف 50%",AA283="")),"✗ قائمة S",IF(NOT(OR(AB283="مكتمل 100%",AB283="جزئي 60%",AB283="معلق 30%",AB283="مفتوح 0%",AB283="")),"✗ قائمة T",IF(NOT(OR(AC283="لا خصم 0",AC283="تأخير −5",AC283="عجز −10",AC283="جودة −15",AC283="امتثال −20",AC283="مخالفة −25",AC283="")),"✗ قائمة U",IF(AND(X283="لا",AC283&lt;&gt;"",AC283&lt;&gt;"لا خصم 0"),"✗ خصم",IF(AND(X283="نعم",AC283="لا خصم 0"),"✗ خصم",IF(AND(Z283="ممتاز 100%",AA283="ممتاز 100%",AB283&lt;&gt;"",AB283&lt;&gt;"مكتمل 100%"),"✗ إغلاق",IFERROR(IF(LEN(_xlfn.TEXTJOIN("، ",TRUE,IF(E283="","التاريخ",""),IF(F283="","الوقت",""),IF(G283="","المركز",""),IF(H283="","الدائرة",""),IF(I283="","القسم",""),IF(J283="","المسؤول",""),IF(K283="","نوع النشاط",""),IF(L283="","المشروع",""),IF(N283="","الممول",""),IF(V283="","الموضوع",""),IF(W283="","الملاحظة",""),IF(X283="","مشكلة",""),IF(Y283="","الإجراء",""),IF(Z283="","التنفيذ",""),IF(AA283="","الجودة",""),IF(AB283="","الإغلاق",""),IF(AC283="","الخصم",""),IF(AND(COUNTA($O283:$U283)&gt;0,O283=""),"مدير المشروع",""),IF(AND(COUNTA($O283:$U283)&gt;0,P283=""),"المستفيدين",""),IF(AND(COUNTA($O283:$U283)&gt;0,Q283=""),"المناطق",""),IF(AND(COUNTA($O283:$U283)&gt;0,R283=""),"الميزانية",""),IF(AND(COUNTA($O283:$U283)&gt;0,S283=""),"نسبة الجاهزية",""),IF(AND(COUNTA($O283:$U283)&gt;0,T283=""),"حالة الجاهزية",""),IF(AND(COUNTA($O283:$U283)&gt;0,U283=""),"التوصيات","")))&gt;0,"✗ ناقص: "&amp;_xlfn.TEXTJOIN("، ",TRUE,IF(E283="","التاريخ",""),IF(F283="","الوقت",""),IF(G283="","المركز",""),IF(H283="","الدائرة",""),IF(I283="","القسم",""),IF(J283="","المسؤول",""),IF(K283="","نوع النشاط",""),IF(L283="","المشروع",""),IF(N283="","الممول",""),IF(V283="","الموضوع",""),IF(W283="","الملاحظة",""),IF(X283="","مشكلة",""),IF(Y283="","الإجراء",""),IF(Z283="","التنفيذ",""),IF(AA283="","الجودة",""),IF(AB283="","الإغلاق",""),IF(AC283="","الخصم",""),IF(AND(COUNTA($O283:$U283)&gt;0,O283=""),"مدير المشروع",""),IF(AND(COUNTA($O283:$U283)&gt;0,P283=""),"المستفيدين",""),IF(AND(COUNTA($O283:$U283)&gt;0,Q283=""),"المناطق",""),IF(AND(COUNTA($O283:$U283)&gt;0,R283=""),"الميزانية",""),IF(AND(COUNTA($O283:$U283)&gt;0,S283=""),"نسبة الجاهزية",""),IF(AND(COUNTA($O283:$U283)&gt;0,T283=""),"حالة الجاهزية",""),IF(AND(COUNTA($O283:$U283)&gt;0,U283=""),"التوصيات","")),"✓"),"✓"))))))))))</f>
        <v/>
      </c>
      <c r="E283" s="235"/>
      <c r="F283" s="236"/>
      <c r="G283" s="90"/>
      <c r="H283" s="239"/>
      <c r="I283" s="89"/>
      <c r="J283" s="142"/>
      <c r="K283" s="90"/>
      <c r="L283" s="90"/>
      <c r="M283" s="90"/>
      <c r="N283" s="89"/>
      <c r="O283" s="200"/>
      <c r="P283" s="201"/>
      <c r="Q283" s="201"/>
      <c r="R283" s="237"/>
      <c r="S283" s="202"/>
      <c r="T283" s="200"/>
      <c r="U283" s="203"/>
      <c r="V283" s="89"/>
      <c r="W283" s="89"/>
      <c r="X283" s="145"/>
      <c r="Y283" s="89"/>
      <c r="Z283" s="90"/>
      <c r="AA283" s="90"/>
      <c r="AB283" s="90"/>
      <c r="AC283" s="90"/>
      <c r="AD283" s="92"/>
      <c r="AE283" s="149" t="str">
        <f>IFERROR(VLOOKUP(Z283,LISTS!$AL$2:$AM$1000,2,FALSE()),"")</f>
        <v/>
      </c>
      <c r="AF283" s="151" t="str">
        <f>IFERROR(VLOOKUP(AA283,LISTS!$AO$2:$AP$1000,2,FALSE()),"")</f>
        <v/>
      </c>
      <c r="AG283" s="152" t="str">
        <f>IFERROR(VLOOKUP(AB283,LISTS!$AR$2:$AS$1000,2,FALSE()),"")</f>
        <v/>
      </c>
      <c r="AH283" s="154" t="str">
        <f>IFERROR(VLOOKUP(AC283,LISTS!$AU$2:$AV$1000,2,FALSE()),"")</f>
        <v/>
      </c>
      <c r="AI283" s="238" t="str">
        <f t="shared" si="23"/>
        <v>—</v>
      </c>
      <c r="AJ283" s="190" t="str">
        <f t="shared" si="24"/>
        <v>—</v>
      </c>
      <c r="AK283" s="157" t="str">
        <f t="shared" si="20"/>
        <v/>
      </c>
      <c r="AL283" s="160" t="str">
        <f t="shared" si="21"/>
        <v/>
      </c>
      <c r="AM283" s="210"/>
      <c r="AN283" s="209"/>
    </row>
    <row r="284" spans="1:40" ht="27.95" customHeight="1">
      <c r="A284" s="134" t="str">
        <f>IF(I284&lt;&gt;"",COUNTA($I$2:I284),"")</f>
        <v/>
      </c>
      <c r="B284" s="138" t="str">
        <f t="shared" si="22"/>
        <v/>
      </c>
      <c r="C284" s="93" t="str">
        <f t="array" ref="C284">IF(E284="","",IF(M284&lt;&gt;"",
M284&amp;"/"&amp;SUMPRODUCT((M$2:M284=M284)*1)&amp;" - "&amp;(ROW()-2),
"إداري/"&amp;SUMPRODUCT((M$2:M284="")*1)&amp;" - "&amp;(ROW()-2)))</f>
        <v/>
      </c>
      <c r="D284" s="141" t="str">
        <f>IF(AND(G284="",H284="",I284=""),"",IF(COUNTIFS(LISTS!$A$2:$A$67,G284,LISTS!$B$2:$B$67,H284,LISTS!$C$2:$C$67,I284)=0,"✗ هرم",IF(NOT(OR(Z284="ممتاز 100%",Z284="جيد 80%",Z284="مقبول 60%",Z284="خطر 40%",Z284="")),"✗ قائمة R",IF(NOT(OR(AA284="ممتاز 100%",AA284="جيد 85%",AA284="مقبول 70%",AA284="ضعيف 50%",AA284="")),"✗ قائمة S",IF(NOT(OR(AB284="مكتمل 100%",AB284="جزئي 60%",AB284="معلق 30%",AB284="مفتوح 0%",AB284="")),"✗ قائمة T",IF(NOT(OR(AC284="لا خصم 0",AC284="تأخير −5",AC284="عجز −10",AC284="جودة −15",AC284="امتثال −20",AC284="مخالفة −25",AC284="")),"✗ قائمة U",IF(AND(X284="لا",AC284&lt;&gt;"",AC284&lt;&gt;"لا خصم 0"),"✗ خصم",IF(AND(X284="نعم",AC284="لا خصم 0"),"✗ خصم",IF(AND(Z284="ممتاز 100%",AA284="ممتاز 100%",AB284&lt;&gt;"",AB284&lt;&gt;"مكتمل 100%"),"✗ إغلاق",IFERROR(IF(LEN(_xlfn.TEXTJOIN("، ",TRUE,IF(E284="","التاريخ",""),IF(F284="","الوقت",""),IF(G284="","المركز",""),IF(H284="","الدائرة",""),IF(I284="","القسم",""),IF(J284="","المسؤول",""),IF(K284="","نوع النشاط",""),IF(L284="","المشروع",""),IF(N284="","الممول",""),IF(V284="","الموضوع",""),IF(W284="","الملاحظة",""),IF(X284="","مشكلة",""),IF(Y284="","الإجراء",""),IF(Z284="","التنفيذ",""),IF(AA284="","الجودة",""),IF(AB284="","الإغلاق",""),IF(AC284="","الخصم",""),IF(AND(COUNTA($O284:$U284)&gt;0,O284=""),"مدير المشروع",""),IF(AND(COUNTA($O284:$U284)&gt;0,P284=""),"المستفيدين",""),IF(AND(COUNTA($O284:$U284)&gt;0,Q284=""),"المناطق",""),IF(AND(COUNTA($O284:$U284)&gt;0,R284=""),"الميزانية",""),IF(AND(COUNTA($O284:$U284)&gt;0,S284=""),"نسبة الجاهزية",""),IF(AND(COUNTA($O284:$U284)&gt;0,T284=""),"حالة الجاهزية",""),IF(AND(COUNTA($O284:$U284)&gt;0,U284=""),"التوصيات","")))&gt;0,"✗ ناقص: "&amp;_xlfn.TEXTJOIN("، ",TRUE,IF(E284="","التاريخ",""),IF(F284="","الوقت",""),IF(G284="","المركز",""),IF(H284="","الدائرة",""),IF(I284="","القسم",""),IF(J284="","المسؤول",""),IF(K284="","نوع النشاط",""),IF(L284="","المشروع",""),IF(N284="","الممول",""),IF(V284="","الموضوع",""),IF(W284="","الملاحظة",""),IF(X284="","مشكلة",""),IF(Y284="","الإجراء",""),IF(Z284="","التنفيذ",""),IF(AA284="","الجودة",""),IF(AB284="","الإغلاق",""),IF(AC284="","الخصم",""),IF(AND(COUNTA($O284:$U284)&gt;0,O284=""),"مدير المشروع",""),IF(AND(COUNTA($O284:$U284)&gt;0,P284=""),"المستفيدين",""),IF(AND(COUNTA($O284:$U284)&gt;0,Q284=""),"المناطق",""),IF(AND(COUNTA($O284:$U284)&gt;0,R284=""),"الميزانية",""),IF(AND(COUNTA($O284:$U284)&gt;0,S284=""),"نسبة الجاهزية",""),IF(AND(COUNTA($O284:$U284)&gt;0,T284=""),"حالة الجاهزية",""),IF(AND(COUNTA($O284:$U284)&gt;0,U284=""),"التوصيات","")),"✓"),"✓"))))))))))</f>
        <v/>
      </c>
      <c r="E284" s="235"/>
      <c r="F284" s="236"/>
      <c r="G284" s="90"/>
      <c r="H284" s="239"/>
      <c r="I284" s="89"/>
      <c r="J284" s="142"/>
      <c r="K284" s="90"/>
      <c r="L284" s="90"/>
      <c r="M284" s="90"/>
      <c r="N284" s="89"/>
      <c r="O284" s="200"/>
      <c r="P284" s="201"/>
      <c r="Q284" s="201"/>
      <c r="R284" s="237"/>
      <c r="S284" s="202"/>
      <c r="T284" s="200"/>
      <c r="U284" s="203"/>
      <c r="V284" s="89"/>
      <c r="W284" s="89"/>
      <c r="X284" s="145"/>
      <c r="Y284" s="89"/>
      <c r="Z284" s="90"/>
      <c r="AA284" s="90"/>
      <c r="AB284" s="90"/>
      <c r="AC284" s="90"/>
      <c r="AD284" s="92"/>
      <c r="AE284" s="149" t="str">
        <f>IFERROR(VLOOKUP(Z284,LISTS!$AL$2:$AM$1000,2,FALSE()),"")</f>
        <v/>
      </c>
      <c r="AF284" s="151" t="str">
        <f>IFERROR(VLOOKUP(AA284,LISTS!$AO$2:$AP$1000,2,FALSE()),"")</f>
        <v/>
      </c>
      <c r="AG284" s="152" t="str">
        <f>IFERROR(VLOOKUP(AB284,LISTS!$AR$2:$AS$1000,2,FALSE()),"")</f>
        <v/>
      </c>
      <c r="AH284" s="154" t="str">
        <f>IFERROR(VLOOKUP(AC284,LISTS!$AU$2:$AV$1000,2,FALSE()),"")</f>
        <v/>
      </c>
      <c r="AI284" s="238" t="str">
        <f t="shared" si="23"/>
        <v>—</v>
      </c>
      <c r="AJ284" s="190" t="str">
        <f t="shared" si="24"/>
        <v>—</v>
      </c>
      <c r="AK284" s="157" t="str">
        <f t="shared" si="20"/>
        <v/>
      </c>
      <c r="AL284" s="160" t="str">
        <f t="shared" si="21"/>
        <v/>
      </c>
      <c r="AM284" s="210"/>
      <c r="AN284" s="209"/>
    </row>
    <row r="285" spans="1:40" ht="27.95" customHeight="1">
      <c r="A285" s="134" t="str">
        <f>IF(I285&lt;&gt;"",COUNTA($I$2:I285),"")</f>
        <v/>
      </c>
      <c r="B285" s="138" t="str">
        <f t="shared" si="22"/>
        <v/>
      </c>
      <c r="C285" s="93" t="str">
        <f t="array" ref="C285">IF(E285="","",IF(M285&lt;&gt;"",
M285&amp;"/"&amp;SUMPRODUCT((M$2:M285=M285)*1)&amp;" - "&amp;(ROW()-2),
"إداري/"&amp;SUMPRODUCT((M$2:M285="")*1)&amp;" - "&amp;(ROW()-2)))</f>
        <v/>
      </c>
      <c r="D285" s="141" t="str">
        <f>IF(AND(G285="",H285="",I285=""),"",IF(COUNTIFS(LISTS!$A$2:$A$67,G285,LISTS!$B$2:$B$67,H285,LISTS!$C$2:$C$67,I285)=0,"✗ هرم",IF(NOT(OR(Z285="ممتاز 100%",Z285="جيد 80%",Z285="مقبول 60%",Z285="خطر 40%",Z285="")),"✗ قائمة R",IF(NOT(OR(AA285="ممتاز 100%",AA285="جيد 85%",AA285="مقبول 70%",AA285="ضعيف 50%",AA285="")),"✗ قائمة S",IF(NOT(OR(AB285="مكتمل 100%",AB285="جزئي 60%",AB285="معلق 30%",AB285="مفتوح 0%",AB285="")),"✗ قائمة T",IF(NOT(OR(AC285="لا خصم 0",AC285="تأخير −5",AC285="عجز −10",AC285="جودة −15",AC285="امتثال −20",AC285="مخالفة −25",AC285="")),"✗ قائمة U",IF(AND(X285="لا",AC285&lt;&gt;"",AC285&lt;&gt;"لا خصم 0"),"✗ خصم",IF(AND(X285="نعم",AC285="لا خصم 0"),"✗ خصم",IF(AND(Z285="ممتاز 100%",AA285="ممتاز 100%",AB285&lt;&gt;"",AB285&lt;&gt;"مكتمل 100%"),"✗ إغلاق",IFERROR(IF(LEN(_xlfn.TEXTJOIN("، ",TRUE,IF(E285="","التاريخ",""),IF(F285="","الوقت",""),IF(G285="","المركز",""),IF(H285="","الدائرة",""),IF(I285="","القسم",""),IF(J285="","المسؤول",""),IF(K285="","نوع النشاط",""),IF(L285="","المشروع",""),IF(N285="","الممول",""),IF(V285="","الموضوع",""),IF(W285="","الملاحظة",""),IF(X285="","مشكلة",""),IF(Y285="","الإجراء",""),IF(Z285="","التنفيذ",""),IF(AA285="","الجودة",""),IF(AB285="","الإغلاق",""),IF(AC285="","الخصم",""),IF(AND(COUNTA($O285:$U285)&gt;0,O285=""),"مدير المشروع",""),IF(AND(COUNTA($O285:$U285)&gt;0,P285=""),"المستفيدين",""),IF(AND(COUNTA($O285:$U285)&gt;0,Q285=""),"المناطق",""),IF(AND(COUNTA($O285:$U285)&gt;0,R285=""),"الميزانية",""),IF(AND(COUNTA($O285:$U285)&gt;0,S285=""),"نسبة الجاهزية",""),IF(AND(COUNTA($O285:$U285)&gt;0,T285=""),"حالة الجاهزية",""),IF(AND(COUNTA($O285:$U285)&gt;0,U285=""),"التوصيات","")))&gt;0,"✗ ناقص: "&amp;_xlfn.TEXTJOIN("، ",TRUE,IF(E285="","التاريخ",""),IF(F285="","الوقت",""),IF(G285="","المركز",""),IF(H285="","الدائرة",""),IF(I285="","القسم",""),IF(J285="","المسؤول",""),IF(K285="","نوع النشاط",""),IF(L285="","المشروع",""),IF(N285="","الممول",""),IF(V285="","الموضوع",""),IF(W285="","الملاحظة",""),IF(X285="","مشكلة",""),IF(Y285="","الإجراء",""),IF(Z285="","التنفيذ",""),IF(AA285="","الجودة",""),IF(AB285="","الإغلاق",""),IF(AC285="","الخصم",""),IF(AND(COUNTA($O285:$U285)&gt;0,O285=""),"مدير المشروع",""),IF(AND(COUNTA($O285:$U285)&gt;0,P285=""),"المستفيدين",""),IF(AND(COUNTA($O285:$U285)&gt;0,Q285=""),"المناطق",""),IF(AND(COUNTA($O285:$U285)&gt;0,R285=""),"الميزانية",""),IF(AND(COUNTA($O285:$U285)&gt;0,S285=""),"نسبة الجاهزية",""),IF(AND(COUNTA($O285:$U285)&gt;0,T285=""),"حالة الجاهزية",""),IF(AND(COUNTA($O285:$U285)&gt;0,U285=""),"التوصيات","")),"✓"),"✓"))))))))))</f>
        <v/>
      </c>
      <c r="E285" s="235"/>
      <c r="F285" s="236"/>
      <c r="G285" s="90"/>
      <c r="H285" s="239"/>
      <c r="I285" s="89"/>
      <c r="J285" s="142"/>
      <c r="K285" s="90"/>
      <c r="L285" s="90"/>
      <c r="M285" s="90"/>
      <c r="N285" s="89"/>
      <c r="O285" s="200"/>
      <c r="P285" s="201"/>
      <c r="Q285" s="201"/>
      <c r="R285" s="237"/>
      <c r="S285" s="202"/>
      <c r="T285" s="200"/>
      <c r="U285" s="203"/>
      <c r="V285" s="89"/>
      <c r="W285" s="89"/>
      <c r="X285" s="145"/>
      <c r="Y285" s="89"/>
      <c r="Z285" s="90"/>
      <c r="AA285" s="90"/>
      <c r="AB285" s="90"/>
      <c r="AC285" s="90"/>
      <c r="AD285" s="92"/>
      <c r="AE285" s="149" t="str">
        <f>IFERROR(VLOOKUP(Z285,LISTS!$AL$2:$AM$1000,2,FALSE()),"")</f>
        <v/>
      </c>
      <c r="AF285" s="151" t="str">
        <f>IFERROR(VLOOKUP(AA285,LISTS!$AO$2:$AP$1000,2,FALSE()),"")</f>
        <v/>
      </c>
      <c r="AG285" s="152" t="str">
        <f>IFERROR(VLOOKUP(AB285,LISTS!$AR$2:$AS$1000,2,FALSE()),"")</f>
        <v/>
      </c>
      <c r="AH285" s="154" t="str">
        <f>IFERROR(VLOOKUP(AC285,LISTS!$AU$2:$AV$1000,2,FALSE()),"")</f>
        <v/>
      </c>
      <c r="AI285" s="238" t="str">
        <f t="shared" si="23"/>
        <v>—</v>
      </c>
      <c r="AJ285" s="190" t="str">
        <f t="shared" si="24"/>
        <v>—</v>
      </c>
      <c r="AK285" s="157" t="str">
        <f t="shared" si="20"/>
        <v/>
      </c>
      <c r="AL285" s="160" t="str">
        <f t="shared" si="21"/>
        <v/>
      </c>
      <c r="AM285" s="210"/>
      <c r="AN285" s="209"/>
    </row>
    <row r="286" spans="1:40" ht="27.95" customHeight="1">
      <c r="A286" s="134" t="str">
        <f>IF(I286&lt;&gt;"",COUNTA($I$2:I286),"")</f>
        <v/>
      </c>
      <c r="B286" s="138" t="str">
        <f t="shared" si="22"/>
        <v/>
      </c>
      <c r="C286" s="93" t="str">
        <f t="array" ref="C286">IF(E286="","",IF(M286&lt;&gt;"",
M286&amp;"/"&amp;SUMPRODUCT((M$2:M286=M286)*1)&amp;" - "&amp;(ROW()-2),
"إداري/"&amp;SUMPRODUCT((M$2:M286="")*1)&amp;" - "&amp;(ROW()-2)))</f>
        <v/>
      </c>
      <c r="D286" s="141" t="str">
        <f>IF(AND(G286="",H286="",I286=""),"",IF(COUNTIFS(LISTS!$A$2:$A$67,G286,LISTS!$B$2:$B$67,H286,LISTS!$C$2:$C$67,I286)=0,"✗ هرم",IF(NOT(OR(Z286="ممتاز 100%",Z286="جيد 80%",Z286="مقبول 60%",Z286="خطر 40%",Z286="")),"✗ قائمة R",IF(NOT(OR(AA286="ممتاز 100%",AA286="جيد 85%",AA286="مقبول 70%",AA286="ضعيف 50%",AA286="")),"✗ قائمة S",IF(NOT(OR(AB286="مكتمل 100%",AB286="جزئي 60%",AB286="معلق 30%",AB286="مفتوح 0%",AB286="")),"✗ قائمة T",IF(NOT(OR(AC286="لا خصم 0",AC286="تأخير −5",AC286="عجز −10",AC286="جودة −15",AC286="امتثال −20",AC286="مخالفة −25",AC286="")),"✗ قائمة U",IF(AND(X286="لا",AC286&lt;&gt;"",AC286&lt;&gt;"لا خصم 0"),"✗ خصم",IF(AND(X286="نعم",AC286="لا خصم 0"),"✗ خصم",IF(AND(Z286="ممتاز 100%",AA286="ممتاز 100%",AB286&lt;&gt;"",AB286&lt;&gt;"مكتمل 100%"),"✗ إغلاق",IFERROR(IF(LEN(_xlfn.TEXTJOIN("، ",TRUE,IF(E286="","التاريخ",""),IF(F286="","الوقت",""),IF(G286="","المركز",""),IF(H286="","الدائرة",""),IF(I286="","القسم",""),IF(J286="","المسؤول",""),IF(K286="","نوع النشاط",""),IF(L286="","المشروع",""),IF(N286="","الممول",""),IF(V286="","الموضوع",""),IF(W286="","الملاحظة",""),IF(X286="","مشكلة",""),IF(Y286="","الإجراء",""),IF(Z286="","التنفيذ",""),IF(AA286="","الجودة",""),IF(AB286="","الإغلاق",""),IF(AC286="","الخصم",""),IF(AND(COUNTA($O286:$U286)&gt;0,O286=""),"مدير المشروع",""),IF(AND(COUNTA($O286:$U286)&gt;0,P286=""),"المستفيدين",""),IF(AND(COUNTA($O286:$U286)&gt;0,Q286=""),"المناطق",""),IF(AND(COUNTA($O286:$U286)&gt;0,R286=""),"الميزانية",""),IF(AND(COUNTA($O286:$U286)&gt;0,S286=""),"نسبة الجاهزية",""),IF(AND(COUNTA($O286:$U286)&gt;0,T286=""),"حالة الجاهزية",""),IF(AND(COUNTA($O286:$U286)&gt;0,U286=""),"التوصيات","")))&gt;0,"✗ ناقص: "&amp;_xlfn.TEXTJOIN("، ",TRUE,IF(E286="","التاريخ",""),IF(F286="","الوقت",""),IF(G286="","المركز",""),IF(H286="","الدائرة",""),IF(I286="","القسم",""),IF(J286="","المسؤول",""),IF(K286="","نوع النشاط",""),IF(L286="","المشروع",""),IF(N286="","الممول",""),IF(V286="","الموضوع",""),IF(W286="","الملاحظة",""),IF(X286="","مشكلة",""),IF(Y286="","الإجراء",""),IF(Z286="","التنفيذ",""),IF(AA286="","الجودة",""),IF(AB286="","الإغلاق",""),IF(AC286="","الخصم",""),IF(AND(COUNTA($O286:$U286)&gt;0,O286=""),"مدير المشروع",""),IF(AND(COUNTA($O286:$U286)&gt;0,P286=""),"المستفيدين",""),IF(AND(COUNTA($O286:$U286)&gt;0,Q286=""),"المناطق",""),IF(AND(COUNTA($O286:$U286)&gt;0,R286=""),"الميزانية",""),IF(AND(COUNTA($O286:$U286)&gt;0,S286=""),"نسبة الجاهزية",""),IF(AND(COUNTA($O286:$U286)&gt;0,T286=""),"حالة الجاهزية",""),IF(AND(COUNTA($O286:$U286)&gt;0,U286=""),"التوصيات","")),"✓"),"✓"))))))))))</f>
        <v/>
      </c>
      <c r="E286" s="235"/>
      <c r="F286" s="236"/>
      <c r="G286" s="90"/>
      <c r="H286" s="239"/>
      <c r="I286" s="89"/>
      <c r="J286" s="142"/>
      <c r="K286" s="90"/>
      <c r="L286" s="90"/>
      <c r="M286" s="90"/>
      <c r="N286" s="89"/>
      <c r="O286" s="200"/>
      <c r="P286" s="201"/>
      <c r="Q286" s="201"/>
      <c r="R286" s="237"/>
      <c r="S286" s="202"/>
      <c r="T286" s="200"/>
      <c r="U286" s="203"/>
      <c r="V286" s="89"/>
      <c r="W286" s="89"/>
      <c r="X286" s="145"/>
      <c r="Y286" s="89"/>
      <c r="Z286" s="90"/>
      <c r="AA286" s="90"/>
      <c r="AB286" s="90"/>
      <c r="AC286" s="90"/>
      <c r="AD286" s="92"/>
      <c r="AE286" s="149" t="str">
        <f>IFERROR(VLOOKUP(Z286,LISTS!$AL$2:$AM$1000,2,FALSE()),"")</f>
        <v/>
      </c>
      <c r="AF286" s="151" t="str">
        <f>IFERROR(VLOOKUP(AA286,LISTS!$AO$2:$AP$1000,2,FALSE()),"")</f>
        <v/>
      </c>
      <c r="AG286" s="152" t="str">
        <f>IFERROR(VLOOKUP(AB286,LISTS!$AR$2:$AS$1000,2,FALSE()),"")</f>
        <v/>
      </c>
      <c r="AH286" s="154" t="str">
        <f>IFERROR(VLOOKUP(AC286,LISTS!$AU$2:$AV$1000,2,FALSE()),"")</f>
        <v/>
      </c>
      <c r="AI286" s="238" t="str">
        <f t="shared" si="23"/>
        <v>—</v>
      </c>
      <c r="AJ286" s="190" t="str">
        <f t="shared" si="24"/>
        <v>—</v>
      </c>
      <c r="AK286" s="157" t="str">
        <f t="shared" ref="AK286:AK349" si="25">IF(E286="","",MONTH(E286))</f>
        <v/>
      </c>
      <c r="AL286" s="160" t="str">
        <f t="shared" ref="AL286:AL349" si="26">IF(E286="","",YEAR(E286))</f>
        <v/>
      </c>
      <c r="AM286" s="210"/>
      <c r="AN286" s="209"/>
    </row>
    <row r="287" spans="1:40" ht="27.95" customHeight="1">
      <c r="A287" s="134" t="str">
        <f>IF(I287&lt;&gt;"",COUNTA($I$2:I287),"")</f>
        <v/>
      </c>
      <c r="B287" s="138" t="str">
        <f t="shared" ref="B287:B350" si="27">IF(E287="","",CHOOSE(WEEKDAY(E287,2),"الاثنين","الثلاثاء","الأربعاء","الخميس","الجمعة","السبت","الأحد"))</f>
        <v/>
      </c>
      <c r="C287" s="93" t="str">
        <f t="array" ref="C287">IF(E287="","",IF(M287&lt;&gt;"",
M287&amp;"/"&amp;SUMPRODUCT((M$2:M287=M287)*1)&amp;" - "&amp;(ROW()-2),
"إداري/"&amp;SUMPRODUCT((M$2:M287="")*1)&amp;" - "&amp;(ROW()-2)))</f>
        <v/>
      </c>
      <c r="D287" s="141" t="str">
        <f>IF(AND(G287="",H287="",I287=""),"",IF(COUNTIFS(LISTS!$A$2:$A$67,G287,LISTS!$B$2:$B$67,H287,LISTS!$C$2:$C$67,I287)=0,"✗ هرم",IF(NOT(OR(Z287="ممتاز 100%",Z287="جيد 80%",Z287="مقبول 60%",Z287="خطر 40%",Z287="")),"✗ قائمة R",IF(NOT(OR(AA287="ممتاز 100%",AA287="جيد 85%",AA287="مقبول 70%",AA287="ضعيف 50%",AA287="")),"✗ قائمة S",IF(NOT(OR(AB287="مكتمل 100%",AB287="جزئي 60%",AB287="معلق 30%",AB287="مفتوح 0%",AB287="")),"✗ قائمة T",IF(NOT(OR(AC287="لا خصم 0",AC287="تأخير −5",AC287="عجز −10",AC287="جودة −15",AC287="امتثال −20",AC287="مخالفة −25",AC287="")),"✗ قائمة U",IF(AND(X287="لا",AC287&lt;&gt;"",AC287&lt;&gt;"لا خصم 0"),"✗ خصم",IF(AND(X287="نعم",AC287="لا خصم 0"),"✗ خصم",IF(AND(Z287="ممتاز 100%",AA287="ممتاز 100%",AB287&lt;&gt;"",AB287&lt;&gt;"مكتمل 100%"),"✗ إغلاق",IFERROR(IF(LEN(_xlfn.TEXTJOIN("، ",TRUE,IF(E287="","التاريخ",""),IF(F287="","الوقت",""),IF(G287="","المركز",""),IF(H287="","الدائرة",""),IF(I287="","القسم",""),IF(J287="","المسؤول",""),IF(K287="","نوع النشاط",""),IF(L287="","المشروع",""),IF(N287="","الممول",""),IF(V287="","الموضوع",""),IF(W287="","الملاحظة",""),IF(X287="","مشكلة",""),IF(Y287="","الإجراء",""),IF(Z287="","التنفيذ",""),IF(AA287="","الجودة",""),IF(AB287="","الإغلاق",""),IF(AC287="","الخصم",""),IF(AND(COUNTA($O287:$U287)&gt;0,O287=""),"مدير المشروع",""),IF(AND(COUNTA($O287:$U287)&gt;0,P287=""),"المستفيدين",""),IF(AND(COUNTA($O287:$U287)&gt;0,Q287=""),"المناطق",""),IF(AND(COUNTA($O287:$U287)&gt;0,R287=""),"الميزانية",""),IF(AND(COUNTA($O287:$U287)&gt;0,S287=""),"نسبة الجاهزية",""),IF(AND(COUNTA($O287:$U287)&gt;0,T287=""),"حالة الجاهزية",""),IF(AND(COUNTA($O287:$U287)&gt;0,U287=""),"التوصيات","")))&gt;0,"✗ ناقص: "&amp;_xlfn.TEXTJOIN("، ",TRUE,IF(E287="","التاريخ",""),IF(F287="","الوقت",""),IF(G287="","المركز",""),IF(H287="","الدائرة",""),IF(I287="","القسم",""),IF(J287="","المسؤول",""),IF(K287="","نوع النشاط",""),IF(L287="","المشروع",""),IF(N287="","الممول",""),IF(V287="","الموضوع",""),IF(W287="","الملاحظة",""),IF(X287="","مشكلة",""),IF(Y287="","الإجراء",""),IF(Z287="","التنفيذ",""),IF(AA287="","الجودة",""),IF(AB287="","الإغلاق",""),IF(AC287="","الخصم",""),IF(AND(COUNTA($O287:$U287)&gt;0,O287=""),"مدير المشروع",""),IF(AND(COUNTA($O287:$U287)&gt;0,P287=""),"المستفيدين",""),IF(AND(COUNTA($O287:$U287)&gt;0,Q287=""),"المناطق",""),IF(AND(COUNTA($O287:$U287)&gt;0,R287=""),"الميزانية",""),IF(AND(COUNTA($O287:$U287)&gt;0,S287=""),"نسبة الجاهزية",""),IF(AND(COUNTA($O287:$U287)&gt;0,T287=""),"حالة الجاهزية",""),IF(AND(COUNTA($O287:$U287)&gt;0,U287=""),"التوصيات","")),"✓"),"✓"))))))))))</f>
        <v/>
      </c>
      <c r="E287" s="235"/>
      <c r="F287" s="236"/>
      <c r="G287" s="90"/>
      <c r="H287" s="239"/>
      <c r="I287" s="89"/>
      <c r="J287" s="142"/>
      <c r="K287" s="90"/>
      <c r="L287" s="90"/>
      <c r="M287" s="90"/>
      <c r="N287" s="89"/>
      <c r="O287" s="200"/>
      <c r="P287" s="201"/>
      <c r="Q287" s="201"/>
      <c r="R287" s="237"/>
      <c r="S287" s="202"/>
      <c r="T287" s="200"/>
      <c r="U287" s="203"/>
      <c r="V287" s="89"/>
      <c r="W287" s="89"/>
      <c r="X287" s="145"/>
      <c r="Y287" s="89"/>
      <c r="Z287" s="90"/>
      <c r="AA287" s="90"/>
      <c r="AB287" s="90"/>
      <c r="AC287" s="90"/>
      <c r="AD287" s="92"/>
      <c r="AE287" s="149" t="str">
        <f>IFERROR(VLOOKUP(Z287,LISTS!$AL$2:$AM$1000,2,FALSE()),"")</f>
        <v/>
      </c>
      <c r="AF287" s="151" t="str">
        <f>IFERROR(VLOOKUP(AA287,LISTS!$AO$2:$AP$1000,2,FALSE()),"")</f>
        <v/>
      </c>
      <c r="AG287" s="152" t="str">
        <f>IFERROR(VLOOKUP(AB287,LISTS!$AR$2:$AS$1000,2,FALSE()),"")</f>
        <v/>
      </c>
      <c r="AH287" s="154" t="str">
        <f>IFERROR(VLOOKUP(AC287,LISTS!$AU$2:$AV$1000,2,FALSE()),"")</f>
        <v/>
      </c>
      <c r="AI287" s="238" t="str">
        <f t="shared" si="23"/>
        <v>—</v>
      </c>
      <c r="AJ287" s="190" t="str">
        <f t="shared" si="24"/>
        <v>—</v>
      </c>
      <c r="AK287" s="157" t="str">
        <f t="shared" si="25"/>
        <v/>
      </c>
      <c r="AL287" s="160" t="str">
        <f t="shared" si="26"/>
        <v/>
      </c>
      <c r="AM287" s="210"/>
      <c r="AN287" s="209"/>
    </row>
    <row r="288" spans="1:40" ht="27.95" customHeight="1">
      <c r="A288" s="134" t="str">
        <f>IF(I288&lt;&gt;"",COUNTA($I$2:I288),"")</f>
        <v/>
      </c>
      <c r="B288" s="138" t="str">
        <f t="shared" si="27"/>
        <v/>
      </c>
      <c r="C288" s="93" t="str">
        <f t="array" ref="C288">IF(E288="","",IF(M288&lt;&gt;"",
M288&amp;"/"&amp;SUMPRODUCT((M$2:M288=M288)*1)&amp;" - "&amp;(ROW()-2),
"إداري/"&amp;SUMPRODUCT((M$2:M288="")*1)&amp;" - "&amp;(ROW()-2)))</f>
        <v/>
      </c>
      <c r="D288" s="141" t="str">
        <f>IF(AND(G288="",H288="",I288=""),"",IF(COUNTIFS(LISTS!$A$2:$A$67,G288,LISTS!$B$2:$B$67,H288,LISTS!$C$2:$C$67,I288)=0,"✗ هرم",IF(NOT(OR(Z288="ممتاز 100%",Z288="جيد 80%",Z288="مقبول 60%",Z288="خطر 40%",Z288="")),"✗ قائمة R",IF(NOT(OR(AA288="ممتاز 100%",AA288="جيد 85%",AA288="مقبول 70%",AA288="ضعيف 50%",AA288="")),"✗ قائمة S",IF(NOT(OR(AB288="مكتمل 100%",AB288="جزئي 60%",AB288="معلق 30%",AB288="مفتوح 0%",AB288="")),"✗ قائمة T",IF(NOT(OR(AC288="لا خصم 0",AC288="تأخير −5",AC288="عجز −10",AC288="جودة −15",AC288="امتثال −20",AC288="مخالفة −25",AC288="")),"✗ قائمة U",IF(AND(X288="لا",AC288&lt;&gt;"",AC288&lt;&gt;"لا خصم 0"),"✗ خصم",IF(AND(X288="نعم",AC288="لا خصم 0"),"✗ خصم",IF(AND(Z288="ممتاز 100%",AA288="ممتاز 100%",AB288&lt;&gt;"",AB288&lt;&gt;"مكتمل 100%"),"✗ إغلاق",IFERROR(IF(LEN(_xlfn.TEXTJOIN("، ",TRUE,IF(E288="","التاريخ",""),IF(F288="","الوقت",""),IF(G288="","المركز",""),IF(H288="","الدائرة",""),IF(I288="","القسم",""),IF(J288="","المسؤول",""),IF(K288="","نوع النشاط",""),IF(L288="","المشروع",""),IF(N288="","الممول",""),IF(V288="","الموضوع",""),IF(W288="","الملاحظة",""),IF(X288="","مشكلة",""),IF(Y288="","الإجراء",""),IF(Z288="","التنفيذ",""),IF(AA288="","الجودة",""),IF(AB288="","الإغلاق",""),IF(AC288="","الخصم",""),IF(AND(COUNTA($O288:$U288)&gt;0,O288=""),"مدير المشروع",""),IF(AND(COUNTA($O288:$U288)&gt;0,P288=""),"المستفيدين",""),IF(AND(COUNTA($O288:$U288)&gt;0,Q288=""),"المناطق",""),IF(AND(COUNTA($O288:$U288)&gt;0,R288=""),"الميزانية",""),IF(AND(COUNTA($O288:$U288)&gt;0,S288=""),"نسبة الجاهزية",""),IF(AND(COUNTA($O288:$U288)&gt;0,T288=""),"حالة الجاهزية",""),IF(AND(COUNTA($O288:$U288)&gt;0,U288=""),"التوصيات","")))&gt;0,"✗ ناقص: "&amp;_xlfn.TEXTJOIN("، ",TRUE,IF(E288="","التاريخ",""),IF(F288="","الوقت",""),IF(G288="","المركز",""),IF(H288="","الدائرة",""),IF(I288="","القسم",""),IF(J288="","المسؤول",""),IF(K288="","نوع النشاط",""),IF(L288="","المشروع",""),IF(N288="","الممول",""),IF(V288="","الموضوع",""),IF(W288="","الملاحظة",""),IF(X288="","مشكلة",""),IF(Y288="","الإجراء",""),IF(Z288="","التنفيذ",""),IF(AA288="","الجودة",""),IF(AB288="","الإغلاق",""),IF(AC288="","الخصم",""),IF(AND(COUNTA($O288:$U288)&gt;0,O288=""),"مدير المشروع",""),IF(AND(COUNTA($O288:$U288)&gt;0,P288=""),"المستفيدين",""),IF(AND(COUNTA($O288:$U288)&gt;0,Q288=""),"المناطق",""),IF(AND(COUNTA($O288:$U288)&gt;0,R288=""),"الميزانية",""),IF(AND(COUNTA($O288:$U288)&gt;0,S288=""),"نسبة الجاهزية",""),IF(AND(COUNTA($O288:$U288)&gt;0,T288=""),"حالة الجاهزية",""),IF(AND(COUNTA($O288:$U288)&gt;0,U288=""),"التوصيات","")),"✓"),"✓"))))))))))</f>
        <v/>
      </c>
      <c r="E288" s="235"/>
      <c r="F288" s="236"/>
      <c r="G288" s="90"/>
      <c r="H288" s="239"/>
      <c r="I288" s="89"/>
      <c r="J288" s="142"/>
      <c r="K288" s="90"/>
      <c r="L288" s="90"/>
      <c r="M288" s="90"/>
      <c r="N288" s="89"/>
      <c r="O288" s="200"/>
      <c r="P288" s="201"/>
      <c r="Q288" s="201"/>
      <c r="R288" s="237"/>
      <c r="S288" s="202"/>
      <c r="T288" s="200"/>
      <c r="U288" s="203"/>
      <c r="V288" s="89"/>
      <c r="W288" s="89"/>
      <c r="X288" s="145"/>
      <c r="Y288" s="89"/>
      <c r="Z288" s="90"/>
      <c r="AA288" s="90"/>
      <c r="AB288" s="90"/>
      <c r="AC288" s="90"/>
      <c r="AD288" s="92"/>
      <c r="AE288" s="149" t="str">
        <f>IFERROR(VLOOKUP(Z288,LISTS!$AL$2:$AM$1000,2,FALSE()),"")</f>
        <v/>
      </c>
      <c r="AF288" s="151" t="str">
        <f>IFERROR(VLOOKUP(AA288,LISTS!$AO$2:$AP$1000,2,FALSE()),"")</f>
        <v/>
      </c>
      <c r="AG288" s="152" t="str">
        <f>IFERROR(VLOOKUP(AB288,LISTS!$AR$2:$AS$1000,2,FALSE()),"")</f>
        <v/>
      </c>
      <c r="AH288" s="154" t="str">
        <f>IFERROR(VLOOKUP(AC288,LISTS!$AU$2:$AV$1000,2,FALSE()),"")</f>
        <v/>
      </c>
      <c r="AI288" s="238" t="str">
        <f t="shared" si="23"/>
        <v>—</v>
      </c>
      <c r="AJ288" s="190" t="str">
        <f t="shared" si="24"/>
        <v>—</v>
      </c>
      <c r="AK288" s="157" t="str">
        <f t="shared" si="25"/>
        <v/>
      </c>
      <c r="AL288" s="160" t="str">
        <f t="shared" si="26"/>
        <v/>
      </c>
      <c r="AM288" s="210"/>
      <c r="AN288" s="209"/>
    </row>
    <row r="289" spans="1:40" ht="27.95" customHeight="1">
      <c r="A289" s="134" t="str">
        <f>IF(I289&lt;&gt;"",COUNTA($I$2:I289),"")</f>
        <v/>
      </c>
      <c r="B289" s="138" t="str">
        <f t="shared" si="27"/>
        <v/>
      </c>
      <c r="C289" s="93" t="str">
        <f t="array" ref="C289">IF(E289="","",IF(M289&lt;&gt;"",
M289&amp;"/"&amp;SUMPRODUCT((M$2:M289=M289)*1)&amp;" - "&amp;(ROW()-2),
"إداري/"&amp;SUMPRODUCT((M$2:M289="")*1)&amp;" - "&amp;(ROW()-2)))</f>
        <v/>
      </c>
      <c r="D289" s="141" t="str">
        <f>IF(AND(G289="",H289="",I289=""),"",IF(COUNTIFS(LISTS!$A$2:$A$67,G289,LISTS!$B$2:$B$67,H289,LISTS!$C$2:$C$67,I289)=0,"✗ هرم",IF(NOT(OR(Z289="ممتاز 100%",Z289="جيد 80%",Z289="مقبول 60%",Z289="خطر 40%",Z289="")),"✗ قائمة R",IF(NOT(OR(AA289="ممتاز 100%",AA289="جيد 85%",AA289="مقبول 70%",AA289="ضعيف 50%",AA289="")),"✗ قائمة S",IF(NOT(OR(AB289="مكتمل 100%",AB289="جزئي 60%",AB289="معلق 30%",AB289="مفتوح 0%",AB289="")),"✗ قائمة T",IF(NOT(OR(AC289="لا خصم 0",AC289="تأخير −5",AC289="عجز −10",AC289="جودة −15",AC289="امتثال −20",AC289="مخالفة −25",AC289="")),"✗ قائمة U",IF(AND(X289="لا",AC289&lt;&gt;"",AC289&lt;&gt;"لا خصم 0"),"✗ خصم",IF(AND(X289="نعم",AC289="لا خصم 0"),"✗ خصم",IF(AND(Z289="ممتاز 100%",AA289="ممتاز 100%",AB289&lt;&gt;"",AB289&lt;&gt;"مكتمل 100%"),"✗ إغلاق",IFERROR(IF(LEN(_xlfn.TEXTJOIN("، ",TRUE,IF(E289="","التاريخ",""),IF(F289="","الوقت",""),IF(G289="","المركز",""),IF(H289="","الدائرة",""),IF(I289="","القسم",""),IF(J289="","المسؤول",""),IF(K289="","نوع النشاط",""),IF(L289="","المشروع",""),IF(N289="","الممول",""),IF(V289="","الموضوع",""),IF(W289="","الملاحظة",""),IF(X289="","مشكلة",""),IF(Y289="","الإجراء",""),IF(Z289="","التنفيذ",""),IF(AA289="","الجودة",""),IF(AB289="","الإغلاق",""),IF(AC289="","الخصم",""),IF(AND(COUNTA($O289:$U289)&gt;0,O289=""),"مدير المشروع",""),IF(AND(COUNTA($O289:$U289)&gt;0,P289=""),"المستفيدين",""),IF(AND(COUNTA($O289:$U289)&gt;0,Q289=""),"المناطق",""),IF(AND(COUNTA($O289:$U289)&gt;0,R289=""),"الميزانية",""),IF(AND(COUNTA($O289:$U289)&gt;0,S289=""),"نسبة الجاهزية",""),IF(AND(COUNTA($O289:$U289)&gt;0,T289=""),"حالة الجاهزية",""),IF(AND(COUNTA($O289:$U289)&gt;0,U289=""),"التوصيات","")))&gt;0,"✗ ناقص: "&amp;_xlfn.TEXTJOIN("، ",TRUE,IF(E289="","التاريخ",""),IF(F289="","الوقت",""),IF(G289="","المركز",""),IF(H289="","الدائرة",""),IF(I289="","القسم",""),IF(J289="","المسؤول",""),IF(K289="","نوع النشاط",""),IF(L289="","المشروع",""),IF(N289="","الممول",""),IF(V289="","الموضوع",""),IF(W289="","الملاحظة",""),IF(X289="","مشكلة",""),IF(Y289="","الإجراء",""),IF(Z289="","التنفيذ",""),IF(AA289="","الجودة",""),IF(AB289="","الإغلاق",""),IF(AC289="","الخصم",""),IF(AND(COUNTA($O289:$U289)&gt;0,O289=""),"مدير المشروع",""),IF(AND(COUNTA($O289:$U289)&gt;0,P289=""),"المستفيدين",""),IF(AND(COUNTA($O289:$U289)&gt;0,Q289=""),"المناطق",""),IF(AND(COUNTA($O289:$U289)&gt;0,R289=""),"الميزانية",""),IF(AND(COUNTA($O289:$U289)&gt;0,S289=""),"نسبة الجاهزية",""),IF(AND(COUNTA($O289:$U289)&gt;0,T289=""),"حالة الجاهزية",""),IF(AND(COUNTA($O289:$U289)&gt;0,U289=""),"التوصيات","")),"✓"),"✓"))))))))))</f>
        <v/>
      </c>
      <c r="E289" s="235"/>
      <c r="F289" s="236"/>
      <c r="G289" s="90"/>
      <c r="H289" s="239"/>
      <c r="I289" s="89"/>
      <c r="J289" s="142"/>
      <c r="K289" s="90"/>
      <c r="L289" s="90"/>
      <c r="M289" s="90"/>
      <c r="N289" s="89"/>
      <c r="O289" s="200"/>
      <c r="P289" s="201"/>
      <c r="Q289" s="201"/>
      <c r="R289" s="237"/>
      <c r="S289" s="202"/>
      <c r="T289" s="200"/>
      <c r="U289" s="203"/>
      <c r="V289" s="89"/>
      <c r="W289" s="89"/>
      <c r="X289" s="145"/>
      <c r="Y289" s="89"/>
      <c r="Z289" s="90"/>
      <c r="AA289" s="90"/>
      <c r="AB289" s="90"/>
      <c r="AC289" s="90"/>
      <c r="AD289" s="92"/>
      <c r="AE289" s="149" t="str">
        <f>IFERROR(VLOOKUP(Z289,LISTS!$AL$2:$AM$1000,2,FALSE()),"")</f>
        <v/>
      </c>
      <c r="AF289" s="151" t="str">
        <f>IFERROR(VLOOKUP(AA289,LISTS!$AO$2:$AP$1000,2,FALSE()),"")</f>
        <v/>
      </c>
      <c r="AG289" s="152" t="str">
        <f>IFERROR(VLOOKUP(AB289,LISTS!$AR$2:$AS$1000,2,FALSE()),"")</f>
        <v/>
      </c>
      <c r="AH289" s="154" t="str">
        <f>IFERROR(VLOOKUP(AC289,LISTS!$AU$2:$AV$1000,2,FALSE()),"")</f>
        <v/>
      </c>
      <c r="AI289" s="238" t="str">
        <f t="shared" si="23"/>
        <v>—</v>
      </c>
      <c r="AJ289" s="190" t="str">
        <f t="shared" si="24"/>
        <v>—</v>
      </c>
      <c r="AK289" s="157" t="str">
        <f t="shared" si="25"/>
        <v/>
      </c>
      <c r="AL289" s="160" t="str">
        <f t="shared" si="26"/>
        <v/>
      </c>
      <c r="AM289" s="210"/>
      <c r="AN289" s="209"/>
    </row>
    <row r="290" spans="1:40" ht="27.95" customHeight="1">
      <c r="A290" s="134" t="str">
        <f>IF(I290&lt;&gt;"",COUNTA($I$2:I290),"")</f>
        <v/>
      </c>
      <c r="B290" s="138" t="str">
        <f t="shared" si="27"/>
        <v/>
      </c>
      <c r="C290" s="93" t="str">
        <f t="array" ref="C290">IF(E290="","",IF(M290&lt;&gt;"",
M290&amp;"/"&amp;SUMPRODUCT((M$2:M290=M290)*1)&amp;" - "&amp;(ROW()-2),
"إداري/"&amp;SUMPRODUCT((M$2:M290="")*1)&amp;" - "&amp;(ROW()-2)))</f>
        <v/>
      </c>
      <c r="D290" s="141" t="str">
        <f>IF(AND(G290="",H290="",I290=""),"",IF(COUNTIFS(LISTS!$A$2:$A$67,G290,LISTS!$B$2:$B$67,H290,LISTS!$C$2:$C$67,I290)=0,"✗ هرم",IF(NOT(OR(Z290="ممتاز 100%",Z290="جيد 80%",Z290="مقبول 60%",Z290="خطر 40%",Z290="")),"✗ قائمة R",IF(NOT(OR(AA290="ممتاز 100%",AA290="جيد 85%",AA290="مقبول 70%",AA290="ضعيف 50%",AA290="")),"✗ قائمة S",IF(NOT(OR(AB290="مكتمل 100%",AB290="جزئي 60%",AB290="معلق 30%",AB290="مفتوح 0%",AB290="")),"✗ قائمة T",IF(NOT(OR(AC290="لا خصم 0",AC290="تأخير −5",AC290="عجز −10",AC290="جودة −15",AC290="امتثال −20",AC290="مخالفة −25",AC290="")),"✗ قائمة U",IF(AND(X290="لا",AC290&lt;&gt;"",AC290&lt;&gt;"لا خصم 0"),"✗ خصم",IF(AND(X290="نعم",AC290="لا خصم 0"),"✗ خصم",IF(AND(Z290="ممتاز 100%",AA290="ممتاز 100%",AB290&lt;&gt;"",AB290&lt;&gt;"مكتمل 100%"),"✗ إغلاق",IFERROR(IF(LEN(_xlfn.TEXTJOIN("، ",TRUE,IF(E290="","التاريخ",""),IF(F290="","الوقت",""),IF(G290="","المركز",""),IF(H290="","الدائرة",""),IF(I290="","القسم",""),IF(J290="","المسؤول",""),IF(K290="","نوع النشاط",""),IF(L290="","المشروع",""),IF(N290="","الممول",""),IF(V290="","الموضوع",""),IF(W290="","الملاحظة",""),IF(X290="","مشكلة",""),IF(Y290="","الإجراء",""),IF(Z290="","التنفيذ",""),IF(AA290="","الجودة",""),IF(AB290="","الإغلاق",""),IF(AC290="","الخصم",""),IF(AND(COUNTA($O290:$U290)&gt;0,O290=""),"مدير المشروع",""),IF(AND(COUNTA($O290:$U290)&gt;0,P290=""),"المستفيدين",""),IF(AND(COUNTA($O290:$U290)&gt;0,Q290=""),"المناطق",""),IF(AND(COUNTA($O290:$U290)&gt;0,R290=""),"الميزانية",""),IF(AND(COUNTA($O290:$U290)&gt;0,S290=""),"نسبة الجاهزية",""),IF(AND(COUNTA($O290:$U290)&gt;0,T290=""),"حالة الجاهزية",""),IF(AND(COUNTA($O290:$U290)&gt;0,U290=""),"التوصيات","")))&gt;0,"✗ ناقص: "&amp;_xlfn.TEXTJOIN("، ",TRUE,IF(E290="","التاريخ",""),IF(F290="","الوقت",""),IF(G290="","المركز",""),IF(H290="","الدائرة",""),IF(I290="","القسم",""),IF(J290="","المسؤول",""),IF(K290="","نوع النشاط",""),IF(L290="","المشروع",""),IF(N290="","الممول",""),IF(V290="","الموضوع",""),IF(W290="","الملاحظة",""),IF(X290="","مشكلة",""),IF(Y290="","الإجراء",""),IF(Z290="","التنفيذ",""),IF(AA290="","الجودة",""),IF(AB290="","الإغلاق",""),IF(AC290="","الخصم",""),IF(AND(COUNTA($O290:$U290)&gt;0,O290=""),"مدير المشروع",""),IF(AND(COUNTA($O290:$U290)&gt;0,P290=""),"المستفيدين",""),IF(AND(COUNTA($O290:$U290)&gt;0,Q290=""),"المناطق",""),IF(AND(COUNTA($O290:$U290)&gt;0,R290=""),"الميزانية",""),IF(AND(COUNTA($O290:$U290)&gt;0,S290=""),"نسبة الجاهزية",""),IF(AND(COUNTA($O290:$U290)&gt;0,T290=""),"حالة الجاهزية",""),IF(AND(COUNTA($O290:$U290)&gt;0,U290=""),"التوصيات","")),"✓"),"✓"))))))))))</f>
        <v/>
      </c>
      <c r="E290" s="235"/>
      <c r="F290" s="236"/>
      <c r="G290" s="90"/>
      <c r="H290" s="239"/>
      <c r="I290" s="89"/>
      <c r="J290" s="142"/>
      <c r="K290" s="90"/>
      <c r="L290" s="90"/>
      <c r="M290" s="90"/>
      <c r="N290" s="89"/>
      <c r="O290" s="200"/>
      <c r="P290" s="201"/>
      <c r="Q290" s="201"/>
      <c r="R290" s="237"/>
      <c r="S290" s="202"/>
      <c r="T290" s="200"/>
      <c r="U290" s="203"/>
      <c r="V290" s="89"/>
      <c r="W290" s="89"/>
      <c r="X290" s="145"/>
      <c r="Y290" s="89"/>
      <c r="Z290" s="90"/>
      <c r="AA290" s="90"/>
      <c r="AB290" s="90"/>
      <c r="AC290" s="90"/>
      <c r="AD290" s="92"/>
      <c r="AE290" s="149" t="str">
        <f>IFERROR(VLOOKUP(Z290,LISTS!$AL$2:$AM$1000,2,FALSE()),"")</f>
        <v/>
      </c>
      <c r="AF290" s="151" t="str">
        <f>IFERROR(VLOOKUP(AA290,LISTS!$AO$2:$AP$1000,2,FALSE()),"")</f>
        <v/>
      </c>
      <c r="AG290" s="152" t="str">
        <f>IFERROR(VLOOKUP(AB290,LISTS!$AR$2:$AS$1000,2,FALSE()),"")</f>
        <v/>
      </c>
      <c r="AH290" s="154" t="str">
        <f>IFERROR(VLOOKUP(AC290,LISTS!$AU$2:$AV$1000,2,FALSE()),"")</f>
        <v/>
      </c>
      <c r="AI290" s="238" t="str">
        <f t="shared" si="23"/>
        <v>—</v>
      </c>
      <c r="AJ290" s="190" t="str">
        <f t="shared" si="24"/>
        <v>—</v>
      </c>
      <c r="AK290" s="157" t="str">
        <f t="shared" si="25"/>
        <v/>
      </c>
      <c r="AL290" s="160" t="str">
        <f t="shared" si="26"/>
        <v/>
      </c>
      <c r="AM290" s="210"/>
      <c r="AN290" s="209"/>
    </row>
    <row r="291" spans="1:40" ht="27.95" customHeight="1">
      <c r="A291" s="134" t="str">
        <f>IF(I291&lt;&gt;"",COUNTA($I$2:I291),"")</f>
        <v/>
      </c>
      <c r="B291" s="138" t="str">
        <f t="shared" si="27"/>
        <v/>
      </c>
      <c r="C291" s="93" t="str">
        <f t="array" ref="C291">IF(E291="","",IF(M291&lt;&gt;"",
M291&amp;"/"&amp;SUMPRODUCT((M$2:M291=M291)*1)&amp;" - "&amp;(ROW()-2),
"إداري/"&amp;SUMPRODUCT((M$2:M291="")*1)&amp;" - "&amp;(ROW()-2)))</f>
        <v/>
      </c>
      <c r="D291" s="141" t="str">
        <f>IF(AND(G291="",H291="",I291=""),"",IF(COUNTIFS(LISTS!$A$2:$A$67,G291,LISTS!$B$2:$B$67,H291,LISTS!$C$2:$C$67,I291)=0,"✗ هرم",IF(NOT(OR(Z291="ممتاز 100%",Z291="جيد 80%",Z291="مقبول 60%",Z291="خطر 40%",Z291="")),"✗ قائمة R",IF(NOT(OR(AA291="ممتاز 100%",AA291="جيد 85%",AA291="مقبول 70%",AA291="ضعيف 50%",AA291="")),"✗ قائمة S",IF(NOT(OR(AB291="مكتمل 100%",AB291="جزئي 60%",AB291="معلق 30%",AB291="مفتوح 0%",AB291="")),"✗ قائمة T",IF(NOT(OR(AC291="لا خصم 0",AC291="تأخير −5",AC291="عجز −10",AC291="جودة −15",AC291="امتثال −20",AC291="مخالفة −25",AC291="")),"✗ قائمة U",IF(AND(X291="لا",AC291&lt;&gt;"",AC291&lt;&gt;"لا خصم 0"),"✗ خصم",IF(AND(X291="نعم",AC291="لا خصم 0"),"✗ خصم",IF(AND(Z291="ممتاز 100%",AA291="ممتاز 100%",AB291&lt;&gt;"",AB291&lt;&gt;"مكتمل 100%"),"✗ إغلاق",IFERROR(IF(LEN(_xlfn.TEXTJOIN("، ",TRUE,IF(E291="","التاريخ",""),IF(F291="","الوقت",""),IF(G291="","المركز",""),IF(H291="","الدائرة",""),IF(I291="","القسم",""),IF(J291="","المسؤول",""),IF(K291="","نوع النشاط",""),IF(L291="","المشروع",""),IF(N291="","الممول",""),IF(V291="","الموضوع",""),IF(W291="","الملاحظة",""),IF(X291="","مشكلة",""),IF(Y291="","الإجراء",""),IF(Z291="","التنفيذ",""),IF(AA291="","الجودة",""),IF(AB291="","الإغلاق",""),IF(AC291="","الخصم",""),IF(AND(COUNTA($O291:$U291)&gt;0,O291=""),"مدير المشروع",""),IF(AND(COUNTA($O291:$U291)&gt;0,P291=""),"المستفيدين",""),IF(AND(COUNTA($O291:$U291)&gt;0,Q291=""),"المناطق",""),IF(AND(COUNTA($O291:$U291)&gt;0,R291=""),"الميزانية",""),IF(AND(COUNTA($O291:$U291)&gt;0,S291=""),"نسبة الجاهزية",""),IF(AND(COUNTA($O291:$U291)&gt;0,T291=""),"حالة الجاهزية",""),IF(AND(COUNTA($O291:$U291)&gt;0,U291=""),"التوصيات","")))&gt;0,"✗ ناقص: "&amp;_xlfn.TEXTJOIN("، ",TRUE,IF(E291="","التاريخ",""),IF(F291="","الوقت",""),IF(G291="","المركز",""),IF(H291="","الدائرة",""),IF(I291="","القسم",""),IF(J291="","المسؤول",""),IF(K291="","نوع النشاط",""),IF(L291="","المشروع",""),IF(N291="","الممول",""),IF(V291="","الموضوع",""),IF(W291="","الملاحظة",""),IF(X291="","مشكلة",""),IF(Y291="","الإجراء",""),IF(Z291="","التنفيذ",""),IF(AA291="","الجودة",""),IF(AB291="","الإغلاق",""),IF(AC291="","الخصم",""),IF(AND(COUNTA($O291:$U291)&gt;0,O291=""),"مدير المشروع",""),IF(AND(COUNTA($O291:$U291)&gt;0,P291=""),"المستفيدين",""),IF(AND(COUNTA($O291:$U291)&gt;0,Q291=""),"المناطق",""),IF(AND(COUNTA($O291:$U291)&gt;0,R291=""),"الميزانية",""),IF(AND(COUNTA($O291:$U291)&gt;0,S291=""),"نسبة الجاهزية",""),IF(AND(COUNTA($O291:$U291)&gt;0,T291=""),"حالة الجاهزية",""),IF(AND(COUNTA($O291:$U291)&gt;0,U291=""),"التوصيات","")),"✓"),"✓"))))))))))</f>
        <v/>
      </c>
      <c r="E291" s="235"/>
      <c r="F291" s="236"/>
      <c r="G291" s="90"/>
      <c r="H291" s="239"/>
      <c r="I291" s="89"/>
      <c r="J291" s="142"/>
      <c r="K291" s="90"/>
      <c r="L291" s="90"/>
      <c r="M291" s="90"/>
      <c r="N291" s="89"/>
      <c r="O291" s="200"/>
      <c r="P291" s="201"/>
      <c r="Q291" s="201"/>
      <c r="R291" s="237"/>
      <c r="S291" s="202"/>
      <c r="T291" s="200"/>
      <c r="U291" s="203"/>
      <c r="V291" s="89"/>
      <c r="W291" s="89"/>
      <c r="X291" s="145"/>
      <c r="Y291" s="89"/>
      <c r="Z291" s="90"/>
      <c r="AA291" s="90"/>
      <c r="AB291" s="90"/>
      <c r="AC291" s="90"/>
      <c r="AD291" s="92"/>
      <c r="AE291" s="149" t="str">
        <f>IFERROR(VLOOKUP(Z291,LISTS!$AL$2:$AM$1000,2,FALSE()),"")</f>
        <v/>
      </c>
      <c r="AF291" s="151" t="str">
        <f>IFERROR(VLOOKUP(AA291,LISTS!$AO$2:$AP$1000,2,FALSE()),"")</f>
        <v/>
      </c>
      <c r="AG291" s="152" t="str">
        <f>IFERROR(VLOOKUP(AB291,LISTS!$AR$2:$AS$1000,2,FALSE()),"")</f>
        <v/>
      </c>
      <c r="AH291" s="154" t="str">
        <f>IFERROR(VLOOKUP(AC291,LISTS!$AU$2:$AV$1000,2,FALSE()),"")</f>
        <v/>
      </c>
      <c r="AI291" s="238" t="str">
        <f t="shared" si="23"/>
        <v>—</v>
      </c>
      <c r="AJ291" s="190" t="str">
        <f t="shared" si="24"/>
        <v>—</v>
      </c>
      <c r="AK291" s="157" t="str">
        <f t="shared" si="25"/>
        <v/>
      </c>
      <c r="AL291" s="160" t="str">
        <f t="shared" si="26"/>
        <v/>
      </c>
      <c r="AM291" s="210"/>
      <c r="AN291" s="209"/>
    </row>
    <row r="292" spans="1:40" ht="27.95" customHeight="1">
      <c r="A292" s="134" t="str">
        <f>IF(I292&lt;&gt;"",COUNTA($I$2:I292),"")</f>
        <v/>
      </c>
      <c r="B292" s="138" t="str">
        <f t="shared" si="27"/>
        <v/>
      </c>
      <c r="C292" s="93" t="str">
        <f t="array" ref="C292">IF(E292="","",IF(M292&lt;&gt;"",
M292&amp;"/"&amp;SUMPRODUCT((M$2:M292=M292)*1)&amp;" - "&amp;(ROW()-2),
"إداري/"&amp;SUMPRODUCT((M$2:M292="")*1)&amp;" - "&amp;(ROW()-2)))</f>
        <v/>
      </c>
      <c r="D292" s="141" t="str">
        <f>IF(AND(G292="",H292="",I292=""),"",IF(COUNTIFS(LISTS!$A$2:$A$67,G292,LISTS!$B$2:$B$67,H292,LISTS!$C$2:$C$67,I292)=0,"✗ هرم",IF(NOT(OR(Z292="ممتاز 100%",Z292="جيد 80%",Z292="مقبول 60%",Z292="خطر 40%",Z292="")),"✗ قائمة R",IF(NOT(OR(AA292="ممتاز 100%",AA292="جيد 85%",AA292="مقبول 70%",AA292="ضعيف 50%",AA292="")),"✗ قائمة S",IF(NOT(OR(AB292="مكتمل 100%",AB292="جزئي 60%",AB292="معلق 30%",AB292="مفتوح 0%",AB292="")),"✗ قائمة T",IF(NOT(OR(AC292="لا خصم 0",AC292="تأخير −5",AC292="عجز −10",AC292="جودة −15",AC292="امتثال −20",AC292="مخالفة −25",AC292="")),"✗ قائمة U",IF(AND(X292="لا",AC292&lt;&gt;"",AC292&lt;&gt;"لا خصم 0"),"✗ خصم",IF(AND(X292="نعم",AC292="لا خصم 0"),"✗ خصم",IF(AND(Z292="ممتاز 100%",AA292="ممتاز 100%",AB292&lt;&gt;"",AB292&lt;&gt;"مكتمل 100%"),"✗ إغلاق",IFERROR(IF(LEN(_xlfn.TEXTJOIN("، ",TRUE,IF(E292="","التاريخ",""),IF(F292="","الوقت",""),IF(G292="","المركز",""),IF(H292="","الدائرة",""),IF(I292="","القسم",""),IF(J292="","المسؤول",""),IF(K292="","نوع النشاط",""),IF(L292="","المشروع",""),IF(N292="","الممول",""),IF(V292="","الموضوع",""),IF(W292="","الملاحظة",""),IF(X292="","مشكلة",""),IF(Y292="","الإجراء",""),IF(Z292="","التنفيذ",""),IF(AA292="","الجودة",""),IF(AB292="","الإغلاق",""),IF(AC292="","الخصم",""),IF(AND(COUNTA($O292:$U292)&gt;0,O292=""),"مدير المشروع",""),IF(AND(COUNTA($O292:$U292)&gt;0,P292=""),"المستفيدين",""),IF(AND(COUNTA($O292:$U292)&gt;0,Q292=""),"المناطق",""),IF(AND(COUNTA($O292:$U292)&gt;0,R292=""),"الميزانية",""),IF(AND(COUNTA($O292:$U292)&gt;0,S292=""),"نسبة الجاهزية",""),IF(AND(COUNTA($O292:$U292)&gt;0,T292=""),"حالة الجاهزية",""),IF(AND(COUNTA($O292:$U292)&gt;0,U292=""),"التوصيات","")))&gt;0,"✗ ناقص: "&amp;_xlfn.TEXTJOIN("، ",TRUE,IF(E292="","التاريخ",""),IF(F292="","الوقت",""),IF(G292="","المركز",""),IF(H292="","الدائرة",""),IF(I292="","القسم",""),IF(J292="","المسؤول",""),IF(K292="","نوع النشاط",""),IF(L292="","المشروع",""),IF(N292="","الممول",""),IF(V292="","الموضوع",""),IF(W292="","الملاحظة",""),IF(X292="","مشكلة",""),IF(Y292="","الإجراء",""),IF(Z292="","التنفيذ",""),IF(AA292="","الجودة",""),IF(AB292="","الإغلاق",""),IF(AC292="","الخصم",""),IF(AND(COUNTA($O292:$U292)&gt;0,O292=""),"مدير المشروع",""),IF(AND(COUNTA($O292:$U292)&gt;0,P292=""),"المستفيدين",""),IF(AND(COUNTA($O292:$U292)&gt;0,Q292=""),"المناطق",""),IF(AND(COUNTA($O292:$U292)&gt;0,R292=""),"الميزانية",""),IF(AND(COUNTA($O292:$U292)&gt;0,S292=""),"نسبة الجاهزية",""),IF(AND(COUNTA($O292:$U292)&gt;0,T292=""),"حالة الجاهزية",""),IF(AND(COUNTA($O292:$U292)&gt;0,U292=""),"التوصيات","")),"✓"),"✓"))))))))))</f>
        <v/>
      </c>
      <c r="E292" s="235"/>
      <c r="F292" s="236"/>
      <c r="G292" s="90"/>
      <c r="H292" s="239"/>
      <c r="I292" s="89"/>
      <c r="J292" s="142"/>
      <c r="K292" s="90"/>
      <c r="L292" s="90"/>
      <c r="M292" s="90"/>
      <c r="N292" s="89"/>
      <c r="O292" s="200"/>
      <c r="P292" s="201"/>
      <c r="Q292" s="201"/>
      <c r="R292" s="237"/>
      <c r="S292" s="202"/>
      <c r="T292" s="200"/>
      <c r="U292" s="203"/>
      <c r="V292" s="89"/>
      <c r="W292" s="89"/>
      <c r="X292" s="145"/>
      <c r="Y292" s="89"/>
      <c r="Z292" s="90"/>
      <c r="AA292" s="90"/>
      <c r="AB292" s="90"/>
      <c r="AC292" s="90"/>
      <c r="AD292" s="92"/>
      <c r="AE292" s="149" t="str">
        <f>IFERROR(VLOOKUP(Z292,LISTS!$AL$2:$AM$1000,2,FALSE()),"")</f>
        <v/>
      </c>
      <c r="AF292" s="151" t="str">
        <f>IFERROR(VLOOKUP(AA292,LISTS!$AO$2:$AP$1000,2,FALSE()),"")</f>
        <v/>
      </c>
      <c r="AG292" s="152" t="str">
        <f>IFERROR(VLOOKUP(AB292,LISTS!$AR$2:$AS$1000,2,FALSE()),"")</f>
        <v/>
      </c>
      <c r="AH292" s="154" t="str">
        <f>IFERROR(VLOOKUP(AC292,LISTS!$AU$2:$AV$1000,2,FALSE()),"")</f>
        <v/>
      </c>
      <c r="AI292" s="238" t="str">
        <f t="shared" si="23"/>
        <v>—</v>
      </c>
      <c r="AJ292" s="190" t="str">
        <f t="shared" si="24"/>
        <v>—</v>
      </c>
      <c r="AK292" s="157" t="str">
        <f t="shared" si="25"/>
        <v/>
      </c>
      <c r="AL292" s="160" t="str">
        <f t="shared" si="26"/>
        <v/>
      </c>
      <c r="AM292" s="210"/>
      <c r="AN292" s="209"/>
    </row>
    <row r="293" spans="1:40" ht="27.95" customHeight="1">
      <c r="A293" s="134" t="str">
        <f>IF(I293&lt;&gt;"",COUNTA($I$2:I293),"")</f>
        <v/>
      </c>
      <c r="B293" s="138" t="str">
        <f t="shared" si="27"/>
        <v/>
      </c>
      <c r="C293" s="93" t="str">
        <f t="array" ref="C293">IF(E293="","",IF(M293&lt;&gt;"",
M293&amp;"/"&amp;SUMPRODUCT((M$2:M293=M293)*1)&amp;" - "&amp;(ROW()-2),
"إداري/"&amp;SUMPRODUCT((M$2:M293="")*1)&amp;" - "&amp;(ROW()-2)))</f>
        <v/>
      </c>
      <c r="D293" s="141" t="str">
        <f>IF(AND(G293="",H293="",I293=""),"",IF(COUNTIFS(LISTS!$A$2:$A$67,G293,LISTS!$B$2:$B$67,H293,LISTS!$C$2:$C$67,I293)=0,"✗ هرم",IF(NOT(OR(Z293="ممتاز 100%",Z293="جيد 80%",Z293="مقبول 60%",Z293="خطر 40%",Z293="")),"✗ قائمة R",IF(NOT(OR(AA293="ممتاز 100%",AA293="جيد 85%",AA293="مقبول 70%",AA293="ضعيف 50%",AA293="")),"✗ قائمة S",IF(NOT(OR(AB293="مكتمل 100%",AB293="جزئي 60%",AB293="معلق 30%",AB293="مفتوح 0%",AB293="")),"✗ قائمة T",IF(NOT(OR(AC293="لا خصم 0",AC293="تأخير −5",AC293="عجز −10",AC293="جودة −15",AC293="امتثال −20",AC293="مخالفة −25",AC293="")),"✗ قائمة U",IF(AND(X293="لا",AC293&lt;&gt;"",AC293&lt;&gt;"لا خصم 0"),"✗ خصم",IF(AND(X293="نعم",AC293="لا خصم 0"),"✗ خصم",IF(AND(Z293="ممتاز 100%",AA293="ممتاز 100%",AB293&lt;&gt;"",AB293&lt;&gt;"مكتمل 100%"),"✗ إغلاق",IFERROR(IF(LEN(_xlfn.TEXTJOIN("، ",TRUE,IF(E293="","التاريخ",""),IF(F293="","الوقت",""),IF(G293="","المركز",""),IF(H293="","الدائرة",""),IF(I293="","القسم",""),IF(J293="","المسؤول",""),IF(K293="","نوع النشاط",""),IF(L293="","المشروع",""),IF(N293="","الممول",""),IF(V293="","الموضوع",""),IF(W293="","الملاحظة",""),IF(X293="","مشكلة",""),IF(Y293="","الإجراء",""),IF(Z293="","التنفيذ",""),IF(AA293="","الجودة",""),IF(AB293="","الإغلاق",""),IF(AC293="","الخصم",""),IF(AND(COUNTA($O293:$U293)&gt;0,O293=""),"مدير المشروع",""),IF(AND(COUNTA($O293:$U293)&gt;0,P293=""),"المستفيدين",""),IF(AND(COUNTA($O293:$U293)&gt;0,Q293=""),"المناطق",""),IF(AND(COUNTA($O293:$U293)&gt;0,R293=""),"الميزانية",""),IF(AND(COUNTA($O293:$U293)&gt;0,S293=""),"نسبة الجاهزية",""),IF(AND(COUNTA($O293:$U293)&gt;0,T293=""),"حالة الجاهزية",""),IF(AND(COUNTA($O293:$U293)&gt;0,U293=""),"التوصيات","")))&gt;0,"✗ ناقص: "&amp;_xlfn.TEXTJOIN("، ",TRUE,IF(E293="","التاريخ",""),IF(F293="","الوقت",""),IF(G293="","المركز",""),IF(H293="","الدائرة",""),IF(I293="","القسم",""),IF(J293="","المسؤول",""),IF(K293="","نوع النشاط",""),IF(L293="","المشروع",""),IF(N293="","الممول",""),IF(V293="","الموضوع",""),IF(W293="","الملاحظة",""),IF(X293="","مشكلة",""),IF(Y293="","الإجراء",""),IF(Z293="","التنفيذ",""),IF(AA293="","الجودة",""),IF(AB293="","الإغلاق",""),IF(AC293="","الخصم",""),IF(AND(COUNTA($O293:$U293)&gt;0,O293=""),"مدير المشروع",""),IF(AND(COUNTA($O293:$U293)&gt;0,P293=""),"المستفيدين",""),IF(AND(COUNTA($O293:$U293)&gt;0,Q293=""),"المناطق",""),IF(AND(COUNTA($O293:$U293)&gt;0,R293=""),"الميزانية",""),IF(AND(COUNTA($O293:$U293)&gt;0,S293=""),"نسبة الجاهزية",""),IF(AND(COUNTA($O293:$U293)&gt;0,T293=""),"حالة الجاهزية",""),IF(AND(COUNTA($O293:$U293)&gt;0,U293=""),"التوصيات","")),"✓"),"✓"))))))))))</f>
        <v/>
      </c>
      <c r="E293" s="235"/>
      <c r="F293" s="236"/>
      <c r="G293" s="90"/>
      <c r="H293" s="239"/>
      <c r="I293" s="89"/>
      <c r="J293" s="142"/>
      <c r="K293" s="90"/>
      <c r="L293" s="90"/>
      <c r="M293" s="90"/>
      <c r="N293" s="89"/>
      <c r="O293" s="200"/>
      <c r="P293" s="201"/>
      <c r="Q293" s="201"/>
      <c r="R293" s="237"/>
      <c r="S293" s="202"/>
      <c r="T293" s="200"/>
      <c r="U293" s="203"/>
      <c r="V293" s="89"/>
      <c r="W293" s="89"/>
      <c r="X293" s="145"/>
      <c r="Y293" s="89"/>
      <c r="Z293" s="90"/>
      <c r="AA293" s="90"/>
      <c r="AB293" s="90"/>
      <c r="AC293" s="90"/>
      <c r="AD293" s="92"/>
      <c r="AE293" s="149" t="str">
        <f>IFERROR(VLOOKUP(Z293,LISTS!$AL$2:$AM$1000,2,FALSE()),"")</f>
        <v/>
      </c>
      <c r="AF293" s="151" t="str">
        <f>IFERROR(VLOOKUP(AA293,LISTS!$AO$2:$AP$1000,2,FALSE()),"")</f>
        <v/>
      </c>
      <c r="AG293" s="152" t="str">
        <f>IFERROR(VLOOKUP(AB293,LISTS!$AR$2:$AS$1000,2,FALSE()),"")</f>
        <v/>
      </c>
      <c r="AH293" s="154" t="str">
        <f>IFERROR(VLOOKUP(AC293,LISTS!$AU$2:$AV$1000,2,FALSE()),"")</f>
        <v/>
      </c>
      <c r="AI293" s="238" t="str">
        <f t="shared" si="23"/>
        <v>—</v>
      </c>
      <c r="AJ293" s="190" t="str">
        <f t="shared" si="24"/>
        <v>—</v>
      </c>
      <c r="AK293" s="157" t="str">
        <f t="shared" si="25"/>
        <v/>
      </c>
      <c r="AL293" s="160" t="str">
        <f t="shared" si="26"/>
        <v/>
      </c>
      <c r="AM293" s="210"/>
      <c r="AN293" s="209"/>
    </row>
    <row r="294" spans="1:40" ht="27.95" customHeight="1">
      <c r="A294" s="134" t="str">
        <f>IF(I294&lt;&gt;"",COUNTA($I$2:I294),"")</f>
        <v/>
      </c>
      <c r="B294" s="138" t="str">
        <f t="shared" si="27"/>
        <v/>
      </c>
      <c r="C294" s="93" t="str">
        <f t="array" ref="C294">IF(E294="","",IF(M294&lt;&gt;"",
M294&amp;"/"&amp;SUMPRODUCT((M$2:M294=M294)*1)&amp;" - "&amp;(ROW()-2),
"إداري/"&amp;SUMPRODUCT((M$2:M294="")*1)&amp;" - "&amp;(ROW()-2)))</f>
        <v/>
      </c>
      <c r="D294" s="141" t="str">
        <f>IF(AND(G294="",H294="",I294=""),"",IF(COUNTIFS(LISTS!$A$2:$A$67,G294,LISTS!$B$2:$B$67,H294,LISTS!$C$2:$C$67,I294)=0,"✗ هرم",IF(NOT(OR(Z294="ممتاز 100%",Z294="جيد 80%",Z294="مقبول 60%",Z294="خطر 40%",Z294="")),"✗ قائمة R",IF(NOT(OR(AA294="ممتاز 100%",AA294="جيد 85%",AA294="مقبول 70%",AA294="ضعيف 50%",AA294="")),"✗ قائمة S",IF(NOT(OR(AB294="مكتمل 100%",AB294="جزئي 60%",AB294="معلق 30%",AB294="مفتوح 0%",AB294="")),"✗ قائمة T",IF(NOT(OR(AC294="لا خصم 0",AC294="تأخير −5",AC294="عجز −10",AC294="جودة −15",AC294="امتثال −20",AC294="مخالفة −25",AC294="")),"✗ قائمة U",IF(AND(X294="لا",AC294&lt;&gt;"",AC294&lt;&gt;"لا خصم 0"),"✗ خصم",IF(AND(X294="نعم",AC294="لا خصم 0"),"✗ خصم",IF(AND(Z294="ممتاز 100%",AA294="ممتاز 100%",AB294&lt;&gt;"",AB294&lt;&gt;"مكتمل 100%"),"✗ إغلاق",IFERROR(IF(LEN(_xlfn.TEXTJOIN("، ",TRUE,IF(E294="","التاريخ",""),IF(F294="","الوقت",""),IF(G294="","المركز",""),IF(H294="","الدائرة",""),IF(I294="","القسم",""),IF(J294="","المسؤول",""),IF(K294="","نوع النشاط",""),IF(L294="","المشروع",""),IF(N294="","الممول",""),IF(V294="","الموضوع",""),IF(W294="","الملاحظة",""),IF(X294="","مشكلة",""),IF(Y294="","الإجراء",""),IF(Z294="","التنفيذ",""),IF(AA294="","الجودة",""),IF(AB294="","الإغلاق",""),IF(AC294="","الخصم",""),IF(AND(COUNTA($O294:$U294)&gt;0,O294=""),"مدير المشروع",""),IF(AND(COUNTA($O294:$U294)&gt;0,P294=""),"المستفيدين",""),IF(AND(COUNTA($O294:$U294)&gt;0,Q294=""),"المناطق",""),IF(AND(COUNTA($O294:$U294)&gt;0,R294=""),"الميزانية",""),IF(AND(COUNTA($O294:$U294)&gt;0,S294=""),"نسبة الجاهزية",""),IF(AND(COUNTA($O294:$U294)&gt;0,T294=""),"حالة الجاهزية",""),IF(AND(COUNTA($O294:$U294)&gt;0,U294=""),"التوصيات","")))&gt;0,"✗ ناقص: "&amp;_xlfn.TEXTJOIN("، ",TRUE,IF(E294="","التاريخ",""),IF(F294="","الوقت",""),IF(G294="","المركز",""),IF(H294="","الدائرة",""),IF(I294="","القسم",""),IF(J294="","المسؤول",""),IF(K294="","نوع النشاط",""),IF(L294="","المشروع",""),IF(N294="","الممول",""),IF(V294="","الموضوع",""),IF(W294="","الملاحظة",""),IF(X294="","مشكلة",""),IF(Y294="","الإجراء",""),IF(Z294="","التنفيذ",""),IF(AA294="","الجودة",""),IF(AB294="","الإغلاق",""),IF(AC294="","الخصم",""),IF(AND(COUNTA($O294:$U294)&gt;0,O294=""),"مدير المشروع",""),IF(AND(COUNTA($O294:$U294)&gt;0,P294=""),"المستفيدين",""),IF(AND(COUNTA($O294:$U294)&gt;0,Q294=""),"المناطق",""),IF(AND(COUNTA($O294:$U294)&gt;0,R294=""),"الميزانية",""),IF(AND(COUNTA($O294:$U294)&gt;0,S294=""),"نسبة الجاهزية",""),IF(AND(COUNTA($O294:$U294)&gt;0,T294=""),"حالة الجاهزية",""),IF(AND(COUNTA($O294:$U294)&gt;0,U294=""),"التوصيات","")),"✓"),"✓"))))))))))</f>
        <v/>
      </c>
      <c r="E294" s="235"/>
      <c r="F294" s="236"/>
      <c r="G294" s="90"/>
      <c r="H294" s="239"/>
      <c r="I294" s="89"/>
      <c r="J294" s="142"/>
      <c r="K294" s="90"/>
      <c r="L294" s="90"/>
      <c r="M294" s="90"/>
      <c r="N294" s="89"/>
      <c r="O294" s="200"/>
      <c r="P294" s="201"/>
      <c r="Q294" s="201"/>
      <c r="R294" s="237"/>
      <c r="S294" s="202"/>
      <c r="T294" s="200"/>
      <c r="U294" s="203"/>
      <c r="V294" s="89"/>
      <c r="W294" s="89"/>
      <c r="X294" s="145"/>
      <c r="Y294" s="89"/>
      <c r="Z294" s="90"/>
      <c r="AA294" s="90"/>
      <c r="AB294" s="90"/>
      <c r="AC294" s="90"/>
      <c r="AD294" s="92"/>
      <c r="AE294" s="149" t="str">
        <f>IFERROR(VLOOKUP(Z294,LISTS!$AL$2:$AM$1000,2,FALSE()),"")</f>
        <v/>
      </c>
      <c r="AF294" s="151" t="str">
        <f>IFERROR(VLOOKUP(AA294,LISTS!$AO$2:$AP$1000,2,FALSE()),"")</f>
        <v/>
      </c>
      <c r="AG294" s="152" t="str">
        <f>IFERROR(VLOOKUP(AB294,LISTS!$AR$2:$AS$1000,2,FALSE()),"")</f>
        <v/>
      </c>
      <c r="AH294" s="154" t="str">
        <f>IFERROR(VLOOKUP(AC294,LISTS!$AU$2:$AV$1000,2,FALSE()),"")</f>
        <v/>
      </c>
      <c r="AI294" s="238" t="str">
        <f t="shared" si="23"/>
        <v>—</v>
      </c>
      <c r="AJ294" s="190" t="str">
        <f t="shared" si="24"/>
        <v>—</v>
      </c>
      <c r="AK294" s="157" t="str">
        <f t="shared" si="25"/>
        <v/>
      </c>
      <c r="AL294" s="160" t="str">
        <f t="shared" si="26"/>
        <v/>
      </c>
      <c r="AM294" s="210"/>
      <c r="AN294" s="209"/>
    </row>
    <row r="295" spans="1:40" ht="27.95" customHeight="1">
      <c r="A295" s="134" t="str">
        <f>IF(I295&lt;&gt;"",COUNTA($I$2:I295),"")</f>
        <v/>
      </c>
      <c r="B295" s="138" t="str">
        <f t="shared" si="27"/>
        <v/>
      </c>
      <c r="C295" s="93" t="str">
        <f t="array" ref="C295">IF(E295="","",IF(M295&lt;&gt;"",
M295&amp;"/"&amp;SUMPRODUCT((M$2:M295=M295)*1)&amp;" - "&amp;(ROW()-2),
"إداري/"&amp;SUMPRODUCT((M$2:M295="")*1)&amp;" - "&amp;(ROW()-2)))</f>
        <v/>
      </c>
      <c r="D295" s="141" t="str">
        <f>IF(AND(G295="",H295="",I295=""),"",IF(COUNTIFS(LISTS!$A$2:$A$67,G295,LISTS!$B$2:$B$67,H295,LISTS!$C$2:$C$67,I295)=0,"✗ هرم",IF(NOT(OR(Z295="ممتاز 100%",Z295="جيد 80%",Z295="مقبول 60%",Z295="خطر 40%",Z295="")),"✗ قائمة R",IF(NOT(OR(AA295="ممتاز 100%",AA295="جيد 85%",AA295="مقبول 70%",AA295="ضعيف 50%",AA295="")),"✗ قائمة S",IF(NOT(OR(AB295="مكتمل 100%",AB295="جزئي 60%",AB295="معلق 30%",AB295="مفتوح 0%",AB295="")),"✗ قائمة T",IF(NOT(OR(AC295="لا خصم 0",AC295="تأخير −5",AC295="عجز −10",AC295="جودة −15",AC295="امتثال −20",AC295="مخالفة −25",AC295="")),"✗ قائمة U",IF(AND(X295="لا",AC295&lt;&gt;"",AC295&lt;&gt;"لا خصم 0"),"✗ خصم",IF(AND(X295="نعم",AC295="لا خصم 0"),"✗ خصم",IF(AND(Z295="ممتاز 100%",AA295="ممتاز 100%",AB295&lt;&gt;"",AB295&lt;&gt;"مكتمل 100%"),"✗ إغلاق",IFERROR(IF(LEN(_xlfn.TEXTJOIN("، ",TRUE,IF(E295="","التاريخ",""),IF(F295="","الوقت",""),IF(G295="","المركز",""),IF(H295="","الدائرة",""),IF(I295="","القسم",""),IF(J295="","المسؤول",""),IF(K295="","نوع النشاط",""),IF(L295="","المشروع",""),IF(N295="","الممول",""),IF(V295="","الموضوع",""),IF(W295="","الملاحظة",""),IF(X295="","مشكلة",""),IF(Y295="","الإجراء",""),IF(Z295="","التنفيذ",""),IF(AA295="","الجودة",""),IF(AB295="","الإغلاق",""),IF(AC295="","الخصم",""),IF(AND(COUNTA($O295:$U295)&gt;0,O295=""),"مدير المشروع",""),IF(AND(COUNTA($O295:$U295)&gt;0,P295=""),"المستفيدين",""),IF(AND(COUNTA($O295:$U295)&gt;0,Q295=""),"المناطق",""),IF(AND(COUNTA($O295:$U295)&gt;0,R295=""),"الميزانية",""),IF(AND(COUNTA($O295:$U295)&gt;0,S295=""),"نسبة الجاهزية",""),IF(AND(COUNTA($O295:$U295)&gt;0,T295=""),"حالة الجاهزية",""),IF(AND(COUNTA($O295:$U295)&gt;0,U295=""),"التوصيات","")))&gt;0,"✗ ناقص: "&amp;_xlfn.TEXTJOIN("، ",TRUE,IF(E295="","التاريخ",""),IF(F295="","الوقت",""),IF(G295="","المركز",""),IF(H295="","الدائرة",""),IF(I295="","القسم",""),IF(J295="","المسؤول",""),IF(K295="","نوع النشاط",""),IF(L295="","المشروع",""),IF(N295="","الممول",""),IF(V295="","الموضوع",""),IF(W295="","الملاحظة",""),IF(X295="","مشكلة",""),IF(Y295="","الإجراء",""),IF(Z295="","التنفيذ",""),IF(AA295="","الجودة",""),IF(AB295="","الإغلاق",""),IF(AC295="","الخصم",""),IF(AND(COUNTA($O295:$U295)&gt;0,O295=""),"مدير المشروع",""),IF(AND(COUNTA($O295:$U295)&gt;0,P295=""),"المستفيدين",""),IF(AND(COUNTA($O295:$U295)&gt;0,Q295=""),"المناطق",""),IF(AND(COUNTA($O295:$U295)&gt;0,R295=""),"الميزانية",""),IF(AND(COUNTA($O295:$U295)&gt;0,S295=""),"نسبة الجاهزية",""),IF(AND(COUNTA($O295:$U295)&gt;0,T295=""),"حالة الجاهزية",""),IF(AND(COUNTA($O295:$U295)&gt;0,U295=""),"التوصيات","")),"✓"),"✓"))))))))))</f>
        <v/>
      </c>
      <c r="E295" s="235"/>
      <c r="F295" s="236"/>
      <c r="G295" s="90"/>
      <c r="H295" s="239"/>
      <c r="I295" s="89"/>
      <c r="J295" s="142"/>
      <c r="K295" s="90"/>
      <c r="L295" s="90"/>
      <c r="M295" s="90"/>
      <c r="N295" s="89"/>
      <c r="O295" s="200"/>
      <c r="P295" s="201"/>
      <c r="Q295" s="201"/>
      <c r="R295" s="237"/>
      <c r="S295" s="202"/>
      <c r="T295" s="200"/>
      <c r="U295" s="203"/>
      <c r="V295" s="89"/>
      <c r="W295" s="89"/>
      <c r="X295" s="145"/>
      <c r="Y295" s="89"/>
      <c r="Z295" s="90"/>
      <c r="AA295" s="90"/>
      <c r="AB295" s="90"/>
      <c r="AC295" s="90"/>
      <c r="AD295" s="92"/>
      <c r="AE295" s="149" t="str">
        <f>IFERROR(VLOOKUP(Z295,LISTS!$AL$2:$AM$1000,2,FALSE()),"")</f>
        <v/>
      </c>
      <c r="AF295" s="151" t="str">
        <f>IFERROR(VLOOKUP(AA295,LISTS!$AO$2:$AP$1000,2,FALSE()),"")</f>
        <v/>
      </c>
      <c r="AG295" s="152" t="str">
        <f>IFERROR(VLOOKUP(AB295,LISTS!$AR$2:$AS$1000,2,FALSE()),"")</f>
        <v/>
      </c>
      <c r="AH295" s="154" t="str">
        <f>IFERROR(VLOOKUP(AC295,LISTS!$AU$2:$AV$1000,2,FALSE()),"")</f>
        <v/>
      </c>
      <c r="AI295" s="238" t="str">
        <f t="shared" si="23"/>
        <v>—</v>
      </c>
      <c r="AJ295" s="190" t="str">
        <f t="shared" si="24"/>
        <v>—</v>
      </c>
      <c r="AK295" s="157" t="str">
        <f t="shared" si="25"/>
        <v/>
      </c>
      <c r="AL295" s="160" t="str">
        <f t="shared" si="26"/>
        <v/>
      </c>
      <c r="AM295" s="210"/>
      <c r="AN295" s="209"/>
    </row>
    <row r="296" spans="1:40" ht="27.95" customHeight="1">
      <c r="A296" s="134" t="str">
        <f>IF(I296&lt;&gt;"",COUNTA($I$2:I296),"")</f>
        <v/>
      </c>
      <c r="B296" s="138" t="str">
        <f t="shared" si="27"/>
        <v/>
      </c>
      <c r="C296" s="93" t="str">
        <f t="array" ref="C296">IF(E296="","",IF(M296&lt;&gt;"",
M296&amp;"/"&amp;SUMPRODUCT((M$2:M296=M296)*1)&amp;" - "&amp;(ROW()-2),
"إداري/"&amp;SUMPRODUCT((M$2:M296="")*1)&amp;" - "&amp;(ROW()-2)))</f>
        <v/>
      </c>
      <c r="D296" s="141" t="str">
        <f>IF(AND(G296="",H296="",I296=""),"",IF(COUNTIFS(LISTS!$A$2:$A$67,G296,LISTS!$B$2:$B$67,H296,LISTS!$C$2:$C$67,I296)=0,"✗ هرم",IF(NOT(OR(Z296="ممتاز 100%",Z296="جيد 80%",Z296="مقبول 60%",Z296="خطر 40%",Z296="")),"✗ قائمة R",IF(NOT(OR(AA296="ممتاز 100%",AA296="جيد 85%",AA296="مقبول 70%",AA296="ضعيف 50%",AA296="")),"✗ قائمة S",IF(NOT(OR(AB296="مكتمل 100%",AB296="جزئي 60%",AB296="معلق 30%",AB296="مفتوح 0%",AB296="")),"✗ قائمة T",IF(NOT(OR(AC296="لا خصم 0",AC296="تأخير −5",AC296="عجز −10",AC296="جودة −15",AC296="امتثال −20",AC296="مخالفة −25",AC296="")),"✗ قائمة U",IF(AND(X296="لا",AC296&lt;&gt;"",AC296&lt;&gt;"لا خصم 0"),"✗ خصم",IF(AND(X296="نعم",AC296="لا خصم 0"),"✗ خصم",IF(AND(Z296="ممتاز 100%",AA296="ممتاز 100%",AB296&lt;&gt;"",AB296&lt;&gt;"مكتمل 100%"),"✗ إغلاق",IFERROR(IF(LEN(_xlfn.TEXTJOIN("، ",TRUE,IF(E296="","التاريخ",""),IF(F296="","الوقت",""),IF(G296="","المركز",""),IF(H296="","الدائرة",""),IF(I296="","القسم",""),IF(J296="","المسؤول",""),IF(K296="","نوع النشاط",""),IF(L296="","المشروع",""),IF(N296="","الممول",""),IF(V296="","الموضوع",""),IF(W296="","الملاحظة",""),IF(X296="","مشكلة",""),IF(Y296="","الإجراء",""),IF(Z296="","التنفيذ",""),IF(AA296="","الجودة",""),IF(AB296="","الإغلاق",""),IF(AC296="","الخصم",""),IF(AND(COUNTA($O296:$U296)&gt;0,O296=""),"مدير المشروع",""),IF(AND(COUNTA($O296:$U296)&gt;0,P296=""),"المستفيدين",""),IF(AND(COUNTA($O296:$U296)&gt;0,Q296=""),"المناطق",""),IF(AND(COUNTA($O296:$U296)&gt;0,R296=""),"الميزانية",""),IF(AND(COUNTA($O296:$U296)&gt;0,S296=""),"نسبة الجاهزية",""),IF(AND(COUNTA($O296:$U296)&gt;0,T296=""),"حالة الجاهزية",""),IF(AND(COUNTA($O296:$U296)&gt;0,U296=""),"التوصيات","")))&gt;0,"✗ ناقص: "&amp;_xlfn.TEXTJOIN("، ",TRUE,IF(E296="","التاريخ",""),IF(F296="","الوقت",""),IF(G296="","المركز",""),IF(H296="","الدائرة",""),IF(I296="","القسم",""),IF(J296="","المسؤول",""),IF(K296="","نوع النشاط",""),IF(L296="","المشروع",""),IF(N296="","الممول",""),IF(V296="","الموضوع",""),IF(W296="","الملاحظة",""),IF(X296="","مشكلة",""),IF(Y296="","الإجراء",""),IF(Z296="","التنفيذ",""),IF(AA296="","الجودة",""),IF(AB296="","الإغلاق",""),IF(AC296="","الخصم",""),IF(AND(COUNTA($O296:$U296)&gt;0,O296=""),"مدير المشروع",""),IF(AND(COUNTA($O296:$U296)&gt;0,P296=""),"المستفيدين",""),IF(AND(COUNTA($O296:$U296)&gt;0,Q296=""),"المناطق",""),IF(AND(COUNTA($O296:$U296)&gt;0,R296=""),"الميزانية",""),IF(AND(COUNTA($O296:$U296)&gt;0,S296=""),"نسبة الجاهزية",""),IF(AND(COUNTA($O296:$U296)&gt;0,T296=""),"حالة الجاهزية",""),IF(AND(COUNTA($O296:$U296)&gt;0,U296=""),"التوصيات","")),"✓"),"✓"))))))))))</f>
        <v/>
      </c>
      <c r="E296" s="235"/>
      <c r="F296" s="236"/>
      <c r="G296" s="90"/>
      <c r="H296" s="239"/>
      <c r="I296" s="89"/>
      <c r="J296" s="142"/>
      <c r="K296" s="90"/>
      <c r="L296" s="90"/>
      <c r="M296" s="90"/>
      <c r="N296" s="89"/>
      <c r="O296" s="200"/>
      <c r="P296" s="201"/>
      <c r="Q296" s="201"/>
      <c r="R296" s="237"/>
      <c r="S296" s="202"/>
      <c r="T296" s="200"/>
      <c r="U296" s="203"/>
      <c r="V296" s="89"/>
      <c r="W296" s="89"/>
      <c r="X296" s="145"/>
      <c r="Y296" s="89"/>
      <c r="Z296" s="90"/>
      <c r="AA296" s="90"/>
      <c r="AB296" s="90"/>
      <c r="AC296" s="90"/>
      <c r="AD296" s="92"/>
      <c r="AE296" s="149" t="str">
        <f>IFERROR(VLOOKUP(Z296,LISTS!$AL$2:$AM$1000,2,FALSE()),"")</f>
        <v/>
      </c>
      <c r="AF296" s="151" t="str">
        <f>IFERROR(VLOOKUP(AA296,LISTS!$AO$2:$AP$1000,2,FALSE()),"")</f>
        <v/>
      </c>
      <c r="AG296" s="152" t="str">
        <f>IFERROR(VLOOKUP(AB296,LISTS!$AR$2:$AS$1000,2,FALSE()),"")</f>
        <v/>
      </c>
      <c r="AH296" s="154" t="str">
        <f>IFERROR(VLOOKUP(AC296,LISTS!$AU$2:$AV$1000,2,FALSE()),"")</f>
        <v/>
      </c>
      <c r="AI296" s="238" t="str">
        <f t="shared" si="23"/>
        <v>—</v>
      </c>
      <c r="AJ296" s="190" t="str">
        <f t="shared" si="24"/>
        <v>—</v>
      </c>
      <c r="AK296" s="157" t="str">
        <f t="shared" si="25"/>
        <v/>
      </c>
      <c r="AL296" s="160" t="str">
        <f t="shared" si="26"/>
        <v/>
      </c>
      <c r="AM296" s="210"/>
      <c r="AN296" s="209"/>
    </row>
    <row r="297" spans="1:40" ht="27.95" customHeight="1">
      <c r="A297" s="134" t="str">
        <f>IF(I297&lt;&gt;"",COUNTA($I$2:I297),"")</f>
        <v/>
      </c>
      <c r="B297" s="138" t="str">
        <f t="shared" si="27"/>
        <v/>
      </c>
      <c r="C297" s="93" t="str">
        <f t="array" ref="C297">IF(E297="","",IF(M297&lt;&gt;"",
M297&amp;"/"&amp;SUMPRODUCT((M$2:M297=M297)*1)&amp;" - "&amp;(ROW()-2),
"إداري/"&amp;SUMPRODUCT((M$2:M297="")*1)&amp;" - "&amp;(ROW()-2)))</f>
        <v/>
      </c>
      <c r="D297" s="141" t="str">
        <f>IF(AND(G297="",H297="",I297=""),"",IF(COUNTIFS(LISTS!$A$2:$A$67,G297,LISTS!$B$2:$B$67,H297,LISTS!$C$2:$C$67,I297)=0,"✗ هرم",IF(NOT(OR(Z297="ممتاز 100%",Z297="جيد 80%",Z297="مقبول 60%",Z297="خطر 40%",Z297="")),"✗ قائمة R",IF(NOT(OR(AA297="ممتاز 100%",AA297="جيد 85%",AA297="مقبول 70%",AA297="ضعيف 50%",AA297="")),"✗ قائمة S",IF(NOT(OR(AB297="مكتمل 100%",AB297="جزئي 60%",AB297="معلق 30%",AB297="مفتوح 0%",AB297="")),"✗ قائمة T",IF(NOT(OR(AC297="لا خصم 0",AC297="تأخير −5",AC297="عجز −10",AC297="جودة −15",AC297="امتثال −20",AC297="مخالفة −25",AC297="")),"✗ قائمة U",IF(AND(X297="لا",AC297&lt;&gt;"",AC297&lt;&gt;"لا خصم 0"),"✗ خصم",IF(AND(X297="نعم",AC297="لا خصم 0"),"✗ خصم",IF(AND(Z297="ممتاز 100%",AA297="ممتاز 100%",AB297&lt;&gt;"",AB297&lt;&gt;"مكتمل 100%"),"✗ إغلاق",IFERROR(IF(LEN(_xlfn.TEXTJOIN("، ",TRUE,IF(E297="","التاريخ",""),IF(F297="","الوقت",""),IF(G297="","المركز",""),IF(H297="","الدائرة",""),IF(I297="","القسم",""),IF(J297="","المسؤول",""),IF(K297="","نوع النشاط",""),IF(L297="","المشروع",""),IF(N297="","الممول",""),IF(V297="","الموضوع",""),IF(W297="","الملاحظة",""),IF(X297="","مشكلة",""),IF(Y297="","الإجراء",""),IF(Z297="","التنفيذ",""),IF(AA297="","الجودة",""),IF(AB297="","الإغلاق",""),IF(AC297="","الخصم",""),IF(AND(COUNTA($O297:$U297)&gt;0,O297=""),"مدير المشروع",""),IF(AND(COUNTA($O297:$U297)&gt;0,P297=""),"المستفيدين",""),IF(AND(COUNTA($O297:$U297)&gt;0,Q297=""),"المناطق",""),IF(AND(COUNTA($O297:$U297)&gt;0,R297=""),"الميزانية",""),IF(AND(COUNTA($O297:$U297)&gt;0,S297=""),"نسبة الجاهزية",""),IF(AND(COUNTA($O297:$U297)&gt;0,T297=""),"حالة الجاهزية",""),IF(AND(COUNTA($O297:$U297)&gt;0,U297=""),"التوصيات","")))&gt;0,"✗ ناقص: "&amp;_xlfn.TEXTJOIN("، ",TRUE,IF(E297="","التاريخ",""),IF(F297="","الوقت",""),IF(G297="","المركز",""),IF(H297="","الدائرة",""),IF(I297="","القسم",""),IF(J297="","المسؤول",""),IF(K297="","نوع النشاط",""),IF(L297="","المشروع",""),IF(N297="","الممول",""),IF(V297="","الموضوع",""),IF(W297="","الملاحظة",""),IF(X297="","مشكلة",""),IF(Y297="","الإجراء",""),IF(Z297="","التنفيذ",""),IF(AA297="","الجودة",""),IF(AB297="","الإغلاق",""),IF(AC297="","الخصم",""),IF(AND(COUNTA($O297:$U297)&gt;0,O297=""),"مدير المشروع",""),IF(AND(COUNTA($O297:$U297)&gt;0,P297=""),"المستفيدين",""),IF(AND(COUNTA($O297:$U297)&gt;0,Q297=""),"المناطق",""),IF(AND(COUNTA($O297:$U297)&gt;0,R297=""),"الميزانية",""),IF(AND(COUNTA($O297:$U297)&gt;0,S297=""),"نسبة الجاهزية",""),IF(AND(COUNTA($O297:$U297)&gt;0,T297=""),"حالة الجاهزية",""),IF(AND(COUNTA($O297:$U297)&gt;0,U297=""),"التوصيات","")),"✓"),"✓"))))))))))</f>
        <v/>
      </c>
      <c r="E297" s="235"/>
      <c r="F297" s="236"/>
      <c r="G297" s="90"/>
      <c r="H297" s="239"/>
      <c r="I297" s="89"/>
      <c r="J297" s="142"/>
      <c r="K297" s="90"/>
      <c r="L297" s="90"/>
      <c r="M297" s="90"/>
      <c r="N297" s="89"/>
      <c r="O297" s="200"/>
      <c r="P297" s="201"/>
      <c r="Q297" s="201"/>
      <c r="R297" s="237"/>
      <c r="S297" s="202"/>
      <c r="T297" s="200"/>
      <c r="U297" s="203"/>
      <c r="V297" s="89"/>
      <c r="W297" s="89"/>
      <c r="X297" s="145"/>
      <c r="Y297" s="89"/>
      <c r="Z297" s="90"/>
      <c r="AA297" s="90"/>
      <c r="AB297" s="90"/>
      <c r="AC297" s="90"/>
      <c r="AD297" s="92"/>
      <c r="AE297" s="149" t="str">
        <f>IFERROR(VLOOKUP(Z297,LISTS!$AL$2:$AM$1000,2,FALSE()),"")</f>
        <v/>
      </c>
      <c r="AF297" s="151" t="str">
        <f>IFERROR(VLOOKUP(AA297,LISTS!$AO$2:$AP$1000,2,FALSE()),"")</f>
        <v/>
      </c>
      <c r="AG297" s="152" t="str">
        <f>IFERROR(VLOOKUP(AB297,LISTS!$AR$2:$AS$1000,2,FALSE()),"")</f>
        <v/>
      </c>
      <c r="AH297" s="154" t="str">
        <f>IFERROR(VLOOKUP(AC297,LISTS!$AU$2:$AV$1000,2,FALSE()),"")</f>
        <v/>
      </c>
      <c r="AI297" s="238" t="str">
        <f t="shared" si="23"/>
        <v>—</v>
      </c>
      <c r="AJ297" s="190" t="str">
        <f t="shared" si="24"/>
        <v>—</v>
      </c>
      <c r="AK297" s="157" t="str">
        <f t="shared" si="25"/>
        <v/>
      </c>
      <c r="AL297" s="160" t="str">
        <f t="shared" si="26"/>
        <v/>
      </c>
      <c r="AM297" s="210"/>
      <c r="AN297" s="209"/>
    </row>
    <row r="298" spans="1:40" ht="27.95" customHeight="1">
      <c r="A298" s="134" t="str">
        <f>IF(I298&lt;&gt;"",COUNTA($I$2:I298),"")</f>
        <v/>
      </c>
      <c r="B298" s="138" t="str">
        <f t="shared" si="27"/>
        <v/>
      </c>
      <c r="C298" s="93" t="str">
        <f t="array" ref="C298">IF(E298="","",IF(M298&lt;&gt;"",
M298&amp;"/"&amp;SUMPRODUCT((M$2:M298=M298)*1)&amp;" - "&amp;(ROW()-2),
"إداري/"&amp;SUMPRODUCT((M$2:M298="")*1)&amp;" - "&amp;(ROW()-2)))</f>
        <v/>
      </c>
      <c r="D298" s="141" t="str">
        <f>IF(AND(G298="",H298="",I298=""),"",IF(COUNTIFS(LISTS!$A$2:$A$67,G298,LISTS!$B$2:$B$67,H298,LISTS!$C$2:$C$67,I298)=0,"✗ هرم",IF(NOT(OR(Z298="ممتاز 100%",Z298="جيد 80%",Z298="مقبول 60%",Z298="خطر 40%",Z298="")),"✗ قائمة R",IF(NOT(OR(AA298="ممتاز 100%",AA298="جيد 85%",AA298="مقبول 70%",AA298="ضعيف 50%",AA298="")),"✗ قائمة S",IF(NOT(OR(AB298="مكتمل 100%",AB298="جزئي 60%",AB298="معلق 30%",AB298="مفتوح 0%",AB298="")),"✗ قائمة T",IF(NOT(OR(AC298="لا خصم 0",AC298="تأخير −5",AC298="عجز −10",AC298="جودة −15",AC298="امتثال −20",AC298="مخالفة −25",AC298="")),"✗ قائمة U",IF(AND(X298="لا",AC298&lt;&gt;"",AC298&lt;&gt;"لا خصم 0"),"✗ خصم",IF(AND(X298="نعم",AC298="لا خصم 0"),"✗ خصم",IF(AND(Z298="ممتاز 100%",AA298="ممتاز 100%",AB298&lt;&gt;"",AB298&lt;&gt;"مكتمل 100%"),"✗ إغلاق",IFERROR(IF(LEN(_xlfn.TEXTJOIN("، ",TRUE,IF(E298="","التاريخ",""),IF(F298="","الوقت",""),IF(G298="","المركز",""),IF(H298="","الدائرة",""),IF(I298="","القسم",""),IF(J298="","المسؤول",""),IF(K298="","نوع النشاط",""),IF(L298="","المشروع",""),IF(N298="","الممول",""),IF(V298="","الموضوع",""),IF(W298="","الملاحظة",""),IF(X298="","مشكلة",""),IF(Y298="","الإجراء",""),IF(Z298="","التنفيذ",""),IF(AA298="","الجودة",""),IF(AB298="","الإغلاق",""),IF(AC298="","الخصم",""),IF(AND(COUNTA($O298:$U298)&gt;0,O298=""),"مدير المشروع",""),IF(AND(COUNTA($O298:$U298)&gt;0,P298=""),"المستفيدين",""),IF(AND(COUNTA($O298:$U298)&gt;0,Q298=""),"المناطق",""),IF(AND(COUNTA($O298:$U298)&gt;0,R298=""),"الميزانية",""),IF(AND(COUNTA($O298:$U298)&gt;0,S298=""),"نسبة الجاهزية",""),IF(AND(COUNTA($O298:$U298)&gt;0,T298=""),"حالة الجاهزية",""),IF(AND(COUNTA($O298:$U298)&gt;0,U298=""),"التوصيات","")))&gt;0,"✗ ناقص: "&amp;_xlfn.TEXTJOIN("، ",TRUE,IF(E298="","التاريخ",""),IF(F298="","الوقت",""),IF(G298="","المركز",""),IF(H298="","الدائرة",""),IF(I298="","القسم",""),IF(J298="","المسؤول",""),IF(K298="","نوع النشاط",""),IF(L298="","المشروع",""),IF(N298="","الممول",""),IF(V298="","الموضوع",""),IF(W298="","الملاحظة",""),IF(X298="","مشكلة",""),IF(Y298="","الإجراء",""),IF(Z298="","التنفيذ",""),IF(AA298="","الجودة",""),IF(AB298="","الإغلاق",""),IF(AC298="","الخصم",""),IF(AND(COUNTA($O298:$U298)&gt;0,O298=""),"مدير المشروع",""),IF(AND(COUNTA($O298:$U298)&gt;0,P298=""),"المستفيدين",""),IF(AND(COUNTA($O298:$U298)&gt;0,Q298=""),"المناطق",""),IF(AND(COUNTA($O298:$U298)&gt;0,R298=""),"الميزانية",""),IF(AND(COUNTA($O298:$U298)&gt;0,S298=""),"نسبة الجاهزية",""),IF(AND(COUNTA($O298:$U298)&gt;0,T298=""),"حالة الجاهزية",""),IF(AND(COUNTA($O298:$U298)&gt;0,U298=""),"التوصيات","")),"✓"),"✓"))))))))))</f>
        <v/>
      </c>
      <c r="E298" s="235"/>
      <c r="F298" s="236"/>
      <c r="G298" s="90"/>
      <c r="H298" s="239"/>
      <c r="I298" s="89"/>
      <c r="J298" s="142"/>
      <c r="K298" s="90"/>
      <c r="L298" s="90"/>
      <c r="M298" s="90"/>
      <c r="N298" s="89"/>
      <c r="O298" s="200"/>
      <c r="P298" s="201"/>
      <c r="Q298" s="201"/>
      <c r="R298" s="237"/>
      <c r="S298" s="202"/>
      <c r="T298" s="200"/>
      <c r="U298" s="203"/>
      <c r="V298" s="89"/>
      <c r="W298" s="89"/>
      <c r="X298" s="145"/>
      <c r="Y298" s="89"/>
      <c r="Z298" s="90"/>
      <c r="AA298" s="90"/>
      <c r="AB298" s="90"/>
      <c r="AC298" s="90"/>
      <c r="AD298" s="92"/>
      <c r="AE298" s="149" t="str">
        <f>IFERROR(VLOOKUP(Z298,LISTS!$AL$2:$AM$1000,2,FALSE()),"")</f>
        <v/>
      </c>
      <c r="AF298" s="151" t="str">
        <f>IFERROR(VLOOKUP(AA298,LISTS!$AO$2:$AP$1000,2,FALSE()),"")</f>
        <v/>
      </c>
      <c r="AG298" s="152" t="str">
        <f>IFERROR(VLOOKUP(AB298,LISTS!$AR$2:$AS$1000,2,FALSE()),"")</f>
        <v/>
      </c>
      <c r="AH298" s="154" t="str">
        <f>IFERROR(VLOOKUP(AC298,LISTS!$AU$2:$AV$1000,2,FALSE()),"")</f>
        <v/>
      </c>
      <c r="AI298" s="238" t="str">
        <f t="shared" si="23"/>
        <v>—</v>
      </c>
      <c r="AJ298" s="190" t="str">
        <f t="shared" si="24"/>
        <v>—</v>
      </c>
      <c r="AK298" s="157" t="str">
        <f t="shared" si="25"/>
        <v/>
      </c>
      <c r="AL298" s="160" t="str">
        <f t="shared" si="26"/>
        <v/>
      </c>
      <c r="AM298" s="210"/>
      <c r="AN298" s="209"/>
    </row>
    <row r="299" spans="1:40" ht="27.95" customHeight="1">
      <c r="A299" s="134" t="str">
        <f>IF(I299&lt;&gt;"",COUNTA($I$2:I299),"")</f>
        <v/>
      </c>
      <c r="B299" s="138" t="str">
        <f t="shared" si="27"/>
        <v/>
      </c>
      <c r="C299" s="93" t="str">
        <f t="array" ref="C299">IF(E299="","",IF(M299&lt;&gt;"",
M299&amp;"/"&amp;SUMPRODUCT((M$2:M299=M299)*1)&amp;" - "&amp;(ROW()-2),
"إداري/"&amp;SUMPRODUCT((M$2:M299="")*1)&amp;" - "&amp;(ROW()-2)))</f>
        <v/>
      </c>
      <c r="D299" s="141" t="str">
        <f>IF(AND(G299="",H299="",I299=""),"",IF(COUNTIFS(LISTS!$A$2:$A$67,G299,LISTS!$B$2:$B$67,H299,LISTS!$C$2:$C$67,I299)=0,"✗ هرم",IF(NOT(OR(Z299="ممتاز 100%",Z299="جيد 80%",Z299="مقبول 60%",Z299="خطر 40%",Z299="")),"✗ قائمة R",IF(NOT(OR(AA299="ممتاز 100%",AA299="جيد 85%",AA299="مقبول 70%",AA299="ضعيف 50%",AA299="")),"✗ قائمة S",IF(NOT(OR(AB299="مكتمل 100%",AB299="جزئي 60%",AB299="معلق 30%",AB299="مفتوح 0%",AB299="")),"✗ قائمة T",IF(NOT(OR(AC299="لا خصم 0",AC299="تأخير −5",AC299="عجز −10",AC299="جودة −15",AC299="امتثال −20",AC299="مخالفة −25",AC299="")),"✗ قائمة U",IF(AND(X299="لا",AC299&lt;&gt;"",AC299&lt;&gt;"لا خصم 0"),"✗ خصم",IF(AND(X299="نعم",AC299="لا خصم 0"),"✗ خصم",IF(AND(Z299="ممتاز 100%",AA299="ممتاز 100%",AB299&lt;&gt;"",AB299&lt;&gt;"مكتمل 100%"),"✗ إغلاق",IFERROR(IF(LEN(_xlfn.TEXTJOIN("، ",TRUE,IF(E299="","التاريخ",""),IF(F299="","الوقت",""),IF(G299="","المركز",""),IF(H299="","الدائرة",""),IF(I299="","القسم",""),IF(J299="","المسؤول",""),IF(K299="","نوع النشاط",""),IF(L299="","المشروع",""),IF(N299="","الممول",""),IF(V299="","الموضوع",""),IF(W299="","الملاحظة",""),IF(X299="","مشكلة",""),IF(Y299="","الإجراء",""),IF(Z299="","التنفيذ",""),IF(AA299="","الجودة",""),IF(AB299="","الإغلاق",""),IF(AC299="","الخصم",""),IF(AND(COUNTA($O299:$U299)&gt;0,O299=""),"مدير المشروع",""),IF(AND(COUNTA($O299:$U299)&gt;0,P299=""),"المستفيدين",""),IF(AND(COUNTA($O299:$U299)&gt;0,Q299=""),"المناطق",""),IF(AND(COUNTA($O299:$U299)&gt;0,R299=""),"الميزانية",""),IF(AND(COUNTA($O299:$U299)&gt;0,S299=""),"نسبة الجاهزية",""),IF(AND(COUNTA($O299:$U299)&gt;0,T299=""),"حالة الجاهزية",""),IF(AND(COUNTA($O299:$U299)&gt;0,U299=""),"التوصيات","")))&gt;0,"✗ ناقص: "&amp;_xlfn.TEXTJOIN("، ",TRUE,IF(E299="","التاريخ",""),IF(F299="","الوقت",""),IF(G299="","المركز",""),IF(H299="","الدائرة",""),IF(I299="","القسم",""),IF(J299="","المسؤول",""),IF(K299="","نوع النشاط",""),IF(L299="","المشروع",""),IF(N299="","الممول",""),IF(V299="","الموضوع",""),IF(W299="","الملاحظة",""),IF(X299="","مشكلة",""),IF(Y299="","الإجراء",""),IF(Z299="","التنفيذ",""),IF(AA299="","الجودة",""),IF(AB299="","الإغلاق",""),IF(AC299="","الخصم",""),IF(AND(COUNTA($O299:$U299)&gt;0,O299=""),"مدير المشروع",""),IF(AND(COUNTA($O299:$U299)&gt;0,P299=""),"المستفيدين",""),IF(AND(COUNTA($O299:$U299)&gt;0,Q299=""),"المناطق",""),IF(AND(COUNTA($O299:$U299)&gt;0,R299=""),"الميزانية",""),IF(AND(COUNTA($O299:$U299)&gt;0,S299=""),"نسبة الجاهزية",""),IF(AND(COUNTA($O299:$U299)&gt;0,T299=""),"حالة الجاهزية",""),IF(AND(COUNTA($O299:$U299)&gt;0,U299=""),"التوصيات","")),"✓"),"✓"))))))))))</f>
        <v/>
      </c>
      <c r="E299" s="235"/>
      <c r="F299" s="236"/>
      <c r="G299" s="90"/>
      <c r="H299" s="239"/>
      <c r="I299" s="89"/>
      <c r="J299" s="142"/>
      <c r="K299" s="90"/>
      <c r="L299" s="90"/>
      <c r="M299" s="90"/>
      <c r="N299" s="89"/>
      <c r="O299" s="200"/>
      <c r="P299" s="201"/>
      <c r="Q299" s="201"/>
      <c r="R299" s="237"/>
      <c r="S299" s="202"/>
      <c r="T299" s="200"/>
      <c r="U299" s="203"/>
      <c r="V299" s="89"/>
      <c r="W299" s="89"/>
      <c r="X299" s="145"/>
      <c r="Y299" s="89"/>
      <c r="Z299" s="90"/>
      <c r="AA299" s="90"/>
      <c r="AB299" s="90"/>
      <c r="AC299" s="90"/>
      <c r="AD299" s="92"/>
      <c r="AE299" s="149" t="str">
        <f>IFERROR(VLOOKUP(Z299,LISTS!$AL$2:$AM$1000,2,FALSE()),"")</f>
        <v/>
      </c>
      <c r="AF299" s="151" t="str">
        <f>IFERROR(VLOOKUP(AA299,LISTS!$AO$2:$AP$1000,2,FALSE()),"")</f>
        <v/>
      </c>
      <c r="AG299" s="152" t="str">
        <f>IFERROR(VLOOKUP(AB299,LISTS!$AR$2:$AS$1000,2,FALSE()),"")</f>
        <v/>
      </c>
      <c r="AH299" s="154" t="str">
        <f>IFERROR(VLOOKUP(AC299,LISTS!$AU$2:$AV$1000,2,FALSE()),"")</f>
        <v/>
      </c>
      <c r="AI299" s="238" t="str">
        <f t="shared" si="23"/>
        <v>—</v>
      </c>
      <c r="AJ299" s="190" t="str">
        <f t="shared" si="24"/>
        <v>—</v>
      </c>
      <c r="AK299" s="157" t="str">
        <f t="shared" si="25"/>
        <v/>
      </c>
      <c r="AL299" s="160" t="str">
        <f t="shared" si="26"/>
        <v/>
      </c>
      <c r="AM299" s="210"/>
      <c r="AN299" s="209"/>
    </row>
    <row r="300" spans="1:40" ht="27.95" customHeight="1">
      <c r="A300" s="134" t="str">
        <f>IF(I300&lt;&gt;"",COUNTA($I$2:I300),"")</f>
        <v/>
      </c>
      <c r="B300" s="138" t="str">
        <f t="shared" si="27"/>
        <v/>
      </c>
      <c r="C300" s="93" t="str">
        <f t="array" ref="C300">IF(E300="","",IF(M300&lt;&gt;"",
M300&amp;"/"&amp;SUMPRODUCT((M$2:M300=M300)*1)&amp;" - "&amp;(ROW()-2),
"إداري/"&amp;SUMPRODUCT((M$2:M300="")*1)&amp;" - "&amp;(ROW()-2)))</f>
        <v/>
      </c>
      <c r="D300" s="141" t="str">
        <f>IF(AND(G300="",H300="",I300=""),"",IF(COUNTIFS(LISTS!$A$2:$A$67,G300,LISTS!$B$2:$B$67,H300,LISTS!$C$2:$C$67,I300)=0,"✗ هرم",IF(NOT(OR(Z300="ممتاز 100%",Z300="جيد 80%",Z300="مقبول 60%",Z300="خطر 40%",Z300="")),"✗ قائمة R",IF(NOT(OR(AA300="ممتاز 100%",AA300="جيد 85%",AA300="مقبول 70%",AA300="ضعيف 50%",AA300="")),"✗ قائمة S",IF(NOT(OR(AB300="مكتمل 100%",AB300="جزئي 60%",AB300="معلق 30%",AB300="مفتوح 0%",AB300="")),"✗ قائمة T",IF(NOT(OR(AC300="لا خصم 0",AC300="تأخير −5",AC300="عجز −10",AC300="جودة −15",AC300="امتثال −20",AC300="مخالفة −25",AC300="")),"✗ قائمة U",IF(AND(X300="لا",AC300&lt;&gt;"",AC300&lt;&gt;"لا خصم 0"),"✗ خصم",IF(AND(X300="نعم",AC300="لا خصم 0"),"✗ خصم",IF(AND(Z300="ممتاز 100%",AA300="ممتاز 100%",AB300&lt;&gt;"",AB300&lt;&gt;"مكتمل 100%"),"✗ إغلاق",IFERROR(IF(LEN(_xlfn.TEXTJOIN("، ",TRUE,IF(E300="","التاريخ",""),IF(F300="","الوقت",""),IF(G300="","المركز",""),IF(H300="","الدائرة",""),IF(I300="","القسم",""),IF(J300="","المسؤول",""),IF(K300="","نوع النشاط",""),IF(L300="","المشروع",""),IF(N300="","الممول",""),IF(V300="","الموضوع",""),IF(W300="","الملاحظة",""),IF(X300="","مشكلة",""),IF(Y300="","الإجراء",""),IF(Z300="","التنفيذ",""),IF(AA300="","الجودة",""),IF(AB300="","الإغلاق",""),IF(AC300="","الخصم",""),IF(AND(COUNTA($O300:$U300)&gt;0,O300=""),"مدير المشروع",""),IF(AND(COUNTA($O300:$U300)&gt;0,P300=""),"المستفيدين",""),IF(AND(COUNTA($O300:$U300)&gt;0,Q300=""),"المناطق",""),IF(AND(COUNTA($O300:$U300)&gt;0,R300=""),"الميزانية",""),IF(AND(COUNTA($O300:$U300)&gt;0,S300=""),"نسبة الجاهزية",""),IF(AND(COUNTA($O300:$U300)&gt;0,T300=""),"حالة الجاهزية",""),IF(AND(COUNTA($O300:$U300)&gt;0,U300=""),"التوصيات","")))&gt;0,"✗ ناقص: "&amp;_xlfn.TEXTJOIN("، ",TRUE,IF(E300="","التاريخ",""),IF(F300="","الوقت",""),IF(G300="","المركز",""),IF(H300="","الدائرة",""),IF(I300="","القسم",""),IF(J300="","المسؤول",""),IF(K300="","نوع النشاط",""),IF(L300="","المشروع",""),IF(N300="","الممول",""),IF(V300="","الموضوع",""),IF(W300="","الملاحظة",""),IF(X300="","مشكلة",""),IF(Y300="","الإجراء",""),IF(Z300="","التنفيذ",""),IF(AA300="","الجودة",""),IF(AB300="","الإغلاق",""),IF(AC300="","الخصم",""),IF(AND(COUNTA($O300:$U300)&gt;0,O300=""),"مدير المشروع",""),IF(AND(COUNTA($O300:$U300)&gt;0,P300=""),"المستفيدين",""),IF(AND(COUNTA($O300:$U300)&gt;0,Q300=""),"المناطق",""),IF(AND(COUNTA($O300:$U300)&gt;0,R300=""),"الميزانية",""),IF(AND(COUNTA($O300:$U300)&gt;0,S300=""),"نسبة الجاهزية",""),IF(AND(COUNTA($O300:$U300)&gt;0,T300=""),"حالة الجاهزية",""),IF(AND(COUNTA($O300:$U300)&gt;0,U300=""),"التوصيات","")),"✓"),"✓"))))))))))</f>
        <v/>
      </c>
      <c r="E300" s="235"/>
      <c r="F300" s="236"/>
      <c r="G300" s="90"/>
      <c r="H300" s="239"/>
      <c r="I300" s="89"/>
      <c r="J300" s="142"/>
      <c r="K300" s="90"/>
      <c r="L300" s="90"/>
      <c r="M300" s="90"/>
      <c r="N300" s="89"/>
      <c r="O300" s="200"/>
      <c r="P300" s="201"/>
      <c r="Q300" s="201"/>
      <c r="R300" s="237"/>
      <c r="S300" s="202"/>
      <c r="T300" s="200"/>
      <c r="U300" s="203"/>
      <c r="V300" s="89"/>
      <c r="W300" s="89"/>
      <c r="X300" s="145"/>
      <c r="Y300" s="89"/>
      <c r="Z300" s="90"/>
      <c r="AA300" s="90"/>
      <c r="AB300" s="90"/>
      <c r="AC300" s="90"/>
      <c r="AD300" s="92"/>
      <c r="AE300" s="149" t="str">
        <f>IFERROR(VLOOKUP(Z300,LISTS!$AL$2:$AM$1000,2,FALSE()),"")</f>
        <v/>
      </c>
      <c r="AF300" s="151" t="str">
        <f>IFERROR(VLOOKUP(AA300,LISTS!$AO$2:$AP$1000,2,FALSE()),"")</f>
        <v/>
      </c>
      <c r="AG300" s="152" t="str">
        <f>IFERROR(VLOOKUP(AB300,LISTS!$AR$2:$AS$1000,2,FALSE()),"")</f>
        <v/>
      </c>
      <c r="AH300" s="154" t="str">
        <f>IFERROR(VLOOKUP(AC300,LISTS!$AU$2:$AV$1000,2,FALSE()),"")</f>
        <v/>
      </c>
      <c r="AI300" s="238" t="str">
        <f t="shared" si="23"/>
        <v>—</v>
      </c>
      <c r="AJ300" s="190" t="str">
        <f t="shared" si="24"/>
        <v>—</v>
      </c>
      <c r="AK300" s="157" t="str">
        <f t="shared" si="25"/>
        <v/>
      </c>
      <c r="AL300" s="160" t="str">
        <f t="shared" si="26"/>
        <v/>
      </c>
      <c r="AM300" s="210"/>
      <c r="AN300" s="209"/>
    </row>
    <row r="301" spans="1:40" ht="27.95" customHeight="1">
      <c r="A301" s="134" t="str">
        <f>IF(I301&lt;&gt;"",COUNTA($I$2:I301),"")</f>
        <v/>
      </c>
      <c r="B301" s="138" t="str">
        <f t="shared" si="27"/>
        <v/>
      </c>
      <c r="C301" s="93" t="str">
        <f t="array" ref="C301">IF(E301="","",IF(M301&lt;&gt;"",
M301&amp;"/"&amp;SUMPRODUCT((M$2:M301=M301)*1)&amp;" - "&amp;(ROW()-2),
"إداري/"&amp;SUMPRODUCT((M$2:M301="")*1)&amp;" - "&amp;(ROW()-2)))</f>
        <v/>
      </c>
      <c r="D301" s="141" t="str">
        <f>IF(AND(G301="",H301="",I301=""),"",IF(COUNTIFS(LISTS!$A$2:$A$67,G301,LISTS!$B$2:$B$67,H301,LISTS!$C$2:$C$67,I301)=0,"✗ هرم",IF(NOT(OR(Z301="ممتاز 100%",Z301="جيد 80%",Z301="مقبول 60%",Z301="خطر 40%",Z301="")),"✗ قائمة R",IF(NOT(OR(AA301="ممتاز 100%",AA301="جيد 85%",AA301="مقبول 70%",AA301="ضعيف 50%",AA301="")),"✗ قائمة S",IF(NOT(OR(AB301="مكتمل 100%",AB301="جزئي 60%",AB301="معلق 30%",AB301="مفتوح 0%",AB301="")),"✗ قائمة T",IF(NOT(OR(AC301="لا خصم 0",AC301="تأخير −5",AC301="عجز −10",AC301="جودة −15",AC301="امتثال −20",AC301="مخالفة −25",AC301="")),"✗ قائمة U",IF(AND(X301="لا",AC301&lt;&gt;"",AC301&lt;&gt;"لا خصم 0"),"✗ خصم",IF(AND(X301="نعم",AC301="لا خصم 0"),"✗ خصم",IF(AND(Z301="ممتاز 100%",AA301="ممتاز 100%",AB301&lt;&gt;"",AB301&lt;&gt;"مكتمل 100%"),"✗ إغلاق",IFERROR(IF(LEN(_xlfn.TEXTJOIN("، ",TRUE,IF(E301="","التاريخ",""),IF(F301="","الوقت",""),IF(G301="","المركز",""),IF(H301="","الدائرة",""),IF(I301="","القسم",""),IF(J301="","المسؤول",""),IF(K301="","نوع النشاط",""),IF(L301="","المشروع",""),IF(N301="","الممول",""),IF(V301="","الموضوع",""),IF(W301="","الملاحظة",""),IF(X301="","مشكلة",""),IF(Y301="","الإجراء",""),IF(Z301="","التنفيذ",""),IF(AA301="","الجودة",""),IF(AB301="","الإغلاق",""),IF(AC301="","الخصم",""),IF(AND(COUNTA($O301:$U301)&gt;0,O301=""),"مدير المشروع",""),IF(AND(COUNTA($O301:$U301)&gt;0,P301=""),"المستفيدين",""),IF(AND(COUNTA($O301:$U301)&gt;0,Q301=""),"المناطق",""),IF(AND(COUNTA($O301:$U301)&gt;0,R301=""),"الميزانية",""),IF(AND(COUNTA($O301:$U301)&gt;0,S301=""),"نسبة الجاهزية",""),IF(AND(COUNTA($O301:$U301)&gt;0,T301=""),"حالة الجاهزية",""),IF(AND(COUNTA($O301:$U301)&gt;0,U301=""),"التوصيات","")))&gt;0,"✗ ناقص: "&amp;_xlfn.TEXTJOIN("، ",TRUE,IF(E301="","التاريخ",""),IF(F301="","الوقت",""),IF(G301="","المركز",""),IF(H301="","الدائرة",""),IF(I301="","القسم",""),IF(J301="","المسؤول",""),IF(K301="","نوع النشاط",""),IF(L301="","المشروع",""),IF(N301="","الممول",""),IF(V301="","الموضوع",""),IF(W301="","الملاحظة",""),IF(X301="","مشكلة",""),IF(Y301="","الإجراء",""),IF(Z301="","التنفيذ",""),IF(AA301="","الجودة",""),IF(AB301="","الإغلاق",""),IF(AC301="","الخصم",""),IF(AND(COUNTA($O301:$U301)&gt;0,O301=""),"مدير المشروع",""),IF(AND(COUNTA($O301:$U301)&gt;0,P301=""),"المستفيدين",""),IF(AND(COUNTA($O301:$U301)&gt;0,Q301=""),"المناطق",""),IF(AND(COUNTA($O301:$U301)&gt;0,R301=""),"الميزانية",""),IF(AND(COUNTA($O301:$U301)&gt;0,S301=""),"نسبة الجاهزية",""),IF(AND(COUNTA($O301:$U301)&gt;0,T301=""),"حالة الجاهزية",""),IF(AND(COUNTA($O301:$U301)&gt;0,U301=""),"التوصيات","")),"✓"),"✓"))))))))))</f>
        <v/>
      </c>
      <c r="E301" s="235"/>
      <c r="F301" s="236"/>
      <c r="G301" s="90"/>
      <c r="H301" s="239"/>
      <c r="I301" s="89"/>
      <c r="J301" s="142"/>
      <c r="K301" s="90"/>
      <c r="L301" s="90"/>
      <c r="M301" s="90"/>
      <c r="N301" s="89"/>
      <c r="O301" s="200"/>
      <c r="P301" s="201"/>
      <c r="Q301" s="201"/>
      <c r="R301" s="237"/>
      <c r="S301" s="202"/>
      <c r="T301" s="200"/>
      <c r="U301" s="203"/>
      <c r="V301" s="89"/>
      <c r="W301" s="89"/>
      <c r="X301" s="145"/>
      <c r="Y301" s="89"/>
      <c r="Z301" s="90"/>
      <c r="AA301" s="90"/>
      <c r="AB301" s="90"/>
      <c r="AC301" s="90"/>
      <c r="AD301" s="92"/>
      <c r="AE301" s="149" t="str">
        <f>IFERROR(VLOOKUP(Z301,LISTS!$AL$2:$AM$1000,2,FALSE()),"")</f>
        <v/>
      </c>
      <c r="AF301" s="151" t="str">
        <f>IFERROR(VLOOKUP(AA301,LISTS!$AO$2:$AP$1000,2,FALSE()),"")</f>
        <v/>
      </c>
      <c r="AG301" s="152" t="str">
        <f>IFERROR(VLOOKUP(AB301,LISTS!$AR$2:$AS$1000,2,FALSE()),"")</f>
        <v/>
      </c>
      <c r="AH301" s="154" t="str">
        <f>IFERROR(VLOOKUP(AC301,LISTS!$AU$2:$AV$1000,2,FALSE()),"")</f>
        <v/>
      </c>
      <c r="AI301" s="238" t="str">
        <f t="shared" si="23"/>
        <v>—</v>
      </c>
      <c r="AJ301" s="190" t="str">
        <f t="shared" si="24"/>
        <v>—</v>
      </c>
      <c r="AK301" s="157" t="str">
        <f t="shared" si="25"/>
        <v/>
      </c>
      <c r="AL301" s="160" t="str">
        <f t="shared" si="26"/>
        <v/>
      </c>
      <c r="AM301" s="210"/>
      <c r="AN301" s="209"/>
    </row>
    <row r="302" spans="1:40" ht="27.95" customHeight="1">
      <c r="A302" s="134" t="str">
        <f>IF(I302&lt;&gt;"",COUNTA($I$2:I302),"")</f>
        <v/>
      </c>
      <c r="B302" s="138" t="str">
        <f t="shared" si="27"/>
        <v/>
      </c>
      <c r="C302" s="93" t="str">
        <f t="array" ref="C302">IF(E302="","",IF(M302&lt;&gt;"",
M302&amp;"/"&amp;SUMPRODUCT((M$2:M302=M302)*1)&amp;" - "&amp;(ROW()-2),
"إداري/"&amp;SUMPRODUCT((M$2:M302="")*1)&amp;" - "&amp;(ROW()-2)))</f>
        <v/>
      </c>
      <c r="D302" s="141" t="str">
        <f>IF(AND(G302="",H302="",I302=""),"",IF(COUNTIFS(LISTS!$A$2:$A$67,G302,LISTS!$B$2:$B$67,H302,LISTS!$C$2:$C$67,I302)=0,"✗ هرم",IF(NOT(OR(Z302="ممتاز 100%",Z302="جيد 80%",Z302="مقبول 60%",Z302="خطر 40%",Z302="")),"✗ قائمة R",IF(NOT(OR(AA302="ممتاز 100%",AA302="جيد 85%",AA302="مقبول 70%",AA302="ضعيف 50%",AA302="")),"✗ قائمة S",IF(NOT(OR(AB302="مكتمل 100%",AB302="جزئي 60%",AB302="معلق 30%",AB302="مفتوح 0%",AB302="")),"✗ قائمة T",IF(NOT(OR(AC302="لا خصم 0",AC302="تأخير −5",AC302="عجز −10",AC302="جودة −15",AC302="امتثال −20",AC302="مخالفة −25",AC302="")),"✗ قائمة U",IF(AND(X302="لا",AC302&lt;&gt;"",AC302&lt;&gt;"لا خصم 0"),"✗ خصم",IF(AND(X302="نعم",AC302="لا خصم 0"),"✗ خصم",IF(AND(Z302="ممتاز 100%",AA302="ممتاز 100%",AB302&lt;&gt;"",AB302&lt;&gt;"مكتمل 100%"),"✗ إغلاق",IFERROR(IF(LEN(_xlfn.TEXTJOIN("، ",TRUE,IF(E302="","التاريخ",""),IF(F302="","الوقت",""),IF(G302="","المركز",""),IF(H302="","الدائرة",""),IF(I302="","القسم",""),IF(J302="","المسؤول",""),IF(K302="","نوع النشاط",""),IF(L302="","المشروع",""),IF(N302="","الممول",""),IF(V302="","الموضوع",""),IF(W302="","الملاحظة",""),IF(X302="","مشكلة",""),IF(Y302="","الإجراء",""),IF(Z302="","التنفيذ",""),IF(AA302="","الجودة",""),IF(AB302="","الإغلاق",""),IF(AC302="","الخصم",""),IF(AND(COUNTA($O302:$U302)&gt;0,O302=""),"مدير المشروع",""),IF(AND(COUNTA($O302:$U302)&gt;0,P302=""),"المستفيدين",""),IF(AND(COUNTA($O302:$U302)&gt;0,Q302=""),"المناطق",""),IF(AND(COUNTA($O302:$U302)&gt;0,R302=""),"الميزانية",""),IF(AND(COUNTA($O302:$U302)&gt;0,S302=""),"نسبة الجاهزية",""),IF(AND(COUNTA($O302:$U302)&gt;0,T302=""),"حالة الجاهزية",""),IF(AND(COUNTA($O302:$U302)&gt;0,U302=""),"التوصيات","")))&gt;0,"✗ ناقص: "&amp;_xlfn.TEXTJOIN("، ",TRUE,IF(E302="","التاريخ",""),IF(F302="","الوقت",""),IF(G302="","المركز",""),IF(H302="","الدائرة",""),IF(I302="","القسم",""),IF(J302="","المسؤول",""),IF(K302="","نوع النشاط",""),IF(L302="","المشروع",""),IF(N302="","الممول",""),IF(V302="","الموضوع",""),IF(W302="","الملاحظة",""),IF(X302="","مشكلة",""),IF(Y302="","الإجراء",""),IF(Z302="","التنفيذ",""),IF(AA302="","الجودة",""),IF(AB302="","الإغلاق",""),IF(AC302="","الخصم",""),IF(AND(COUNTA($O302:$U302)&gt;0,O302=""),"مدير المشروع",""),IF(AND(COUNTA($O302:$U302)&gt;0,P302=""),"المستفيدين",""),IF(AND(COUNTA($O302:$U302)&gt;0,Q302=""),"المناطق",""),IF(AND(COUNTA($O302:$U302)&gt;0,R302=""),"الميزانية",""),IF(AND(COUNTA($O302:$U302)&gt;0,S302=""),"نسبة الجاهزية",""),IF(AND(COUNTA($O302:$U302)&gt;0,T302=""),"حالة الجاهزية",""),IF(AND(COUNTA($O302:$U302)&gt;0,U302=""),"التوصيات","")),"✓"),"✓"))))))))))</f>
        <v/>
      </c>
      <c r="E302" s="235"/>
      <c r="F302" s="236"/>
      <c r="G302" s="90"/>
      <c r="H302" s="239"/>
      <c r="I302" s="89"/>
      <c r="J302" s="142"/>
      <c r="K302" s="90"/>
      <c r="L302" s="90"/>
      <c r="M302" s="90"/>
      <c r="N302" s="89"/>
      <c r="O302" s="200"/>
      <c r="P302" s="201"/>
      <c r="Q302" s="201"/>
      <c r="R302" s="237"/>
      <c r="S302" s="202"/>
      <c r="T302" s="200"/>
      <c r="U302" s="203"/>
      <c r="V302" s="89"/>
      <c r="W302" s="89"/>
      <c r="X302" s="145"/>
      <c r="Y302" s="89"/>
      <c r="Z302" s="90"/>
      <c r="AA302" s="90"/>
      <c r="AB302" s="90"/>
      <c r="AC302" s="90"/>
      <c r="AD302" s="92"/>
      <c r="AE302" s="149" t="str">
        <f>IFERROR(VLOOKUP(Z302,LISTS!$AL$2:$AM$1000,2,FALSE()),"")</f>
        <v/>
      </c>
      <c r="AF302" s="151" t="str">
        <f>IFERROR(VLOOKUP(AA302,LISTS!$AO$2:$AP$1000,2,FALSE()),"")</f>
        <v/>
      </c>
      <c r="AG302" s="152" t="str">
        <f>IFERROR(VLOOKUP(AB302,LISTS!$AR$2:$AS$1000,2,FALSE()),"")</f>
        <v/>
      </c>
      <c r="AH302" s="154" t="str">
        <f>IFERROR(VLOOKUP(AC302,LISTS!$AU$2:$AV$1000,2,FALSE()),"")</f>
        <v/>
      </c>
      <c r="AI302" s="238" t="str">
        <f t="shared" si="23"/>
        <v>—</v>
      </c>
      <c r="AJ302" s="190" t="str">
        <f t="shared" si="24"/>
        <v>—</v>
      </c>
      <c r="AK302" s="157" t="str">
        <f t="shared" si="25"/>
        <v/>
      </c>
      <c r="AL302" s="160" t="str">
        <f t="shared" si="26"/>
        <v/>
      </c>
      <c r="AM302" s="210"/>
      <c r="AN302" s="209"/>
    </row>
    <row r="303" spans="1:40" ht="27.95" customHeight="1">
      <c r="A303" s="134" t="str">
        <f>IF(I303&lt;&gt;"",COUNTA($I$2:I303),"")</f>
        <v/>
      </c>
      <c r="B303" s="138" t="str">
        <f t="shared" si="27"/>
        <v/>
      </c>
      <c r="C303" s="93" t="str">
        <f t="array" ref="C303">IF(E303="","",IF(M303&lt;&gt;"",
M303&amp;"/"&amp;SUMPRODUCT((M$2:M303=M303)*1)&amp;" - "&amp;(ROW()-2),
"إداري/"&amp;SUMPRODUCT((M$2:M303="")*1)&amp;" - "&amp;(ROW()-2)))</f>
        <v/>
      </c>
      <c r="D303" s="141" t="str">
        <f>IF(AND(G303="",H303="",I303=""),"",IF(COUNTIFS(LISTS!$A$2:$A$67,G303,LISTS!$B$2:$B$67,H303,LISTS!$C$2:$C$67,I303)=0,"✗ هرم",IF(NOT(OR(Z303="ممتاز 100%",Z303="جيد 80%",Z303="مقبول 60%",Z303="خطر 40%",Z303="")),"✗ قائمة R",IF(NOT(OR(AA303="ممتاز 100%",AA303="جيد 85%",AA303="مقبول 70%",AA303="ضعيف 50%",AA303="")),"✗ قائمة S",IF(NOT(OR(AB303="مكتمل 100%",AB303="جزئي 60%",AB303="معلق 30%",AB303="مفتوح 0%",AB303="")),"✗ قائمة T",IF(NOT(OR(AC303="لا خصم 0",AC303="تأخير −5",AC303="عجز −10",AC303="جودة −15",AC303="امتثال −20",AC303="مخالفة −25",AC303="")),"✗ قائمة U",IF(AND(X303="لا",AC303&lt;&gt;"",AC303&lt;&gt;"لا خصم 0"),"✗ خصم",IF(AND(X303="نعم",AC303="لا خصم 0"),"✗ خصم",IF(AND(Z303="ممتاز 100%",AA303="ممتاز 100%",AB303&lt;&gt;"",AB303&lt;&gt;"مكتمل 100%"),"✗ إغلاق",IFERROR(IF(LEN(_xlfn.TEXTJOIN("، ",TRUE,IF(E303="","التاريخ",""),IF(F303="","الوقت",""),IF(G303="","المركز",""),IF(H303="","الدائرة",""),IF(I303="","القسم",""),IF(J303="","المسؤول",""),IF(K303="","نوع النشاط",""),IF(L303="","المشروع",""),IF(N303="","الممول",""),IF(V303="","الموضوع",""),IF(W303="","الملاحظة",""),IF(X303="","مشكلة",""),IF(Y303="","الإجراء",""),IF(Z303="","التنفيذ",""),IF(AA303="","الجودة",""),IF(AB303="","الإغلاق",""),IF(AC303="","الخصم",""),IF(AND(COUNTA($O303:$U303)&gt;0,O303=""),"مدير المشروع",""),IF(AND(COUNTA($O303:$U303)&gt;0,P303=""),"المستفيدين",""),IF(AND(COUNTA($O303:$U303)&gt;0,Q303=""),"المناطق",""),IF(AND(COUNTA($O303:$U303)&gt;0,R303=""),"الميزانية",""),IF(AND(COUNTA($O303:$U303)&gt;0,S303=""),"نسبة الجاهزية",""),IF(AND(COUNTA($O303:$U303)&gt;0,T303=""),"حالة الجاهزية",""),IF(AND(COUNTA($O303:$U303)&gt;0,U303=""),"التوصيات","")))&gt;0,"✗ ناقص: "&amp;_xlfn.TEXTJOIN("، ",TRUE,IF(E303="","التاريخ",""),IF(F303="","الوقت",""),IF(G303="","المركز",""),IF(H303="","الدائرة",""),IF(I303="","القسم",""),IF(J303="","المسؤول",""),IF(K303="","نوع النشاط",""),IF(L303="","المشروع",""),IF(N303="","الممول",""),IF(V303="","الموضوع",""),IF(W303="","الملاحظة",""),IF(X303="","مشكلة",""),IF(Y303="","الإجراء",""),IF(Z303="","التنفيذ",""),IF(AA303="","الجودة",""),IF(AB303="","الإغلاق",""),IF(AC303="","الخصم",""),IF(AND(COUNTA($O303:$U303)&gt;0,O303=""),"مدير المشروع",""),IF(AND(COUNTA($O303:$U303)&gt;0,P303=""),"المستفيدين",""),IF(AND(COUNTA($O303:$U303)&gt;0,Q303=""),"المناطق",""),IF(AND(COUNTA($O303:$U303)&gt;0,R303=""),"الميزانية",""),IF(AND(COUNTA($O303:$U303)&gt;0,S303=""),"نسبة الجاهزية",""),IF(AND(COUNTA($O303:$U303)&gt;0,T303=""),"حالة الجاهزية",""),IF(AND(COUNTA($O303:$U303)&gt;0,U303=""),"التوصيات","")),"✓"),"✓"))))))))))</f>
        <v/>
      </c>
      <c r="E303" s="235"/>
      <c r="F303" s="236"/>
      <c r="G303" s="90"/>
      <c r="H303" s="239"/>
      <c r="I303" s="89"/>
      <c r="J303" s="142"/>
      <c r="K303" s="90"/>
      <c r="L303" s="90"/>
      <c r="M303" s="90"/>
      <c r="N303" s="89"/>
      <c r="O303" s="200"/>
      <c r="P303" s="201"/>
      <c r="Q303" s="201"/>
      <c r="R303" s="237"/>
      <c r="S303" s="202"/>
      <c r="T303" s="200"/>
      <c r="U303" s="203"/>
      <c r="V303" s="89"/>
      <c r="W303" s="89"/>
      <c r="X303" s="145"/>
      <c r="Y303" s="89"/>
      <c r="Z303" s="90"/>
      <c r="AA303" s="90"/>
      <c r="AB303" s="90"/>
      <c r="AC303" s="90"/>
      <c r="AD303" s="92"/>
      <c r="AE303" s="149" t="str">
        <f>IFERROR(VLOOKUP(Z303,LISTS!$AL$2:$AM$1000,2,FALSE()),"")</f>
        <v/>
      </c>
      <c r="AF303" s="151" t="str">
        <f>IFERROR(VLOOKUP(AA303,LISTS!$AO$2:$AP$1000,2,FALSE()),"")</f>
        <v/>
      </c>
      <c r="AG303" s="152" t="str">
        <f>IFERROR(VLOOKUP(AB303,LISTS!$AR$2:$AS$1000,2,FALSE()),"")</f>
        <v/>
      </c>
      <c r="AH303" s="154" t="str">
        <f>IFERROR(VLOOKUP(AC303,LISTS!$AU$2:$AV$1000,2,FALSE()),"")</f>
        <v/>
      </c>
      <c r="AI303" s="238" t="str">
        <f t="shared" si="23"/>
        <v>—</v>
      </c>
      <c r="AJ303" s="190" t="str">
        <f t="shared" si="24"/>
        <v>—</v>
      </c>
      <c r="AK303" s="157" t="str">
        <f t="shared" si="25"/>
        <v/>
      </c>
      <c r="AL303" s="160" t="str">
        <f t="shared" si="26"/>
        <v/>
      </c>
      <c r="AM303" s="210"/>
      <c r="AN303" s="209"/>
    </row>
    <row r="304" spans="1:40" ht="27.95" customHeight="1">
      <c r="A304" s="134" t="str">
        <f>IF(I304&lt;&gt;"",COUNTA($I$2:I304),"")</f>
        <v/>
      </c>
      <c r="B304" s="138" t="str">
        <f t="shared" si="27"/>
        <v/>
      </c>
      <c r="C304" s="93" t="str">
        <f t="array" ref="C304">IF(E304="","",IF(M304&lt;&gt;"",
M304&amp;"/"&amp;SUMPRODUCT((M$2:M304=M304)*1)&amp;" - "&amp;(ROW()-2),
"إداري/"&amp;SUMPRODUCT((M$2:M304="")*1)&amp;" - "&amp;(ROW()-2)))</f>
        <v/>
      </c>
      <c r="D304" s="141" t="str">
        <f>IF(AND(G304="",H304="",I304=""),"",IF(COUNTIFS(LISTS!$A$2:$A$67,G304,LISTS!$B$2:$B$67,H304,LISTS!$C$2:$C$67,I304)=0,"✗ هرم",IF(NOT(OR(Z304="ممتاز 100%",Z304="جيد 80%",Z304="مقبول 60%",Z304="خطر 40%",Z304="")),"✗ قائمة R",IF(NOT(OR(AA304="ممتاز 100%",AA304="جيد 85%",AA304="مقبول 70%",AA304="ضعيف 50%",AA304="")),"✗ قائمة S",IF(NOT(OR(AB304="مكتمل 100%",AB304="جزئي 60%",AB304="معلق 30%",AB304="مفتوح 0%",AB304="")),"✗ قائمة T",IF(NOT(OR(AC304="لا خصم 0",AC304="تأخير −5",AC304="عجز −10",AC304="جودة −15",AC304="امتثال −20",AC304="مخالفة −25",AC304="")),"✗ قائمة U",IF(AND(X304="لا",AC304&lt;&gt;"",AC304&lt;&gt;"لا خصم 0"),"✗ خصم",IF(AND(X304="نعم",AC304="لا خصم 0"),"✗ خصم",IF(AND(Z304="ممتاز 100%",AA304="ممتاز 100%",AB304&lt;&gt;"",AB304&lt;&gt;"مكتمل 100%"),"✗ إغلاق",IFERROR(IF(LEN(_xlfn.TEXTJOIN("، ",TRUE,IF(E304="","التاريخ",""),IF(F304="","الوقت",""),IF(G304="","المركز",""),IF(H304="","الدائرة",""),IF(I304="","القسم",""),IF(J304="","المسؤول",""),IF(K304="","نوع النشاط",""),IF(L304="","المشروع",""),IF(N304="","الممول",""),IF(V304="","الموضوع",""),IF(W304="","الملاحظة",""),IF(X304="","مشكلة",""),IF(Y304="","الإجراء",""),IF(Z304="","التنفيذ",""),IF(AA304="","الجودة",""),IF(AB304="","الإغلاق",""),IF(AC304="","الخصم",""),IF(AND(COUNTA($O304:$U304)&gt;0,O304=""),"مدير المشروع",""),IF(AND(COUNTA($O304:$U304)&gt;0,P304=""),"المستفيدين",""),IF(AND(COUNTA($O304:$U304)&gt;0,Q304=""),"المناطق",""),IF(AND(COUNTA($O304:$U304)&gt;0,R304=""),"الميزانية",""),IF(AND(COUNTA($O304:$U304)&gt;0,S304=""),"نسبة الجاهزية",""),IF(AND(COUNTA($O304:$U304)&gt;0,T304=""),"حالة الجاهزية",""),IF(AND(COUNTA($O304:$U304)&gt;0,U304=""),"التوصيات","")))&gt;0,"✗ ناقص: "&amp;_xlfn.TEXTJOIN("، ",TRUE,IF(E304="","التاريخ",""),IF(F304="","الوقت",""),IF(G304="","المركز",""),IF(H304="","الدائرة",""),IF(I304="","القسم",""),IF(J304="","المسؤول",""),IF(K304="","نوع النشاط",""),IF(L304="","المشروع",""),IF(N304="","الممول",""),IF(V304="","الموضوع",""),IF(W304="","الملاحظة",""),IF(X304="","مشكلة",""),IF(Y304="","الإجراء",""),IF(Z304="","التنفيذ",""),IF(AA304="","الجودة",""),IF(AB304="","الإغلاق",""),IF(AC304="","الخصم",""),IF(AND(COUNTA($O304:$U304)&gt;0,O304=""),"مدير المشروع",""),IF(AND(COUNTA($O304:$U304)&gt;0,P304=""),"المستفيدين",""),IF(AND(COUNTA($O304:$U304)&gt;0,Q304=""),"المناطق",""),IF(AND(COUNTA($O304:$U304)&gt;0,R304=""),"الميزانية",""),IF(AND(COUNTA($O304:$U304)&gt;0,S304=""),"نسبة الجاهزية",""),IF(AND(COUNTA($O304:$U304)&gt;0,T304=""),"حالة الجاهزية",""),IF(AND(COUNTA($O304:$U304)&gt;0,U304=""),"التوصيات","")),"✓"),"✓"))))))))))</f>
        <v/>
      </c>
      <c r="E304" s="235"/>
      <c r="F304" s="236"/>
      <c r="G304" s="90"/>
      <c r="H304" s="239"/>
      <c r="I304" s="89"/>
      <c r="J304" s="142"/>
      <c r="K304" s="90"/>
      <c r="L304" s="90"/>
      <c r="M304" s="90"/>
      <c r="N304" s="89"/>
      <c r="O304" s="200"/>
      <c r="P304" s="201"/>
      <c r="Q304" s="201"/>
      <c r="R304" s="237"/>
      <c r="S304" s="202"/>
      <c r="T304" s="200"/>
      <c r="U304" s="203"/>
      <c r="V304" s="89"/>
      <c r="W304" s="89"/>
      <c r="X304" s="145"/>
      <c r="Y304" s="89"/>
      <c r="Z304" s="90"/>
      <c r="AA304" s="90"/>
      <c r="AB304" s="90"/>
      <c r="AC304" s="90"/>
      <c r="AD304" s="92"/>
      <c r="AE304" s="149" t="str">
        <f>IFERROR(VLOOKUP(Z304,LISTS!$AL$2:$AM$1000,2,FALSE()),"")</f>
        <v/>
      </c>
      <c r="AF304" s="151" t="str">
        <f>IFERROR(VLOOKUP(AA304,LISTS!$AO$2:$AP$1000,2,FALSE()),"")</f>
        <v/>
      </c>
      <c r="AG304" s="152" t="str">
        <f>IFERROR(VLOOKUP(AB304,LISTS!$AR$2:$AS$1000,2,FALSE()),"")</f>
        <v/>
      </c>
      <c r="AH304" s="154" t="str">
        <f>IFERROR(VLOOKUP(AC304,LISTS!$AU$2:$AV$1000,2,FALSE()),"")</f>
        <v/>
      </c>
      <c r="AI304" s="238" t="str">
        <f t="shared" si="23"/>
        <v>—</v>
      </c>
      <c r="AJ304" s="190" t="str">
        <f t="shared" si="24"/>
        <v>—</v>
      </c>
      <c r="AK304" s="157" t="str">
        <f t="shared" si="25"/>
        <v/>
      </c>
      <c r="AL304" s="160" t="str">
        <f t="shared" si="26"/>
        <v/>
      </c>
      <c r="AM304" s="210"/>
      <c r="AN304" s="209"/>
    </row>
    <row r="305" spans="1:40" ht="27.95" customHeight="1">
      <c r="A305" s="134" t="str">
        <f>IF(I305&lt;&gt;"",COUNTA($I$2:I305),"")</f>
        <v/>
      </c>
      <c r="B305" s="138" t="str">
        <f t="shared" si="27"/>
        <v/>
      </c>
      <c r="C305" s="93" t="str">
        <f t="array" ref="C305">IF(E305="","",IF(M305&lt;&gt;"",
M305&amp;"/"&amp;SUMPRODUCT((M$2:M305=M305)*1)&amp;" - "&amp;(ROW()-2),
"إداري/"&amp;SUMPRODUCT((M$2:M305="")*1)&amp;" - "&amp;(ROW()-2)))</f>
        <v/>
      </c>
      <c r="D305" s="141" t="str">
        <f>IF(AND(G305="",H305="",I305=""),"",IF(COUNTIFS(LISTS!$A$2:$A$67,G305,LISTS!$B$2:$B$67,H305,LISTS!$C$2:$C$67,I305)=0,"✗ هرم",IF(NOT(OR(Z305="ممتاز 100%",Z305="جيد 80%",Z305="مقبول 60%",Z305="خطر 40%",Z305="")),"✗ قائمة R",IF(NOT(OR(AA305="ممتاز 100%",AA305="جيد 85%",AA305="مقبول 70%",AA305="ضعيف 50%",AA305="")),"✗ قائمة S",IF(NOT(OR(AB305="مكتمل 100%",AB305="جزئي 60%",AB305="معلق 30%",AB305="مفتوح 0%",AB305="")),"✗ قائمة T",IF(NOT(OR(AC305="لا خصم 0",AC305="تأخير −5",AC305="عجز −10",AC305="جودة −15",AC305="امتثال −20",AC305="مخالفة −25",AC305="")),"✗ قائمة U",IF(AND(X305="لا",AC305&lt;&gt;"",AC305&lt;&gt;"لا خصم 0"),"✗ خصم",IF(AND(X305="نعم",AC305="لا خصم 0"),"✗ خصم",IF(AND(Z305="ممتاز 100%",AA305="ممتاز 100%",AB305&lt;&gt;"",AB305&lt;&gt;"مكتمل 100%"),"✗ إغلاق",IFERROR(IF(LEN(_xlfn.TEXTJOIN("، ",TRUE,IF(E305="","التاريخ",""),IF(F305="","الوقت",""),IF(G305="","المركز",""),IF(H305="","الدائرة",""),IF(I305="","القسم",""),IF(J305="","المسؤول",""),IF(K305="","نوع النشاط",""),IF(L305="","المشروع",""),IF(N305="","الممول",""),IF(V305="","الموضوع",""),IF(W305="","الملاحظة",""),IF(X305="","مشكلة",""),IF(Y305="","الإجراء",""),IF(Z305="","التنفيذ",""),IF(AA305="","الجودة",""),IF(AB305="","الإغلاق",""),IF(AC305="","الخصم",""),IF(AND(COUNTA($O305:$U305)&gt;0,O305=""),"مدير المشروع",""),IF(AND(COUNTA($O305:$U305)&gt;0,P305=""),"المستفيدين",""),IF(AND(COUNTA($O305:$U305)&gt;0,Q305=""),"المناطق",""),IF(AND(COUNTA($O305:$U305)&gt;0,R305=""),"الميزانية",""),IF(AND(COUNTA($O305:$U305)&gt;0,S305=""),"نسبة الجاهزية",""),IF(AND(COUNTA($O305:$U305)&gt;0,T305=""),"حالة الجاهزية",""),IF(AND(COUNTA($O305:$U305)&gt;0,U305=""),"التوصيات","")))&gt;0,"✗ ناقص: "&amp;_xlfn.TEXTJOIN("، ",TRUE,IF(E305="","التاريخ",""),IF(F305="","الوقت",""),IF(G305="","المركز",""),IF(H305="","الدائرة",""),IF(I305="","القسم",""),IF(J305="","المسؤول",""),IF(K305="","نوع النشاط",""),IF(L305="","المشروع",""),IF(N305="","الممول",""),IF(V305="","الموضوع",""),IF(W305="","الملاحظة",""),IF(X305="","مشكلة",""),IF(Y305="","الإجراء",""),IF(Z305="","التنفيذ",""),IF(AA305="","الجودة",""),IF(AB305="","الإغلاق",""),IF(AC305="","الخصم",""),IF(AND(COUNTA($O305:$U305)&gt;0,O305=""),"مدير المشروع",""),IF(AND(COUNTA($O305:$U305)&gt;0,P305=""),"المستفيدين",""),IF(AND(COUNTA($O305:$U305)&gt;0,Q305=""),"المناطق",""),IF(AND(COUNTA($O305:$U305)&gt;0,R305=""),"الميزانية",""),IF(AND(COUNTA($O305:$U305)&gt;0,S305=""),"نسبة الجاهزية",""),IF(AND(COUNTA($O305:$U305)&gt;0,T305=""),"حالة الجاهزية",""),IF(AND(COUNTA($O305:$U305)&gt;0,U305=""),"التوصيات","")),"✓"),"✓"))))))))))</f>
        <v/>
      </c>
      <c r="E305" s="235"/>
      <c r="F305" s="236"/>
      <c r="G305" s="90"/>
      <c r="H305" s="239"/>
      <c r="I305" s="89"/>
      <c r="J305" s="142"/>
      <c r="K305" s="90"/>
      <c r="L305" s="90"/>
      <c r="M305" s="90"/>
      <c r="N305" s="89"/>
      <c r="O305" s="200"/>
      <c r="P305" s="201"/>
      <c r="Q305" s="201"/>
      <c r="R305" s="237"/>
      <c r="S305" s="202"/>
      <c r="T305" s="200"/>
      <c r="U305" s="203"/>
      <c r="V305" s="89"/>
      <c r="W305" s="89"/>
      <c r="X305" s="145"/>
      <c r="Y305" s="89"/>
      <c r="Z305" s="90"/>
      <c r="AA305" s="90"/>
      <c r="AB305" s="90"/>
      <c r="AC305" s="90"/>
      <c r="AD305" s="92"/>
      <c r="AE305" s="149" t="str">
        <f>IFERROR(VLOOKUP(Z305,LISTS!$AL$2:$AM$1000,2,FALSE()),"")</f>
        <v/>
      </c>
      <c r="AF305" s="151" t="str">
        <f>IFERROR(VLOOKUP(AA305,LISTS!$AO$2:$AP$1000,2,FALSE()),"")</f>
        <v/>
      </c>
      <c r="AG305" s="152" t="str">
        <f>IFERROR(VLOOKUP(AB305,LISTS!$AR$2:$AS$1000,2,FALSE()),"")</f>
        <v/>
      </c>
      <c r="AH305" s="154" t="str">
        <f>IFERROR(VLOOKUP(AC305,LISTS!$AU$2:$AV$1000,2,FALSE()),"")</f>
        <v/>
      </c>
      <c r="AI305" s="238" t="str">
        <f t="shared" si="23"/>
        <v>—</v>
      </c>
      <c r="AJ305" s="190" t="str">
        <f t="shared" si="24"/>
        <v>—</v>
      </c>
      <c r="AK305" s="157" t="str">
        <f t="shared" si="25"/>
        <v/>
      </c>
      <c r="AL305" s="160" t="str">
        <f t="shared" si="26"/>
        <v/>
      </c>
      <c r="AM305" s="210"/>
      <c r="AN305" s="209"/>
    </row>
    <row r="306" spans="1:40" ht="27.95" customHeight="1">
      <c r="A306" s="134" t="str">
        <f>IF(I306&lt;&gt;"",COUNTA($I$2:I306),"")</f>
        <v/>
      </c>
      <c r="B306" s="138" t="str">
        <f t="shared" si="27"/>
        <v/>
      </c>
      <c r="C306" s="93" t="str">
        <f t="array" ref="C306">IF(E306="","",IF(M306&lt;&gt;"",
M306&amp;"/"&amp;SUMPRODUCT((M$2:M306=M306)*1)&amp;" - "&amp;(ROW()-2),
"إداري/"&amp;SUMPRODUCT((M$2:M306="")*1)&amp;" - "&amp;(ROW()-2)))</f>
        <v/>
      </c>
      <c r="D306" s="141" t="str">
        <f>IF(AND(G306="",H306="",I306=""),"",IF(COUNTIFS(LISTS!$A$2:$A$67,G306,LISTS!$B$2:$B$67,H306,LISTS!$C$2:$C$67,I306)=0,"✗ هرم",IF(NOT(OR(Z306="ممتاز 100%",Z306="جيد 80%",Z306="مقبول 60%",Z306="خطر 40%",Z306="")),"✗ قائمة R",IF(NOT(OR(AA306="ممتاز 100%",AA306="جيد 85%",AA306="مقبول 70%",AA306="ضعيف 50%",AA306="")),"✗ قائمة S",IF(NOT(OR(AB306="مكتمل 100%",AB306="جزئي 60%",AB306="معلق 30%",AB306="مفتوح 0%",AB306="")),"✗ قائمة T",IF(NOT(OR(AC306="لا خصم 0",AC306="تأخير −5",AC306="عجز −10",AC306="جودة −15",AC306="امتثال −20",AC306="مخالفة −25",AC306="")),"✗ قائمة U",IF(AND(X306="لا",AC306&lt;&gt;"",AC306&lt;&gt;"لا خصم 0"),"✗ خصم",IF(AND(X306="نعم",AC306="لا خصم 0"),"✗ خصم",IF(AND(Z306="ممتاز 100%",AA306="ممتاز 100%",AB306&lt;&gt;"",AB306&lt;&gt;"مكتمل 100%"),"✗ إغلاق",IFERROR(IF(LEN(_xlfn.TEXTJOIN("، ",TRUE,IF(E306="","التاريخ",""),IF(F306="","الوقت",""),IF(G306="","المركز",""),IF(H306="","الدائرة",""),IF(I306="","القسم",""),IF(J306="","المسؤول",""),IF(K306="","نوع النشاط",""),IF(L306="","المشروع",""),IF(N306="","الممول",""),IF(V306="","الموضوع",""),IF(W306="","الملاحظة",""),IF(X306="","مشكلة",""),IF(Y306="","الإجراء",""),IF(Z306="","التنفيذ",""),IF(AA306="","الجودة",""),IF(AB306="","الإغلاق",""),IF(AC306="","الخصم",""),IF(AND(COUNTA($O306:$U306)&gt;0,O306=""),"مدير المشروع",""),IF(AND(COUNTA($O306:$U306)&gt;0,P306=""),"المستفيدين",""),IF(AND(COUNTA($O306:$U306)&gt;0,Q306=""),"المناطق",""),IF(AND(COUNTA($O306:$U306)&gt;0,R306=""),"الميزانية",""),IF(AND(COUNTA($O306:$U306)&gt;0,S306=""),"نسبة الجاهزية",""),IF(AND(COUNTA($O306:$U306)&gt;0,T306=""),"حالة الجاهزية",""),IF(AND(COUNTA($O306:$U306)&gt;0,U306=""),"التوصيات","")))&gt;0,"✗ ناقص: "&amp;_xlfn.TEXTJOIN("، ",TRUE,IF(E306="","التاريخ",""),IF(F306="","الوقت",""),IF(G306="","المركز",""),IF(H306="","الدائرة",""),IF(I306="","القسم",""),IF(J306="","المسؤول",""),IF(K306="","نوع النشاط",""),IF(L306="","المشروع",""),IF(N306="","الممول",""),IF(V306="","الموضوع",""),IF(W306="","الملاحظة",""),IF(X306="","مشكلة",""),IF(Y306="","الإجراء",""),IF(Z306="","التنفيذ",""),IF(AA306="","الجودة",""),IF(AB306="","الإغلاق",""),IF(AC306="","الخصم",""),IF(AND(COUNTA($O306:$U306)&gt;0,O306=""),"مدير المشروع",""),IF(AND(COUNTA($O306:$U306)&gt;0,P306=""),"المستفيدين",""),IF(AND(COUNTA($O306:$U306)&gt;0,Q306=""),"المناطق",""),IF(AND(COUNTA($O306:$U306)&gt;0,R306=""),"الميزانية",""),IF(AND(COUNTA($O306:$U306)&gt;0,S306=""),"نسبة الجاهزية",""),IF(AND(COUNTA($O306:$U306)&gt;0,T306=""),"حالة الجاهزية",""),IF(AND(COUNTA($O306:$U306)&gt;0,U306=""),"التوصيات","")),"✓"),"✓"))))))))))</f>
        <v/>
      </c>
      <c r="E306" s="235"/>
      <c r="F306" s="236"/>
      <c r="G306" s="90"/>
      <c r="H306" s="239"/>
      <c r="I306" s="89"/>
      <c r="J306" s="142"/>
      <c r="K306" s="90"/>
      <c r="L306" s="90"/>
      <c r="M306" s="90"/>
      <c r="N306" s="89"/>
      <c r="O306" s="200"/>
      <c r="P306" s="201"/>
      <c r="Q306" s="201"/>
      <c r="R306" s="237"/>
      <c r="S306" s="202"/>
      <c r="T306" s="200"/>
      <c r="U306" s="203"/>
      <c r="V306" s="89"/>
      <c r="W306" s="89"/>
      <c r="X306" s="145"/>
      <c r="Y306" s="89"/>
      <c r="Z306" s="90"/>
      <c r="AA306" s="90"/>
      <c r="AB306" s="90"/>
      <c r="AC306" s="90"/>
      <c r="AD306" s="92"/>
      <c r="AE306" s="149" t="str">
        <f>IFERROR(VLOOKUP(Z306,LISTS!$AL$2:$AM$1000,2,FALSE()),"")</f>
        <v/>
      </c>
      <c r="AF306" s="151" t="str">
        <f>IFERROR(VLOOKUP(AA306,LISTS!$AO$2:$AP$1000,2,FALSE()),"")</f>
        <v/>
      </c>
      <c r="AG306" s="152" t="str">
        <f>IFERROR(VLOOKUP(AB306,LISTS!$AR$2:$AS$1000,2,FALSE()),"")</f>
        <v/>
      </c>
      <c r="AH306" s="154" t="str">
        <f>IFERROR(VLOOKUP(AC306,LISTS!$AU$2:$AV$1000,2,FALSE()),"")</f>
        <v/>
      </c>
      <c r="AI306" s="238" t="str">
        <f t="shared" si="23"/>
        <v>—</v>
      </c>
      <c r="AJ306" s="190" t="str">
        <f t="shared" si="24"/>
        <v>—</v>
      </c>
      <c r="AK306" s="157" t="str">
        <f t="shared" si="25"/>
        <v/>
      </c>
      <c r="AL306" s="160" t="str">
        <f t="shared" si="26"/>
        <v/>
      </c>
      <c r="AM306" s="210"/>
      <c r="AN306" s="209"/>
    </row>
    <row r="307" spans="1:40" ht="27.95" customHeight="1">
      <c r="A307" s="134" t="str">
        <f>IF(I307&lt;&gt;"",COUNTA($I$2:I307),"")</f>
        <v/>
      </c>
      <c r="B307" s="138" t="str">
        <f t="shared" si="27"/>
        <v/>
      </c>
      <c r="C307" s="93" t="str">
        <f t="array" ref="C307">IF(E307="","",IF(M307&lt;&gt;"",
M307&amp;"/"&amp;SUMPRODUCT((M$2:M307=M307)*1)&amp;" - "&amp;(ROW()-2),
"إداري/"&amp;SUMPRODUCT((M$2:M307="")*1)&amp;" - "&amp;(ROW()-2)))</f>
        <v/>
      </c>
      <c r="D307" s="141" t="str">
        <f>IF(AND(G307="",H307="",I307=""),"",IF(COUNTIFS(LISTS!$A$2:$A$67,G307,LISTS!$B$2:$B$67,H307,LISTS!$C$2:$C$67,I307)=0,"✗ هرم",IF(NOT(OR(Z307="ممتاز 100%",Z307="جيد 80%",Z307="مقبول 60%",Z307="خطر 40%",Z307="")),"✗ قائمة R",IF(NOT(OR(AA307="ممتاز 100%",AA307="جيد 85%",AA307="مقبول 70%",AA307="ضعيف 50%",AA307="")),"✗ قائمة S",IF(NOT(OR(AB307="مكتمل 100%",AB307="جزئي 60%",AB307="معلق 30%",AB307="مفتوح 0%",AB307="")),"✗ قائمة T",IF(NOT(OR(AC307="لا خصم 0",AC307="تأخير −5",AC307="عجز −10",AC307="جودة −15",AC307="امتثال −20",AC307="مخالفة −25",AC307="")),"✗ قائمة U",IF(AND(X307="لا",AC307&lt;&gt;"",AC307&lt;&gt;"لا خصم 0"),"✗ خصم",IF(AND(X307="نعم",AC307="لا خصم 0"),"✗ خصم",IF(AND(Z307="ممتاز 100%",AA307="ممتاز 100%",AB307&lt;&gt;"",AB307&lt;&gt;"مكتمل 100%"),"✗ إغلاق",IFERROR(IF(LEN(_xlfn.TEXTJOIN("، ",TRUE,IF(E307="","التاريخ",""),IF(F307="","الوقت",""),IF(G307="","المركز",""),IF(H307="","الدائرة",""),IF(I307="","القسم",""),IF(J307="","المسؤول",""),IF(K307="","نوع النشاط",""),IF(L307="","المشروع",""),IF(N307="","الممول",""),IF(V307="","الموضوع",""),IF(W307="","الملاحظة",""),IF(X307="","مشكلة",""),IF(Y307="","الإجراء",""),IF(Z307="","التنفيذ",""),IF(AA307="","الجودة",""),IF(AB307="","الإغلاق",""),IF(AC307="","الخصم",""),IF(AND(COUNTA($O307:$U307)&gt;0,O307=""),"مدير المشروع",""),IF(AND(COUNTA($O307:$U307)&gt;0,P307=""),"المستفيدين",""),IF(AND(COUNTA($O307:$U307)&gt;0,Q307=""),"المناطق",""),IF(AND(COUNTA($O307:$U307)&gt;0,R307=""),"الميزانية",""),IF(AND(COUNTA($O307:$U307)&gt;0,S307=""),"نسبة الجاهزية",""),IF(AND(COUNTA($O307:$U307)&gt;0,T307=""),"حالة الجاهزية",""),IF(AND(COUNTA($O307:$U307)&gt;0,U307=""),"التوصيات","")))&gt;0,"✗ ناقص: "&amp;_xlfn.TEXTJOIN("، ",TRUE,IF(E307="","التاريخ",""),IF(F307="","الوقت",""),IF(G307="","المركز",""),IF(H307="","الدائرة",""),IF(I307="","القسم",""),IF(J307="","المسؤول",""),IF(K307="","نوع النشاط",""),IF(L307="","المشروع",""),IF(N307="","الممول",""),IF(V307="","الموضوع",""),IF(W307="","الملاحظة",""),IF(X307="","مشكلة",""),IF(Y307="","الإجراء",""),IF(Z307="","التنفيذ",""),IF(AA307="","الجودة",""),IF(AB307="","الإغلاق",""),IF(AC307="","الخصم",""),IF(AND(COUNTA($O307:$U307)&gt;0,O307=""),"مدير المشروع",""),IF(AND(COUNTA($O307:$U307)&gt;0,P307=""),"المستفيدين",""),IF(AND(COUNTA($O307:$U307)&gt;0,Q307=""),"المناطق",""),IF(AND(COUNTA($O307:$U307)&gt;0,R307=""),"الميزانية",""),IF(AND(COUNTA($O307:$U307)&gt;0,S307=""),"نسبة الجاهزية",""),IF(AND(COUNTA($O307:$U307)&gt;0,T307=""),"حالة الجاهزية",""),IF(AND(COUNTA($O307:$U307)&gt;0,U307=""),"التوصيات","")),"✓"),"✓"))))))))))</f>
        <v/>
      </c>
      <c r="E307" s="235"/>
      <c r="F307" s="236"/>
      <c r="G307" s="90"/>
      <c r="H307" s="239"/>
      <c r="I307" s="89"/>
      <c r="J307" s="142"/>
      <c r="K307" s="90"/>
      <c r="L307" s="90"/>
      <c r="M307" s="90"/>
      <c r="N307" s="89"/>
      <c r="O307" s="200"/>
      <c r="P307" s="201"/>
      <c r="Q307" s="201"/>
      <c r="R307" s="237"/>
      <c r="S307" s="202"/>
      <c r="T307" s="200"/>
      <c r="U307" s="203"/>
      <c r="V307" s="89"/>
      <c r="W307" s="89"/>
      <c r="X307" s="145"/>
      <c r="Y307" s="89"/>
      <c r="Z307" s="90"/>
      <c r="AA307" s="90"/>
      <c r="AB307" s="90"/>
      <c r="AC307" s="90"/>
      <c r="AD307" s="92"/>
      <c r="AE307" s="149" t="str">
        <f>IFERROR(VLOOKUP(Z307,LISTS!$AL$2:$AM$1000,2,FALSE()),"")</f>
        <v/>
      </c>
      <c r="AF307" s="151" t="str">
        <f>IFERROR(VLOOKUP(AA307,LISTS!$AO$2:$AP$1000,2,FALSE()),"")</f>
        <v/>
      </c>
      <c r="AG307" s="152" t="str">
        <f>IFERROR(VLOOKUP(AB307,LISTS!$AR$2:$AS$1000,2,FALSE()),"")</f>
        <v/>
      </c>
      <c r="AH307" s="154" t="str">
        <f>IFERROR(VLOOKUP(AC307,LISTS!$AU$2:$AV$1000,2,FALSE()),"")</f>
        <v/>
      </c>
      <c r="AI307" s="238" t="str">
        <f t="shared" si="23"/>
        <v>—</v>
      </c>
      <c r="AJ307" s="190" t="str">
        <f t="shared" si="24"/>
        <v>—</v>
      </c>
      <c r="AK307" s="157" t="str">
        <f t="shared" si="25"/>
        <v/>
      </c>
      <c r="AL307" s="160" t="str">
        <f t="shared" si="26"/>
        <v/>
      </c>
      <c r="AM307" s="210"/>
      <c r="AN307" s="209"/>
    </row>
    <row r="308" spans="1:40" ht="27.95" customHeight="1">
      <c r="A308" s="134" t="str">
        <f>IF(I308&lt;&gt;"",COUNTA($I$2:I308),"")</f>
        <v/>
      </c>
      <c r="B308" s="138" t="str">
        <f t="shared" si="27"/>
        <v/>
      </c>
      <c r="C308" s="93" t="str">
        <f t="array" ref="C308">IF(E308="","",IF(M308&lt;&gt;"",
M308&amp;"/"&amp;SUMPRODUCT((M$2:M308=M308)*1)&amp;" - "&amp;(ROW()-2),
"إداري/"&amp;SUMPRODUCT((M$2:M308="")*1)&amp;" - "&amp;(ROW()-2)))</f>
        <v/>
      </c>
      <c r="D308" s="141" t="str">
        <f>IF(AND(G308="",H308="",I308=""),"",IF(COUNTIFS(LISTS!$A$2:$A$67,G308,LISTS!$B$2:$B$67,H308,LISTS!$C$2:$C$67,I308)=0,"✗ هرم",IF(NOT(OR(Z308="ممتاز 100%",Z308="جيد 80%",Z308="مقبول 60%",Z308="خطر 40%",Z308="")),"✗ قائمة R",IF(NOT(OR(AA308="ممتاز 100%",AA308="جيد 85%",AA308="مقبول 70%",AA308="ضعيف 50%",AA308="")),"✗ قائمة S",IF(NOT(OR(AB308="مكتمل 100%",AB308="جزئي 60%",AB308="معلق 30%",AB308="مفتوح 0%",AB308="")),"✗ قائمة T",IF(NOT(OR(AC308="لا خصم 0",AC308="تأخير −5",AC308="عجز −10",AC308="جودة −15",AC308="امتثال −20",AC308="مخالفة −25",AC308="")),"✗ قائمة U",IF(AND(X308="لا",AC308&lt;&gt;"",AC308&lt;&gt;"لا خصم 0"),"✗ خصم",IF(AND(X308="نعم",AC308="لا خصم 0"),"✗ خصم",IF(AND(Z308="ممتاز 100%",AA308="ممتاز 100%",AB308&lt;&gt;"",AB308&lt;&gt;"مكتمل 100%"),"✗ إغلاق",IFERROR(IF(LEN(_xlfn.TEXTJOIN("، ",TRUE,IF(E308="","التاريخ",""),IF(F308="","الوقت",""),IF(G308="","المركز",""),IF(H308="","الدائرة",""),IF(I308="","القسم",""),IF(J308="","المسؤول",""),IF(K308="","نوع النشاط",""),IF(L308="","المشروع",""),IF(N308="","الممول",""),IF(V308="","الموضوع",""),IF(W308="","الملاحظة",""),IF(X308="","مشكلة",""),IF(Y308="","الإجراء",""),IF(Z308="","التنفيذ",""),IF(AA308="","الجودة",""),IF(AB308="","الإغلاق",""),IF(AC308="","الخصم",""),IF(AND(COUNTA($O308:$U308)&gt;0,O308=""),"مدير المشروع",""),IF(AND(COUNTA($O308:$U308)&gt;0,P308=""),"المستفيدين",""),IF(AND(COUNTA($O308:$U308)&gt;0,Q308=""),"المناطق",""),IF(AND(COUNTA($O308:$U308)&gt;0,R308=""),"الميزانية",""),IF(AND(COUNTA($O308:$U308)&gt;0,S308=""),"نسبة الجاهزية",""),IF(AND(COUNTA($O308:$U308)&gt;0,T308=""),"حالة الجاهزية",""),IF(AND(COUNTA($O308:$U308)&gt;0,U308=""),"التوصيات","")))&gt;0,"✗ ناقص: "&amp;_xlfn.TEXTJOIN("، ",TRUE,IF(E308="","التاريخ",""),IF(F308="","الوقت",""),IF(G308="","المركز",""),IF(H308="","الدائرة",""),IF(I308="","القسم",""),IF(J308="","المسؤول",""),IF(K308="","نوع النشاط",""),IF(L308="","المشروع",""),IF(N308="","الممول",""),IF(V308="","الموضوع",""),IF(W308="","الملاحظة",""),IF(X308="","مشكلة",""),IF(Y308="","الإجراء",""),IF(Z308="","التنفيذ",""),IF(AA308="","الجودة",""),IF(AB308="","الإغلاق",""),IF(AC308="","الخصم",""),IF(AND(COUNTA($O308:$U308)&gt;0,O308=""),"مدير المشروع",""),IF(AND(COUNTA($O308:$U308)&gt;0,P308=""),"المستفيدين",""),IF(AND(COUNTA($O308:$U308)&gt;0,Q308=""),"المناطق",""),IF(AND(COUNTA($O308:$U308)&gt;0,R308=""),"الميزانية",""),IF(AND(COUNTA($O308:$U308)&gt;0,S308=""),"نسبة الجاهزية",""),IF(AND(COUNTA($O308:$U308)&gt;0,T308=""),"حالة الجاهزية",""),IF(AND(COUNTA($O308:$U308)&gt;0,U308=""),"التوصيات","")),"✓"),"✓"))))))))))</f>
        <v/>
      </c>
      <c r="E308" s="235"/>
      <c r="F308" s="236"/>
      <c r="G308" s="90"/>
      <c r="H308" s="239"/>
      <c r="I308" s="89"/>
      <c r="J308" s="142"/>
      <c r="K308" s="90"/>
      <c r="L308" s="90"/>
      <c r="M308" s="90"/>
      <c r="N308" s="89"/>
      <c r="O308" s="200"/>
      <c r="P308" s="201"/>
      <c r="Q308" s="201"/>
      <c r="R308" s="237"/>
      <c r="S308" s="202"/>
      <c r="T308" s="200"/>
      <c r="U308" s="203"/>
      <c r="V308" s="89"/>
      <c r="W308" s="89"/>
      <c r="X308" s="145"/>
      <c r="Y308" s="89"/>
      <c r="Z308" s="90"/>
      <c r="AA308" s="90"/>
      <c r="AB308" s="90"/>
      <c r="AC308" s="90"/>
      <c r="AD308" s="92"/>
      <c r="AE308" s="149" t="str">
        <f>IFERROR(VLOOKUP(Z308,LISTS!$AL$2:$AM$1000,2,FALSE()),"")</f>
        <v/>
      </c>
      <c r="AF308" s="151" t="str">
        <f>IFERROR(VLOOKUP(AA308,LISTS!$AO$2:$AP$1000,2,FALSE()),"")</f>
        <v/>
      </c>
      <c r="AG308" s="152" t="str">
        <f>IFERROR(VLOOKUP(AB308,LISTS!$AR$2:$AS$1000,2,FALSE()),"")</f>
        <v/>
      </c>
      <c r="AH308" s="154" t="str">
        <f>IFERROR(VLOOKUP(AC308,LISTS!$AU$2:$AV$1000,2,FALSE()),"")</f>
        <v/>
      </c>
      <c r="AI308" s="238" t="str">
        <f t="shared" si="23"/>
        <v>—</v>
      </c>
      <c r="AJ308" s="190" t="str">
        <f t="shared" si="24"/>
        <v>—</v>
      </c>
      <c r="AK308" s="157" t="str">
        <f t="shared" si="25"/>
        <v/>
      </c>
      <c r="AL308" s="160" t="str">
        <f t="shared" si="26"/>
        <v/>
      </c>
      <c r="AM308" s="210"/>
      <c r="AN308" s="209"/>
    </row>
    <row r="309" spans="1:40" ht="27.95" customHeight="1">
      <c r="A309" s="134" t="str">
        <f>IF(I309&lt;&gt;"",COUNTA($I$2:I309),"")</f>
        <v/>
      </c>
      <c r="B309" s="138" t="str">
        <f t="shared" si="27"/>
        <v/>
      </c>
      <c r="C309" s="93" t="str">
        <f t="array" ref="C309">IF(E309="","",IF(M309&lt;&gt;"",
M309&amp;"/"&amp;SUMPRODUCT((M$2:M309=M309)*1)&amp;" - "&amp;(ROW()-2),
"إداري/"&amp;SUMPRODUCT((M$2:M309="")*1)&amp;" - "&amp;(ROW()-2)))</f>
        <v/>
      </c>
      <c r="D309" s="141" t="str">
        <f>IF(AND(G309="",H309="",I309=""),"",IF(COUNTIFS(LISTS!$A$2:$A$67,G309,LISTS!$B$2:$B$67,H309,LISTS!$C$2:$C$67,I309)=0,"✗ هرم",IF(NOT(OR(Z309="ممتاز 100%",Z309="جيد 80%",Z309="مقبول 60%",Z309="خطر 40%",Z309="")),"✗ قائمة R",IF(NOT(OR(AA309="ممتاز 100%",AA309="جيد 85%",AA309="مقبول 70%",AA309="ضعيف 50%",AA309="")),"✗ قائمة S",IF(NOT(OR(AB309="مكتمل 100%",AB309="جزئي 60%",AB309="معلق 30%",AB309="مفتوح 0%",AB309="")),"✗ قائمة T",IF(NOT(OR(AC309="لا خصم 0",AC309="تأخير −5",AC309="عجز −10",AC309="جودة −15",AC309="امتثال −20",AC309="مخالفة −25",AC309="")),"✗ قائمة U",IF(AND(X309="لا",AC309&lt;&gt;"",AC309&lt;&gt;"لا خصم 0"),"✗ خصم",IF(AND(X309="نعم",AC309="لا خصم 0"),"✗ خصم",IF(AND(Z309="ممتاز 100%",AA309="ممتاز 100%",AB309&lt;&gt;"",AB309&lt;&gt;"مكتمل 100%"),"✗ إغلاق",IFERROR(IF(LEN(_xlfn.TEXTJOIN("، ",TRUE,IF(E309="","التاريخ",""),IF(F309="","الوقت",""),IF(G309="","المركز",""),IF(H309="","الدائرة",""),IF(I309="","القسم",""),IF(J309="","المسؤول",""),IF(K309="","نوع النشاط",""),IF(L309="","المشروع",""),IF(N309="","الممول",""),IF(V309="","الموضوع",""),IF(W309="","الملاحظة",""),IF(X309="","مشكلة",""),IF(Y309="","الإجراء",""),IF(Z309="","التنفيذ",""),IF(AA309="","الجودة",""),IF(AB309="","الإغلاق",""),IF(AC309="","الخصم",""),IF(AND(COUNTA($O309:$U309)&gt;0,O309=""),"مدير المشروع",""),IF(AND(COUNTA($O309:$U309)&gt;0,P309=""),"المستفيدين",""),IF(AND(COUNTA($O309:$U309)&gt;0,Q309=""),"المناطق",""),IF(AND(COUNTA($O309:$U309)&gt;0,R309=""),"الميزانية",""),IF(AND(COUNTA($O309:$U309)&gt;0,S309=""),"نسبة الجاهزية",""),IF(AND(COUNTA($O309:$U309)&gt;0,T309=""),"حالة الجاهزية",""),IF(AND(COUNTA($O309:$U309)&gt;0,U309=""),"التوصيات","")))&gt;0,"✗ ناقص: "&amp;_xlfn.TEXTJOIN("، ",TRUE,IF(E309="","التاريخ",""),IF(F309="","الوقت",""),IF(G309="","المركز",""),IF(H309="","الدائرة",""),IF(I309="","القسم",""),IF(J309="","المسؤول",""),IF(K309="","نوع النشاط",""),IF(L309="","المشروع",""),IF(N309="","الممول",""),IF(V309="","الموضوع",""),IF(W309="","الملاحظة",""),IF(X309="","مشكلة",""),IF(Y309="","الإجراء",""),IF(Z309="","التنفيذ",""),IF(AA309="","الجودة",""),IF(AB309="","الإغلاق",""),IF(AC309="","الخصم",""),IF(AND(COUNTA($O309:$U309)&gt;0,O309=""),"مدير المشروع",""),IF(AND(COUNTA($O309:$U309)&gt;0,P309=""),"المستفيدين",""),IF(AND(COUNTA($O309:$U309)&gt;0,Q309=""),"المناطق",""),IF(AND(COUNTA($O309:$U309)&gt;0,R309=""),"الميزانية",""),IF(AND(COUNTA($O309:$U309)&gt;0,S309=""),"نسبة الجاهزية",""),IF(AND(COUNTA($O309:$U309)&gt;0,T309=""),"حالة الجاهزية",""),IF(AND(COUNTA($O309:$U309)&gt;0,U309=""),"التوصيات","")),"✓"),"✓"))))))))))</f>
        <v/>
      </c>
      <c r="E309" s="235"/>
      <c r="F309" s="236"/>
      <c r="G309" s="90"/>
      <c r="H309" s="239"/>
      <c r="I309" s="89"/>
      <c r="J309" s="142"/>
      <c r="K309" s="90"/>
      <c r="L309" s="90"/>
      <c r="M309" s="90"/>
      <c r="N309" s="89"/>
      <c r="O309" s="200"/>
      <c r="P309" s="201"/>
      <c r="Q309" s="201"/>
      <c r="R309" s="237"/>
      <c r="S309" s="202"/>
      <c r="T309" s="200"/>
      <c r="U309" s="203"/>
      <c r="V309" s="89"/>
      <c r="W309" s="89"/>
      <c r="X309" s="145"/>
      <c r="Y309" s="89"/>
      <c r="Z309" s="90"/>
      <c r="AA309" s="90"/>
      <c r="AB309" s="90"/>
      <c r="AC309" s="90"/>
      <c r="AD309" s="92"/>
      <c r="AE309" s="149" t="str">
        <f>IFERROR(VLOOKUP(Z309,LISTS!$AL$2:$AM$1000,2,FALSE()),"")</f>
        <v/>
      </c>
      <c r="AF309" s="151" t="str">
        <f>IFERROR(VLOOKUP(AA309,LISTS!$AO$2:$AP$1000,2,FALSE()),"")</f>
        <v/>
      </c>
      <c r="AG309" s="152" t="str">
        <f>IFERROR(VLOOKUP(AB309,LISTS!$AR$2:$AS$1000,2,FALSE()),"")</f>
        <v/>
      </c>
      <c r="AH309" s="154" t="str">
        <f>IFERROR(VLOOKUP(AC309,LISTS!$AU$2:$AV$1000,2,FALSE()),"")</f>
        <v/>
      </c>
      <c r="AI309" s="238" t="str">
        <f t="shared" si="23"/>
        <v>—</v>
      </c>
      <c r="AJ309" s="190" t="str">
        <f t="shared" si="24"/>
        <v>—</v>
      </c>
      <c r="AK309" s="157" t="str">
        <f t="shared" si="25"/>
        <v/>
      </c>
      <c r="AL309" s="160" t="str">
        <f t="shared" si="26"/>
        <v/>
      </c>
      <c r="AM309" s="210"/>
      <c r="AN309" s="209"/>
    </row>
    <row r="310" spans="1:40" ht="27.95" customHeight="1">
      <c r="A310" s="134" t="str">
        <f>IF(I310&lt;&gt;"",COUNTA($I$2:I310),"")</f>
        <v/>
      </c>
      <c r="B310" s="138" t="str">
        <f t="shared" si="27"/>
        <v/>
      </c>
      <c r="C310" s="93" t="str">
        <f t="array" ref="C310">IF(E310="","",IF(M310&lt;&gt;"",
M310&amp;"/"&amp;SUMPRODUCT((M$2:M310=M310)*1)&amp;" - "&amp;(ROW()-2),
"إداري/"&amp;SUMPRODUCT((M$2:M310="")*1)&amp;" - "&amp;(ROW()-2)))</f>
        <v/>
      </c>
      <c r="D310" s="141" t="str">
        <f>IF(AND(G310="",H310="",I310=""),"",IF(COUNTIFS(LISTS!$A$2:$A$67,G310,LISTS!$B$2:$B$67,H310,LISTS!$C$2:$C$67,I310)=0,"✗ هرم",IF(NOT(OR(Z310="ممتاز 100%",Z310="جيد 80%",Z310="مقبول 60%",Z310="خطر 40%",Z310="")),"✗ قائمة R",IF(NOT(OR(AA310="ممتاز 100%",AA310="جيد 85%",AA310="مقبول 70%",AA310="ضعيف 50%",AA310="")),"✗ قائمة S",IF(NOT(OR(AB310="مكتمل 100%",AB310="جزئي 60%",AB310="معلق 30%",AB310="مفتوح 0%",AB310="")),"✗ قائمة T",IF(NOT(OR(AC310="لا خصم 0",AC310="تأخير −5",AC310="عجز −10",AC310="جودة −15",AC310="امتثال −20",AC310="مخالفة −25",AC310="")),"✗ قائمة U",IF(AND(X310="لا",AC310&lt;&gt;"",AC310&lt;&gt;"لا خصم 0"),"✗ خصم",IF(AND(X310="نعم",AC310="لا خصم 0"),"✗ خصم",IF(AND(Z310="ممتاز 100%",AA310="ممتاز 100%",AB310&lt;&gt;"",AB310&lt;&gt;"مكتمل 100%"),"✗ إغلاق",IFERROR(IF(LEN(_xlfn.TEXTJOIN("، ",TRUE,IF(E310="","التاريخ",""),IF(F310="","الوقت",""),IF(G310="","المركز",""),IF(H310="","الدائرة",""),IF(I310="","القسم",""),IF(J310="","المسؤول",""),IF(K310="","نوع النشاط",""),IF(L310="","المشروع",""),IF(N310="","الممول",""),IF(V310="","الموضوع",""),IF(W310="","الملاحظة",""),IF(X310="","مشكلة",""),IF(Y310="","الإجراء",""),IF(Z310="","التنفيذ",""),IF(AA310="","الجودة",""),IF(AB310="","الإغلاق",""),IF(AC310="","الخصم",""),IF(AND(COUNTA($O310:$U310)&gt;0,O310=""),"مدير المشروع",""),IF(AND(COUNTA($O310:$U310)&gt;0,P310=""),"المستفيدين",""),IF(AND(COUNTA($O310:$U310)&gt;0,Q310=""),"المناطق",""),IF(AND(COUNTA($O310:$U310)&gt;0,R310=""),"الميزانية",""),IF(AND(COUNTA($O310:$U310)&gt;0,S310=""),"نسبة الجاهزية",""),IF(AND(COUNTA($O310:$U310)&gt;0,T310=""),"حالة الجاهزية",""),IF(AND(COUNTA($O310:$U310)&gt;0,U310=""),"التوصيات","")))&gt;0,"✗ ناقص: "&amp;_xlfn.TEXTJOIN("، ",TRUE,IF(E310="","التاريخ",""),IF(F310="","الوقت",""),IF(G310="","المركز",""),IF(H310="","الدائرة",""),IF(I310="","القسم",""),IF(J310="","المسؤول",""),IF(K310="","نوع النشاط",""),IF(L310="","المشروع",""),IF(N310="","الممول",""),IF(V310="","الموضوع",""),IF(W310="","الملاحظة",""),IF(X310="","مشكلة",""),IF(Y310="","الإجراء",""),IF(Z310="","التنفيذ",""),IF(AA310="","الجودة",""),IF(AB310="","الإغلاق",""),IF(AC310="","الخصم",""),IF(AND(COUNTA($O310:$U310)&gt;0,O310=""),"مدير المشروع",""),IF(AND(COUNTA($O310:$U310)&gt;0,P310=""),"المستفيدين",""),IF(AND(COUNTA($O310:$U310)&gt;0,Q310=""),"المناطق",""),IF(AND(COUNTA($O310:$U310)&gt;0,R310=""),"الميزانية",""),IF(AND(COUNTA($O310:$U310)&gt;0,S310=""),"نسبة الجاهزية",""),IF(AND(COUNTA($O310:$U310)&gt;0,T310=""),"حالة الجاهزية",""),IF(AND(COUNTA($O310:$U310)&gt;0,U310=""),"التوصيات","")),"✓"),"✓"))))))))))</f>
        <v/>
      </c>
      <c r="E310" s="235"/>
      <c r="F310" s="236"/>
      <c r="G310" s="90"/>
      <c r="H310" s="239"/>
      <c r="I310" s="89"/>
      <c r="J310" s="142"/>
      <c r="K310" s="90"/>
      <c r="L310" s="90"/>
      <c r="M310" s="90"/>
      <c r="N310" s="89"/>
      <c r="O310" s="200"/>
      <c r="P310" s="201"/>
      <c r="Q310" s="201"/>
      <c r="R310" s="237"/>
      <c r="S310" s="202"/>
      <c r="T310" s="200"/>
      <c r="U310" s="203"/>
      <c r="V310" s="89"/>
      <c r="W310" s="89"/>
      <c r="X310" s="145"/>
      <c r="Y310" s="89"/>
      <c r="Z310" s="90"/>
      <c r="AA310" s="90"/>
      <c r="AB310" s="90"/>
      <c r="AC310" s="90"/>
      <c r="AD310" s="92"/>
      <c r="AE310" s="149" t="str">
        <f>IFERROR(VLOOKUP(Z310,LISTS!$AL$2:$AM$1000,2,FALSE()),"")</f>
        <v/>
      </c>
      <c r="AF310" s="151" t="str">
        <f>IFERROR(VLOOKUP(AA310,LISTS!$AO$2:$AP$1000,2,FALSE()),"")</f>
        <v/>
      </c>
      <c r="AG310" s="152" t="str">
        <f>IFERROR(VLOOKUP(AB310,LISTS!$AR$2:$AS$1000,2,FALSE()),"")</f>
        <v/>
      </c>
      <c r="AH310" s="154" t="str">
        <f>IFERROR(VLOOKUP(AC310,LISTS!$AU$2:$AV$1000,2,FALSE()),"")</f>
        <v/>
      </c>
      <c r="AI310" s="238" t="str">
        <f t="shared" si="23"/>
        <v>—</v>
      </c>
      <c r="AJ310" s="190" t="str">
        <f t="shared" si="24"/>
        <v>—</v>
      </c>
      <c r="AK310" s="157" t="str">
        <f t="shared" si="25"/>
        <v/>
      </c>
      <c r="AL310" s="160" t="str">
        <f t="shared" si="26"/>
        <v/>
      </c>
      <c r="AM310" s="210"/>
      <c r="AN310" s="209"/>
    </row>
    <row r="311" spans="1:40" ht="27.95" customHeight="1">
      <c r="A311" s="134" t="str">
        <f>IF(I311&lt;&gt;"",COUNTA($I$2:I311),"")</f>
        <v/>
      </c>
      <c r="B311" s="138" t="str">
        <f t="shared" si="27"/>
        <v/>
      </c>
      <c r="C311" s="93" t="str">
        <f t="array" ref="C311">IF(E311="","",IF(M311&lt;&gt;"",
M311&amp;"/"&amp;SUMPRODUCT((M$2:M311=M311)*1)&amp;" - "&amp;(ROW()-2),
"إداري/"&amp;SUMPRODUCT((M$2:M311="")*1)&amp;" - "&amp;(ROW()-2)))</f>
        <v/>
      </c>
      <c r="D311" s="141" t="str">
        <f>IF(AND(G311="",H311="",I311=""),"",IF(COUNTIFS(LISTS!$A$2:$A$67,G311,LISTS!$B$2:$B$67,H311,LISTS!$C$2:$C$67,I311)=0,"✗ هرم",IF(NOT(OR(Z311="ممتاز 100%",Z311="جيد 80%",Z311="مقبول 60%",Z311="خطر 40%",Z311="")),"✗ قائمة R",IF(NOT(OR(AA311="ممتاز 100%",AA311="جيد 85%",AA311="مقبول 70%",AA311="ضعيف 50%",AA311="")),"✗ قائمة S",IF(NOT(OR(AB311="مكتمل 100%",AB311="جزئي 60%",AB311="معلق 30%",AB311="مفتوح 0%",AB311="")),"✗ قائمة T",IF(NOT(OR(AC311="لا خصم 0",AC311="تأخير −5",AC311="عجز −10",AC311="جودة −15",AC311="امتثال −20",AC311="مخالفة −25",AC311="")),"✗ قائمة U",IF(AND(X311="لا",AC311&lt;&gt;"",AC311&lt;&gt;"لا خصم 0"),"✗ خصم",IF(AND(X311="نعم",AC311="لا خصم 0"),"✗ خصم",IF(AND(Z311="ممتاز 100%",AA311="ممتاز 100%",AB311&lt;&gt;"",AB311&lt;&gt;"مكتمل 100%"),"✗ إغلاق",IFERROR(IF(LEN(_xlfn.TEXTJOIN("، ",TRUE,IF(E311="","التاريخ",""),IF(F311="","الوقت",""),IF(G311="","المركز",""),IF(H311="","الدائرة",""),IF(I311="","القسم",""),IF(J311="","المسؤول",""),IF(K311="","نوع النشاط",""),IF(L311="","المشروع",""),IF(N311="","الممول",""),IF(V311="","الموضوع",""),IF(W311="","الملاحظة",""),IF(X311="","مشكلة",""),IF(Y311="","الإجراء",""),IF(Z311="","التنفيذ",""),IF(AA311="","الجودة",""),IF(AB311="","الإغلاق",""),IF(AC311="","الخصم",""),IF(AND(COUNTA($O311:$U311)&gt;0,O311=""),"مدير المشروع",""),IF(AND(COUNTA($O311:$U311)&gt;0,P311=""),"المستفيدين",""),IF(AND(COUNTA($O311:$U311)&gt;0,Q311=""),"المناطق",""),IF(AND(COUNTA($O311:$U311)&gt;0,R311=""),"الميزانية",""),IF(AND(COUNTA($O311:$U311)&gt;0,S311=""),"نسبة الجاهزية",""),IF(AND(COUNTA($O311:$U311)&gt;0,T311=""),"حالة الجاهزية",""),IF(AND(COUNTA($O311:$U311)&gt;0,U311=""),"التوصيات","")))&gt;0,"✗ ناقص: "&amp;_xlfn.TEXTJOIN("، ",TRUE,IF(E311="","التاريخ",""),IF(F311="","الوقت",""),IF(G311="","المركز",""),IF(H311="","الدائرة",""),IF(I311="","القسم",""),IF(J311="","المسؤول",""),IF(K311="","نوع النشاط",""),IF(L311="","المشروع",""),IF(N311="","الممول",""),IF(V311="","الموضوع",""),IF(W311="","الملاحظة",""),IF(X311="","مشكلة",""),IF(Y311="","الإجراء",""),IF(Z311="","التنفيذ",""),IF(AA311="","الجودة",""),IF(AB311="","الإغلاق",""),IF(AC311="","الخصم",""),IF(AND(COUNTA($O311:$U311)&gt;0,O311=""),"مدير المشروع",""),IF(AND(COUNTA($O311:$U311)&gt;0,P311=""),"المستفيدين",""),IF(AND(COUNTA($O311:$U311)&gt;0,Q311=""),"المناطق",""),IF(AND(COUNTA($O311:$U311)&gt;0,R311=""),"الميزانية",""),IF(AND(COUNTA($O311:$U311)&gt;0,S311=""),"نسبة الجاهزية",""),IF(AND(COUNTA($O311:$U311)&gt;0,T311=""),"حالة الجاهزية",""),IF(AND(COUNTA($O311:$U311)&gt;0,U311=""),"التوصيات","")),"✓"),"✓"))))))))))</f>
        <v/>
      </c>
      <c r="E311" s="235"/>
      <c r="F311" s="236"/>
      <c r="G311" s="90"/>
      <c r="H311" s="239"/>
      <c r="I311" s="89"/>
      <c r="J311" s="142"/>
      <c r="K311" s="90"/>
      <c r="L311" s="90"/>
      <c r="M311" s="90"/>
      <c r="N311" s="89"/>
      <c r="O311" s="200"/>
      <c r="P311" s="201"/>
      <c r="Q311" s="201"/>
      <c r="R311" s="237"/>
      <c r="S311" s="202"/>
      <c r="T311" s="200"/>
      <c r="U311" s="203"/>
      <c r="V311" s="89"/>
      <c r="W311" s="89"/>
      <c r="X311" s="145"/>
      <c r="Y311" s="89"/>
      <c r="Z311" s="90"/>
      <c r="AA311" s="90"/>
      <c r="AB311" s="90"/>
      <c r="AC311" s="90"/>
      <c r="AD311" s="92"/>
      <c r="AE311" s="149" t="str">
        <f>IFERROR(VLOOKUP(Z311,LISTS!$AL$2:$AM$1000,2,FALSE()),"")</f>
        <v/>
      </c>
      <c r="AF311" s="151" t="str">
        <f>IFERROR(VLOOKUP(AA311,LISTS!$AO$2:$AP$1000,2,FALSE()),"")</f>
        <v/>
      </c>
      <c r="AG311" s="152" t="str">
        <f>IFERROR(VLOOKUP(AB311,LISTS!$AR$2:$AS$1000,2,FALSE()),"")</f>
        <v/>
      </c>
      <c r="AH311" s="154" t="str">
        <f>IFERROR(VLOOKUP(AC311,LISTS!$AU$2:$AV$1000,2,FALSE()),"")</f>
        <v/>
      </c>
      <c r="AI311" s="238" t="str">
        <f t="shared" si="23"/>
        <v>—</v>
      </c>
      <c r="AJ311" s="190" t="str">
        <f t="shared" si="24"/>
        <v>—</v>
      </c>
      <c r="AK311" s="157" t="str">
        <f t="shared" si="25"/>
        <v/>
      </c>
      <c r="AL311" s="160" t="str">
        <f t="shared" si="26"/>
        <v/>
      </c>
      <c r="AM311" s="210"/>
      <c r="AN311" s="209"/>
    </row>
    <row r="312" spans="1:40" ht="27.95" customHeight="1">
      <c r="A312" s="134" t="str">
        <f>IF(I312&lt;&gt;"",COUNTA($I$2:I312),"")</f>
        <v/>
      </c>
      <c r="B312" s="138" t="str">
        <f t="shared" si="27"/>
        <v/>
      </c>
      <c r="C312" s="93" t="str">
        <f t="array" ref="C312">IF(E312="","",IF(M312&lt;&gt;"",
M312&amp;"/"&amp;SUMPRODUCT((M$2:M312=M312)*1)&amp;" - "&amp;(ROW()-2),
"إداري/"&amp;SUMPRODUCT((M$2:M312="")*1)&amp;" - "&amp;(ROW()-2)))</f>
        <v/>
      </c>
      <c r="D312" s="141" t="str">
        <f>IF(AND(G312="",H312="",I312=""),"",IF(COUNTIFS(LISTS!$A$2:$A$67,G312,LISTS!$B$2:$B$67,H312,LISTS!$C$2:$C$67,I312)=0,"✗ هرم",IF(NOT(OR(Z312="ممتاز 100%",Z312="جيد 80%",Z312="مقبول 60%",Z312="خطر 40%",Z312="")),"✗ قائمة R",IF(NOT(OR(AA312="ممتاز 100%",AA312="جيد 85%",AA312="مقبول 70%",AA312="ضعيف 50%",AA312="")),"✗ قائمة S",IF(NOT(OR(AB312="مكتمل 100%",AB312="جزئي 60%",AB312="معلق 30%",AB312="مفتوح 0%",AB312="")),"✗ قائمة T",IF(NOT(OR(AC312="لا خصم 0",AC312="تأخير −5",AC312="عجز −10",AC312="جودة −15",AC312="امتثال −20",AC312="مخالفة −25",AC312="")),"✗ قائمة U",IF(AND(X312="لا",AC312&lt;&gt;"",AC312&lt;&gt;"لا خصم 0"),"✗ خصم",IF(AND(X312="نعم",AC312="لا خصم 0"),"✗ خصم",IF(AND(Z312="ممتاز 100%",AA312="ممتاز 100%",AB312&lt;&gt;"",AB312&lt;&gt;"مكتمل 100%"),"✗ إغلاق",IFERROR(IF(LEN(_xlfn.TEXTJOIN("، ",TRUE,IF(E312="","التاريخ",""),IF(F312="","الوقت",""),IF(G312="","المركز",""),IF(H312="","الدائرة",""),IF(I312="","القسم",""),IF(J312="","المسؤول",""),IF(K312="","نوع النشاط",""),IF(L312="","المشروع",""),IF(N312="","الممول",""),IF(V312="","الموضوع",""),IF(W312="","الملاحظة",""),IF(X312="","مشكلة",""),IF(Y312="","الإجراء",""),IF(Z312="","التنفيذ",""),IF(AA312="","الجودة",""),IF(AB312="","الإغلاق",""),IF(AC312="","الخصم",""),IF(AND(COUNTA($O312:$U312)&gt;0,O312=""),"مدير المشروع",""),IF(AND(COUNTA($O312:$U312)&gt;0,P312=""),"المستفيدين",""),IF(AND(COUNTA($O312:$U312)&gt;0,Q312=""),"المناطق",""),IF(AND(COUNTA($O312:$U312)&gt;0,R312=""),"الميزانية",""),IF(AND(COUNTA($O312:$U312)&gt;0,S312=""),"نسبة الجاهزية",""),IF(AND(COUNTA($O312:$U312)&gt;0,T312=""),"حالة الجاهزية",""),IF(AND(COUNTA($O312:$U312)&gt;0,U312=""),"التوصيات","")))&gt;0,"✗ ناقص: "&amp;_xlfn.TEXTJOIN("، ",TRUE,IF(E312="","التاريخ",""),IF(F312="","الوقت",""),IF(G312="","المركز",""),IF(H312="","الدائرة",""),IF(I312="","القسم",""),IF(J312="","المسؤول",""),IF(K312="","نوع النشاط",""),IF(L312="","المشروع",""),IF(N312="","الممول",""),IF(V312="","الموضوع",""),IF(W312="","الملاحظة",""),IF(X312="","مشكلة",""),IF(Y312="","الإجراء",""),IF(Z312="","التنفيذ",""),IF(AA312="","الجودة",""),IF(AB312="","الإغلاق",""),IF(AC312="","الخصم",""),IF(AND(COUNTA($O312:$U312)&gt;0,O312=""),"مدير المشروع",""),IF(AND(COUNTA($O312:$U312)&gt;0,P312=""),"المستفيدين",""),IF(AND(COUNTA($O312:$U312)&gt;0,Q312=""),"المناطق",""),IF(AND(COUNTA($O312:$U312)&gt;0,R312=""),"الميزانية",""),IF(AND(COUNTA($O312:$U312)&gt;0,S312=""),"نسبة الجاهزية",""),IF(AND(COUNTA($O312:$U312)&gt;0,T312=""),"حالة الجاهزية",""),IF(AND(COUNTA($O312:$U312)&gt;0,U312=""),"التوصيات","")),"✓"),"✓"))))))))))</f>
        <v/>
      </c>
      <c r="E312" s="235"/>
      <c r="F312" s="236"/>
      <c r="G312" s="90"/>
      <c r="H312" s="239"/>
      <c r="I312" s="89"/>
      <c r="J312" s="142"/>
      <c r="K312" s="90"/>
      <c r="L312" s="90"/>
      <c r="M312" s="90"/>
      <c r="N312" s="89"/>
      <c r="O312" s="200"/>
      <c r="P312" s="201"/>
      <c r="Q312" s="201"/>
      <c r="R312" s="237"/>
      <c r="S312" s="202"/>
      <c r="T312" s="200"/>
      <c r="U312" s="203"/>
      <c r="V312" s="89"/>
      <c r="W312" s="89"/>
      <c r="X312" s="145"/>
      <c r="Y312" s="89"/>
      <c r="Z312" s="90"/>
      <c r="AA312" s="90"/>
      <c r="AB312" s="90"/>
      <c r="AC312" s="90"/>
      <c r="AD312" s="92"/>
      <c r="AE312" s="149" t="str">
        <f>IFERROR(VLOOKUP(Z312,LISTS!$AL$2:$AM$1000,2,FALSE()),"")</f>
        <v/>
      </c>
      <c r="AF312" s="151" t="str">
        <f>IFERROR(VLOOKUP(AA312,LISTS!$AO$2:$AP$1000,2,FALSE()),"")</f>
        <v/>
      </c>
      <c r="AG312" s="152" t="str">
        <f>IFERROR(VLOOKUP(AB312,LISTS!$AR$2:$AS$1000,2,FALSE()),"")</f>
        <v/>
      </c>
      <c r="AH312" s="154" t="str">
        <f>IFERROR(VLOOKUP(AC312,LISTS!$AU$2:$AV$1000,2,FALSE()),"")</f>
        <v/>
      </c>
      <c r="AI312" s="238" t="str">
        <f t="shared" si="23"/>
        <v>—</v>
      </c>
      <c r="AJ312" s="190" t="str">
        <f t="shared" si="24"/>
        <v>—</v>
      </c>
      <c r="AK312" s="157" t="str">
        <f t="shared" si="25"/>
        <v/>
      </c>
      <c r="AL312" s="160" t="str">
        <f t="shared" si="26"/>
        <v/>
      </c>
      <c r="AM312" s="210"/>
      <c r="AN312" s="209"/>
    </row>
    <row r="313" spans="1:40" ht="27.95" customHeight="1">
      <c r="A313" s="134" t="str">
        <f>IF(I313&lt;&gt;"",COUNTA($I$2:I313),"")</f>
        <v/>
      </c>
      <c r="B313" s="138" t="str">
        <f t="shared" si="27"/>
        <v/>
      </c>
      <c r="C313" s="93" t="str">
        <f t="array" ref="C313">IF(E313="","",IF(M313&lt;&gt;"",
M313&amp;"/"&amp;SUMPRODUCT((M$2:M313=M313)*1)&amp;" - "&amp;(ROW()-2),
"إداري/"&amp;SUMPRODUCT((M$2:M313="")*1)&amp;" - "&amp;(ROW()-2)))</f>
        <v/>
      </c>
      <c r="D313" s="141" t="str">
        <f>IF(AND(G313="",H313="",I313=""),"",IF(COUNTIFS(LISTS!$A$2:$A$67,G313,LISTS!$B$2:$B$67,H313,LISTS!$C$2:$C$67,I313)=0,"✗ هرم",IF(NOT(OR(Z313="ممتاز 100%",Z313="جيد 80%",Z313="مقبول 60%",Z313="خطر 40%",Z313="")),"✗ قائمة R",IF(NOT(OR(AA313="ممتاز 100%",AA313="جيد 85%",AA313="مقبول 70%",AA313="ضعيف 50%",AA313="")),"✗ قائمة S",IF(NOT(OR(AB313="مكتمل 100%",AB313="جزئي 60%",AB313="معلق 30%",AB313="مفتوح 0%",AB313="")),"✗ قائمة T",IF(NOT(OR(AC313="لا خصم 0",AC313="تأخير −5",AC313="عجز −10",AC313="جودة −15",AC313="امتثال −20",AC313="مخالفة −25",AC313="")),"✗ قائمة U",IF(AND(X313="لا",AC313&lt;&gt;"",AC313&lt;&gt;"لا خصم 0"),"✗ خصم",IF(AND(X313="نعم",AC313="لا خصم 0"),"✗ خصم",IF(AND(Z313="ممتاز 100%",AA313="ممتاز 100%",AB313&lt;&gt;"",AB313&lt;&gt;"مكتمل 100%"),"✗ إغلاق",IFERROR(IF(LEN(_xlfn.TEXTJOIN("، ",TRUE,IF(E313="","التاريخ",""),IF(F313="","الوقت",""),IF(G313="","المركز",""),IF(H313="","الدائرة",""),IF(I313="","القسم",""),IF(J313="","المسؤول",""),IF(K313="","نوع النشاط",""),IF(L313="","المشروع",""),IF(N313="","الممول",""),IF(V313="","الموضوع",""),IF(W313="","الملاحظة",""),IF(X313="","مشكلة",""),IF(Y313="","الإجراء",""),IF(Z313="","التنفيذ",""),IF(AA313="","الجودة",""),IF(AB313="","الإغلاق",""),IF(AC313="","الخصم",""),IF(AND(COUNTA($O313:$U313)&gt;0,O313=""),"مدير المشروع",""),IF(AND(COUNTA($O313:$U313)&gt;0,P313=""),"المستفيدين",""),IF(AND(COUNTA($O313:$U313)&gt;0,Q313=""),"المناطق",""),IF(AND(COUNTA($O313:$U313)&gt;0,R313=""),"الميزانية",""),IF(AND(COUNTA($O313:$U313)&gt;0,S313=""),"نسبة الجاهزية",""),IF(AND(COUNTA($O313:$U313)&gt;0,T313=""),"حالة الجاهزية",""),IF(AND(COUNTA($O313:$U313)&gt;0,U313=""),"التوصيات","")))&gt;0,"✗ ناقص: "&amp;_xlfn.TEXTJOIN("، ",TRUE,IF(E313="","التاريخ",""),IF(F313="","الوقت",""),IF(G313="","المركز",""),IF(H313="","الدائرة",""),IF(I313="","القسم",""),IF(J313="","المسؤول",""),IF(K313="","نوع النشاط",""),IF(L313="","المشروع",""),IF(N313="","الممول",""),IF(V313="","الموضوع",""),IF(W313="","الملاحظة",""),IF(X313="","مشكلة",""),IF(Y313="","الإجراء",""),IF(Z313="","التنفيذ",""),IF(AA313="","الجودة",""),IF(AB313="","الإغلاق",""),IF(AC313="","الخصم",""),IF(AND(COUNTA($O313:$U313)&gt;0,O313=""),"مدير المشروع",""),IF(AND(COUNTA($O313:$U313)&gt;0,P313=""),"المستفيدين",""),IF(AND(COUNTA($O313:$U313)&gt;0,Q313=""),"المناطق",""),IF(AND(COUNTA($O313:$U313)&gt;0,R313=""),"الميزانية",""),IF(AND(COUNTA($O313:$U313)&gt;0,S313=""),"نسبة الجاهزية",""),IF(AND(COUNTA($O313:$U313)&gt;0,T313=""),"حالة الجاهزية",""),IF(AND(COUNTA($O313:$U313)&gt;0,U313=""),"التوصيات","")),"✓"),"✓"))))))))))</f>
        <v/>
      </c>
      <c r="E313" s="235"/>
      <c r="F313" s="236"/>
      <c r="G313" s="90"/>
      <c r="H313" s="239"/>
      <c r="I313" s="89"/>
      <c r="J313" s="142"/>
      <c r="K313" s="90"/>
      <c r="L313" s="90"/>
      <c r="M313" s="90"/>
      <c r="N313" s="89"/>
      <c r="O313" s="200"/>
      <c r="P313" s="201"/>
      <c r="Q313" s="201"/>
      <c r="R313" s="237"/>
      <c r="S313" s="202"/>
      <c r="T313" s="200"/>
      <c r="U313" s="203"/>
      <c r="V313" s="89"/>
      <c r="W313" s="89"/>
      <c r="X313" s="145"/>
      <c r="Y313" s="89"/>
      <c r="Z313" s="90"/>
      <c r="AA313" s="90"/>
      <c r="AB313" s="90"/>
      <c r="AC313" s="90"/>
      <c r="AD313" s="92"/>
      <c r="AE313" s="149" t="str">
        <f>IFERROR(VLOOKUP(Z313,LISTS!$AL$2:$AM$1000,2,FALSE()),"")</f>
        <v/>
      </c>
      <c r="AF313" s="151" t="str">
        <f>IFERROR(VLOOKUP(AA313,LISTS!$AO$2:$AP$1000,2,FALSE()),"")</f>
        <v/>
      </c>
      <c r="AG313" s="152" t="str">
        <f>IFERROR(VLOOKUP(AB313,LISTS!$AR$2:$AS$1000,2,FALSE()),"")</f>
        <v/>
      </c>
      <c r="AH313" s="154" t="str">
        <f>IFERROR(VLOOKUP(AC313,LISTS!$AU$2:$AV$1000,2,FALSE()),"")</f>
        <v/>
      </c>
      <c r="AI313" s="238" t="str">
        <f t="shared" si="23"/>
        <v>—</v>
      </c>
      <c r="AJ313" s="190" t="str">
        <f t="shared" si="24"/>
        <v>—</v>
      </c>
      <c r="AK313" s="157" t="str">
        <f t="shared" si="25"/>
        <v/>
      </c>
      <c r="AL313" s="160" t="str">
        <f t="shared" si="26"/>
        <v/>
      </c>
      <c r="AM313" s="210"/>
      <c r="AN313" s="209"/>
    </row>
    <row r="314" spans="1:40" ht="27.95" customHeight="1">
      <c r="A314" s="134" t="str">
        <f>IF(I314&lt;&gt;"",COUNTA($I$2:I314),"")</f>
        <v/>
      </c>
      <c r="B314" s="138" t="str">
        <f t="shared" si="27"/>
        <v/>
      </c>
      <c r="C314" s="93" t="str">
        <f t="array" ref="C314">IF(E314="","",IF(M314&lt;&gt;"",
M314&amp;"/"&amp;SUMPRODUCT((M$2:M314=M314)*1)&amp;" - "&amp;(ROW()-2),
"إداري/"&amp;SUMPRODUCT((M$2:M314="")*1)&amp;" - "&amp;(ROW()-2)))</f>
        <v/>
      </c>
      <c r="D314" s="141" t="str">
        <f>IF(AND(G314="",H314="",I314=""),"",IF(COUNTIFS(LISTS!$A$2:$A$67,G314,LISTS!$B$2:$B$67,H314,LISTS!$C$2:$C$67,I314)=0,"✗ هرم",IF(NOT(OR(Z314="ممتاز 100%",Z314="جيد 80%",Z314="مقبول 60%",Z314="خطر 40%",Z314="")),"✗ قائمة R",IF(NOT(OR(AA314="ممتاز 100%",AA314="جيد 85%",AA314="مقبول 70%",AA314="ضعيف 50%",AA314="")),"✗ قائمة S",IF(NOT(OR(AB314="مكتمل 100%",AB314="جزئي 60%",AB314="معلق 30%",AB314="مفتوح 0%",AB314="")),"✗ قائمة T",IF(NOT(OR(AC314="لا خصم 0",AC314="تأخير −5",AC314="عجز −10",AC314="جودة −15",AC314="امتثال −20",AC314="مخالفة −25",AC314="")),"✗ قائمة U",IF(AND(X314="لا",AC314&lt;&gt;"",AC314&lt;&gt;"لا خصم 0"),"✗ خصم",IF(AND(X314="نعم",AC314="لا خصم 0"),"✗ خصم",IF(AND(Z314="ممتاز 100%",AA314="ممتاز 100%",AB314&lt;&gt;"",AB314&lt;&gt;"مكتمل 100%"),"✗ إغلاق",IFERROR(IF(LEN(_xlfn.TEXTJOIN("، ",TRUE,IF(E314="","التاريخ",""),IF(F314="","الوقت",""),IF(G314="","المركز",""),IF(H314="","الدائرة",""),IF(I314="","القسم",""),IF(J314="","المسؤول",""),IF(K314="","نوع النشاط",""),IF(L314="","المشروع",""),IF(N314="","الممول",""),IF(V314="","الموضوع",""),IF(W314="","الملاحظة",""),IF(X314="","مشكلة",""),IF(Y314="","الإجراء",""),IF(Z314="","التنفيذ",""),IF(AA314="","الجودة",""),IF(AB314="","الإغلاق",""),IF(AC314="","الخصم",""),IF(AND(COUNTA($O314:$U314)&gt;0,O314=""),"مدير المشروع",""),IF(AND(COUNTA($O314:$U314)&gt;0,P314=""),"المستفيدين",""),IF(AND(COUNTA($O314:$U314)&gt;0,Q314=""),"المناطق",""),IF(AND(COUNTA($O314:$U314)&gt;0,R314=""),"الميزانية",""),IF(AND(COUNTA($O314:$U314)&gt;0,S314=""),"نسبة الجاهزية",""),IF(AND(COUNTA($O314:$U314)&gt;0,T314=""),"حالة الجاهزية",""),IF(AND(COUNTA($O314:$U314)&gt;0,U314=""),"التوصيات","")))&gt;0,"✗ ناقص: "&amp;_xlfn.TEXTJOIN("، ",TRUE,IF(E314="","التاريخ",""),IF(F314="","الوقت",""),IF(G314="","المركز",""),IF(H314="","الدائرة",""),IF(I314="","القسم",""),IF(J314="","المسؤول",""),IF(K314="","نوع النشاط",""),IF(L314="","المشروع",""),IF(N314="","الممول",""),IF(V314="","الموضوع",""),IF(W314="","الملاحظة",""),IF(X314="","مشكلة",""),IF(Y314="","الإجراء",""),IF(Z314="","التنفيذ",""),IF(AA314="","الجودة",""),IF(AB314="","الإغلاق",""),IF(AC314="","الخصم",""),IF(AND(COUNTA($O314:$U314)&gt;0,O314=""),"مدير المشروع",""),IF(AND(COUNTA($O314:$U314)&gt;0,P314=""),"المستفيدين",""),IF(AND(COUNTA($O314:$U314)&gt;0,Q314=""),"المناطق",""),IF(AND(COUNTA($O314:$U314)&gt;0,R314=""),"الميزانية",""),IF(AND(COUNTA($O314:$U314)&gt;0,S314=""),"نسبة الجاهزية",""),IF(AND(COUNTA($O314:$U314)&gt;0,T314=""),"حالة الجاهزية",""),IF(AND(COUNTA($O314:$U314)&gt;0,U314=""),"التوصيات","")),"✓"),"✓"))))))))))</f>
        <v/>
      </c>
      <c r="E314" s="235"/>
      <c r="F314" s="236"/>
      <c r="G314" s="90"/>
      <c r="H314" s="239"/>
      <c r="I314" s="89"/>
      <c r="J314" s="142"/>
      <c r="K314" s="90"/>
      <c r="L314" s="90"/>
      <c r="M314" s="90"/>
      <c r="N314" s="89"/>
      <c r="O314" s="200"/>
      <c r="P314" s="201"/>
      <c r="Q314" s="201"/>
      <c r="R314" s="237"/>
      <c r="S314" s="202"/>
      <c r="T314" s="200"/>
      <c r="U314" s="203"/>
      <c r="V314" s="89"/>
      <c r="W314" s="89"/>
      <c r="X314" s="145"/>
      <c r="Y314" s="89"/>
      <c r="Z314" s="90"/>
      <c r="AA314" s="90"/>
      <c r="AB314" s="90"/>
      <c r="AC314" s="90"/>
      <c r="AD314" s="92"/>
      <c r="AE314" s="149" t="str">
        <f>IFERROR(VLOOKUP(Z314,LISTS!$AL$2:$AM$1000,2,FALSE()),"")</f>
        <v/>
      </c>
      <c r="AF314" s="151" t="str">
        <f>IFERROR(VLOOKUP(AA314,LISTS!$AO$2:$AP$1000,2,FALSE()),"")</f>
        <v/>
      </c>
      <c r="AG314" s="152" t="str">
        <f>IFERROR(VLOOKUP(AB314,LISTS!$AR$2:$AS$1000,2,FALSE()),"")</f>
        <v/>
      </c>
      <c r="AH314" s="154" t="str">
        <f>IFERROR(VLOOKUP(AC314,LISTS!$AU$2:$AV$1000,2,FALSE()),"")</f>
        <v/>
      </c>
      <c r="AI314" s="238" t="str">
        <f t="shared" si="23"/>
        <v>—</v>
      </c>
      <c r="AJ314" s="190" t="str">
        <f t="shared" si="24"/>
        <v>—</v>
      </c>
      <c r="AK314" s="157" t="str">
        <f t="shared" si="25"/>
        <v/>
      </c>
      <c r="AL314" s="160" t="str">
        <f t="shared" si="26"/>
        <v/>
      </c>
      <c r="AM314" s="210"/>
      <c r="AN314" s="209"/>
    </row>
    <row r="315" spans="1:40" ht="27.95" customHeight="1">
      <c r="A315" s="134" t="str">
        <f>IF(I315&lt;&gt;"",COUNTA($I$2:I315),"")</f>
        <v/>
      </c>
      <c r="B315" s="138" t="str">
        <f t="shared" si="27"/>
        <v/>
      </c>
      <c r="C315" s="93" t="str">
        <f t="array" ref="C315">IF(E315="","",IF(M315&lt;&gt;"",
M315&amp;"/"&amp;SUMPRODUCT((M$2:M315=M315)*1)&amp;" - "&amp;(ROW()-2),
"إداري/"&amp;SUMPRODUCT((M$2:M315="")*1)&amp;" - "&amp;(ROW()-2)))</f>
        <v/>
      </c>
      <c r="D315" s="141" t="str">
        <f>IF(AND(G315="",H315="",I315=""),"",IF(COUNTIFS(LISTS!$A$2:$A$67,G315,LISTS!$B$2:$B$67,H315,LISTS!$C$2:$C$67,I315)=0,"✗ هرم",IF(NOT(OR(Z315="ممتاز 100%",Z315="جيد 80%",Z315="مقبول 60%",Z315="خطر 40%",Z315="")),"✗ قائمة R",IF(NOT(OR(AA315="ممتاز 100%",AA315="جيد 85%",AA315="مقبول 70%",AA315="ضعيف 50%",AA315="")),"✗ قائمة S",IF(NOT(OR(AB315="مكتمل 100%",AB315="جزئي 60%",AB315="معلق 30%",AB315="مفتوح 0%",AB315="")),"✗ قائمة T",IF(NOT(OR(AC315="لا خصم 0",AC315="تأخير −5",AC315="عجز −10",AC315="جودة −15",AC315="امتثال −20",AC315="مخالفة −25",AC315="")),"✗ قائمة U",IF(AND(X315="لا",AC315&lt;&gt;"",AC315&lt;&gt;"لا خصم 0"),"✗ خصم",IF(AND(X315="نعم",AC315="لا خصم 0"),"✗ خصم",IF(AND(Z315="ممتاز 100%",AA315="ممتاز 100%",AB315&lt;&gt;"",AB315&lt;&gt;"مكتمل 100%"),"✗ إغلاق",IFERROR(IF(LEN(_xlfn.TEXTJOIN("، ",TRUE,IF(E315="","التاريخ",""),IF(F315="","الوقت",""),IF(G315="","المركز",""),IF(H315="","الدائرة",""),IF(I315="","القسم",""),IF(J315="","المسؤول",""),IF(K315="","نوع النشاط",""),IF(L315="","المشروع",""),IF(N315="","الممول",""),IF(V315="","الموضوع",""),IF(W315="","الملاحظة",""),IF(X315="","مشكلة",""),IF(Y315="","الإجراء",""),IF(Z315="","التنفيذ",""),IF(AA315="","الجودة",""),IF(AB315="","الإغلاق",""),IF(AC315="","الخصم",""),IF(AND(COUNTA($O315:$U315)&gt;0,O315=""),"مدير المشروع",""),IF(AND(COUNTA($O315:$U315)&gt;0,P315=""),"المستفيدين",""),IF(AND(COUNTA($O315:$U315)&gt;0,Q315=""),"المناطق",""),IF(AND(COUNTA($O315:$U315)&gt;0,R315=""),"الميزانية",""),IF(AND(COUNTA($O315:$U315)&gt;0,S315=""),"نسبة الجاهزية",""),IF(AND(COUNTA($O315:$U315)&gt;0,T315=""),"حالة الجاهزية",""),IF(AND(COUNTA($O315:$U315)&gt;0,U315=""),"التوصيات","")))&gt;0,"✗ ناقص: "&amp;_xlfn.TEXTJOIN("، ",TRUE,IF(E315="","التاريخ",""),IF(F315="","الوقت",""),IF(G315="","المركز",""),IF(H315="","الدائرة",""),IF(I315="","القسم",""),IF(J315="","المسؤول",""),IF(K315="","نوع النشاط",""),IF(L315="","المشروع",""),IF(N315="","الممول",""),IF(V315="","الموضوع",""),IF(W315="","الملاحظة",""),IF(X315="","مشكلة",""),IF(Y315="","الإجراء",""),IF(Z315="","التنفيذ",""),IF(AA315="","الجودة",""),IF(AB315="","الإغلاق",""),IF(AC315="","الخصم",""),IF(AND(COUNTA($O315:$U315)&gt;0,O315=""),"مدير المشروع",""),IF(AND(COUNTA($O315:$U315)&gt;0,P315=""),"المستفيدين",""),IF(AND(COUNTA($O315:$U315)&gt;0,Q315=""),"المناطق",""),IF(AND(COUNTA($O315:$U315)&gt;0,R315=""),"الميزانية",""),IF(AND(COUNTA($O315:$U315)&gt;0,S315=""),"نسبة الجاهزية",""),IF(AND(COUNTA($O315:$U315)&gt;0,T315=""),"حالة الجاهزية",""),IF(AND(COUNTA($O315:$U315)&gt;0,U315=""),"التوصيات","")),"✓"),"✓"))))))))))</f>
        <v/>
      </c>
      <c r="E315" s="235"/>
      <c r="F315" s="236"/>
      <c r="G315" s="90"/>
      <c r="H315" s="239"/>
      <c r="I315" s="89"/>
      <c r="J315" s="142"/>
      <c r="K315" s="90"/>
      <c r="L315" s="90"/>
      <c r="M315" s="90"/>
      <c r="N315" s="89"/>
      <c r="O315" s="200"/>
      <c r="P315" s="201"/>
      <c r="Q315" s="201"/>
      <c r="R315" s="237"/>
      <c r="S315" s="202"/>
      <c r="T315" s="200"/>
      <c r="U315" s="203"/>
      <c r="V315" s="89"/>
      <c r="W315" s="89"/>
      <c r="X315" s="145"/>
      <c r="Y315" s="89"/>
      <c r="Z315" s="90"/>
      <c r="AA315" s="90"/>
      <c r="AB315" s="90"/>
      <c r="AC315" s="90"/>
      <c r="AD315" s="92"/>
      <c r="AE315" s="149" t="str">
        <f>IFERROR(VLOOKUP(Z315,LISTS!$AL$2:$AM$1000,2,FALSE()),"")</f>
        <v/>
      </c>
      <c r="AF315" s="151" t="str">
        <f>IFERROR(VLOOKUP(AA315,LISTS!$AO$2:$AP$1000,2,FALSE()),"")</f>
        <v/>
      </c>
      <c r="AG315" s="152" t="str">
        <f>IFERROR(VLOOKUP(AB315,LISTS!$AR$2:$AS$1000,2,FALSE()),"")</f>
        <v/>
      </c>
      <c r="AH315" s="154" t="str">
        <f>IFERROR(VLOOKUP(AC315,LISTS!$AU$2:$AV$1000,2,FALSE()),"")</f>
        <v/>
      </c>
      <c r="AI315" s="238" t="str">
        <f t="shared" si="23"/>
        <v>—</v>
      </c>
      <c r="AJ315" s="190" t="str">
        <f t="shared" si="24"/>
        <v>—</v>
      </c>
      <c r="AK315" s="157" t="str">
        <f t="shared" si="25"/>
        <v/>
      </c>
      <c r="AL315" s="160" t="str">
        <f t="shared" si="26"/>
        <v/>
      </c>
      <c r="AM315" s="210"/>
      <c r="AN315" s="209"/>
    </row>
    <row r="316" spans="1:40" ht="27.95" customHeight="1">
      <c r="A316" s="134" t="str">
        <f>IF(I316&lt;&gt;"",COUNTA($I$2:I316),"")</f>
        <v/>
      </c>
      <c r="B316" s="138" t="str">
        <f t="shared" si="27"/>
        <v/>
      </c>
      <c r="C316" s="93" t="str">
        <f t="array" ref="C316">IF(E316="","",IF(M316&lt;&gt;"",
M316&amp;"/"&amp;SUMPRODUCT((M$2:M316=M316)*1)&amp;" - "&amp;(ROW()-2),
"إداري/"&amp;SUMPRODUCT((M$2:M316="")*1)&amp;" - "&amp;(ROW()-2)))</f>
        <v/>
      </c>
      <c r="D316" s="141" t="str">
        <f>IF(AND(G316="",H316="",I316=""),"",IF(COUNTIFS(LISTS!$A$2:$A$67,G316,LISTS!$B$2:$B$67,H316,LISTS!$C$2:$C$67,I316)=0,"✗ هرم",IF(NOT(OR(Z316="ممتاز 100%",Z316="جيد 80%",Z316="مقبول 60%",Z316="خطر 40%",Z316="")),"✗ قائمة R",IF(NOT(OR(AA316="ممتاز 100%",AA316="جيد 85%",AA316="مقبول 70%",AA316="ضعيف 50%",AA316="")),"✗ قائمة S",IF(NOT(OR(AB316="مكتمل 100%",AB316="جزئي 60%",AB316="معلق 30%",AB316="مفتوح 0%",AB316="")),"✗ قائمة T",IF(NOT(OR(AC316="لا خصم 0",AC316="تأخير −5",AC316="عجز −10",AC316="جودة −15",AC316="امتثال −20",AC316="مخالفة −25",AC316="")),"✗ قائمة U",IF(AND(X316="لا",AC316&lt;&gt;"",AC316&lt;&gt;"لا خصم 0"),"✗ خصم",IF(AND(X316="نعم",AC316="لا خصم 0"),"✗ خصم",IF(AND(Z316="ممتاز 100%",AA316="ممتاز 100%",AB316&lt;&gt;"",AB316&lt;&gt;"مكتمل 100%"),"✗ إغلاق",IFERROR(IF(LEN(_xlfn.TEXTJOIN("، ",TRUE,IF(E316="","التاريخ",""),IF(F316="","الوقت",""),IF(G316="","المركز",""),IF(H316="","الدائرة",""),IF(I316="","القسم",""),IF(J316="","المسؤول",""),IF(K316="","نوع النشاط",""),IF(L316="","المشروع",""),IF(N316="","الممول",""),IF(V316="","الموضوع",""),IF(W316="","الملاحظة",""),IF(X316="","مشكلة",""),IF(Y316="","الإجراء",""),IF(Z316="","التنفيذ",""),IF(AA316="","الجودة",""),IF(AB316="","الإغلاق",""),IF(AC316="","الخصم",""),IF(AND(COUNTA($O316:$U316)&gt;0,O316=""),"مدير المشروع",""),IF(AND(COUNTA($O316:$U316)&gt;0,P316=""),"المستفيدين",""),IF(AND(COUNTA($O316:$U316)&gt;0,Q316=""),"المناطق",""),IF(AND(COUNTA($O316:$U316)&gt;0,R316=""),"الميزانية",""),IF(AND(COUNTA($O316:$U316)&gt;0,S316=""),"نسبة الجاهزية",""),IF(AND(COUNTA($O316:$U316)&gt;0,T316=""),"حالة الجاهزية",""),IF(AND(COUNTA($O316:$U316)&gt;0,U316=""),"التوصيات","")))&gt;0,"✗ ناقص: "&amp;_xlfn.TEXTJOIN("، ",TRUE,IF(E316="","التاريخ",""),IF(F316="","الوقت",""),IF(G316="","المركز",""),IF(H316="","الدائرة",""),IF(I316="","القسم",""),IF(J316="","المسؤول",""),IF(K316="","نوع النشاط",""),IF(L316="","المشروع",""),IF(N316="","الممول",""),IF(V316="","الموضوع",""),IF(W316="","الملاحظة",""),IF(X316="","مشكلة",""),IF(Y316="","الإجراء",""),IF(Z316="","التنفيذ",""),IF(AA316="","الجودة",""),IF(AB316="","الإغلاق",""),IF(AC316="","الخصم",""),IF(AND(COUNTA($O316:$U316)&gt;0,O316=""),"مدير المشروع",""),IF(AND(COUNTA($O316:$U316)&gt;0,P316=""),"المستفيدين",""),IF(AND(COUNTA($O316:$U316)&gt;0,Q316=""),"المناطق",""),IF(AND(COUNTA($O316:$U316)&gt;0,R316=""),"الميزانية",""),IF(AND(COUNTA($O316:$U316)&gt;0,S316=""),"نسبة الجاهزية",""),IF(AND(COUNTA($O316:$U316)&gt;0,T316=""),"حالة الجاهزية",""),IF(AND(COUNTA($O316:$U316)&gt;0,U316=""),"التوصيات","")),"✓"),"✓"))))))))))</f>
        <v/>
      </c>
      <c r="E316" s="235"/>
      <c r="F316" s="236"/>
      <c r="G316" s="90"/>
      <c r="H316" s="239"/>
      <c r="I316" s="89"/>
      <c r="J316" s="142"/>
      <c r="K316" s="90"/>
      <c r="L316" s="90"/>
      <c r="M316" s="90"/>
      <c r="N316" s="89"/>
      <c r="O316" s="200"/>
      <c r="P316" s="201"/>
      <c r="Q316" s="201"/>
      <c r="R316" s="237"/>
      <c r="S316" s="202"/>
      <c r="T316" s="200"/>
      <c r="U316" s="203"/>
      <c r="V316" s="89"/>
      <c r="W316" s="89"/>
      <c r="X316" s="145"/>
      <c r="Y316" s="89"/>
      <c r="Z316" s="90"/>
      <c r="AA316" s="90"/>
      <c r="AB316" s="90"/>
      <c r="AC316" s="90"/>
      <c r="AD316" s="92"/>
      <c r="AE316" s="149" t="str">
        <f>IFERROR(VLOOKUP(Z316,LISTS!$AL$2:$AM$1000,2,FALSE()),"")</f>
        <v/>
      </c>
      <c r="AF316" s="151" t="str">
        <f>IFERROR(VLOOKUP(AA316,LISTS!$AO$2:$AP$1000,2,FALSE()),"")</f>
        <v/>
      </c>
      <c r="AG316" s="152" t="str">
        <f>IFERROR(VLOOKUP(AB316,LISTS!$AR$2:$AS$1000,2,FALSE()),"")</f>
        <v/>
      </c>
      <c r="AH316" s="154" t="str">
        <f>IFERROR(VLOOKUP(AC316,LISTS!$AU$2:$AV$1000,2,FALSE()),"")</f>
        <v/>
      </c>
      <c r="AI316" s="238" t="str">
        <f t="shared" si="23"/>
        <v>—</v>
      </c>
      <c r="AJ316" s="190" t="str">
        <f t="shared" si="24"/>
        <v>—</v>
      </c>
      <c r="AK316" s="157" t="str">
        <f t="shared" si="25"/>
        <v/>
      </c>
      <c r="AL316" s="160" t="str">
        <f t="shared" si="26"/>
        <v/>
      </c>
      <c r="AM316" s="210"/>
      <c r="AN316" s="209"/>
    </row>
    <row r="317" spans="1:40" ht="27.95" customHeight="1">
      <c r="A317" s="134" t="str">
        <f>IF(I317&lt;&gt;"",COUNTA($I$2:I317),"")</f>
        <v/>
      </c>
      <c r="B317" s="138" t="str">
        <f t="shared" si="27"/>
        <v/>
      </c>
      <c r="C317" s="93" t="str">
        <f t="array" ref="C317">IF(E317="","",IF(M317&lt;&gt;"",
M317&amp;"/"&amp;SUMPRODUCT((M$2:M317=M317)*1)&amp;" - "&amp;(ROW()-2),
"إداري/"&amp;SUMPRODUCT((M$2:M317="")*1)&amp;" - "&amp;(ROW()-2)))</f>
        <v/>
      </c>
      <c r="D317" s="141" t="str">
        <f>IF(AND(G317="",H317="",I317=""),"",IF(COUNTIFS(LISTS!$A$2:$A$67,G317,LISTS!$B$2:$B$67,H317,LISTS!$C$2:$C$67,I317)=0,"✗ هرم",IF(NOT(OR(Z317="ممتاز 100%",Z317="جيد 80%",Z317="مقبول 60%",Z317="خطر 40%",Z317="")),"✗ قائمة R",IF(NOT(OR(AA317="ممتاز 100%",AA317="جيد 85%",AA317="مقبول 70%",AA317="ضعيف 50%",AA317="")),"✗ قائمة S",IF(NOT(OR(AB317="مكتمل 100%",AB317="جزئي 60%",AB317="معلق 30%",AB317="مفتوح 0%",AB317="")),"✗ قائمة T",IF(NOT(OR(AC317="لا خصم 0",AC317="تأخير −5",AC317="عجز −10",AC317="جودة −15",AC317="امتثال −20",AC317="مخالفة −25",AC317="")),"✗ قائمة U",IF(AND(X317="لا",AC317&lt;&gt;"",AC317&lt;&gt;"لا خصم 0"),"✗ خصم",IF(AND(X317="نعم",AC317="لا خصم 0"),"✗ خصم",IF(AND(Z317="ممتاز 100%",AA317="ممتاز 100%",AB317&lt;&gt;"",AB317&lt;&gt;"مكتمل 100%"),"✗ إغلاق",IFERROR(IF(LEN(_xlfn.TEXTJOIN("، ",TRUE,IF(E317="","التاريخ",""),IF(F317="","الوقت",""),IF(G317="","المركز",""),IF(H317="","الدائرة",""),IF(I317="","القسم",""),IF(J317="","المسؤول",""),IF(K317="","نوع النشاط",""),IF(L317="","المشروع",""),IF(N317="","الممول",""),IF(V317="","الموضوع",""),IF(W317="","الملاحظة",""),IF(X317="","مشكلة",""),IF(Y317="","الإجراء",""),IF(Z317="","التنفيذ",""),IF(AA317="","الجودة",""),IF(AB317="","الإغلاق",""),IF(AC317="","الخصم",""),IF(AND(COUNTA($O317:$U317)&gt;0,O317=""),"مدير المشروع",""),IF(AND(COUNTA($O317:$U317)&gt;0,P317=""),"المستفيدين",""),IF(AND(COUNTA($O317:$U317)&gt;0,Q317=""),"المناطق",""),IF(AND(COUNTA($O317:$U317)&gt;0,R317=""),"الميزانية",""),IF(AND(COUNTA($O317:$U317)&gt;0,S317=""),"نسبة الجاهزية",""),IF(AND(COUNTA($O317:$U317)&gt;0,T317=""),"حالة الجاهزية",""),IF(AND(COUNTA($O317:$U317)&gt;0,U317=""),"التوصيات","")))&gt;0,"✗ ناقص: "&amp;_xlfn.TEXTJOIN("، ",TRUE,IF(E317="","التاريخ",""),IF(F317="","الوقت",""),IF(G317="","المركز",""),IF(H317="","الدائرة",""),IF(I317="","القسم",""),IF(J317="","المسؤول",""),IF(K317="","نوع النشاط",""),IF(L317="","المشروع",""),IF(N317="","الممول",""),IF(V317="","الموضوع",""),IF(W317="","الملاحظة",""),IF(X317="","مشكلة",""),IF(Y317="","الإجراء",""),IF(Z317="","التنفيذ",""),IF(AA317="","الجودة",""),IF(AB317="","الإغلاق",""),IF(AC317="","الخصم",""),IF(AND(COUNTA($O317:$U317)&gt;0,O317=""),"مدير المشروع",""),IF(AND(COUNTA($O317:$U317)&gt;0,P317=""),"المستفيدين",""),IF(AND(COUNTA($O317:$U317)&gt;0,Q317=""),"المناطق",""),IF(AND(COUNTA($O317:$U317)&gt;0,R317=""),"الميزانية",""),IF(AND(COUNTA($O317:$U317)&gt;0,S317=""),"نسبة الجاهزية",""),IF(AND(COUNTA($O317:$U317)&gt;0,T317=""),"حالة الجاهزية",""),IF(AND(COUNTA($O317:$U317)&gt;0,U317=""),"التوصيات","")),"✓"),"✓"))))))))))</f>
        <v/>
      </c>
      <c r="E317" s="235"/>
      <c r="F317" s="236"/>
      <c r="G317" s="90"/>
      <c r="H317" s="239"/>
      <c r="I317" s="89"/>
      <c r="J317" s="142"/>
      <c r="K317" s="90"/>
      <c r="L317" s="90"/>
      <c r="M317" s="90"/>
      <c r="N317" s="89"/>
      <c r="O317" s="200"/>
      <c r="P317" s="201"/>
      <c r="Q317" s="201"/>
      <c r="R317" s="237"/>
      <c r="S317" s="202"/>
      <c r="T317" s="200"/>
      <c r="U317" s="203"/>
      <c r="V317" s="89"/>
      <c r="W317" s="89"/>
      <c r="X317" s="145"/>
      <c r="Y317" s="89"/>
      <c r="Z317" s="90"/>
      <c r="AA317" s="90"/>
      <c r="AB317" s="90"/>
      <c r="AC317" s="90"/>
      <c r="AD317" s="92"/>
      <c r="AE317" s="149" t="str">
        <f>IFERROR(VLOOKUP(Z317,LISTS!$AL$2:$AM$1000,2,FALSE()),"")</f>
        <v/>
      </c>
      <c r="AF317" s="151" t="str">
        <f>IFERROR(VLOOKUP(AA317,LISTS!$AO$2:$AP$1000,2,FALSE()),"")</f>
        <v/>
      </c>
      <c r="AG317" s="152" t="str">
        <f>IFERROR(VLOOKUP(AB317,LISTS!$AR$2:$AS$1000,2,FALSE()),"")</f>
        <v/>
      </c>
      <c r="AH317" s="154" t="str">
        <f>IFERROR(VLOOKUP(AC317,LISTS!$AU$2:$AV$1000,2,FALSE()),"")</f>
        <v/>
      </c>
      <c r="AI317" s="238" t="str">
        <f t="shared" si="23"/>
        <v>—</v>
      </c>
      <c r="AJ317" s="190" t="str">
        <f t="shared" si="24"/>
        <v>—</v>
      </c>
      <c r="AK317" s="157" t="str">
        <f t="shared" si="25"/>
        <v/>
      </c>
      <c r="AL317" s="160" t="str">
        <f t="shared" si="26"/>
        <v/>
      </c>
      <c r="AM317" s="210"/>
      <c r="AN317" s="209"/>
    </row>
    <row r="318" spans="1:40" ht="27.95" customHeight="1">
      <c r="A318" s="134" t="str">
        <f>IF(I318&lt;&gt;"",COUNTA($I$2:I318),"")</f>
        <v/>
      </c>
      <c r="B318" s="138" t="str">
        <f t="shared" si="27"/>
        <v/>
      </c>
      <c r="C318" s="93" t="str">
        <f t="array" ref="C318">IF(E318="","",IF(M318&lt;&gt;"",
M318&amp;"/"&amp;SUMPRODUCT((M$2:M318=M318)*1)&amp;" - "&amp;(ROW()-2),
"إداري/"&amp;SUMPRODUCT((M$2:M318="")*1)&amp;" - "&amp;(ROW()-2)))</f>
        <v/>
      </c>
      <c r="D318" s="141" t="str">
        <f>IF(AND(G318="",H318="",I318=""),"",IF(COUNTIFS(LISTS!$A$2:$A$67,G318,LISTS!$B$2:$B$67,H318,LISTS!$C$2:$C$67,I318)=0,"✗ هرم",IF(NOT(OR(Z318="ممتاز 100%",Z318="جيد 80%",Z318="مقبول 60%",Z318="خطر 40%",Z318="")),"✗ قائمة R",IF(NOT(OR(AA318="ممتاز 100%",AA318="جيد 85%",AA318="مقبول 70%",AA318="ضعيف 50%",AA318="")),"✗ قائمة S",IF(NOT(OR(AB318="مكتمل 100%",AB318="جزئي 60%",AB318="معلق 30%",AB318="مفتوح 0%",AB318="")),"✗ قائمة T",IF(NOT(OR(AC318="لا خصم 0",AC318="تأخير −5",AC318="عجز −10",AC318="جودة −15",AC318="امتثال −20",AC318="مخالفة −25",AC318="")),"✗ قائمة U",IF(AND(X318="لا",AC318&lt;&gt;"",AC318&lt;&gt;"لا خصم 0"),"✗ خصم",IF(AND(X318="نعم",AC318="لا خصم 0"),"✗ خصم",IF(AND(Z318="ممتاز 100%",AA318="ممتاز 100%",AB318&lt;&gt;"",AB318&lt;&gt;"مكتمل 100%"),"✗ إغلاق",IFERROR(IF(LEN(_xlfn.TEXTJOIN("، ",TRUE,IF(E318="","التاريخ",""),IF(F318="","الوقت",""),IF(G318="","المركز",""),IF(H318="","الدائرة",""),IF(I318="","القسم",""),IF(J318="","المسؤول",""),IF(K318="","نوع النشاط",""),IF(L318="","المشروع",""),IF(N318="","الممول",""),IF(V318="","الموضوع",""),IF(W318="","الملاحظة",""),IF(X318="","مشكلة",""),IF(Y318="","الإجراء",""),IF(Z318="","التنفيذ",""),IF(AA318="","الجودة",""),IF(AB318="","الإغلاق",""),IF(AC318="","الخصم",""),IF(AND(COUNTA($O318:$U318)&gt;0,O318=""),"مدير المشروع",""),IF(AND(COUNTA($O318:$U318)&gt;0,P318=""),"المستفيدين",""),IF(AND(COUNTA($O318:$U318)&gt;0,Q318=""),"المناطق",""),IF(AND(COUNTA($O318:$U318)&gt;0,R318=""),"الميزانية",""),IF(AND(COUNTA($O318:$U318)&gt;0,S318=""),"نسبة الجاهزية",""),IF(AND(COUNTA($O318:$U318)&gt;0,T318=""),"حالة الجاهزية",""),IF(AND(COUNTA($O318:$U318)&gt;0,U318=""),"التوصيات","")))&gt;0,"✗ ناقص: "&amp;_xlfn.TEXTJOIN("، ",TRUE,IF(E318="","التاريخ",""),IF(F318="","الوقت",""),IF(G318="","المركز",""),IF(H318="","الدائرة",""),IF(I318="","القسم",""),IF(J318="","المسؤول",""),IF(K318="","نوع النشاط",""),IF(L318="","المشروع",""),IF(N318="","الممول",""),IF(V318="","الموضوع",""),IF(W318="","الملاحظة",""),IF(X318="","مشكلة",""),IF(Y318="","الإجراء",""),IF(Z318="","التنفيذ",""),IF(AA318="","الجودة",""),IF(AB318="","الإغلاق",""),IF(AC318="","الخصم",""),IF(AND(COUNTA($O318:$U318)&gt;0,O318=""),"مدير المشروع",""),IF(AND(COUNTA($O318:$U318)&gt;0,P318=""),"المستفيدين",""),IF(AND(COUNTA($O318:$U318)&gt;0,Q318=""),"المناطق",""),IF(AND(COUNTA($O318:$U318)&gt;0,R318=""),"الميزانية",""),IF(AND(COUNTA($O318:$U318)&gt;0,S318=""),"نسبة الجاهزية",""),IF(AND(COUNTA($O318:$U318)&gt;0,T318=""),"حالة الجاهزية",""),IF(AND(COUNTA($O318:$U318)&gt;0,U318=""),"التوصيات","")),"✓"),"✓"))))))))))</f>
        <v/>
      </c>
      <c r="E318" s="235"/>
      <c r="F318" s="236"/>
      <c r="G318" s="90"/>
      <c r="H318" s="239"/>
      <c r="I318" s="89"/>
      <c r="J318" s="142"/>
      <c r="K318" s="90"/>
      <c r="L318" s="90"/>
      <c r="M318" s="90"/>
      <c r="N318" s="89"/>
      <c r="O318" s="200"/>
      <c r="P318" s="201"/>
      <c r="Q318" s="201"/>
      <c r="R318" s="237"/>
      <c r="S318" s="202"/>
      <c r="T318" s="200"/>
      <c r="U318" s="203"/>
      <c r="V318" s="89"/>
      <c r="W318" s="89"/>
      <c r="X318" s="145"/>
      <c r="Y318" s="89"/>
      <c r="Z318" s="90"/>
      <c r="AA318" s="90"/>
      <c r="AB318" s="90"/>
      <c r="AC318" s="90"/>
      <c r="AD318" s="92"/>
      <c r="AE318" s="149" t="str">
        <f>IFERROR(VLOOKUP(Z318,LISTS!$AL$2:$AM$1000,2,FALSE()),"")</f>
        <v/>
      </c>
      <c r="AF318" s="151" t="str">
        <f>IFERROR(VLOOKUP(AA318,LISTS!$AO$2:$AP$1000,2,FALSE()),"")</f>
        <v/>
      </c>
      <c r="AG318" s="152" t="str">
        <f>IFERROR(VLOOKUP(AB318,LISTS!$AR$2:$AS$1000,2,FALSE()),"")</f>
        <v/>
      </c>
      <c r="AH318" s="154" t="str">
        <f>IFERROR(VLOOKUP(AC318,LISTS!$AU$2:$AV$1000,2,FALSE()),"")</f>
        <v/>
      </c>
      <c r="AI318" s="238" t="str">
        <f t="shared" si="23"/>
        <v>—</v>
      </c>
      <c r="AJ318" s="190" t="str">
        <f t="shared" si="24"/>
        <v>—</v>
      </c>
      <c r="AK318" s="157" t="str">
        <f t="shared" si="25"/>
        <v/>
      </c>
      <c r="AL318" s="160" t="str">
        <f t="shared" si="26"/>
        <v/>
      </c>
      <c r="AM318" s="210"/>
      <c r="AN318" s="209"/>
    </row>
    <row r="319" spans="1:40" ht="27.95" customHeight="1">
      <c r="A319" s="134" t="str">
        <f>IF(I319&lt;&gt;"",COUNTA($I$2:I319),"")</f>
        <v/>
      </c>
      <c r="B319" s="138" t="str">
        <f t="shared" si="27"/>
        <v/>
      </c>
      <c r="C319" s="93" t="str">
        <f t="array" ref="C319">IF(E319="","",IF(M319&lt;&gt;"",
M319&amp;"/"&amp;SUMPRODUCT((M$2:M319=M319)*1)&amp;" - "&amp;(ROW()-2),
"إداري/"&amp;SUMPRODUCT((M$2:M319="")*1)&amp;" - "&amp;(ROW()-2)))</f>
        <v/>
      </c>
      <c r="D319" s="141" t="str">
        <f>IF(AND(G319="",H319="",I319=""),"",IF(COUNTIFS(LISTS!$A$2:$A$67,G319,LISTS!$B$2:$B$67,H319,LISTS!$C$2:$C$67,I319)=0,"✗ هرم",IF(NOT(OR(Z319="ممتاز 100%",Z319="جيد 80%",Z319="مقبول 60%",Z319="خطر 40%",Z319="")),"✗ قائمة R",IF(NOT(OR(AA319="ممتاز 100%",AA319="جيد 85%",AA319="مقبول 70%",AA319="ضعيف 50%",AA319="")),"✗ قائمة S",IF(NOT(OR(AB319="مكتمل 100%",AB319="جزئي 60%",AB319="معلق 30%",AB319="مفتوح 0%",AB319="")),"✗ قائمة T",IF(NOT(OR(AC319="لا خصم 0",AC319="تأخير −5",AC319="عجز −10",AC319="جودة −15",AC319="امتثال −20",AC319="مخالفة −25",AC319="")),"✗ قائمة U",IF(AND(X319="لا",AC319&lt;&gt;"",AC319&lt;&gt;"لا خصم 0"),"✗ خصم",IF(AND(X319="نعم",AC319="لا خصم 0"),"✗ خصم",IF(AND(Z319="ممتاز 100%",AA319="ممتاز 100%",AB319&lt;&gt;"",AB319&lt;&gt;"مكتمل 100%"),"✗ إغلاق",IFERROR(IF(LEN(_xlfn.TEXTJOIN("، ",TRUE,IF(E319="","التاريخ",""),IF(F319="","الوقت",""),IF(G319="","المركز",""),IF(H319="","الدائرة",""),IF(I319="","القسم",""),IF(J319="","المسؤول",""),IF(K319="","نوع النشاط",""),IF(L319="","المشروع",""),IF(N319="","الممول",""),IF(V319="","الموضوع",""),IF(W319="","الملاحظة",""),IF(X319="","مشكلة",""),IF(Y319="","الإجراء",""),IF(Z319="","التنفيذ",""),IF(AA319="","الجودة",""),IF(AB319="","الإغلاق",""),IF(AC319="","الخصم",""),IF(AND(COUNTA($O319:$U319)&gt;0,O319=""),"مدير المشروع",""),IF(AND(COUNTA($O319:$U319)&gt;0,P319=""),"المستفيدين",""),IF(AND(COUNTA($O319:$U319)&gt;0,Q319=""),"المناطق",""),IF(AND(COUNTA($O319:$U319)&gt;0,R319=""),"الميزانية",""),IF(AND(COUNTA($O319:$U319)&gt;0,S319=""),"نسبة الجاهزية",""),IF(AND(COUNTA($O319:$U319)&gt;0,T319=""),"حالة الجاهزية",""),IF(AND(COUNTA($O319:$U319)&gt;0,U319=""),"التوصيات","")))&gt;0,"✗ ناقص: "&amp;_xlfn.TEXTJOIN("، ",TRUE,IF(E319="","التاريخ",""),IF(F319="","الوقت",""),IF(G319="","المركز",""),IF(H319="","الدائرة",""),IF(I319="","القسم",""),IF(J319="","المسؤول",""),IF(K319="","نوع النشاط",""),IF(L319="","المشروع",""),IF(N319="","الممول",""),IF(V319="","الموضوع",""),IF(W319="","الملاحظة",""),IF(X319="","مشكلة",""),IF(Y319="","الإجراء",""),IF(Z319="","التنفيذ",""),IF(AA319="","الجودة",""),IF(AB319="","الإغلاق",""),IF(AC319="","الخصم",""),IF(AND(COUNTA($O319:$U319)&gt;0,O319=""),"مدير المشروع",""),IF(AND(COUNTA($O319:$U319)&gt;0,P319=""),"المستفيدين",""),IF(AND(COUNTA($O319:$U319)&gt;0,Q319=""),"المناطق",""),IF(AND(COUNTA($O319:$U319)&gt;0,R319=""),"الميزانية",""),IF(AND(COUNTA($O319:$U319)&gt;0,S319=""),"نسبة الجاهزية",""),IF(AND(COUNTA($O319:$U319)&gt;0,T319=""),"حالة الجاهزية",""),IF(AND(COUNTA($O319:$U319)&gt;0,U319=""),"التوصيات","")),"✓"),"✓"))))))))))</f>
        <v/>
      </c>
      <c r="E319" s="235"/>
      <c r="F319" s="236"/>
      <c r="G319" s="90"/>
      <c r="H319" s="239"/>
      <c r="I319" s="89"/>
      <c r="J319" s="142"/>
      <c r="K319" s="90"/>
      <c r="L319" s="90"/>
      <c r="M319" s="90"/>
      <c r="N319" s="89"/>
      <c r="O319" s="200"/>
      <c r="P319" s="201"/>
      <c r="Q319" s="201"/>
      <c r="R319" s="237"/>
      <c r="S319" s="202"/>
      <c r="T319" s="200"/>
      <c r="U319" s="203"/>
      <c r="V319" s="89"/>
      <c r="W319" s="89"/>
      <c r="X319" s="145"/>
      <c r="Y319" s="89"/>
      <c r="Z319" s="90"/>
      <c r="AA319" s="90"/>
      <c r="AB319" s="90"/>
      <c r="AC319" s="90"/>
      <c r="AD319" s="92"/>
      <c r="AE319" s="149" t="str">
        <f>IFERROR(VLOOKUP(Z319,LISTS!$AL$2:$AM$1000,2,FALSE()),"")</f>
        <v/>
      </c>
      <c r="AF319" s="151" t="str">
        <f>IFERROR(VLOOKUP(AA319,LISTS!$AO$2:$AP$1000,2,FALSE()),"")</f>
        <v/>
      </c>
      <c r="AG319" s="152" t="str">
        <f>IFERROR(VLOOKUP(AB319,LISTS!$AR$2:$AS$1000,2,FALSE()),"")</f>
        <v/>
      </c>
      <c r="AH319" s="154" t="str">
        <f>IFERROR(VLOOKUP(AC319,LISTS!$AU$2:$AV$1000,2,FALSE()),"")</f>
        <v/>
      </c>
      <c r="AI319" s="238" t="str">
        <f t="shared" si="23"/>
        <v>—</v>
      </c>
      <c r="AJ319" s="190" t="str">
        <f t="shared" si="24"/>
        <v>—</v>
      </c>
      <c r="AK319" s="157" t="str">
        <f t="shared" si="25"/>
        <v/>
      </c>
      <c r="AL319" s="160" t="str">
        <f t="shared" si="26"/>
        <v/>
      </c>
      <c r="AM319" s="210"/>
      <c r="AN319" s="209"/>
    </row>
    <row r="320" spans="1:40" ht="27.95" customHeight="1">
      <c r="A320" s="134" t="str">
        <f>IF(I320&lt;&gt;"",COUNTA($I$2:I320),"")</f>
        <v/>
      </c>
      <c r="B320" s="138" t="str">
        <f t="shared" si="27"/>
        <v/>
      </c>
      <c r="C320" s="93" t="str">
        <f t="array" ref="C320">IF(E320="","",IF(M320&lt;&gt;"",
M320&amp;"/"&amp;SUMPRODUCT((M$2:M320=M320)*1)&amp;" - "&amp;(ROW()-2),
"إداري/"&amp;SUMPRODUCT((M$2:M320="")*1)&amp;" - "&amp;(ROW()-2)))</f>
        <v/>
      </c>
      <c r="D320" s="141" t="str">
        <f>IF(AND(G320="",H320="",I320=""),"",IF(COUNTIFS(LISTS!$A$2:$A$67,G320,LISTS!$B$2:$B$67,H320,LISTS!$C$2:$C$67,I320)=0,"✗ هرم",IF(NOT(OR(Z320="ممتاز 100%",Z320="جيد 80%",Z320="مقبول 60%",Z320="خطر 40%",Z320="")),"✗ قائمة R",IF(NOT(OR(AA320="ممتاز 100%",AA320="جيد 85%",AA320="مقبول 70%",AA320="ضعيف 50%",AA320="")),"✗ قائمة S",IF(NOT(OR(AB320="مكتمل 100%",AB320="جزئي 60%",AB320="معلق 30%",AB320="مفتوح 0%",AB320="")),"✗ قائمة T",IF(NOT(OR(AC320="لا خصم 0",AC320="تأخير −5",AC320="عجز −10",AC320="جودة −15",AC320="امتثال −20",AC320="مخالفة −25",AC320="")),"✗ قائمة U",IF(AND(X320="لا",AC320&lt;&gt;"",AC320&lt;&gt;"لا خصم 0"),"✗ خصم",IF(AND(X320="نعم",AC320="لا خصم 0"),"✗ خصم",IF(AND(Z320="ممتاز 100%",AA320="ممتاز 100%",AB320&lt;&gt;"",AB320&lt;&gt;"مكتمل 100%"),"✗ إغلاق",IFERROR(IF(LEN(_xlfn.TEXTJOIN("، ",TRUE,IF(E320="","التاريخ",""),IF(F320="","الوقت",""),IF(G320="","المركز",""),IF(H320="","الدائرة",""),IF(I320="","القسم",""),IF(J320="","المسؤول",""),IF(K320="","نوع النشاط",""),IF(L320="","المشروع",""),IF(N320="","الممول",""),IF(V320="","الموضوع",""),IF(W320="","الملاحظة",""),IF(X320="","مشكلة",""),IF(Y320="","الإجراء",""),IF(Z320="","التنفيذ",""),IF(AA320="","الجودة",""),IF(AB320="","الإغلاق",""),IF(AC320="","الخصم",""),IF(AND(COUNTA($O320:$U320)&gt;0,O320=""),"مدير المشروع",""),IF(AND(COUNTA($O320:$U320)&gt;0,P320=""),"المستفيدين",""),IF(AND(COUNTA($O320:$U320)&gt;0,Q320=""),"المناطق",""),IF(AND(COUNTA($O320:$U320)&gt;0,R320=""),"الميزانية",""),IF(AND(COUNTA($O320:$U320)&gt;0,S320=""),"نسبة الجاهزية",""),IF(AND(COUNTA($O320:$U320)&gt;0,T320=""),"حالة الجاهزية",""),IF(AND(COUNTA($O320:$U320)&gt;0,U320=""),"التوصيات","")))&gt;0,"✗ ناقص: "&amp;_xlfn.TEXTJOIN("، ",TRUE,IF(E320="","التاريخ",""),IF(F320="","الوقت",""),IF(G320="","المركز",""),IF(H320="","الدائرة",""),IF(I320="","القسم",""),IF(J320="","المسؤول",""),IF(K320="","نوع النشاط",""),IF(L320="","المشروع",""),IF(N320="","الممول",""),IF(V320="","الموضوع",""),IF(W320="","الملاحظة",""),IF(X320="","مشكلة",""),IF(Y320="","الإجراء",""),IF(Z320="","التنفيذ",""),IF(AA320="","الجودة",""),IF(AB320="","الإغلاق",""),IF(AC320="","الخصم",""),IF(AND(COUNTA($O320:$U320)&gt;0,O320=""),"مدير المشروع",""),IF(AND(COUNTA($O320:$U320)&gt;0,P320=""),"المستفيدين",""),IF(AND(COUNTA($O320:$U320)&gt;0,Q320=""),"المناطق",""),IF(AND(COUNTA($O320:$U320)&gt;0,R320=""),"الميزانية",""),IF(AND(COUNTA($O320:$U320)&gt;0,S320=""),"نسبة الجاهزية",""),IF(AND(COUNTA($O320:$U320)&gt;0,T320=""),"حالة الجاهزية",""),IF(AND(COUNTA($O320:$U320)&gt;0,U320=""),"التوصيات","")),"✓"),"✓"))))))))))</f>
        <v/>
      </c>
      <c r="E320" s="235"/>
      <c r="F320" s="236"/>
      <c r="G320" s="90"/>
      <c r="H320" s="239"/>
      <c r="I320" s="89"/>
      <c r="J320" s="142"/>
      <c r="K320" s="90"/>
      <c r="L320" s="90"/>
      <c r="M320" s="90"/>
      <c r="N320" s="89"/>
      <c r="O320" s="200"/>
      <c r="P320" s="201"/>
      <c r="Q320" s="201"/>
      <c r="R320" s="237"/>
      <c r="S320" s="202"/>
      <c r="T320" s="200"/>
      <c r="U320" s="203"/>
      <c r="V320" s="89"/>
      <c r="W320" s="89"/>
      <c r="X320" s="145"/>
      <c r="Y320" s="89"/>
      <c r="Z320" s="90"/>
      <c r="AA320" s="90"/>
      <c r="AB320" s="90"/>
      <c r="AC320" s="90"/>
      <c r="AD320" s="92"/>
      <c r="AE320" s="149" t="str">
        <f>IFERROR(VLOOKUP(Z320,LISTS!$AL$2:$AM$1000,2,FALSE()),"")</f>
        <v/>
      </c>
      <c r="AF320" s="151" t="str">
        <f>IFERROR(VLOOKUP(AA320,LISTS!$AO$2:$AP$1000,2,FALSE()),"")</f>
        <v/>
      </c>
      <c r="AG320" s="152" t="str">
        <f>IFERROR(VLOOKUP(AB320,LISTS!$AR$2:$AS$1000,2,FALSE()),"")</f>
        <v/>
      </c>
      <c r="AH320" s="154" t="str">
        <f>IFERROR(VLOOKUP(AC320,LISTS!$AU$2:$AV$1000,2,FALSE()),"")</f>
        <v/>
      </c>
      <c r="AI320" s="238" t="str">
        <f t="shared" si="23"/>
        <v>—</v>
      </c>
      <c r="AJ320" s="190" t="str">
        <f t="shared" si="24"/>
        <v>—</v>
      </c>
      <c r="AK320" s="157" t="str">
        <f t="shared" si="25"/>
        <v/>
      </c>
      <c r="AL320" s="160" t="str">
        <f t="shared" si="26"/>
        <v/>
      </c>
      <c r="AM320" s="210"/>
      <c r="AN320" s="209"/>
    </row>
    <row r="321" spans="1:40" ht="27.95" customHeight="1">
      <c r="A321" s="134" t="str">
        <f>IF(I321&lt;&gt;"",COUNTA($I$2:I321),"")</f>
        <v/>
      </c>
      <c r="B321" s="138" t="str">
        <f t="shared" si="27"/>
        <v/>
      </c>
      <c r="C321" s="93" t="str">
        <f t="array" ref="C321">IF(E321="","",IF(M321&lt;&gt;"",
M321&amp;"/"&amp;SUMPRODUCT((M$2:M321=M321)*1)&amp;" - "&amp;(ROW()-2),
"إداري/"&amp;SUMPRODUCT((M$2:M321="")*1)&amp;" - "&amp;(ROW()-2)))</f>
        <v/>
      </c>
      <c r="D321" s="141" t="str">
        <f>IF(AND(G321="",H321="",I321=""),"",IF(COUNTIFS(LISTS!$A$2:$A$67,G321,LISTS!$B$2:$B$67,H321,LISTS!$C$2:$C$67,I321)=0,"✗ هرم",IF(NOT(OR(Z321="ممتاز 100%",Z321="جيد 80%",Z321="مقبول 60%",Z321="خطر 40%",Z321="")),"✗ قائمة R",IF(NOT(OR(AA321="ممتاز 100%",AA321="جيد 85%",AA321="مقبول 70%",AA321="ضعيف 50%",AA321="")),"✗ قائمة S",IF(NOT(OR(AB321="مكتمل 100%",AB321="جزئي 60%",AB321="معلق 30%",AB321="مفتوح 0%",AB321="")),"✗ قائمة T",IF(NOT(OR(AC321="لا خصم 0",AC321="تأخير −5",AC321="عجز −10",AC321="جودة −15",AC321="امتثال −20",AC321="مخالفة −25",AC321="")),"✗ قائمة U",IF(AND(X321="لا",AC321&lt;&gt;"",AC321&lt;&gt;"لا خصم 0"),"✗ خصم",IF(AND(X321="نعم",AC321="لا خصم 0"),"✗ خصم",IF(AND(Z321="ممتاز 100%",AA321="ممتاز 100%",AB321&lt;&gt;"",AB321&lt;&gt;"مكتمل 100%"),"✗ إغلاق",IFERROR(IF(LEN(_xlfn.TEXTJOIN("، ",TRUE,IF(E321="","التاريخ",""),IF(F321="","الوقت",""),IF(G321="","المركز",""),IF(H321="","الدائرة",""),IF(I321="","القسم",""),IF(J321="","المسؤول",""),IF(K321="","نوع النشاط",""),IF(L321="","المشروع",""),IF(N321="","الممول",""),IF(V321="","الموضوع",""),IF(W321="","الملاحظة",""),IF(X321="","مشكلة",""),IF(Y321="","الإجراء",""),IF(Z321="","التنفيذ",""),IF(AA321="","الجودة",""),IF(AB321="","الإغلاق",""),IF(AC321="","الخصم",""),IF(AND(COUNTA($O321:$U321)&gt;0,O321=""),"مدير المشروع",""),IF(AND(COUNTA($O321:$U321)&gt;0,P321=""),"المستفيدين",""),IF(AND(COUNTA($O321:$U321)&gt;0,Q321=""),"المناطق",""),IF(AND(COUNTA($O321:$U321)&gt;0,R321=""),"الميزانية",""),IF(AND(COUNTA($O321:$U321)&gt;0,S321=""),"نسبة الجاهزية",""),IF(AND(COUNTA($O321:$U321)&gt;0,T321=""),"حالة الجاهزية",""),IF(AND(COUNTA($O321:$U321)&gt;0,U321=""),"التوصيات","")))&gt;0,"✗ ناقص: "&amp;_xlfn.TEXTJOIN("، ",TRUE,IF(E321="","التاريخ",""),IF(F321="","الوقت",""),IF(G321="","المركز",""),IF(H321="","الدائرة",""),IF(I321="","القسم",""),IF(J321="","المسؤول",""),IF(K321="","نوع النشاط",""),IF(L321="","المشروع",""),IF(N321="","الممول",""),IF(V321="","الموضوع",""),IF(W321="","الملاحظة",""),IF(X321="","مشكلة",""),IF(Y321="","الإجراء",""),IF(Z321="","التنفيذ",""),IF(AA321="","الجودة",""),IF(AB321="","الإغلاق",""),IF(AC321="","الخصم",""),IF(AND(COUNTA($O321:$U321)&gt;0,O321=""),"مدير المشروع",""),IF(AND(COUNTA($O321:$U321)&gt;0,P321=""),"المستفيدين",""),IF(AND(COUNTA($O321:$U321)&gt;0,Q321=""),"المناطق",""),IF(AND(COUNTA($O321:$U321)&gt;0,R321=""),"الميزانية",""),IF(AND(COUNTA($O321:$U321)&gt;0,S321=""),"نسبة الجاهزية",""),IF(AND(COUNTA($O321:$U321)&gt;0,T321=""),"حالة الجاهزية",""),IF(AND(COUNTA($O321:$U321)&gt;0,U321=""),"التوصيات","")),"✓"),"✓"))))))))))</f>
        <v/>
      </c>
      <c r="E321" s="235"/>
      <c r="F321" s="236"/>
      <c r="G321" s="90"/>
      <c r="H321" s="239"/>
      <c r="I321" s="89"/>
      <c r="J321" s="142"/>
      <c r="K321" s="90"/>
      <c r="L321" s="90"/>
      <c r="M321" s="90"/>
      <c r="N321" s="89"/>
      <c r="O321" s="200"/>
      <c r="P321" s="201"/>
      <c r="Q321" s="201"/>
      <c r="R321" s="237"/>
      <c r="S321" s="202"/>
      <c r="T321" s="200"/>
      <c r="U321" s="203"/>
      <c r="V321" s="89"/>
      <c r="W321" s="89"/>
      <c r="X321" s="145"/>
      <c r="Y321" s="89"/>
      <c r="Z321" s="90"/>
      <c r="AA321" s="90"/>
      <c r="AB321" s="90"/>
      <c r="AC321" s="90"/>
      <c r="AD321" s="92"/>
      <c r="AE321" s="149" t="str">
        <f>IFERROR(VLOOKUP(Z321,LISTS!$AL$2:$AM$1000,2,FALSE()),"")</f>
        <v/>
      </c>
      <c r="AF321" s="151" t="str">
        <f>IFERROR(VLOOKUP(AA321,LISTS!$AO$2:$AP$1000,2,FALSE()),"")</f>
        <v/>
      </c>
      <c r="AG321" s="152" t="str">
        <f>IFERROR(VLOOKUP(AB321,LISTS!$AR$2:$AS$1000,2,FALSE()),"")</f>
        <v/>
      </c>
      <c r="AH321" s="154" t="str">
        <f>IFERROR(VLOOKUP(AC321,LISTS!$AU$2:$AV$1000,2,FALSE()),"")</f>
        <v/>
      </c>
      <c r="AI321" s="238" t="str">
        <f t="shared" si="23"/>
        <v>—</v>
      </c>
      <c r="AJ321" s="190" t="str">
        <f t="shared" si="24"/>
        <v>—</v>
      </c>
      <c r="AK321" s="157" t="str">
        <f t="shared" si="25"/>
        <v/>
      </c>
      <c r="AL321" s="160" t="str">
        <f t="shared" si="26"/>
        <v/>
      </c>
      <c r="AM321" s="210"/>
      <c r="AN321" s="209"/>
    </row>
    <row r="322" spans="1:40" ht="27.95" customHeight="1">
      <c r="A322" s="134" t="str">
        <f>IF(I322&lt;&gt;"",COUNTA($I$2:I322),"")</f>
        <v/>
      </c>
      <c r="B322" s="138" t="str">
        <f t="shared" si="27"/>
        <v/>
      </c>
      <c r="C322" s="93" t="str">
        <f t="array" ref="C322">IF(E322="","",IF(M322&lt;&gt;"",
M322&amp;"/"&amp;SUMPRODUCT((M$2:M322=M322)*1)&amp;" - "&amp;(ROW()-2),
"إداري/"&amp;SUMPRODUCT((M$2:M322="")*1)&amp;" - "&amp;(ROW()-2)))</f>
        <v/>
      </c>
      <c r="D322" s="141" t="str">
        <f>IF(AND(G322="",H322="",I322=""),"",IF(COUNTIFS(LISTS!$A$2:$A$67,G322,LISTS!$B$2:$B$67,H322,LISTS!$C$2:$C$67,I322)=0,"✗ هرم",IF(NOT(OR(Z322="ممتاز 100%",Z322="جيد 80%",Z322="مقبول 60%",Z322="خطر 40%",Z322="")),"✗ قائمة R",IF(NOT(OR(AA322="ممتاز 100%",AA322="جيد 85%",AA322="مقبول 70%",AA322="ضعيف 50%",AA322="")),"✗ قائمة S",IF(NOT(OR(AB322="مكتمل 100%",AB322="جزئي 60%",AB322="معلق 30%",AB322="مفتوح 0%",AB322="")),"✗ قائمة T",IF(NOT(OR(AC322="لا خصم 0",AC322="تأخير −5",AC322="عجز −10",AC322="جودة −15",AC322="امتثال −20",AC322="مخالفة −25",AC322="")),"✗ قائمة U",IF(AND(X322="لا",AC322&lt;&gt;"",AC322&lt;&gt;"لا خصم 0"),"✗ خصم",IF(AND(X322="نعم",AC322="لا خصم 0"),"✗ خصم",IF(AND(Z322="ممتاز 100%",AA322="ممتاز 100%",AB322&lt;&gt;"",AB322&lt;&gt;"مكتمل 100%"),"✗ إغلاق",IFERROR(IF(LEN(_xlfn.TEXTJOIN("، ",TRUE,IF(E322="","التاريخ",""),IF(F322="","الوقت",""),IF(G322="","المركز",""),IF(H322="","الدائرة",""),IF(I322="","القسم",""),IF(J322="","المسؤول",""),IF(K322="","نوع النشاط",""),IF(L322="","المشروع",""),IF(N322="","الممول",""),IF(V322="","الموضوع",""),IF(W322="","الملاحظة",""),IF(X322="","مشكلة",""),IF(Y322="","الإجراء",""),IF(Z322="","التنفيذ",""),IF(AA322="","الجودة",""),IF(AB322="","الإغلاق",""),IF(AC322="","الخصم",""),IF(AND(COUNTA($O322:$U322)&gt;0,O322=""),"مدير المشروع",""),IF(AND(COUNTA($O322:$U322)&gt;0,P322=""),"المستفيدين",""),IF(AND(COUNTA($O322:$U322)&gt;0,Q322=""),"المناطق",""),IF(AND(COUNTA($O322:$U322)&gt;0,R322=""),"الميزانية",""),IF(AND(COUNTA($O322:$U322)&gt;0,S322=""),"نسبة الجاهزية",""),IF(AND(COUNTA($O322:$U322)&gt;0,T322=""),"حالة الجاهزية",""),IF(AND(COUNTA($O322:$U322)&gt;0,U322=""),"التوصيات","")))&gt;0,"✗ ناقص: "&amp;_xlfn.TEXTJOIN("، ",TRUE,IF(E322="","التاريخ",""),IF(F322="","الوقت",""),IF(G322="","المركز",""),IF(H322="","الدائرة",""),IF(I322="","القسم",""),IF(J322="","المسؤول",""),IF(K322="","نوع النشاط",""),IF(L322="","المشروع",""),IF(N322="","الممول",""),IF(V322="","الموضوع",""),IF(W322="","الملاحظة",""),IF(X322="","مشكلة",""),IF(Y322="","الإجراء",""),IF(Z322="","التنفيذ",""),IF(AA322="","الجودة",""),IF(AB322="","الإغلاق",""),IF(AC322="","الخصم",""),IF(AND(COUNTA($O322:$U322)&gt;0,O322=""),"مدير المشروع",""),IF(AND(COUNTA($O322:$U322)&gt;0,P322=""),"المستفيدين",""),IF(AND(COUNTA($O322:$U322)&gt;0,Q322=""),"المناطق",""),IF(AND(COUNTA($O322:$U322)&gt;0,R322=""),"الميزانية",""),IF(AND(COUNTA($O322:$U322)&gt;0,S322=""),"نسبة الجاهزية",""),IF(AND(COUNTA($O322:$U322)&gt;0,T322=""),"حالة الجاهزية",""),IF(AND(COUNTA($O322:$U322)&gt;0,U322=""),"التوصيات","")),"✓"),"✓"))))))))))</f>
        <v/>
      </c>
      <c r="E322" s="235"/>
      <c r="F322" s="236"/>
      <c r="G322" s="90"/>
      <c r="H322" s="239"/>
      <c r="I322" s="89"/>
      <c r="J322" s="142"/>
      <c r="K322" s="90"/>
      <c r="L322" s="90"/>
      <c r="M322" s="90"/>
      <c r="N322" s="89"/>
      <c r="O322" s="200"/>
      <c r="P322" s="201"/>
      <c r="Q322" s="201"/>
      <c r="R322" s="237"/>
      <c r="S322" s="202"/>
      <c r="T322" s="200"/>
      <c r="U322" s="203"/>
      <c r="V322" s="89"/>
      <c r="W322" s="89"/>
      <c r="X322" s="145"/>
      <c r="Y322" s="89"/>
      <c r="Z322" s="90"/>
      <c r="AA322" s="90"/>
      <c r="AB322" s="90"/>
      <c r="AC322" s="90"/>
      <c r="AD322" s="92"/>
      <c r="AE322" s="149" t="str">
        <f>IFERROR(VLOOKUP(Z322,LISTS!$AL$2:$AM$1000,2,FALSE()),"")</f>
        <v/>
      </c>
      <c r="AF322" s="151" t="str">
        <f>IFERROR(VLOOKUP(AA322,LISTS!$AO$2:$AP$1000,2,FALSE()),"")</f>
        <v/>
      </c>
      <c r="AG322" s="152" t="str">
        <f>IFERROR(VLOOKUP(AB322,LISTS!$AR$2:$AS$1000,2,FALSE()),"")</f>
        <v/>
      </c>
      <c r="AH322" s="154" t="str">
        <f>IFERROR(VLOOKUP(AC322,LISTS!$AU$2:$AV$1000,2,FALSE()),"")</f>
        <v/>
      </c>
      <c r="AI322" s="238" t="str">
        <f t="shared" ref="AI322:AI385" si="28">IF(OR(AE322="",AF322="",AG322=""),"—",IFERROR(ROUND(AE322*0.4+AF322*0.3+AG322*0.3-IF(ISNUMBER(AH322),AH322,0),1),"⚠️"))</f>
        <v>—</v>
      </c>
      <c r="AJ322" s="190" t="str">
        <f t="shared" ref="AJ322:AJ385" si="29">IF(AI322="—","—",IF(NOT(ISNUMBER(AI322)),"⚠️",IF(AI322&gt;=98,"🌟 ممتاز جدًا",IF(AI322&gt;=90,"⭐ ممتاز",IF(AI322&gt;=75,"🟢 جيد",IF(AI322&gt;=60,"🟡 مقبول",IF(AI322&gt;=40,"🔴 ضعيف","🚨 خطر شديد")))))))</f>
        <v>—</v>
      </c>
      <c r="AK322" s="157" t="str">
        <f t="shared" si="25"/>
        <v/>
      </c>
      <c r="AL322" s="160" t="str">
        <f t="shared" si="26"/>
        <v/>
      </c>
      <c r="AM322" s="210"/>
      <c r="AN322" s="209"/>
    </row>
    <row r="323" spans="1:40" ht="27.95" customHeight="1">
      <c r="A323" s="134" t="str">
        <f>IF(I323&lt;&gt;"",COUNTA($I$2:I323),"")</f>
        <v/>
      </c>
      <c r="B323" s="138" t="str">
        <f t="shared" si="27"/>
        <v/>
      </c>
      <c r="C323" s="93" t="str">
        <f t="array" ref="C323">IF(E323="","",IF(M323&lt;&gt;"",
M323&amp;"/"&amp;SUMPRODUCT((M$2:M323=M323)*1)&amp;" - "&amp;(ROW()-2),
"إداري/"&amp;SUMPRODUCT((M$2:M323="")*1)&amp;" - "&amp;(ROW()-2)))</f>
        <v/>
      </c>
      <c r="D323" s="141" t="str">
        <f>IF(AND(G323="",H323="",I323=""),"",IF(COUNTIFS(LISTS!$A$2:$A$67,G323,LISTS!$B$2:$B$67,H323,LISTS!$C$2:$C$67,I323)=0,"✗ هرم",IF(NOT(OR(Z323="ممتاز 100%",Z323="جيد 80%",Z323="مقبول 60%",Z323="خطر 40%",Z323="")),"✗ قائمة R",IF(NOT(OR(AA323="ممتاز 100%",AA323="جيد 85%",AA323="مقبول 70%",AA323="ضعيف 50%",AA323="")),"✗ قائمة S",IF(NOT(OR(AB323="مكتمل 100%",AB323="جزئي 60%",AB323="معلق 30%",AB323="مفتوح 0%",AB323="")),"✗ قائمة T",IF(NOT(OR(AC323="لا خصم 0",AC323="تأخير −5",AC323="عجز −10",AC323="جودة −15",AC323="امتثال −20",AC323="مخالفة −25",AC323="")),"✗ قائمة U",IF(AND(X323="لا",AC323&lt;&gt;"",AC323&lt;&gt;"لا خصم 0"),"✗ خصم",IF(AND(X323="نعم",AC323="لا خصم 0"),"✗ خصم",IF(AND(Z323="ممتاز 100%",AA323="ممتاز 100%",AB323&lt;&gt;"",AB323&lt;&gt;"مكتمل 100%"),"✗ إغلاق",IFERROR(IF(LEN(_xlfn.TEXTJOIN("، ",TRUE,IF(E323="","التاريخ",""),IF(F323="","الوقت",""),IF(G323="","المركز",""),IF(H323="","الدائرة",""),IF(I323="","القسم",""),IF(J323="","المسؤول",""),IF(K323="","نوع النشاط",""),IF(L323="","المشروع",""),IF(N323="","الممول",""),IF(V323="","الموضوع",""),IF(W323="","الملاحظة",""),IF(X323="","مشكلة",""),IF(Y323="","الإجراء",""),IF(Z323="","التنفيذ",""),IF(AA323="","الجودة",""),IF(AB323="","الإغلاق",""),IF(AC323="","الخصم",""),IF(AND(COUNTA($O323:$U323)&gt;0,O323=""),"مدير المشروع",""),IF(AND(COUNTA($O323:$U323)&gt;0,P323=""),"المستفيدين",""),IF(AND(COUNTA($O323:$U323)&gt;0,Q323=""),"المناطق",""),IF(AND(COUNTA($O323:$U323)&gt;0,R323=""),"الميزانية",""),IF(AND(COUNTA($O323:$U323)&gt;0,S323=""),"نسبة الجاهزية",""),IF(AND(COUNTA($O323:$U323)&gt;0,T323=""),"حالة الجاهزية",""),IF(AND(COUNTA($O323:$U323)&gt;0,U323=""),"التوصيات","")))&gt;0,"✗ ناقص: "&amp;_xlfn.TEXTJOIN("، ",TRUE,IF(E323="","التاريخ",""),IF(F323="","الوقت",""),IF(G323="","المركز",""),IF(H323="","الدائرة",""),IF(I323="","القسم",""),IF(J323="","المسؤول",""),IF(K323="","نوع النشاط",""),IF(L323="","المشروع",""),IF(N323="","الممول",""),IF(V323="","الموضوع",""),IF(W323="","الملاحظة",""),IF(X323="","مشكلة",""),IF(Y323="","الإجراء",""),IF(Z323="","التنفيذ",""),IF(AA323="","الجودة",""),IF(AB323="","الإغلاق",""),IF(AC323="","الخصم",""),IF(AND(COUNTA($O323:$U323)&gt;0,O323=""),"مدير المشروع",""),IF(AND(COUNTA($O323:$U323)&gt;0,P323=""),"المستفيدين",""),IF(AND(COUNTA($O323:$U323)&gt;0,Q323=""),"المناطق",""),IF(AND(COUNTA($O323:$U323)&gt;0,R323=""),"الميزانية",""),IF(AND(COUNTA($O323:$U323)&gt;0,S323=""),"نسبة الجاهزية",""),IF(AND(COUNTA($O323:$U323)&gt;0,T323=""),"حالة الجاهزية",""),IF(AND(COUNTA($O323:$U323)&gt;0,U323=""),"التوصيات","")),"✓"),"✓"))))))))))</f>
        <v/>
      </c>
      <c r="E323" s="235"/>
      <c r="F323" s="236"/>
      <c r="G323" s="90"/>
      <c r="H323" s="239"/>
      <c r="I323" s="89"/>
      <c r="J323" s="142"/>
      <c r="K323" s="90"/>
      <c r="L323" s="90"/>
      <c r="M323" s="90"/>
      <c r="N323" s="89"/>
      <c r="O323" s="200"/>
      <c r="P323" s="201"/>
      <c r="Q323" s="201"/>
      <c r="R323" s="237"/>
      <c r="S323" s="202"/>
      <c r="T323" s="200"/>
      <c r="U323" s="203"/>
      <c r="V323" s="89"/>
      <c r="W323" s="89"/>
      <c r="X323" s="145"/>
      <c r="Y323" s="89"/>
      <c r="Z323" s="90"/>
      <c r="AA323" s="90"/>
      <c r="AB323" s="90"/>
      <c r="AC323" s="90"/>
      <c r="AD323" s="92"/>
      <c r="AE323" s="149" t="str">
        <f>IFERROR(VLOOKUP(Z323,LISTS!$AL$2:$AM$1000,2,FALSE()),"")</f>
        <v/>
      </c>
      <c r="AF323" s="151" t="str">
        <f>IFERROR(VLOOKUP(AA323,LISTS!$AO$2:$AP$1000,2,FALSE()),"")</f>
        <v/>
      </c>
      <c r="AG323" s="152" t="str">
        <f>IFERROR(VLOOKUP(AB323,LISTS!$AR$2:$AS$1000,2,FALSE()),"")</f>
        <v/>
      </c>
      <c r="AH323" s="154" t="str">
        <f>IFERROR(VLOOKUP(AC323,LISTS!$AU$2:$AV$1000,2,FALSE()),"")</f>
        <v/>
      </c>
      <c r="AI323" s="238" t="str">
        <f t="shared" si="28"/>
        <v>—</v>
      </c>
      <c r="AJ323" s="190" t="str">
        <f t="shared" si="29"/>
        <v>—</v>
      </c>
      <c r="AK323" s="157" t="str">
        <f t="shared" si="25"/>
        <v/>
      </c>
      <c r="AL323" s="160" t="str">
        <f t="shared" si="26"/>
        <v/>
      </c>
      <c r="AM323" s="210"/>
      <c r="AN323" s="209"/>
    </row>
    <row r="324" spans="1:40" ht="27.95" customHeight="1">
      <c r="A324" s="134" t="str">
        <f>IF(I324&lt;&gt;"",COUNTA($I$2:I324),"")</f>
        <v/>
      </c>
      <c r="B324" s="138" t="str">
        <f t="shared" si="27"/>
        <v/>
      </c>
      <c r="C324" s="93" t="str">
        <f t="array" ref="C324">IF(E324="","",IF(M324&lt;&gt;"",
M324&amp;"/"&amp;SUMPRODUCT((M$2:M324=M324)*1)&amp;" - "&amp;(ROW()-2),
"إداري/"&amp;SUMPRODUCT((M$2:M324="")*1)&amp;" - "&amp;(ROW()-2)))</f>
        <v/>
      </c>
      <c r="D324" s="141" t="str">
        <f>IF(AND(G324="",H324="",I324=""),"",IF(COUNTIFS(LISTS!$A$2:$A$67,G324,LISTS!$B$2:$B$67,H324,LISTS!$C$2:$C$67,I324)=0,"✗ هرم",IF(NOT(OR(Z324="ممتاز 100%",Z324="جيد 80%",Z324="مقبول 60%",Z324="خطر 40%",Z324="")),"✗ قائمة R",IF(NOT(OR(AA324="ممتاز 100%",AA324="جيد 85%",AA324="مقبول 70%",AA324="ضعيف 50%",AA324="")),"✗ قائمة S",IF(NOT(OR(AB324="مكتمل 100%",AB324="جزئي 60%",AB324="معلق 30%",AB324="مفتوح 0%",AB324="")),"✗ قائمة T",IF(NOT(OR(AC324="لا خصم 0",AC324="تأخير −5",AC324="عجز −10",AC324="جودة −15",AC324="امتثال −20",AC324="مخالفة −25",AC324="")),"✗ قائمة U",IF(AND(X324="لا",AC324&lt;&gt;"",AC324&lt;&gt;"لا خصم 0"),"✗ خصم",IF(AND(X324="نعم",AC324="لا خصم 0"),"✗ خصم",IF(AND(Z324="ممتاز 100%",AA324="ممتاز 100%",AB324&lt;&gt;"",AB324&lt;&gt;"مكتمل 100%"),"✗ إغلاق",IFERROR(IF(LEN(_xlfn.TEXTJOIN("، ",TRUE,IF(E324="","التاريخ",""),IF(F324="","الوقت",""),IF(G324="","المركز",""),IF(H324="","الدائرة",""),IF(I324="","القسم",""),IF(J324="","المسؤول",""),IF(K324="","نوع النشاط",""),IF(L324="","المشروع",""),IF(N324="","الممول",""),IF(V324="","الموضوع",""),IF(W324="","الملاحظة",""),IF(X324="","مشكلة",""),IF(Y324="","الإجراء",""),IF(Z324="","التنفيذ",""),IF(AA324="","الجودة",""),IF(AB324="","الإغلاق",""),IF(AC324="","الخصم",""),IF(AND(COUNTA($O324:$U324)&gt;0,O324=""),"مدير المشروع",""),IF(AND(COUNTA($O324:$U324)&gt;0,P324=""),"المستفيدين",""),IF(AND(COUNTA($O324:$U324)&gt;0,Q324=""),"المناطق",""),IF(AND(COUNTA($O324:$U324)&gt;0,R324=""),"الميزانية",""),IF(AND(COUNTA($O324:$U324)&gt;0,S324=""),"نسبة الجاهزية",""),IF(AND(COUNTA($O324:$U324)&gt;0,T324=""),"حالة الجاهزية",""),IF(AND(COUNTA($O324:$U324)&gt;0,U324=""),"التوصيات","")))&gt;0,"✗ ناقص: "&amp;_xlfn.TEXTJOIN("، ",TRUE,IF(E324="","التاريخ",""),IF(F324="","الوقت",""),IF(G324="","المركز",""),IF(H324="","الدائرة",""),IF(I324="","القسم",""),IF(J324="","المسؤول",""),IF(K324="","نوع النشاط",""),IF(L324="","المشروع",""),IF(N324="","الممول",""),IF(V324="","الموضوع",""),IF(W324="","الملاحظة",""),IF(X324="","مشكلة",""),IF(Y324="","الإجراء",""),IF(Z324="","التنفيذ",""),IF(AA324="","الجودة",""),IF(AB324="","الإغلاق",""),IF(AC324="","الخصم",""),IF(AND(COUNTA($O324:$U324)&gt;0,O324=""),"مدير المشروع",""),IF(AND(COUNTA($O324:$U324)&gt;0,P324=""),"المستفيدين",""),IF(AND(COUNTA($O324:$U324)&gt;0,Q324=""),"المناطق",""),IF(AND(COUNTA($O324:$U324)&gt;0,R324=""),"الميزانية",""),IF(AND(COUNTA($O324:$U324)&gt;0,S324=""),"نسبة الجاهزية",""),IF(AND(COUNTA($O324:$U324)&gt;0,T324=""),"حالة الجاهزية",""),IF(AND(COUNTA($O324:$U324)&gt;0,U324=""),"التوصيات","")),"✓"),"✓"))))))))))</f>
        <v/>
      </c>
      <c r="E324" s="235"/>
      <c r="F324" s="236"/>
      <c r="G324" s="90"/>
      <c r="H324" s="239"/>
      <c r="I324" s="89"/>
      <c r="J324" s="142"/>
      <c r="K324" s="90"/>
      <c r="L324" s="90"/>
      <c r="M324" s="90"/>
      <c r="N324" s="89"/>
      <c r="O324" s="200"/>
      <c r="P324" s="201"/>
      <c r="Q324" s="201"/>
      <c r="R324" s="237"/>
      <c r="S324" s="202"/>
      <c r="T324" s="200"/>
      <c r="U324" s="203"/>
      <c r="V324" s="89"/>
      <c r="W324" s="89"/>
      <c r="X324" s="145"/>
      <c r="Y324" s="89"/>
      <c r="Z324" s="90"/>
      <c r="AA324" s="90"/>
      <c r="AB324" s="90"/>
      <c r="AC324" s="90"/>
      <c r="AD324" s="92"/>
      <c r="AE324" s="149" t="str">
        <f>IFERROR(VLOOKUP(Z324,LISTS!$AL$2:$AM$1000,2,FALSE()),"")</f>
        <v/>
      </c>
      <c r="AF324" s="151" t="str">
        <f>IFERROR(VLOOKUP(AA324,LISTS!$AO$2:$AP$1000,2,FALSE()),"")</f>
        <v/>
      </c>
      <c r="AG324" s="152" t="str">
        <f>IFERROR(VLOOKUP(AB324,LISTS!$AR$2:$AS$1000,2,FALSE()),"")</f>
        <v/>
      </c>
      <c r="AH324" s="154" t="str">
        <f>IFERROR(VLOOKUP(AC324,LISTS!$AU$2:$AV$1000,2,FALSE()),"")</f>
        <v/>
      </c>
      <c r="AI324" s="238" t="str">
        <f t="shared" si="28"/>
        <v>—</v>
      </c>
      <c r="AJ324" s="190" t="str">
        <f t="shared" si="29"/>
        <v>—</v>
      </c>
      <c r="AK324" s="157" t="str">
        <f t="shared" si="25"/>
        <v/>
      </c>
      <c r="AL324" s="160" t="str">
        <f t="shared" si="26"/>
        <v/>
      </c>
      <c r="AM324" s="210"/>
      <c r="AN324" s="209"/>
    </row>
    <row r="325" spans="1:40" ht="27.95" customHeight="1">
      <c r="A325" s="134" t="str">
        <f>IF(I325&lt;&gt;"",COUNTA($I$2:I325),"")</f>
        <v/>
      </c>
      <c r="B325" s="138" t="str">
        <f t="shared" si="27"/>
        <v/>
      </c>
      <c r="C325" s="93" t="str">
        <f t="array" ref="C325">IF(E325="","",IF(M325&lt;&gt;"",
M325&amp;"/"&amp;SUMPRODUCT((M$2:M325=M325)*1)&amp;" - "&amp;(ROW()-2),
"إداري/"&amp;SUMPRODUCT((M$2:M325="")*1)&amp;" - "&amp;(ROW()-2)))</f>
        <v/>
      </c>
      <c r="D325" s="141" t="str">
        <f>IF(AND(G325="",H325="",I325=""),"",IF(COUNTIFS(LISTS!$A$2:$A$67,G325,LISTS!$B$2:$B$67,H325,LISTS!$C$2:$C$67,I325)=0,"✗ هرم",IF(NOT(OR(Z325="ممتاز 100%",Z325="جيد 80%",Z325="مقبول 60%",Z325="خطر 40%",Z325="")),"✗ قائمة R",IF(NOT(OR(AA325="ممتاز 100%",AA325="جيد 85%",AA325="مقبول 70%",AA325="ضعيف 50%",AA325="")),"✗ قائمة S",IF(NOT(OR(AB325="مكتمل 100%",AB325="جزئي 60%",AB325="معلق 30%",AB325="مفتوح 0%",AB325="")),"✗ قائمة T",IF(NOT(OR(AC325="لا خصم 0",AC325="تأخير −5",AC325="عجز −10",AC325="جودة −15",AC325="امتثال −20",AC325="مخالفة −25",AC325="")),"✗ قائمة U",IF(AND(X325="لا",AC325&lt;&gt;"",AC325&lt;&gt;"لا خصم 0"),"✗ خصم",IF(AND(X325="نعم",AC325="لا خصم 0"),"✗ خصم",IF(AND(Z325="ممتاز 100%",AA325="ممتاز 100%",AB325&lt;&gt;"",AB325&lt;&gt;"مكتمل 100%"),"✗ إغلاق",IFERROR(IF(LEN(_xlfn.TEXTJOIN("، ",TRUE,IF(E325="","التاريخ",""),IF(F325="","الوقت",""),IF(G325="","المركز",""),IF(H325="","الدائرة",""),IF(I325="","القسم",""),IF(J325="","المسؤول",""),IF(K325="","نوع النشاط",""),IF(L325="","المشروع",""),IF(N325="","الممول",""),IF(V325="","الموضوع",""),IF(W325="","الملاحظة",""),IF(X325="","مشكلة",""),IF(Y325="","الإجراء",""),IF(Z325="","التنفيذ",""),IF(AA325="","الجودة",""),IF(AB325="","الإغلاق",""),IF(AC325="","الخصم",""),IF(AND(COUNTA($O325:$U325)&gt;0,O325=""),"مدير المشروع",""),IF(AND(COUNTA($O325:$U325)&gt;0,P325=""),"المستفيدين",""),IF(AND(COUNTA($O325:$U325)&gt;0,Q325=""),"المناطق",""),IF(AND(COUNTA($O325:$U325)&gt;0,R325=""),"الميزانية",""),IF(AND(COUNTA($O325:$U325)&gt;0,S325=""),"نسبة الجاهزية",""),IF(AND(COUNTA($O325:$U325)&gt;0,T325=""),"حالة الجاهزية",""),IF(AND(COUNTA($O325:$U325)&gt;0,U325=""),"التوصيات","")))&gt;0,"✗ ناقص: "&amp;_xlfn.TEXTJOIN("، ",TRUE,IF(E325="","التاريخ",""),IF(F325="","الوقت",""),IF(G325="","المركز",""),IF(H325="","الدائرة",""),IF(I325="","القسم",""),IF(J325="","المسؤول",""),IF(K325="","نوع النشاط",""),IF(L325="","المشروع",""),IF(N325="","الممول",""),IF(V325="","الموضوع",""),IF(W325="","الملاحظة",""),IF(X325="","مشكلة",""),IF(Y325="","الإجراء",""),IF(Z325="","التنفيذ",""),IF(AA325="","الجودة",""),IF(AB325="","الإغلاق",""),IF(AC325="","الخصم",""),IF(AND(COUNTA($O325:$U325)&gt;0,O325=""),"مدير المشروع",""),IF(AND(COUNTA($O325:$U325)&gt;0,P325=""),"المستفيدين",""),IF(AND(COUNTA($O325:$U325)&gt;0,Q325=""),"المناطق",""),IF(AND(COUNTA($O325:$U325)&gt;0,R325=""),"الميزانية",""),IF(AND(COUNTA($O325:$U325)&gt;0,S325=""),"نسبة الجاهزية",""),IF(AND(COUNTA($O325:$U325)&gt;0,T325=""),"حالة الجاهزية",""),IF(AND(COUNTA($O325:$U325)&gt;0,U325=""),"التوصيات","")),"✓"),"✓"))))))))))</f>
        <v/>
      </c>
      <c r="E325" s="235"/>
      <c r="F325" s="236"/>
      <c r="G325" s="90"/>
      <c r="H325" s="239"/>
      <c r="I325" s="89"/>
      <c r="J325" s="142"/>
      <c r="K325" s="90"/>
      <c r="L325" s="90"/>
      <c r="M325" s="90"/>
      <c r="N325" s="89"/>
      <c r="O325" s="200"/>
      <c r="P325" s="201"/>
      <c r="Q325" s="201"/>
      <c r="R325" s="237"/>
      <c r="S325" s="202"/>
      <c r="T325" s="200"/>
      <c r="U325" s="203"/>
      <c r="V325" s="89"/>
      <c r="W325" s="89"/>
      <c r="X325" s="145"/>
      <c r="Y325" s="89"/>
      <c r="Z325" s="90"/>
      <c r="AA325" s="90"/>
      <c r="AB325" s="90"/>
      <c r="AC325" s="90"/>
      <c r="AD325" s="92"/>
      <c r="AE325" s="149" t="str">
        <f>IFERROR(VLOOKUP(Z325,LISTS!$AL$2:$AM$1000,2,FALSE()),"")</f>
        <v/>
      </c>
      <c r="AF325" s="151" t="str">
        <f>IFERROR(VLOOKUP(AA325,LISTS!$AO$2:$AP$1000,2,FALSE()),"")</f>
        <v/>
      </c>
      <c r="AG325" s="152" t="str">
        <f>IFERROR(VLOOKUP(AB325,LISTS!$AR$2:$AS$1000,2,FALSE()),"")</f>
        <v/>
      </c>
      <c r="AH325" s="154" t="str">
        <f>IFERROR(VLOOKUP(AC325,LISTS!$AU$2:$AV$1000,2,FALSE()),"")</f>
        <v/>
      </c>
      <c r="AI325" s="238" t="str">
        <f t="shared" si="28"/>
        <v>—</v>
      </c>
      <c r="AJ325" s="190" t="str">
        <f t="shared" si="29"/>
        <v>—</v>
      </c>
      <c r="AK325" s="157" t="str">
        <f t="shared" si="25"/>
        <v/>
      </c>
      <c r="AL325" s="160" t="str">
        <f t="shared" si="26"/>
        <v/>
      </c>
      <c r="AM325" s="210"/>
      <c r="AN325" s="209"/>
    </row>
    <row r="326" spans="1:40" ht="27.95" customHeight="1">
      <c r="A326" s="134" t="str">
        <f>IF(I326&lt;&gt;"",COUNTA($I$2:I326),"")</f>
        <v/>
      </c>
      <c r="B326" s="138" t="str">
        <f t="shared" si="27"/>
        <v/>
      </c>
      <c r="C326" s="93" t="str">
        <f t="array" ref="C326">IF(E326="","",IF(M326&lt;&gt;"",
M326&amp;"/"&amp;SUMPRODUCT((M$2:M326=M326)*1)&amp;" - "&amp;(ROW()-2),
"إداري/"&amp;SUMPRODUCT((M$2:M326="")*1)&amp;" - "&amp;(ROW()-2)))</f>
        <v/>
      </c>
      <c r="D326" s="141" t="str">
        <f>IF(AND(G326="",H326="",I326=""),"",IF(COUNTIFS(LISTS!$A$2:$A$67,G326,LISTS!$B$2:$B$67,H326,LISTS!$C$2:$C$67,I326)=0,"✗ هرم",IF(NOT(OR(Z326="ممتاز 100%",Z326="جيد 80%",Z326="مقبول 60%",Z326="خطر 40%",Z326="")),"✗ قائمة R",IF(NOT(OR(AA326="ممتاز 100%",AA326="جيد 85%",AA326="مقبول 70%",AA326="ضعيف 50%",AA326="")),"✗ قائمة S",IF(NOT(OR(AB326="مكتمل 100%",AB326="جزئي 60%",AB326="معلق 30%",AB326="مفتوح 0%",AB326="")),"✗ قائمة T",IF(NOT(OR(AC326="لا خصم 0",AC326="تأخير −5",AC326="عجز −10",AC326="جودة −15",AC326="امتثال −20",AC326="مخالفة −25",AC326="")),"✗ قائمة U",IF(AND(X326="لا",AC326&lt;&gt;"",AC326&lt;&gt;"لا خصم 0"),"✗ خصم",IF(AND(X326="نعم",AC326="لا خصم 0"),"✗ خصم",IF(AND(Z326="ممتاز 100%",AA326="ممتاز 100%",AB326&lt;&gt;"",AB326&lt;&gt;"مكتمل 100%"),"✗ إغلاق",IFERROR(IF(LEN(_xlfn.TEXTJOIN("، ",TRUE,IF(E326="","التاريخ",""),IF(F326="","الوقت",""),IF(G326="","المركز",""),IF(H326="","الدائرة",""),IF(I326="","القسم",""),IF(J326="","المسؤول",""),IF(K326="","نوع النشاط",""),IF(L326="","المشروع",""),IF(N326="","الممول",""),IF(V326="","الموضوع",""),IF(W326="","الملاحظة",""),IF(X326="","مشكلة",""),IF(Y326="","الإجراء",""),IF(Z326="","التنفيذ",""),IF(AA326="","الجودة",""),IF(AB326="","الإغلاق",""),IF(AC326="","الخصم",""),IF(AND(COUNTA($O326:$U326)&gt;0,O326=""),"مدير المشروع",""),IF(AND(COUNTA($O326:$U326)&gt;0,P326=""),"المستفيدين",""),IF(AND(COUNTA($O326:$U326)&gt;0,Q326=""),"المناطق",""),IF(AND(COUNTA($O326:$U326)&gt;0,R326=""),"الميزانية",""),IF(AND(COUNTA($O326:$U326)&gt;0,S326=""),"نسبة الجاهزية",""),IF(AND(COUNTA($O326:$U326)&gt;0,T326=""),"حالة الجاهزية",""),IF(AND(COUNTA($O326:$U326)&gt;0,U326=""),"التوصيات","")))&gt;0,"✗ ناقص: "&amp;_xlfn.TEXTJOIN("، ",TRUE,IF(E326="","التاريخ",""),IF(F326="","الوقت",""),IF(G326="","المركز",""),IF(H326="","الدائرة",""),IF(I326="","القسم",""),IF(J326="","المسؤول",""),IF(K326="","نوع النشاط",""),IF(L326="","المشروع",""),IF(N326="","الممول",""),IF(V326="","الموضوع",""),IF(W326="","الملاحظة",""),IF(X326="","مشكلة",""),IF(Y326="","الإجراء",""),IF(Z326="","التنفيذ",""),IF(AA326="","الجودة",""),IF(AB326="","الإغلاق",""),IF(AC326="","الخصم",""),IF(AND(COUNTA($O326:$U326)&gt;0,O326=""),"مدير المشروع",""),IF(AND(COUNTA($O326:$U326)&gt;0,P326=""),"المستفيدين",""),IF(AND(COUNTA($O326:$U326)&gt;0,Q326=""),"المناطق",""),IF(AND(COUNTA($O326:$U326)&gt;0,R326=""),"الميزانية",""),IF(AND(COUNTA($O326:$U326)&gt;0,S326=""),"نسبة الجاهزية",""),IF(AND(COUNTA($O326:$U326)&gt;0,T326=""),"حالة الجاهزية",""),IF(AND(COUNTA($O326:$U326)&gt;0,U326=""),"التوصيات","")),"✓"),"✓"))))))))))</f>
        <v/>
      </c>
      <c r="E326" s="235"/>
      <c r="F326" s="236"/>
      <c r="G326" s="90"/>
      <c r="H326" s="239"/>
      <c r="I326" s="89"/>
      <c r="J326" s="142"/>
      <c r="K326" s="90"/>
      <c r="L326" s="90"/>
      <c r="M326" s="90"/>
      <c r="N326" s="89"/>
      <c r="O326" s="200"/>
      <c r="P326" s="201"/>
      <c r="Q326" s="201"/>
      <c r="R326" s="237"/>
      <c r="S326" s="202"/>
      <c r="T326" s="200"/>
      <c r="U326" s="203"/>
      <c r="V326" s="89"/>
      <c r="W326" s="89"/>
      <c r="X326" s="145"/>
      <c r="Y326" s="89"/>
      <c r="Z326" s="90"/>
      <c r="AA326" s="90"/>
      <c r="AB326" s="90"/>
      <c r="AC326" s="90"/>
      <c r="AD326" s="92"/>
      <c r="AE326" s="149" t="str">
        <f>IFERROR(VLOOKUP(Z326,LISTS!$AL$2:$AM$1000,2,FALSE()),"")</f>
        <v/>
      </c>
      <c r="AF326" s="151" t="str">
        <f>IFERROR(VLOOKUP(AA326,LISTS!$AO$2:$AP$1000,2,FALSE()),"")</f>
        <v/>
      </c>
      <c r="AG326" s="152" t="str">
        <f>IFERROR(VLOOKUP(AB326,LISTS!$AR$2:$AS$1000,2,FALSE()),"")</f>
        <v/>
      </c>
      <c r="AH326" s="154" t="str">
        <f>IFERROR(VLOOKUP(AC326,LISTS!$AU$2:$AV$1000,2,FALSE()),"")</f>
        <v/>
      </c>
      <c r="AI326" s="238" t="str">
        <f t="shared" si="28"/>
        <v>—</v>
      </c>
      <c r="AJ326" s="190" t="str">
        <f t="shared" si="29"/>
        <v>—</v>
      </c>
      <c r="AK326" s="157" t="str">
        <f t="shared" si="25"/>
        <v/>
      </c>
      <c r="AL326" s="160" t="str">
        <f t="shared" si="26"/>
        <v/>
      </c>
      <c r="AM326" s="210"/>
      <c r="AN326" s="209"/>
    </row>
    <row r="327" spans="1:40" ht="27.95" customHeight="1">
      <c r="A327" s="134" t="str">
        <f>IF(I327&lt;&gt;"",COUNTA($I$2:I327),"")</f>
        <v/>
      </c>
      <c r="B327" s="138" t="str">
        <f t="shared" si="27"/>
        <v/>
      </c>
      <c r="C327" s="93" t="str">
        <f t="array" ref="C327">IF(E327="","",IF(M327&lt;&gt;"",
M327&amp;"/"&amp;SUMPRODUCT((M$2:M327=M327)*1)&amp;" - "&amp;(ROW()-2),
"إداري/"&amp;SUMPRODUCT((M$2:M327="")*1)&amp;" - "&amp;(ROW()-2)))</f>
        <v/>
      </c>
      <c r="D327" s="141" t="str">
        <f>IF(AND(G327="",H327="",I327=""),"",IF(COUNTIFS(LISTS!$A$2:$A$67,G327,LISTS!$B$2:$B$67,H327,LISTS!$C$2:$C$67,I327)=0,"✗ هرم",IF(NOT(OR(Z327="ممتاز 100%",Z327="جيد 80%",Z327="مقبول 60%",Z327="خطر 40%",Z327="")),"✗ قائمة R",IF(NOT(OR(AA327="ممتاز 100%",AA327="جيد 85%",AA327="مقبول 70%",AA327="ضعيف 50%",AA327="")),"✗ قائمة S",IF(NOT(OR(AB327="مكتمل 100%",AB327="جزئي 60%",AB327="معلق 30%",AB327="مفتوح 0%",AB327="")),"✗ قائمة T",IF(NOT(OR(AC327="لا خصم 0",AC327="تأخير −5",AC327="عجز −10",AC327="جودة −15",AC327="امتثال −20",AC327="مخالفة −25",AC327="")),"✗ قائمة U",IF(AND(X327="لا",AC327&lt;&gt;"",AC327&lt;&gt;"لا خصم 0"),"✗ خصم",IF(AND(X327="نعم",AC327="لا خصم 0"),"✗ خصم",IF(AND(Z327="ممتاز 100%",AA327="ممتاز 100%",AB327&lt;&gt;"",AB327&lt;&gt;"مكتمل 100%"),"✗ إغلاق",IFERROR(IF(LEN(_xlfn.TEXTJOIN("، ",TRUE,IF(E327="","التاريخ",""),IF(F327="","الوقت",""),IF(G327="","المركز",""),IF(H327="","الدائرة",""),IF(I327="","القسم",""),IF(J327="","المسؤول",""),IF(K327="","نوع النشاط",""),IF(L327="","المشروع",""),IF(N327="","الممول",""),IF(V327="","الموضوع",""),IF(W327="","الملاحظة",""),IF(X327="","مشكلة",""),IF(Y327="","الإجراء",""),IF(Z327="","التنفيذ",""),IF(AA327="","الجودة",""),IF(AB327="","الإغلاق",""),IF(AC327="","الخصم",""),IF(AND(COUNTA($O327:$U327)&gt;0,O327=""),"مدير المشروع",""),IF(AND(COUNTA($O327:$U327)&gt;0,P327=""),"المستفيدين",""),IF(AND(COUNTA($O327:$U327)&gt;0,Q327=""),"المناطق",""),IF(AND(COUNTA($O327:$U327)&gt;0,R327=""),"الميزانية",""),IF(AND(COUNTA($O327:$U327)&gt;0,S327=""),"نسبة الجاهزية",""),IF(AND(COUNTA($O327:$U327)&gt;0,T327=""),"حالة الجاهزية",""),IF(AND(COUNTA($O327:$U327)&gt;0,U327=""),"التوصيات","")))&gt;0,"✗ ناقص: "&amp;_xlfn.TEXTJOIN("، ",TRUE,IF(E327="","التاريخ",""),IF(F327="","الوقت",""),IF(G327="","المركز",""),IF(H327="","الدائرة",""),IF(I327="","القسم",""),IF(J327="","المسؤول",""),IF(K327="","نوع النشاط",""),IF(L327="","المشروع",""),IF(N327="","الممول",""),IF(V327="","الموضوع",""),IF(W327="","الملاحظة",""),IF(X327="","مشكلة",""),IF(Y327="","الإجراء",""),IF(Z327="","التنفيذ",""),IF(AA327="","الجودة",""),IF(AB327="","الإغلاق",""),IF(AC327="","الخصم",""),IF(AND(COUNTA($O327:$U327)&gt;0,O327=""),"مدير المشروع",""),IF(AND(COUNTA($O327:$U327)&gt;0,P327=""),"المستفيدين",""),IF(AND(COUNTA($O327:$U327)&gt;0,Q327=""),"المناطق",""),IF(AND(COUNTA($O327:$U327)&gt;0,R327=""),"الميزانية",""),IF(AND(COUNTA($O327:$U327)&gt;0,S327=""),"نسبة الجاهزية",""),IF(AND(COUNTA($O327:$U327)&gt;0,T327=""),"حالة الجاهزية",""),IF(AND(COUNTA($O327:$U327)&gt;0,U327=""),"التوصيات","")),"✓"),"✓"))))))))))</f>
        <v/>
      </c>
      <c r="E327" s="235"/>
      <c r="F327" s="236"/>
      <c r="G327" s="90"/>
      <c r="H327" s="239"/>
      <c r="I327" s="89"/>
      <c r="J327" s="142"/>
      <c r="K327" s="90"/>
      <c r="L327" s="90"/>
      <c r="M327" s="90"/>
      <c r="N327" s="89"/>
      <c r="O327" s="200"/>
      <c r="P327" s="201"/>
      <c r="Q327" s="201"/>
      <c r="R327" s="237"/>
      <c r="S327" s="202"/>
      <c r="T327" s="200"/>
      <c r="U327" s="203"/>
      <c r="V327" s="89"/>
      <c r="W327" s="89"/>
      <c r="X327" s="145"/>
      <c r="Y327" s="89"/>
      <c r="Z327" s="90"/>
      <c r="AA327" s="90"/>
      <c r="AB327" s="90"/>
      <c r="AC327" s="90"/>
      <c r="AD327" s="92"/>
      <c r="AE327" s="149" t="str">
        <f>IFERROR(VLOOKUP(Z327,LISTS!$AL$2:$AM$1000,2,FALSE()),"")</f>
        <v/>
      </c>
      <c r="AF327" s="151" t="str">
        <f>IFERROR(VLOOKUP(AA327,LISTS!$AO$2:$AP$1000,2,FALSE()),"")</f>
        <v/>
      </c>
      <c r="AG327" s="152" t="str">
        <f>IFERROR(VLOOKUP(AB327,LISTS!$AR$2:$AS$1000,2,FALSE()),"")</f>
        <v/>
      </c>
      <c r="AH327" s="154" t="str">
        <f>IFERROR(VLOOKUP(AC327,LISTS!$AU$2:$AV$1000,2,FALSE()),"")</f>
        <v/>
      </c>
      <c r="AI327" s="238" t="str">
        <f t="shared" si="28"/>
        <v>—</v>
      </c>
      <c r="AJ327" s="190" t="str">
        <f t="shared" si="29"/>
        <v>—</v>
      </c>
      <c r="AK327" s="157" t="str">
        <f t="shared" si="25"/>
        <v/>
      </c>
      <c r="AL327" s="160" t="str">
        <f t="shared" si="26"/>
        <v/>
      </c>
      <c r="AM327" s="210"/>
      <c r="AN327" s="209"/>
    </row>
    <row r="328" spans="1:40" ht="27.95" customHeight="1">
      <c r="A328" s="134" t="str">
        <f>IF(I328&lt;&gt;"",COUNTA($I$2:I328),"")</f>
        <v/>
      </c>
      <c r="B328" s="138" t="str">
        <f t="shared" si="27"/>
        <v/>
      </c>
      <c r="C328" s="93" t="str">
        <f t="array" ref="C328">IF(E328="","",IF(M328&lt;&gt;"",
M328&amp;"/"&amp;SUMPRODUCT((M$2:M328=M328)*1)&amp;" - "&amp;(ROW()-2),
"إداري/"&amp;SUMPRODUCT((M$2:M328="")*1)&amp;" - "&amp;(ROW()-2)))</f>
        <v/>
      </c>
      <c r="D328" s="141" t="str">
        <f>IF(AND(G328="",H328="",I328=""),"",IF(COUNTIFS(LISTS!$A$2:$A$67,G328,LISTS!$B$2:$B$67,H328,LISTS!$C$2:$C$67,I328)=0,"✗ هرم",IF(NOT(OR(Z328="ممتاز 100%",Z328="جيد 80%",Z328="مقبول 60%",Z328="خطر 40%",Z328="")),"✗ قائمة R",IF(NOT(OR(AA328="ممتاز 100%",AA328="جيد 85%",AA328="مقبول 70%",AA328="ضعيف 50%",AA328="")),"✗ قائمة S",IF(NOT(OR(AB328="مكتمل 100%",AB328="جزئي 60%",AB328="معلق 30%",AB328="مفتوح 0%",AB328="")),"✗ قائمة T",IF(NOT(OR(AC328="لا خصم 0",AC328="تأخير −5",AC328="عجز −10",AC328="جودة −15",AC328="امتثال −20",AC328="مخالفة −25",AC328="")),"✗ قائمة U",IF(AND(X328="لا",AC328&lt;&gt;"",AC328&lt;&gt;"لا خصم 0"),"✗ خصم",IF(AND(X328="نعم",AC328="لا خصم 0"),"✗ خصم",IF(AND(Z328="ممتاز 100%",AA328="ممتاز 100%",AB328&lt;&gt;"",AB328&lt;&gt;"مكتمل 100%"),"✗ إغلاق",IFERROR(IF(LEN(_xlfn.TEXTJOIN("، ",TRUE,IF(E328="","التاريخ",""),IF(F328="","الوقت",""),IF(G328="","المركز",""),IF(H328="","الدائرة",""),IF(I328="","القسم",""),IF(J328="","المسؤول",""),IF(K328="","نوع النشاط",""),IF(L328="","المشروع",""),IF(N328="","الممول",""),IF(V328="","الموضوع",""),IF(W328="","الملاحظة",""),IF(X328="","مشكلة",""),IF(Y328="","الإجراء",""),IF(Z328="","التنفيذ",""),IF(AA328="","الجودة",""),IF(AB328="","الإغلاق",""),IF(AC328="","الخصم",""),IF(AND(COUNTA($O328:$U328)&gt;0,O328=""),"مدير المشروع",""),IF(AND(COUNTA($O328:$U328)&gt;0,P328=""),"المستفيدين",""),IF(AND(COUNTA($O328:$U328)&gt;0,Q328=""),"المناطق",""),IF(AND(COUNTA($O328:$U328)&gt;0,R328=""),"الميزانية",""),IF(AND(COUNTA($O328:$U328)&gt;0,S328=""),"نسبة الجاهزية",""),IF(AND(COUNTA($O328:$U328)&gt;0,T328=""),"حالة الجاهزية",""),IF(AND(COUNTA($O328:$U328)&gt;0,U328=""),"التوصيات","")))&gt;0,"✗ ناقص: "&amp;_xlfn.TEXTJOIN("، ",TRUE,IF(E328="","التاريخ",""),IF(F328="","الوقت",""),IF(G328="","المركز",""),IF(H328="","الدائرة",""),IF(I328="","القسم",""),IF(J328="","المسؤول",""),IF(K328="","نوع النشاط",""),IF(L328="","المشروع",""),IF(N328="","الممول",""),IF(V328="","الموضوع",""),IF(W328="","الملاحظة",""),IF(X328="","مشكلة",""),IF(Y328="","الإجراء",""),IF(Z328="","التنفيذ",""),IF(AA328="","الجودة",""),IF(AB328="","الإغلاق",""),IF(AC328="","الخصم",""),IF(AND(COUNTA($O328:$U328)&gt;0,O328=""),"مدير المشروع",""),IF(AND(COUNTA($O328:$U328)&gt;0,P328=""),"المستفيدين",""),IF(AND(COUNTA($O328:$U328)&gt;0,Q328=""),"المناطق",""),IF(AND(COUNTA($O328:$U328)&gt;0,R328=""),"الميزانية",""),IF(AND(COUNTA($O328:$U328)&gt;0,S328=""),"نسبة الجاهزية",""),IF(AND(COUNTA($O328:$U328)&gt;0,T328=""),"حالة الجاهزية",""),IF(AND(COUNTA($O328:$U328)&gt;0,U328=""),"التوصيات","")),"✓"),"✓"))))))))))</f>
        <v/>
      </c>
      <c r="E328" s="235"/>
      <c r="F328" s="236"/>
      <c r="G328" s="90"/>
      <c r="H328" s="239"/>
      <c r="I328" s="89"/>
      <c r="J328" s="142"/>
      <c r="K328" s="90"/>
      <c r="L328" s="90"/>
      <c r="M328" s="90"/>
      <c r="N328" s="89"/>
      <c r="O328" s="200"/>
      <c r="P328" s="201"/>
      <c r="Q328" s="201"/>
      <c r="R328" s="237"/>
      <c r="S328" s="202"/>
      <c r="T328" s="200"/>
      <c r="U328" s="203"/>
      <c r="V328" s="89"/>
      <c r="W328" s="89"/>
      <c r="X328" s="145"/>
      <c r="Y328" s="89"/>
      <c r="Z328" s="90"/>
      <c r="AA328" s="90"/>
      <c r="AB328" s="90"/>
      <c r="AC328" s="90"/>
      <c r="AD328" s="92"/>
      <c r="AE328" s="149" t="str">
        <f>IFERROR(VLOOKUP(Z328,LISTS!$AL$2:$AM$1000,2,FALSE()),"")</f>
        <v/>
      </c>
      <c r="AF328" s="151" t="str">
        <f>IFERROR(VLOOKUP(AA328,LISTS!$AO$2:$AP$1000,2,FALSE()),"")</f>
        <v/>
      </c>
      <c r="AG328" s="152" t="str">
        <f>IFERROR(VLOOKUP(AB328,LISTS!$AR$2:$AS$1000,2,FALSE()),"")</f>
        <v/>
      </c>
      <c r="AH328" s="154" t="str">
        <f>IFERROR(VLOOKUP(AC328,LISTS!$AU$2:$AV$1000,2,FALSE()),"")</f>
        <v/>
      </c>
      <c r="AI328" s="238" t="str">
        <f t="shared" si="28"/>
        <v>—</v>
      </c>
      <c r="AJ328" s="190" t="str">
        <f t="shared" si="29"/>
        <v>—</v>
      </c>
      <c r="AK328" s="157" t="str">
        <f t="shared" si="25"/>
        <v/>
      </c>
      <c r="AL328" s="160" t="str">
        <f t="shared" si="26"/>
        <v/>
      </c>
      <c r="AM328" s="210"/>
      <c r="AN328" s="209"/>
    </row>
    <row r="329" spans="1:40" ht="27.95" customHeight="1">
      <c r="A329" s="134" t="str">
        <f>IF(I329&lt;&gt;"",COUNTA($I$2:I329),"")</f>
        <v/>
      </c>
      <c r="B329" s="138" t="str">
        <f t="shared" si="27"/>
        <v/>
      </c>
      <c r="C329" s="93" t="str">
        <f t="array" ref="C329">IF(E329="","",IF(M329&lt;&gt;"",
M329&amp;"/"&amp;SUMPRODUCT((M$2:M329=M329)*1)&amp;" - "&amp;(ROW()-2),
"إداري/"&amp;SUMPRODUCT((M$2:M329="")*1)&amp;" - "&amp;(ROW()-2)))</f>
        <v/>
      </c>
      <c r="D329" s="141" t="str">
        <f>IF(AND(G329="",H329="",I329=""),"",IF(COUNTIFS(LISTS!$A$2:$A$67,G329,LISTS!$B$2:$B$67,H329,LISTS!$C$2:$C$67,I329)=0,"✗ هرم",IF(NOT(OR(Z329="ممتاز 100%",Z329="جيد 80%",Z329="مقبول 60%",Z329="خطر 40%",Z329="")),"✗ قائمة R",IF(NOT(OR(AA329="ممتاز 100%",AA329="جيد 85%",AA329="مقبول 70%",AA329="ضعيف 50%",AA329="")),"✗ قائمة S",IF(NOT(OR(AB329="مكتمل 100%",AB329="جزئي 60%",AB329="معلق 30%",AB329="مفتوح 0%",AB329="")),"✗ قائمة T",IF(NOT(OR(AC329="لا خصم 0",AC329="تأخير −5",AC329="عجز −10",AC329="جودة −15",AC329="امتثال −20",AC329="مخالفة −25",AC329="")),"✗ قائمة U",IF(AND(X329="لا",AC329&lt;&gt;"",AC329&lt;&gt;"لا خصم 0"),"✗ خصم",IF(AND(X329="نعم",AC329="لا خصم 0"),"✗ خصم",IF(AND(Z329="ممتاز 100%",AA329="ممتاز 100%",AB329&lt;&gt;"",AB329&lt;&gt;"مكتمل 100%"),"✗ إغلاق",IFERROR(IF(LEN(_xlfn.TEXTJOIN("، ",TRUE,IF(E329="","التاريخ",""),IF(F329="","الوقت",""),IF(G329="","المركز",""),IF(H329="","الدائرة",""),IF(I329="","القسم",""),IF(J329="","المسؤول",""),IF(K329="","نوع النشاط",""),IF(L329="","المشروع",""),IF(N329="","الممول",""),IF(V329="","الموضوع",""),IF(W329="","الملاحظة",""),IF(X329="","مشكلة",""),IF(Y329="","الإجراء",""),IF(Z329="","التنفيذ",""),IF(AA329="","الجودة",""),IF(AB329="","الإغلاق",""),IF(AC329="","الخصم",""),IF(AND(COUNTA($O329:$U329)&gt;0,O329=""),"مدير المشروع",""),IF(AND(COUNTA($O329:$U329)&gt;0,P329=""),"المستفيدين",""),IF(AND(COUNTA($O329:$U329)&gt;0,Q329=""),"المناطق",""),IF(AND(COUNTA($O329:$U329)&gt;0,R329=""),"الميزانية",""),IF(AND(COUNTA($O329:$U329)&gt;0,S329=""),"نسبة الجاهزية",""),IF(AND(COUNTA($O329:$U329)&gt;0,T329=""),"حالة الجاهزية",""),IF(AND(COUNTA($O329:$U329)&gt;0,U329=""),"التوصيات","")))&gt;0,"✗ ناقص: "&amp;_xlfn.TEXTJOIN("، ",TRUE,IF(E329="","التاريخ",""),IF(F329="","الوقت",""),IF(G329="","المركز",""),IF(H329="","الدائرة",""),IF(I329="","القسم",""),IF(J329="","المسؤول",""),IF(K329="","نوع النشاط",""),IF(L329="","المشروع",""),IF(N329="","الممول",""),IF(V329="","الموضوع",""),IF(W329="","الملاحظة",""),IF(X329="","مشكلة",""),IF(Y329="","الإجراء",""),IF(Z329="","التنفيذ",""),IF(AA329="","الجودة",""),IF(AB329="","الإغلاق",""),IF(AC329="","الخصم",""),IF(AND(COUNTA($O329:$U329)&gt;0,O329=""),"مدير المشروع",""),IF(AND(COUNTA($O329:$U329)&gt;0,P329=""),"المستفيدين",""),IF(AND(COUNTA($O329:$U329)&gt;0,Q329=""),"المناطق",""),IF(AND(COUNTA($O329:$U329)&gt;0,R329=""),"الميزانية",""),IF(AND(COUNTA($O329:$U329)&gt;0,S329=""),"نسبة الجاهزية",""),IF(AND(COUNTA($O329:$U329)&gt;0,T329=""),"حالة الجاهزية",""),IF(AND(COUNTA($O329:$U329)&gt;0,U329=""),"التوصيات","")),"✓"),"✓"))))))))))</f>
        <v/>
      </c>
      <c r="E329" s="235"/>
      <c r="F329" s="236"/>
      <c r="G329" s="90"/>
      <c r="H329" s="239"/>
      <c r="I329" s="89"/>
      <c r="J329" s="142"/>
      <c r="K329" s="90"/>
      <c r="L329" s="90"/>
      <c r="M329" s="90"/>
      <c r="N329" s="89"/>
      <c r="O329" s="200"/>
      <c r="P329" s="201"/>
      <c r="Q329" s="201"/>
      <c r="R329" s="237"/>
      <c r="S329" s="202"/>
      <c r="T329" s="200"/>
      <c r="U329" s="203"/>
      <c r="V329" s="89"/>
      <c r="W329" s="89"/>
      <c r="X329" s="145"/>
      <c r="Y329" s="89"/>
      <c r="Z329" s="90"/>
      <c r="AA329" s="90"/>
      <c r="AB329" s="90"/>
      <c r="AC329" s="90"/>
      <c r="AD329" s="92"/>
      <c r="AE329" s="149" t="str">
        <f>IFERROR(VLOOKUP(Z329,LISTS!$AL$2:$AM$1000,2,FALSE()),"")</f>
        <v/>
      </c>
      <c r="AF329" s="151" t="str">
        <f>IFERROR(VLOOKUP(AA329,LISTS!$AO$2:$AP$1000,2,FALSE()),"")</f>
        <v/>
      </c>
      <c r="AG329" s="152" t="str">
        <f>IFERROR(VLOOKUP(AB329,LISTS!$AR$2:$AS$1000,2,FALSE()),"")</f>
        <v/>
      </c>
      <c r="AH329" s="154" t="str">
        <f>IFERROR(VLOOKUP(AC329,LISTS!$AU$2:$AV$1000,2,FALSE()),"")</f>
        <v/>
      </c>
      <c r="AI329" s="238" t="str">
        <f t="shared" si="28"/>
        <v>—</v>
      </c>
      <c r="AJ329" s="190" t="str">
        <f t="shared" si="29"/>
        <v>—</v>
      </c>
      <c r="AK329" s="157" t="str">
        <f t="shared" si="25"/>
        <v/>
      </c>
      <c r="AL329" s="160" t="str">
        <f t="shared" si="26"/>
        <v/>
      </c>
      <c r="AM329" s="210"/>
      <c r="AN329" s="209"/>
    </row>
    <row r="330" spans="1:40" ht="27.95" customHeight="1">
      <c r="A330" s="134" t="str">
        <f>IF(I330&lt;&gt;"",COUNTA($I$2:I330),"")</f>
        <v/>
      </c>
      <c r="B330" s="138" t="str">
        <f t="shared" si="27"/>
        <v/>
      </c>
      <c r="C330" s="93" t="str">
        <f t="array" ref="C330">IF(E330="","",IF(M330&lt;&gt;"",
M330&amp;"/"&amp;SUMPRODUCT((M$2:M330=M330)*1)&amp;" - "&amp;(ROW()-2),
"إداري/"&amp;SUMPRODUCT((M$2:M330="")*1)&amp;" - "&amp;(ROW()-2)))</f>
        <v/>
      </c>
      <c r="D330" s="141" t="str">
        <f>IF(AND(G330="",H330="",I330=""),"",IF(COUNTIFS(LISTS!$A$2:$A$67,G330,LISTS!$B$2:$B$67,H330,LISTS!$C$2:$C$67,I330)=0,"✗ هرم",IF(NOT(OR(Z330="ممتاز 100%",Z330="جيد 80%",Z330="مقبول 60%",Z330="خطر 40%",Z330="")),"✗ قائمة R",IF(NOT(OR(AA330="ممتاز 100%",AA330="جيد 85%",AA330="مقبول 70%",AA330="ضعيف 50%",AA330="")),"✗ قائمة S",IF(NOT(OR(AB330="مكتمل 100%",AB330="جزئي 60%",AB330="معلق 30%",AB330="مفتوح 0%",AB330="")),"✗ قائمة T",IF(NOT(OR(AC330="لا خصم 0",AC330="تأخير −5",AC330="عجز −10",AC330="جودة −15",AC330="امتثال −20",AC330="مخالفة −25",AC330="")),"✗ قائمة U",IF(AND(X330="لا",AC330&lt;&gt;"",AC330&lt;&gt;"لا خصم 0"),"✗ خصم",IF(AND(X330="نعم",AC330="لا خصم 0"),"✗ خصم",IF(AND(Z330="ممتاز 100%",AA330="ممتاز 100%",AB330&lt;&gt;"",AB330&lt;&gt;"مكتمل 100%"),"✗ إغلاق",IFERROR(IF(LEN(_xlfn.TEXTJOIN("، ",TRUE,IF(E330="","التاريخ",""),IF(F330="","الوقت",""),IF(G330="","المركز",""),IF(H330="","الدائرة",""),IF(I330="","القسم",""),IF(J330="","المسؤول",""),IF(K330="","نوع النشاط",""),IF(L330="","المشروع",""),IF(N330="","الممول",""),IF(V330="","الموضوع",""),IF(W330="","الملاحظة",""),IF(X330="","مشكلة",""),IF(Y330="","الإجراء",""),IF(Z330="","التنفيذ",""),IF(AA330="","الجودة",""),IF(AB330="","الإغلاق",""),IF(AC330="","الخصم",""),IF(AND(COUNTA($O330:$U330)&gt;0,O330=""),"مدير المشروع",""),IF(AND(COUNTA($O330:$U330)&gt;0,P330=""),"المستفيدين",""),IF(AND(COUNTA($O330:$U330)&gt;0,Q330=""),"المناطق",""),IF(AND(COUNTA($O330:$U330)&gt;0,R330=""),"الميزانية",""),IF(AND(COUNTA($O330:$U330)&gt;0,S330=""),"نسبة الجاهزية",""),IF(AND(COUNTA($O330:$U330)&gt;0,T330=""),"حالة الجاهزية",""),IF(AND(COUNTA($O330:$U330)&gt;0,U330=""),"التوصيات","")))&gt;0,"✗ ناقص: "&amp;_xlfn.TEXTJOIN("، ",TRUE,IF(E330="","التاريخ",""),IF(F330="","الوقت",""),IF(G330="","المركز",""),IF(H330="","الدائرة",""),IF(I330="","القسم",""),IF(J330="","المسؤول",""),IF(K330="","نوع النشاط",""),IF(L330="","المشروع",""),IF(N330="","الممول",""),IF(V330="","الموضوع",""),IF(W330="","الملاحظة",""),IF(X330="","مشكلة",""),IF(Y330="","الإجراء",""),IF(Z330="","التنفيذ",""),IF(AA330="","الجودة",""),IF(AB330="","الإغلاق",""),IF(AC330="","الخصم",""),IF(AND(COUNTA($O330:$U330)&gt;0,O330=""),"مدير المشروع",""),IF(AND(COUNTA($O330:$U330)&gt;0,P330=""),"المستفيدين",""),IF(AND(COUNTA($O330:$U330)&gt;0,Q330=""),"المناطق",""),IF(AND(COUNTA($O330:$U330)&gt;0,R330=""),"الميزانية",""),IF(AND(COUNTA($O330:$U330)&gt;0,S330=""),"نسبة الجاهزية",""),IF(AND(COUNTA($O330:$U330)&gt;0,T330=""),"حالة الجاهزية",""),IF(AND(COUNTA($O330:$U330)&gt;0,U330=""),"التوصيات","")),"✓"),"✓"))))))))))</f>
        <v/>
      </c>
      <c r="E330" s="235"/>
      <c r="F330" s="236"/>
      <c r="G330" s="90"/>
      <c r="H330" s="239"/>
      <c r="I330" s="89"/>
      <c r="J330" s="142"/>
      <c r="K330" s="90"/>
      <c r="L330" s="90"/>
      <c r="M330" s="90"/>
      <c r="N330" s="89"/>
      <c r="O330" s="200"/>
      <c r="P330" s="201"/>
      <c r="Q330" s="201"/>
      <c r="R330" s="237"/>
      <c r="S330" s="202"/>
      <c r="T330" s="200"/>
      <c r="U330" s="203"/>
      <c r="V330" s="89"/>
      <c r="W330" s="89"/>
      <c r="X330" s="145"/>
      <c r="Y330" s="89"/>
      <c r="Z330" s="90"/>
      <c r="AA330" s="90"/>
      <c r="AB330" s="90"/>
      <c r="AC330" s="90"/>
      <c r="AD330" s="92"/>
      <c r="AE330" s="149" t="str">
        <f>IFERROR(VLOOKUP(Z330,LISTS!$AL$2:$AM$1000,2,FALSE()),"")</f>
        <v/>
      </c>
      <c r="AF330" s="151" t="str">
        <f>IFERROR(VLOOKUP(AA330,LISTS!$AO$2:$AP$1000,2,FALSE()),"")</f>
        <v/>
      </c>
      <c r="AG330" s="152" t="str">
        <f>IFERROR(VLOOKUP(AB330,LISTS!$AR$2:$AS$1000,2,FALSE()),"")</f>
        <v/>
      </c>
      <c r="AH330" s="154" t="str">
        <f>IFERROR(VLOOKUP(AC330,LISTS!$AU$2:$AV$1000,2,FALSE()),"")</f>
        <v/>
      </c>
      <c r="AI330" s="238" t="str">
        <f t="shared" si="28"/>
        <v>—</v>
      </c>
      <c r="AJ330" s="190" t="str">
        <f t="shared" si="29"/>
        <v>—</v>
      </c>
      <c r="AK330" s="157" t="str">
        <f t="shared" si="25"/>
        <v/>
      </c>
      <c r="AL330" s="160" t="str">
        <f t="shared" si="26"/>
        <v/>
      </c>
      <c r="AM330" s="210"/>
      <c r="AN330" s="209"/>
    </row>
    <row r="331" spans="1:40" ht="27.95" customHeight="1">
      <c r="A331" s="134" t="str">
        <f>IF(I331&lt;&gt;"",COUNTA($I$2:I331),"")</f>
        <v/>
      </c>
      <c r="B331" s="138" t="str">
        <f t="shared" si="27"/>
        <v/>
      </c>
      <c r="C331" s="93" t="str">
        <f t="array" ref="C331">IF(E331="","",IF(M331&lt;&gt;"",
M331&amp;"/"&amp;SUMPRODUCT((M$2:M331=M331)*1)&amp;" - "&amp;(ROW()-2),
"إداري/"&amp;SUMPRODUCT((M$2:M331="")*1)&amp;" - "&amp;(ROW()-2)))</f>
        <v/>
      </c>
      <c r="D331" s="141" t="str">
        <f>IF(AND(G331="",H331="",I331=""),"",IF(COUNTIFS(LISTS!$A$2:$A$67,G331,LISTS!$B$2:$B$67,H331,LISTS!$C$2:$C$67,I331)=0,"✗ هرم",IF(NOT(OR(Z331="ممتاز 100%",Z331="جيد 80%",Z331="مقبول 60%",Z331="خطر 40%",Z331="")),"✗ قائمة R",IF(NOT(OR(AA331="ممتاز 100%",AA331="جيد 85%",AA331="مقبول 70%",AA331="ضعيف 50%",AA331="")),"✗ قائمة S",IF(NOT(OR(AB331="مكتمل 100%",AB331="جزئي 60%",AB331="معلق 30%",AB331="مفتوح 0%",AB331="")),"✗ قائمة T",IF(NOT(OR(AC331="لا خصم 0",AC331="تأخير −5",AC331="عجز −10",AC331="جودة −15",AC331="امتثال −20",AC331="مخالفة −25",AC331="")),"✗ قائمة U",IF(AND(X331="لا",AC331&lt;&gt;"",AC331&lt;&gt;"لا خصم 0"),"✗ خصم",IF(AND(X331="نعم",AC331="لا خصم 0"),"✗ خصم",IF(AND(Z331="ممتاز 100%",AA331="ممتاز 100%",AB331&lt;&gt;"",AB331&lt;&gt;"مكتمل 100%"),"✗ إغلاق",IFERROR(IF(LEN(_xlfn.TEXTJOIN("، ",TRUE,IF(E331="","التاريخ",""),IF(F331="","الوقت",""),IF(G331="","المركز",""),IF(H331="","الدائرة",""),IF(I331="","القسم",""),IF(J331="","المسؤول",""),IF(K331="","نوع النشاط",""),IF(L331="","المشروع",""),IF(N331="","الممول",""),IF(V331="","الموضوع",""),IF(W331="","الملاحظة",""),IF(X331="","مشكلة",""),IF(Y331="","الإجراء",""),IF(Z331="","التنفيذ",""),IF(AA331="","الجودة",""),IF(AB331="","الإغلاق",""),IF(AC331="","الخصم",""),IF(AND(COUNTA($O331:$U331)&gt;0,O331=""),"مدير المشروع",""),IF(AND(COUNTA($O331:$U331)&gt;0,P331=""),"المستفيدين",""),IF(AND(COUNTA($O331:$U331)&gt;0,Q331=""),"المناطق",""),IF(AND(COUNTA($O331:$U331)&gt;0,R331=""),"الميزانية",""),IF(AND(COUNTA($O331:$U331)&gt;0,S331=""),"نسبة الجاهزية",""),IF(AND(COUNTA($O331:$U331)&gt;0,T331=""),"حالة الجاهزية",""),IF(AND(COUNTA($O331:$U331)&gt;0,U331=""),"التوصيات","")))&gt;0,"✗ ناقص: "&amp;_xlfn.TEXTJOIN("، ",TRUE,IF(E331="","التاريخ",""),IF(F331="","الوقت",""),IF(G331="","المركز",""),IF(H331="","الدائرة",""),IF(I331="","القسم",""),IF(J331="","المسؤول",""),IF(K331="","نوع النشاط",""),IF(L331="","المشروع",""),IF(N331="","الممول",""),IF(V331="","الموضوع",""),IF(W331="","الملاحظة",""),IF(X331="","مشكلة",""),IF(Y331="","الإجراء",""),IF(Z331="","التنفيذ",""),IF(AA331="","الجودة",""),IF(AB331="","الإغلاق",""),IF(AC331="","الخصم",""),IF(AND(COUNTA($O331:$U331)&gt;0,O331=""),"مدير المشروع",""),IF(AND(COUNTA($O331:$U331)&gt;0,P331=""),"المستفيدين",""),IF(AND(COUNTA($O331:$U331)&gt;0,Q331=""),"المناطق",""),IF(AND(COUNTA($O331:$U331)&gt;0,R331=""),"الميزانية",""),IF(AND(COUNTA($O331:$U331)&gt;0,S331=""),"نسبة الجاهزية",""),IF(AND(COUNTA($O331:$U331)&gt;0,T331=""),"حالة الجاهزية",""),IF(AND(COUNTA($O331:$U331)&gt;0,U331=""),"التوصيات","")),"✓"),"✓"))))))))))</f>
        <v/>
      </c>
      <c r="E331" s="235"/>
      <c r="F331" s="236"/>
      <c r="G331" s="90"/>
      <c r="H331" s="239"/>
      <c r="I331" s="89"/>
      <c r="J331" s="142"/>
      <c r="K331" s="90"/>
      <c r="L331" s="90"/>
      <c r="M331" s="90"/>
      <c r="N331" s="89"/>
      <c r="O331" s="200"/>
      <c r="P331" s="201"/>
      <c r="Q331" s="201"/>
      <c r="R331" s="237"/>
      <c r="S331" s="202"/>
      <c r="T331" s="200"/>
      <c r="U331" s="203"/>
      <c r="V331" s="89"/>
      <c r="W331" s="89"/>
      <c r="X331" s="145"/>
      <c r="Y331" s="89"/>
      <c r="Z331" s="90"/>
      <c r="AA331" s="90"/>
      <c r="AB331" s="90"/>
      <c r="AC331" s="90"/>
      <c r="AD331" s="92"/>
      <c r="AE331" s="149" t="str">
        <f>IFERROR(VLOOKUP(Z331,LISTS!$AL$2:$AM$1000,2,FALSE()),"")</f>
        <v/>
      </c>
      <c r="AF331" s="151" t="str">
        <f>IFERROR(VLOOKUP(AA331,LISTS!$AO$2:$AP$1000,2,FALSE()),"")</f>
        <v/>
      </c>
      <c r="AG331" s="152" t="str">
        <f>IFERROR(VLOOKUP(AB331,LISTS!$AR$2:$AS$1000,2,FALSE()),"")</f>
        <v/>
      </c>
      <c r="AH331" s="154" t="str">
        <f>IFERROR(VLOOKUP(AC331,LISTS!$AU$2:$AV$1000,2,FALSE()),"")</f>
        <v/>
      </c>
      <c r="AI331" s="238" t="str">
        <f t="shared" si="28"/>
        <v>—</v>
      </c>
      <c r="AJ331" s="190" t="str">
        <f t="shared" si="29"/>
        <v>—</v>
      </c>
      <c r="AK331" s="157" t="str">
        <f t="shared" si="25"/>
        <v/>
      </c>
      <c r="AL331" s="160" t="str">
        <f t="shared" si="26"/>
        <v/>
      </c>
      <c r="AM331" s="210"/>
      <c r="AN331" s="209"/>
    </row>
    <row r="332" spans="1:40" ht="27.95" customHeight="1">
      <c r="A332" s="134" t="str">
        <f>IF(I332&lt;&gt;"",COUNTA($I$2:I332),"")</f>
        <v/>
      </c>
      <c r="B332" s="138" t="str">
        <f t="shared" si="27"/>
        <v/>
      </c>
      <c r="C332" s="93" t="str">
        <f t="array" ref="C332">IF(E332="","",IF(M332&lt;&gt;"",
M332&amp;"/"&amp;SUMPRODUCT((M$2:M332=M332)*1)&amp;" - "&amp;(ROW()-2),
"إداري/"&amp;SUMPRODUCT((M$2:M332="")*1)&amp;" - "&amp;(ROW()-2)))</f>
        <v/>
      </c>
      <c r="D332" s="141" t="str">
        <f>IF(AND(G332="",H332="",I332=""),"",IF(COUNTIFS(LISTS!$A$2:$A$67,G332,LISTS!$B$2:$B$67,H332,LISTS!$C$2:$C$67,I332)=0,"✗ هرم",IF(NOT(OR(Z332="ممتاز 100%",Z332="جيد 80%",Z332="مقبول 60%",Z332="خطر 40%",Z332="")),"✗ قائمة R",IF(NOT(OR(AA332="ممتاز 100%",AA332="جيد 85%",AA332="مقبول 70%",AA332="ضعيف 50%",AA332="")),"✗ قائمة S",IF(NOT(OR(AB332="مكتمل 100%",AB332="جزئي 60%",AB332="معلق 30%",AB332="مفتوح 0%",AB332="")),"✗ قائمة T",IF(NOT(OR(AC332="لا خصم 0",AC332="تأخير −5",AC332="عجز −10",AC332="جودة −15",AC332="امتثال −20",AC332="مخالفة −25",AC332="")),"✗ قائمة U",IF(AND(X332="لا",AC332&lt;&gt;"",AC332&lt;&gt;"لا خصم 0"),"✗ خصم",IF(AND(X332="نعم",AC332="لا خصم 0"),"✗ خصم",IF(AND(Z332="ممتاز 100%",AA332="ممتاز 100%",AB332&lt;&gt;"",AB332&lt;&gt;"مكتمل 100%"),"✗ إغلاق",IFERROR(IF(LEN(_xlfn.TEXTJOIN("، ",TRUE,IF(E332="","التاريخ",""),IF(F332="","الوقت",""),IF(G332="","المركز",""),IF(H332="","الدائرة",""),IF(I332="","القسم",""),IF(J332="","المسؤول",""),IF(K332="","نوع النشاط",""),IF(L332="","المشروع",""),IF(N332="","الممول",""),IF(V332="","الموضوع",""),IF(W332="","الملاحظة",""),IF(X332="","مشكلة",""),IF(Y332="","الإجراء",""),IF(Z332="","التنفيذ",""),IF(AA332="","الجودة",""),IF(AB332="","الإغلاق",""),IF(AC332="","الخصم",""),IF(AND(COUNTA($O332:$U332)&gt;0,O332=""),"مدير المشروع",""),IF(AND(COUNTA($O332:$U332)&gt;0,P332=""),"المستفيدين",""),IF(AND(COUNTA($O332:$U332)&gt;0,Q332=""),"المناطق",""),IF(AND(COUNTA($O332:$U332)&gt;0,R332=""),"الميزانية",""),IF(AND(COUNTA($O332:$U332)&gt;0,S332=""),"نسبة الجاهزية",""),IF(AND(COUNTA($O332:$U332)&gt;0,T332=""),"حالة الجاهزية",""),IF(AND(COUNTA($O332:$U332)&gt;0,U332=""),"التوصيات","")))&gt;0,"✗ ناقص: "&amp;_xlfn.TEXTJOIN("، ",TRUE,IF(E332="","التاريخ",""),IF(F332="","الوقت",""),IF(G332="","المركز",""),IF(H332="","الدائرة",""),IF(I332="","القسم",""),IF(J332="","المسؤول",""),IF(K332="","نوع النشاط",""),IF(L332="","المشروع",""),IF(N332="","الممول",""),IF(V332="","الموضوع",""),IF(W332="","الملاحظة",""),IF(X332="","مشكلة",""),IF(Y332="","الإجراء",""),IF(Z332="","التنفيذ",""),IF(AA332="","الجودة",""),IF(AB332="","الإغلاق",""),IF(AC332="","الخصم",""),IF(AND(COUNTA($O332:$U332)&gt;0,O332=""),"مدير المشروع",""),IF(AND(COUNTA($O332:$U332)&gt;0,P332=""),"المستفيدين",""),IF(AND(COUNTA($O332:$U332)&gt;0,Q332=""),"المناطق",""),IF(AND(COUNTA($O332:$U332)&gt;0,R332=""),"الميزانية",""),IF(AND(COUNTA($O332:$U332)&gt;0,S332=""),"نسبة الجاهزية",""),IF(AND(COUNTA($O332:$U332)&gt;0,T332=""),"حالة الجاهزية",""),IF(AND(COUNTA($O332:$U332)&gt;0,U332=""),"التوصيات","")),"✓"),"✓"))))))))))</f>
        <v/>
      </c>
      <c r="E332" s="235"/>
      <c r="F332" s="236"/>
      <c r="G332" s="90"/>
      <c r="H332" s="239"/>
      <c r="I332" s="89"/>
      <c r="J332" s="142"/>
      <c r="K332" s="90"/>
      <c r="L332" s="90"/>
      <c r="M332" s="90"/>
      <c r="N332" s="89"/>
      <c r="O332" s="200"/>
      <c r="P332" s="201"/>
      <c r="Q332" s="201"/>
      <c r="R332" s="237"/>
      <c r="S332" s="202"/>
      <c r="T332" s="200"/>
      <c r="U332" s="203"/>
      <c r="V332" s="89"/>
      <c r="W332" s="89"/>
      <c r="X332" s="145"/>
      <c r="Y332" s="89"/>
      <c r="Z332" s="90"/>
      <c r="AA332" s="90"/>
      <c r="AB332" s="90"/>
      <c r="AC332" s="90"/>
      <c r="AD332" s="92"/>
      <c r="AE332" s="149" t="str">
        <f>IFERROR(VLOOKUP(Z332,LISTS!$AL$2:$AM$1000,2,FALSE()),"")</f>
        <v/>
      </c>
      <c r="AF332" s="151" t="str">
        <f>IFERROR(VLOOKUP(AA332,LISTS!$AO$2:$AP$1000,2,FALSE()),"")</f>
        <v/>
      </c>
      <c r="AG332" s="152" t="str">
        <f>IFERROR(VLOOKUP(AB332,LISTS!$AR$2:$AS$1000,2,FALSE()),"")</f>
        <v/>
      </c>
      <c r="AH332" s="154" t="str">
        <f>IFERROR(VLOOKUP(AC332,LISTS!$AU$2:$AV$1000,2,FALSE()),"")</f>
        <v/>
      </c>
      <c r="AI332" s="238" t="str">
        <f t="shared" si="28"/>
        <v>—</v>
      </c>
      <c r="AJ332" s="190" t="str">
        <f t="shared" si="29"/>
        <v>—</v>
      </c>
      <c r="AK332" s="157" t="str">
        <f t="shared" si="25"/>
        <v/>
      </c>
      <c r="AL332" s="160" t="str">
        <f t="shared" si="26"/>
        <v/>
      </c>
      <c r="AM332" s="210"/>
      <c r="AN332" s="209"/>
    </row>
    <row r="333" spans="1:40" ht="27.95" customHeight="1">
      <c r="A333" s="134" t="str">
        <f>IF(I333&lt;&gt;"",COUNTA($I$2:I333),"")</f>
        <v/>
      </c>
      <c r="B333" s="138" t="str">
        <f t="shared" si="27"/>
        <v/>
      </c>
      <c r="C333" s="93" t="str">
        <f t="array" ref="C333">IF(E333="","",IF(M333&lt;&gt;"",
M333&amp;"/"&amp;SUMPRODUCT((M$2:M333=M333)*1)&amp;" - "&amp;(ROW()-2),
"إداري/"&amp;SUMPRODUCT((M$2:M333="")*1)&amp;" - "&amp;(ROW()-2)))</f>
        <v/>
      </c>
      <c r="D333" s="141" t="str">
        <f>IF(AND(G333="",H333="",I333=""),"",IF(COUNTIFS(LISTS!$A$2:$A$67,G333,LISTS!$B$2:$B$67,H333,LISTS!$C$2:$C$67,I333)=0,"✗ هرم",IF(NOT(OR(Z333="ممتاز 100%",Z333="جيد 80%",Z333="مقبول 60%",Z333="خطر 40%",Z333="")),"✗ قائمة R",IF(NOT(OR(AA333="ممتاز 100%",AA333="جيد 85%",AA333="مقبول 70%",AA333="ضعيف 50%",AA333="")),"✗ قائمة S",IF(NOT(OR(AB333="مكتمل 100%",AB333="جزئي 60%",AB333="معلق 30%",AB333="مفتوح 0%",AB333="")),"✗ قائمة T",IF(NOT(OR(AC333="لا خصم 0",AC333="تأخير −5",AC333="عجز −10",AC333="جودة −15",AC333="امتثال −20",AC333="مخالفة −25",AC333="")),"✗ قائمة U",IF(AND(X333="لا",AC333&lt;&gt;"",AC333&lt;&gt;"لا خصم 0"),"✗ خصم",IF(AND(X333="نعم",AC333="لا خصم 0"),"✗ خصم",IF(AND(Z333="ممتاز 100%",AA333="ممتاز 100%",AB333&lt;&gt;"",AB333&lt;&gt;"مكتمل 100%"),"✗ إغلاق",IFERROR(IF(LEN(_xlfn.TEXTJOIN("، ",TRUE,IF(E333="","التاريخ",""),IF(F333="","الوقت",""),IF(G333="","المركز",""),IF(H333="","الدائرة",""),IF(I333="","القسم",""),IF(J333="","المسؤول",""),IF(K333="","نوع النشاط",""),IF(L333="","المشروع",""),IF(N333="","الممول",""),IF(V333="","الموضوع",""),IF(W333="","الملاحظة",""),IF(X333="","مشكلة",""),IF(Y333="","الإجراء",""),IF(Z333="","التنفيذ",""),IF(AA333="","الجودة",""),IF(AB333="","الإغلاق",""),IF(AC333="","الخصم",""),IF(AND(COUNTA($O333:$U333)&gt;0,O333=""),"مدير المشروع",""),IF(AND(COUNTA($O333:$U333)&gt;0,P333=""),"المستفيدين",""),IF(AND(COUNTA($O333:$U333)&gt;0,Q333=""),"المناطق",""),IF(AND(COUNTA($O333:$U333)&gt;0,R333=""),"الميزانية",""),IF(AND(COUNTA($O333:$U333)&gt;0,S333=""),"نسبة الجاهزية",""),IF(AND(COUNTA($O333:$U333)&gt;0,T333=""),"حالة الجاهزية",""),IF(AND(COUNTA($O333:$U333)&gt;0,U333=""),"التوصيات","")))&gt;0,"✗ ناقص: "&amp;_xlfn.TEXTJOIN("، ",TRUE,IF(E333="","التاريخ",""),IF(F333="","الوقت",""),IF(G333="","المركز",""),IF(H333="","الدائرة",""),IF(I333="","القسم",""),IF(J333="","المسؤول",""),IF(K333="","نوع النشاط",""),IF(L333="","المشروع",""),IF(N333="","الممول",""),IF(V333="","الموضوع",""),IF(W333="","الملاحظة",""),IF(X333="","مشكلة",""),IF(Y333="","الإجراء",""),IF(Z333="","التنفيذ",""),IF(AA333="","الجودة",""),IF(AB333="","الإغلاق",""),IF(AC333="","الخصم",""),IF(AND(COUNTA($O333:$U333)&gt;0,O333=""),"مدير المشروع",""),IF(AND(COUNTA($O333:$U333)&gt;0,P333=""),"المستفيدين",""),IF(AND(COUNTA($O333:$U333)&gt;0,Q333=""),"المناطق",""),IF(AND(COUNTA($O333:$U333)&gt;0,R333=""),"الميزانية",""),IF(AND(COUNTA($O333:$U333)&gt;0,S333=""),"نسبة الجاهزية",""),IF(AND(COUNTA($O333:$U333)&gt;0,T333=""),"حالة الجاهزية",""),IF(AND(COUNTA($O333:$U333)&gt;0,U333=""),"التوصيات","")),"✓"),"✓"))))))))))</f>
        <v/>
      </c>
      <c r="E333" s="235"/>
      <c r="F333" s="236"/>
      <c r="G333" s="90"/>
      <c r="H333" s="239"/>
      <c r="I333" s="89"/>
      <c r="J333" s="142"/>
      <c r="K333" s="90"/>
      <c r="L333" s="90"/>
      <c r="M333" s="90"/>
      <c r="N333" s="89"/>
      <c r="O333" s="200"/>
      <c r="P333" s="201"/>
      <c r="Q333" s="201"/>
      <c r="R333" s="237"/>
      <c r="S333" s="202"/>
      <c r="T333" s="200"/>
      <c r="U333" s="203"/>
      <c r="V333" s="89"/>
      <c r="W333" s="89"/>
      <c r="X333" s="145"/>
      <c r="Y333" s="89"/>
      <c r="Z333" s="90"/>
      <c r="AA333" s="90"/>
      <c r="AB333" s="90"/>
      <c r="AC333" s="90"/>
      <c r="AD333" s="92"/>
      <c r="AE333" s="149" t="str">
        <f>IFERROR(VLOOKUP(Z333,LISTS!$AL$2:$AM$1000,2,FALSE()),"")</f>
        <v/>
      </c>
      <c r="AF333" s="151" t="str">
        <f>IFERROR(VLOOKUP(AA333,LISTS!$AO$2:$AP$1000,2,FALSE()),"")</f>
        <v/>
      </c>
      <c r="AG333" s="152" t="str">
        <f>IFERROR(VLOOKUP(AB333,LISTS!$AR$2:$AS$1000,2,FALSE()),"")</f>
        <v/>
      </c>
      <c r="AH333" s="154" t="str">
        <f>IFERROR(VLOOKUP(AC333,LISTS!$AU$2:$AV$1000,2,FALSE()),"")</f>
        <v/>
      </c>
      <c r="AI333" s="238" t="str">
        <f t="shared" si="28"/>
        <v>—</v>
      </c>
      <c r="AJ333" s="190" t="str">
        <f t="shared" si="29"/>
        <v>—</v>
      </c>
      <c r="AK333" s="157" t="str">
        <f t="shared" si="25"/>
        <v/>
      </c>
      <c r="AL333" s="160" t="str">
        <f t="shared" si="26"/>
        <v/>
      </c>
      <c r="AM333" s="210"/>
      <c r="AN333" s="209"/>
    </row>
    <row r="334" spans="1:40" ht="27.95" customHeight="1">
      <c r="A334" s="134" t="str">
        <f>IF(I334&lt;&gt;"",COUNTA($I$2:I334),"")</f>
        <v/>
      </c>
      <c r="B334" s="138" t="str">
        <f t="shared" si="27"/>
        <v/>
      </c>
      <c r="C334" s="93" t="str">
        <f t="array" ref="C334">IF(E334="","",IF(M334&lt;&gt;"",
M334&amp;"/"&amp;SUMPRODUCT((M$2:M334=M334)*1)&amp;" - "&amp;(ROW()-2),
"إداري/"&amp;SUMPRODUCT((M$2:M334="")*1)&amp;" - "&amp;(ROW()-2)))</f>
        <v/>
      </c>
      <c r="D334" s="141" t="str">
        <f>IF(AND(G334="",H334="",I334=""),"",IF(COUNTIFS(LISTS!$A$2:$A$67,G334,LISTS!$B$2:$B$67,H334,LISTS!$C$2:$C$67,I334)=0,"✗ هرم",IF(NOT(OR(Z334="ممتاز 100%",Z334="جيد 80%",Z334="مقبول 60%",Z334="خطر 40%",Z334="")),"✗ قائمة R",IF(NOT(OR(AA334="ممتاز 100%",AA334="جيد 85%",AA334="مقبول 70%",AA334="ضعيف 50%",AA334="")),"✗ قائمة S",IF(NOT(OR(AB334="مكتمل 100%",AB334="جزئي 60%",AB334="معلق 30%",AB334="مفتوح 0%",AB334="")),"✗ قائمة T",IF(NOT(OR(AC334="لا خصم 0",AC334="تأخير −5",AC334="عجز −10",AC334="جودة −15",AC334="امتثال −20",AC334="مخالفة −25",AC334="")),"✗ قائمة U",IF(AND(X334="لا",AC334&lt;&gt;"",AC334&lt;&gt;"لا خصم 0"),"✗ خصم",IF(AND(X334="نعم",AC334="لا خصم 0"),"✗ خصم",IF(AND(Z334="ممتاز 100%",AA334="ممتاز 100%",AB334&lt;&gt;"",AB334&lt;&gt;"مكتمل 100%"),"✗ إغلاق",IFERROR(IF(LEN(_xlfn.TEXTJOIN("، ",TRUE,IF(E334="","التاريخ",""),IF(F334="","الوقت",""),IF(G334="","المركز",""),IF(H334="","الدائرة",""),IF(I334="","القسم",""),IF(J334="","المسؤول",""),IF(K334="","نوع النشاط",""),IF(L334="","المشروع",""),IF(N334="","الممول",""),IF(V334="","الموضوع",""),IF(W334="","الملاحظة",""),IF(X334="","مشكلة",""),IF(Y334="","الإجراء",""),IF(Z334="","التنفيذ",""),IF(AA334="","الجودة",""),IF(AB334="","الإغلاق",""),IF(AC334="","الخصم",""),IF(AND(COUNTA($O334:$U334)&gt;0,O334=""),"مدير المشروع",""),IF(AND(COUNTA($O334:$U334)&gt;0,P334=""),"المستفيدين",""),IF(AND(COUNTA($O334:$U334)&gt;0,Q334=""),"المناطق",""),IF(AND(COUNTA($O334:$U334)&gt;0,R334=""),"الميزانية",""),IF(AND(COUNTA($O334:$U334)&gt;0,S334=""),"نسبة الجاهزية",""),IF(AND(COUNTA($O334:$U334)&gt;0,T334=""),"حالة الجاهزية",""),IF(AND(COUNTA($O334:$U334)&gt;0,U334=""),"التوصيات","")))&gt;0,"✗ ناقص: "&amp;_xlfn.TEXTJOIN("، ",TRUE,IF(E334="","التاريخ",""),IF(F334="","الوقت",""),IF(G334="","المركز",""),IF(H334="","الدائرة",""),IF(I334="","القسم",""),IF(J334="","المسؤول",""),IF(K334="","نوع النشاط",""),IF(L334="","المشروع",""),IF(N334="","الممول",""),IF(V334="","الموضوع",""),IF(W334="","الملاحظة",""),IF(X334="","مشكلة",""),IF(Y334="","الإجراء",""),IF(Z334="","التنفيذ",""),IF(AA334="","الجودة",""),IF(AB334="","الإغلاق",""),IF(AC334="","الخصم",""),IF(AND(COUNTA($O334:$U334)&gt;0,O334=""),"مدير المشروع",""),IF(AND(COUNTA($O334:$U334)&gt;0,P334=""),"المستفيدين",""),IF(AND(COUNTA($O334:$U334)&gt;0,Q334=""),"المناطق",""),IF(AND(COUNTA($O334:$U334)&gt;0,R334=""),"الميزانية",""),IF(AND(COUNTA($O334:$U334)&gt;0,S334=""),"نسبة الجاهزية",""),IF(AND(COUNTA($O334:$U334)&gt;0,T334=""),"حالة الجاهزية",""),IF(AND(COUNTA($O334:$U334)&gt;0,U334=""),"التوصيات","")),"✓"),"✓"))))))))))</f>
        <v/>
      </c>
      <c r="E334" s="235"/>
      <c r="F334" s="236"/>
      <c r="G334" s="90"/>
      <c r="H334" s="239"/>
      <c r="I334" s="89"/>
      <c r="J334" s="142"/>
      <c r="K334" s="90"/>
      <c r="L334" s="90"/>
      <c r="M334" s="90"/>
      <c r="N334" s="89"/>
      <c r="O334" s="200"/>
      <c r="P334" s="201"/>
      <c r="Q334" s="201"/>
      <c r="R334" s="237"/>
      <c r="S334" s="202"/>
      <c r="T334" s="200"/>
      <c r="U334" s="203"/>
      <c r="V334" s="89"/>
      <c r="W334" s="89"/>
      <c r="X334" s="145"/>
      <c r="Y334" s="89"/>
      <c r="Z334" s="90"/>
      <c r="AA334" s="90"/>
      <c r="AB334" s="90"/>
      <c r="AC334" s="90"/>
      <c r="AD334" s="92"/>
      <c r="AE334" s="149" t="str">
        <f>IFERROR(VLOOKUP(Z334,LISTS!$AL$2:$AM$1000,2,FALSE()),"")</f>
        <v/>
      </c>
      <c r="AF334" s="151" t="str">
        <f>IFERROR(VLOOKUP(AA334,LISTS!$AO$2:$AP$1000,2,FALSE()),"")</f>
        <v/>
      </c>
      <c r="AG334" s="152" t="str">
        <f>IFERROR(VLOOKUP(AB334,LISTS!$AR$2:$AS$1000,2,FALSE()),"")</f>
        <v/>
      </c>
      <c r="AH334" s="154" t="str">
        <f>IFERROR(VLOOKUP(AC334,LISTS!$AU$2:$AV$1000,2,FALSE()),"")</f>
        <v/>
      </c>
      <c r="AI334" s="238" t="str">
        <f t="shared" si="28"/>
        <v>—</v>
      </c>
      <c r="AJ334" s="190" t="str">
        <f t="shared" si="29"/>
        <v>—</v>
      </c>
      <c r="AK334" s="157" t="str">
        <f t="shared" si="25"/>
        <v/>
      </c>
      <c r="AL334" s="160" t="str">
        <f t="shared" si="26"/>
        <v/>
      </c>
      <c r="AM334" s="210"/>
      <c r="AN334" s="209"/>
    </row>
    <row r="335" spans="1:40" ht="27.95" customHeight="1">
      <c r="A335" s="134" t="str">
        <f>IF(I335&lt;&gt;"",COUNTA($I$2:I335),"")</f>
        <v/>
      </c>
      <c r="B335" s="138" t="str">
        <f t="shared" si="27"/>
        <v/>
      </c>
      <c r="C335" s="93" t="str">
        <f t="array" ref="C335">IF(E335="","",IF(M335&lt;&gt;"",
M335&amp;"/"&amp;SUMPRODUCT((M$2:M335=M335)*1)&amp;" - "&amp;(ROW()-2),
"إداري/"&amp;SUMPRODUCT((M$2:M335="")*1)&amp;" - "&amp;(ROW()-2)))</f>
        <v/>
      </c>
      <c r="D335" s="141" t="str">
        <f>IF(AND(G335="",H335="",I335=""),"",IF(COUNTIFS(LISTS!$A$2:$A$67,G335,LISTS!$B$2:$B$67,H335,LISTS!$C$2:$C$67,I335)=0,"✗ هرم",IF(NOT(OR(Z335="ممتاز 100%",Z335="جيد 80%",Z335="مقبول 60%",Z335="خطر 40%",Z335="")),"✗ قائمة R",IF(NOT(OR(AA335="ممتاز 100%",AA335="جيد 85%",AA335="مقبول 70%",AA335="ضعيف 50%",AA335="")),"✗ قائمة S",IF(NOT(OR(AB335="مكتمل 100%",AB335="جزئي 60%",AB335="معلق 30%",AB335="مفتوح 0%",AB335="")),"✗ قائمة T",IF(NOT(OR(AC335="لا خصم 0",AC335="تأخير −5",AC335="عجز −10",AC335="جودة −15",AC335="امتثال −20",AC335="مخالفة −25",AC335="")),"✗ قائمة U",IF(AND(X335="لا",AC335&lt;&gt;"",AC335&lt;&gt;"لا خصم 0"),"✗ خصم",IF(AND(X335="نعم",AC335="لا خصم 0"),"✗ خصم",IF(AND(Z335="ممتاز 100%",AA335="ممتاز 100%",AB335&lt;&gt;"",AB335&lt;&gt;"مكتمل 100%"),"✗ إغلاق",IFERROR(IF(LEN(_xlfn.TEXTJOIN("، ",TRUE,IF(E335="","التاريخ",""),IF(F335="","الوقت",""),IF(G335="","المركز",""),IF(H335="","الدائرة",""),IF(I335="","القسم",""),IF(J335="","المسؤول",""),IF(K335="","نوع النشاط",""),IF(L335="","المشروع",""),IF(N335="","الممول",""),IF(V335="","الموضوع",""),IF(W335="","الملاحظة",""),IF(X335="","مشكلة",""),IF(Y335="","الإجراء",""),IF(Z335="","التنفيذ",""),IF(AA335="","الجودة",""),IF(AB335="","الإغلاق",""),IF(AC335="","الخصم",""),IF(AND(COUNTA($O335:$U335)&gt;0,O335=""),"مدير المشروع",""),IF(AND(COUNTA($O335:$U335)&gt;0,P335=""),"المستفيدين",""),IF(AND(COUNTA($O335:$U335)&gt;0,Q335=""),"المناطق",""),IF(AND(COUNTA($O335:$U335)&gt;0,R335=""),"الميزانية",""),IF(AND(COUNTA($O335:$U335)&gt;0,S335=""),"نسبة الجاهزية",""),IF(AND(COUNTA($O335:$U335)&gt;0,T335=""),"حالة الجاهزية",""),IF(AND(COUNTA($O335:$U335)&gt;0,U335=""),"التوصيات","")))&gt;0,"✗ ناقص: "&amp;_xlfn.TEXTJOIN("، ",TRUE,IF(E335="","التاريخ",""),IF(F335="","الوقت",""),IF(G335="","المركز",""),IF(H335="","الدائرة",""),IF(I335="","القسم",""),IF(J335="","المسؤول",""),IF(K335="","نوع النشاط",""),IF(L335="","المشروع",""),IF(N335="","الممول",""),IF(V335="","الموضوع",""),IF(W335="","الملاحظة",""),IF(X335="","مشكلة",""),IF(Y335="","الإجراء",""),IF(Z335="","التنفيذ",""),IF(AA335="","الجودة",""),IF(AB335="","الإغلاق",""),IF(AC335="","الخصم",""),IF(AND(COUNTA($O335:$U335)&gt;0,O335=""),"مدير المشروع",""),IF(AND(COUNTA($O335:$U335)&gt;0,P335=""),"المستفيدين",""),IF(AND(COUNTA($O335:$U335)&gt;0,Q335=""),"المناطق",""),IF(AND(COUNTA($O335:$U335)&gt;0,R335=""),"الميزانية",""),IF(AND(COUNTA($O335:$U335)&gt;0,S335=""),"نسبة الجاهزية",""),IF(AND(COUNTA($O335:$U335)&gt;0,T335=""),"حالة الجاهزية",""),IF(AND(COUNTA($O335:$U335)&gt;0,U335=""),"التوصيات","")),"✓"),"✓"))))))))))</f>
        <v/>
      </c>
      <c r="E335" s="235"/>
      <c r="F335" s="236"/>
      <c r="G335" s="90"/>
      <c r="H335" s="239"/>
      <c r="I335" s="89"/>
      <c r="J335" s="142"/>
      <c r="K335" s="90"/>
      <c r="L335" s="90"/>
      <c r="M335" s="90"/>
      <c r="N335" s="89"/>
      <c r="O335" s="200"/>
      <c r="P335" s="201"/>
      <c r="Q335" s="201"/>
      <c r="R335" s="237"/>
      <c r="S335" s="202"/>
      <c r="T335" s="200"/>
      <c r="U335" s="203"/>
      <c r="V335" s="89"/>
      <c r="W335" s="89"/>
      <c r="X335" s="145"/>
      <c r="Y335" s="89"/>
      <c r="Z335" s="90"/>
      <c r="AA335" s="90"/>
      <c r="AB335" s="90"/>
      <c r="AC335" s="90"/>
      <c r="AD335" s="92"/>
      <c r="AE335" s="149" t="str">
        <f>IFERROR(VLOOKUP(Z335,LISTS!$AL$2:$AM$1000,2,FALSE()),"")</f>
        <v/>
      </c>
      <c r="AF335" s="151" t="str">
        <f>IFERROR(VLOOKUP(AA335,LISTS!$AO$2:$AP$1000,2,FALSE()),"")</f>
        <v/>
      </c>
      <c r="AG335" s="152" t="str">
        <f>IFERROR(VLOOKUP(AB335,LISTS!$AR$2:$AS$1000,2,FALSE()),"")</f>
        <v/>
      </c>
      <c r="AH335" s="154" t="str">
        <f>IFERROR(VLOOKUP(AC335,LISTS!$AU$2:$AV$1000,2,FALSE()),"")</f>
        <v/>
      </c>
      <c r="AI335" s="238" t="str">
        <f t="shared" si="28"/>
        <v>—</v>
      </c>
      <c r="AJ335" s="190" t="str">
        <f t="shared" si="29"/>
        <v>—</v>
      </c>
      <c r="AK335" s="157" t="str">
        <f t="shared" si="25"/>
        <v/>
      </c>
      <c r="AL335" s="160" t="str">
        <f t="shared" si="26"/>
        <v/>
      </c>
      <c r="AM335" s="210"/>
      <c r="AN335" s="209"/>
    </row>
    <row r="336" spans="1:40" ht="27.95" customHeight="1">
      <c r="A336" s="134" t="str">
        <f>IF(I336&lt;&gt;"",COUNTA($I$2:I336),"")</f>
        <v/>
      </c>
      <c r="B336" s="138" t="str">
        <f t="shared" si="27"/>
        <v/>
      </c>
      <c r="C336" s="93" t="str">
        <f t="array" ref="C336">IF(E336="","",IF(M336&lt;&gt;"",
M336&amp;"/"&amp;SUMPRODUCT((M$2:M336=M336)*1)&amp;" - "&amp;(ROW()-2),
"إداري/"&amp;SUMPRODUCT((M$2:M336="")*1)&amp;" - "&amp;(ROW()-2)))</f>
        <v/>
      </c>
      <c r="D336" s="141" t="str">
        <f>IF(AND(G336="",H336="",I336=""),"",IF(COUNTIFS(LISTS!$A$2:$A$67,G336,LISTS!$B$2:$B$67,H336,LISTS!$C$2:$C$67,I336)=0,"✗ هرم",IF(NOT(OR(Z336="ممتاز 100%",Z336="جيد 80%",Z336="مقبول 60%",Z336="خطر 40%",Z336="")),"✗ قائمة R",IF(NOT(OR(AA336="ممتاز 100%",AA336="جيد 85%",AA336="مقبول 70%",AA336="ضعيف 50%",AA336="")),"✗ قائمة S",IF(NOT(OR(AB336="مكتمل 100%",AB336="جزئي 60%",AB336="معلق 30%",AB336="مفتوح 0%",AB336="")),"✗ قائمة T",IF(NOT(OR(AC336="لا خصم 0",AC336="تأخير −5",AC336="عجز −10",AC336="جودة −15",AC336="امتثال −20",AC336="مخالفة −25",AC336="")),"✗ قائمة U",IF(AND(X336="لا",AC336&lt;&gt;"",AC336&lt;&gt;"لا خصم 0"),"✗ خصم",IF(AND(X336="نعم",AC336="لا خصم 0"),"✗ خصم",IF(AND(Z336="ممتاز 100%",AA336="ممتاز 100%",AB336&lt;&gt;"",AB336&lt;&gt;"مكتمل 100%"),"✗ إغلاق",IFERROR(IF(LEN(_xlfn.TEXTJOIN("، ",TRUE,IF(E336="","التاريخ",""),IF(F336="","الوقت",""),IF(G336="","المركز",""),IF(H336="","الدائرة",""),IF(I336="","القسم",""),IF(J336="","المسؤول",""),IF(K336="","نوع النشاط",""),IF(L336="","المشروع",""),IF(N336="","الممول",""),IF(V336="","الموضوع",""),IF(W336="","الملاحظة",""),IF(X336="","مشكلة",""),IF(Y336="","الإجراء",""),IF(Z336="","التنفيذ",""),IF(AA336="","الجودة",""),IF(AB336="","الإغلاق",""),IF(AC336="","الخصم",""),IF(AND(COUNTA($O336:$U336)&gt;0,O336=""),"مدير المشروع",""),IF(AND(COUNTA($O336:$U336)&gt;0,P336=""),"المستفيدين",""),IF(AND(COUNTA($O336:$U336)&gt;0,Q336=""),"المناطق",""),IF(AND(COUNTA($O336:$U336)&gt;0,R336=""),"الميزانية",""),IF(AND(COUNTA($O336:$U336)&gt;0,S336=""),"نسبة الجاهزية",""),IF(AND(COUNTA($O336:$U336)&gt;0,T336=""),"حالة الجاهزية",""),IF(AND(COUNTA($O336:$U336)&gt;0,U336=""),"التوصيات","")))&gt;0,"✗ ناقص: "&amp;_xlfn.TEXTJOIN("، ",TRUE,IF(E336="","التاريخ",""),IF(F336="","الوقت",""),IF(G336="","المركز",""),IF(H336="","الدائرة",""),IF(I336="","القسم",""),IF(J336="","المسؤول",""),IF(K336="","نوع النشاط",""),IF(L336="","المشروع",""),IF(N336="","الممول",""),IF(V336="","الموضوع",""),IF(W336="","الملاحظة",""),IF(X336="","مشكلة",""),IF(Y336="","الإجراء",""),IF(Z336="","التنفيذ",""),IF(AA336="","الجودة",""),IF(AB336="","الإغلاق",""),IF(AC336="","الخصم",""),IF(AND(COUNTA($O336:$U336)&gt;0,O336=""),"مدير المشروع",""),IF(AND(COUNTA($O336:$U336)&gt;0,P336=""),"المستفيدين",""),IF(AND(COUNTA($O336:$U336)&gt;0,Q336=""),"المناطق",""),IF(AND(COUNTA($O336:$U336)&gt;0,R336=""),"الميزانية",""),IF(AND(COUNTA($O336:$U336)&gt;0,S336=""),"نسبة الجاهزية",""),IF(AND(COUNTA($O336:$U336)&gt;0,T336=""),"حالة الجاهزية",""),IF(AND(COUNTA($O336:$U336)&gt;0,U336=""),"التوصيات","")),"✓"),"✓"))))))))))</f>
        <v/>
      </c>
      <c r="E336" s="235"/>
      <c r="F336" s="236"/>
      <c r="G336" s="90"/>
      <c r="H336" s="239"/>
      <c r="I336" s="89"/>
      <c r="J336" s="142"/>
      <c r="K336" s="90"/>
      <c r="L336" s="90"/>
      <c r="M336" s="90"/>
      <c r="N336" s="89"/>
      <c r="O336" s="200"/>
      <c r="P336" s="201"/>
      <c r="Q336" s="201"/>
      <c r="R336" s="237"/>
      <c r="S336" s="202"/>
      <c r="T336" s="200"/>
      <c r="U336" s="203"/>
      <c r="V336" s="89"/>
      <c r="W336" s="89"/>
      <c r="X336" s="145"/>
      <c r="Y336" s="89"/>
      <c r="Z336" s="90"/>
      <c r="AA336" s="90"/>
      <c r="AB336" s="90"/>
      <c r="AC336" s="90"/>
      <c r="AD336" s="92"/>
      <c r="AE336" s="149" t="str">
        <f>IFERROR(VLOOKUP(Z336,LISTS!$AL$2:$AM$1000,2,FALSE()),"")</f>
        <v/>
      </c>
      <c r="AF336" s="151" t="str">
        <f>IFERROR(VLOOKUP(AA336,LISTS!$AO$2:$AP$1000,2,FALSE()),"")</f>
        <v/>
      </c>
      <c r="AG336" s="152" t="str">
        <f>IFERROR(VLOOKUP(AB336,LISTS!$AR$2:$AS$1000,2,FALSE()),"")</f>
        <v/>
      </c>
      <c r="AH336" s="154" t="str">
        <f>IFERROR(VLOOKUP(AC336,LISTS!$AU$2:$AV$1000,2,FALSE()),"")</f>
        <v/>
      </c>
      <c r="AI336" s="238" t="str">
        <f t="shared" si="28"/>
        <v>—</v>
      </c>
      <c r="AJ336" s="190" t="str">
        <f t="shared" si="29"/>
        <v>—</v>
      </c>
      <c r="AK336" s="157" t="str">
        <f t="shared" si="25"/>
        <v/>
      </c>
      <c r="AL336" s="160" t="str">
        <f t="shared" si="26"/>
        <v/>
      </c>
      <c r="AM336" s="210"/>
      <c r="AN336" s="209"/>
    </row>
    <row r="337" spans="1:40" ht="27.95" customHeight="1">
      <c r="A337" s="134" t="str">
        <f>IF(I337&lt;&gt;"",COUNTA($I$2:I337),"")</f>
        <v/>
      </c>
      <c r="B337" s="138" t="str">
        <f t="shared" si="27"/>
        <v/>
      </c>
      <c r="C337" s="93" t="str">
        <f t="array" ref="C337">IF(E337="","",IF(M337&lt;&gt;"",
M337&amp;"/"&amp;SUMPRODUCT((M$2:M337=M337)*1)&amp;" - "&amp;(ROW()-2),
"إداري/"&amp;SUMPRODUCT((M$2:M337="")*1)&amp;" - "&amp;(ROW()-2)))</f>
        <v/>
      </c>
      <c r="D337" s="141" t="str">
        <f>IF(AND(G337="",H337="",I337=""),"",IF(COUNTIFS(LISTS!$A$2:$A$67,G337,LISTS!$B$2:$B$67,H337,LISTS!$C$2:$C$67,I337)=0,"✗ هرم",IF(NOT(OR(Z337="ممتاز 100%",Z337="جيد 80%",Z337="مقبول 60%",Z337="خطر 40%",Z337="")),"✗ قائمة R",IF(NOT(OR(AA337="ممتاز 100%",AA337="جيد 85%",AA337="مقبول 70%",AA337="ضعيف 50%",AA337="")),"✗ قائمة S",IF(NOT(OR(AB337="مكتمل 100%",AB337="جزئي 60%",AB337="معلق 30%",AB337="مفتوح 0%",AB337="")),"✗ قائمة T",IF(NOT(OR(AC337="لا خصم 0",AC337="تأخير −5",AC337="عجز −10",AC337="جودة −15",AC337="امتثال −20",AC337="مخالفة −25",AC337="")),"✗ قائمة U",IF(AND(X337="لا",AC337&lt;&gt;"",AC337&lt;&gt;"لا خصم 0"),"✗ خصم",IF(AND(X337="نعم",AC337="لا خصم 0"),"✗ خصم",IF(AND(Z337="ممتاز 100%",AA337="ممتاز 100%",AB337&lt;&gt;"",AB337&lt;&gt;"مكتمل 100%"),"✗ إغلاق",IFERROR(IF(LEN(_xlfn.TEXTJOIN("، ",TRUE,IF(E337="","التاريخ",""),IF(F337="","الوقت",""),IF(G337="","المركز",""),IF(H337="","الدائرة",""),IF(I337="","القسم",""),IF(J337="","المسؤول",""),IF(K337="","نوع النشاط",""),IF(L337="","المشروع",""),IF(N337="","الممول",""),IF(V337="","الموضوع",""),IF(W337="","الملاحظة",""),IF(X337="","مشكلة",""),IF(Y337="","الإجراء",""),IF(Z337="","التنفيذ",""),IF(AA337="","الجودة",""),IF(AB337="","الإغلاق",""),IF(AC337="","الخصم",""),IF(AND(COUNTA($O337:$U337)&gt;0,O337=""),"مدير المشروع",""),IF(AND(COUNTA($O337:$U337)&gt;0,P337=""),"المستفيدين",""),IF(AND(COUNTA($O337:$U337)&gt;0,Q337=""),"المناطق",""),IF(AND(COUNTA($O337:$U337)&gt;0,R337=""),"الميزانية",""),IF(AND(COUNTA($O337:$U337)&gt;0,S337=""),"نسبة الجاهزية",""),IF(AND(COUNTA($O337:$U337)&gt;0,T337=""),"حالة الجاهزية",""),IF(AND(COUNTA($O337:$U337)&gt;0,U337=""),"التوصيات","")))&gt;0,"✗ ناقص: "&amp;_xlfn.TEXTJOIN("، ",TRUE,IF(E337="","التاريخ",""),IF(F337="","الوقت",""),IF(G337="","المركز",""),IF(H337="","الدائرة",""),IF(I337="","القسم",""),IF(J337="","المسؤول",""),IF(K337="","نوع النشاط",""),IF(L337="","المشروع",""),IF(N337="","الممول",""),IF(V337="","الموضوع",""),IF(W337="","الملاحظة",""),IF(X337="","مشكلة",""),IF(Y337="","الإجراء",""),IF(Z337="","التنفيذ",""),IF(AA337="","الجودة",""),IF(AB337="","الإغلاق",""),IF(AC337="","الخصم",""),IF(AND(COUNTA($O337:$U337)&gt;0,O337=""),"مدير المشروع",""),IF(AND(COUNTA($O337:$U337)&gt;0,P337=""),"المستفيدين",""),IF(AND(COUNTA($O337:$U337)&gt;0,Q337=""),"المناطق",""),IF(AND(COUNTA($O337:$U337)&gt;0,R337=""),"الميزانية",""),IF(AND(COUNTA($O337:$U337)&gt;0,S337=""),"نسبة الجاهزية",""),IF(AND(COUNTA($O337:$U337)&gt;0,T337=""),"حالة الجاهزية",""),IF(AND(COUNTA($O337:$U337)&gt;0,U337=""),"التوصيات","")),"✓"),"✓"))))))))))</f>
        <v/>
      </c>
      <c r="E337" s="235"/>
      <c r="F337" s="236"/>
      <c r="G337" s="90"/>
      <c r="H337" s="239"/>
      <c r="I337" s="89"/>
      <c r="J337" s="142"/>
      <c r="K337" s="90"/>
      <c r="L337" s="90"/>
      <c r="M337" s="90"/>
      <c r="N337" s="89"/>
      <c r="O337" s="200"/>
      <c r="P337" s="201"/>
      <c r="Q337" s="201"/>
      <c r="R337" s="237"/>
      <c r="S337" s="202"/>
      <c r="T337" s="200"/>
      <c r="U337" s="203"/>
      <c r="V337" s="89"/>
      <c r="W337" s="89"/>
      <c r="X337" s="145"/>
      <c r="Y337" s="89"/>
      <c r="Z337" s="90"/>
      <c r="AA337" s="90"/>
      <c r="AB337" s="90"/>
      <c r="AC337" s="90"/>
      <c r="AD337" s="92"/>
      <c r="AE337" s="149" t="str">
        <f>IFERROR(VLOOKUP(Z337,LISTS!$AL$2:$AM$1000,2,FALSE()),"")</f>
        <v/>
      </c>
      <c r="AF337" s="151" t="str">
        <f>IFERROR(VLOOKUP(AA337,LISTS!$AO$2:$AP$1000,2,FALSE()),"")</f>
        <v/>
      </c>
      <c r="AG337" s="152" t="str">
        <f>IFERROR(VLOOKUP(AB337,LISTS!$AR$2:$AS$1000,2,FALSE()),"")</f>
        <v/>
      </c>
      <c r="AH337" s="154" t="str">
        <f>IFERROR(VLOOKUP(AC337,LISTS!$AU$2:$AV$1000,2,FALSE()),"")</f>
        <v/>
      </c>
      <c r="AI337" s="238" t="str">
        <f t="shared" si="28"/>
        <v>—</v>
      </c>
      <c r="AJ337" s="190" t="str">
        <f t="shared" si="29"/>
        <v>—</v>
      </c>
      <c r="AK337" s="157" t="str">
        <f t="shared" si="25"/>
        <v/>
      </c>
      <c r="AL337" s="160" t="str">
        <f t="shared" si="26"/>
        <v/>
      </c>
      <c r="AM337" s="210"/>
      <c r="AN337" s="209"/>
    </row>
    <row r="338" spans="1:40" ht="27.95" customHeight="1">
      <c r="A338" s="134" t="str">
        <f>IF(I338&lt;&gt;"",COUNTA($I$2:I338),"")</f>
        <v/>
      </c>
      <c r="B338" s="138" t="str">
        <f t="shared" si="27"/>
        <v/>
      </c>
      <c r="C338" s="93" t="str">
        <f t="array" ref="C338">IF(E338="","",IF(M338&lt;&gt;"",
M338&amp;"/"&amp;SUMPRODUCT((M$2:M338=M338)*1)&amp;" - "&amp;(ROW()-2),
"إداري/"&amp;SUMPRODUCT((M$2:M338="")*1)&amp;" - "&amp;(ROW()-2)))</f>
        <v/>
      </c>
      <c r="D338" s="141" t="str">
        <f>IF(AND(G338="",H338="",I338=""),"",IF(COUNTIFS(LISTS!$A$2:$A$67,G338,LISTS!$B$2:$B$67,H338,LISTS!$C$2:$C$67,I338)=0,"✗ هرم",IF(NOT(OR(Z338="ممتاز 100%",Z338="جيد 80%",Z338="مقبول 60%",Z338="خطر 40%",Z338="")),"✗ قائمة R",IF(NOT(OR(AA338="ممتاز 100%",AA338="جيد 85%",AA338="مقبول 70%",AA338="ضعيف 50%",AA338="")),"✗ قائمة S",IF(NOT(OR(AB338="مكتمل 100%",AB338="جزئي 60%",AB338="معلق 30%",AB338="مفتوح 0%",AB338="")),"✗ قائمة T",IF(NOT(OR(AC338="لا خصم 0",AC338="تأخير −5",AC338="عجز −10",AC338="جودة −15",AC338="امتثال −20",AC338="مخالفة −25",AC338="")),"✗ قائمة U",IF(AND(X338="لا",AC338&lt;&gt;"",AC338&lt;&gt;"لا خصم 0"),"✗ خصم",IF(AND(X338="نعم",AC338="لا خصم 0"),"✗ خصم",IF(AND(Z338="ممتاز 100%",AA338="ممتاز 100%",AB338&lt;&gt;"",AB338&lt;&gt;"مكتمل 100%"),"✗ إغلاق",IFERROR(IF(LEN(_xlfn.TEXTJOIN("، ",TRUE,IF(E338="","التاريخ",""),IF(F338="","الوقت",""),IF(G338="","المركز",""),IF(H338="","الدائرة",""),IF(I338="","القسم",""),IF(J338="","المسؤول",""),IF(K338="","نوع النشاط",""),IF(L338="","المشروع",""),IF(N338="","الممول",""),IF(V338="","الموضوع",""),IF(W338="","الملاحظة",""),IF(X338="","مشكلة",""),IF(Y338="","الإجراء",""),IF(Z338="","التنفيذ",""),IF(AA338="","الجودة",""),IF(AB338="","الإغلاق",""),IF(AC338="","الخصم",""),IF(AND(COUNTA($O338:$U338)&gt;0,O338=""),"مدير المشروع",""),IF(AND(COUNTA($O338:$U338)&gt;0,P338=""),"المستفيدين",""),IF(AND(COUNTA($O338:$U338)&gt;0,Q338=""),"المناطق",""),IF(AND(COUNTA($O338:$U338)&gt;0,R338=""),"الميزانية",""),IF(AND(COUNTA($O338:$U338)&gt;0,S338=""),"نسبة الجاهزية",""),IF(AND(COUNTA($O338:$U338)&gt;0,T338=""),"حالة الجاهزية",""),IF(AND(COUNTA($O338:$U338)&gt;0,U338=""),"التوصيات","")))&gt;0,"✗ ناقص: "&amp;_xlfn.TEXTJOIN("، ",TRUE,IF(E338="","التاريخ",""),IF(F338="","الوقت",""),IF(G338="","المركز",""),IF(H338="","الدائرة",""),IF(I338="","القسم",""),IF(J338="","المسؤول",""),IF(K338="","نوع النشاط",""),IF(L338="","المشروع",""),IF(N338="","الممول",""),IF(V338="","الموضوع",""),IF(W338="","الملاحظة",""),IF(X338="","مشكلة",""),IF(Y338="","الإجراء",""),IF(Z338="","التنفيذ",""),IF(AA338="","الجودة",""),IF(AB338="","الإغلاق",""),IF(AC338="","الخصم",""),IF(AND(COUNTA($O338:$U338)&gt;0,O338=""),"مدير المشروع",""),IF(AND(COUNTA($O338:$U338)&gt;0,P338=""),"المستفيدين",""),IF(AND(COUNTA($O338:$U338)&gt;0,Q338=""),"المناطق",""),IF(AND(COUNTA($O338:$U338)&gt;0,R338=""),"الميزانية",""),IF(AND(COUNTA($O338:$U338)&gt;0,S338=""),"نسبة الجاهزية",""),IF(AND(COUNTA($O338:$U338)&gt;0,T338=""),"حالة الجاهزية",""),IF(AND(COUNTA($O338:$U338)&gt;0,U338=""),"التوصيات","")),"✓"),"✓"))))))))))</f>
        <v/>
      </c>
      <c r="E338" s="235"/>
      <c r="F338" s="236"/>
      <c r="G338" s="90"/>
      <c r="H338" s="239"/>
      <c r="I338" s="89"/>
      <c r="J338" s="142"/>
      <c r="K338" s="90"/>
      <c r="L338" s="90"/>
      <c r="M338" s="90"/>
      <c r="N338" s="89"/>
      <c r="O338" s="200"/>
      <c r="P338" s="201"/>
      <c r="Q338" s="201"/>
      <c r="R338" s="237"/>
      <c r="S338" s="202"/>
      <c r="T338" s="200"/>
      <c r="U338" s="203"/>
      <c r="V338" s="89"/>
      <c r="W338" s="89"/>
      <c r="X338" s="145"/>
      <c r="Y338" s="89"/>
      <c r="Z338" s="90"/>
      <c r="AA338" s="90"/>
      <c r="AB338" s="90"/>
      <c r="AC338" s="90"/>
      <c r="AD338" s="92"/>
      <c r="AE338" s="149" t="str">
        <f>IFERROR(VLOOKUP(Z338,LISTS!$AL$2:$AM$1000,2,FALSE()),"")</f>
        <v/>
      </c>
      <c r="AF338" s="151" t="str">
        <f>IFERROR(VLOOKUP(AA338,LISTS!$AO$2:$AP$1000,2,FALSE()),"")</f>
        <v/>
      </c>
      <c r="AG338" s="152" t="str">
        <f>IFERROR(VLOOKUP(AB338,LISTS!$AR$2:$AS$1000,2,FALSE()),"")</f>
        <v/>
      </c>
      <c r="AH338" s="154" t="str">
        <f>IFERROR(VLOOKUP(AC338,LISTS!$AU$2:$AV$1000,2,FALSE()),"")</f>
        <v/>
      </c>
      <c r="AI338" s="238" t="str">
        <f t="shared" si="28"/>
        <v>—</v>
      </c>
      <c r="AJ338" s="190" t="str">
        <f t="shared" si="29"/>
        <v>—</v>
      </c>
      <c r="AK338" s="157" t="str">
        <f t="shared" si="25"/>
        <v/>
      </c>
      <c r="AL338" s="160" t="str">
        <f t="shared" si="26"/>
        <v/>
      </c>
      <c r="AM338" s="210"/>
      <c r="AN338" s="209"/>
    </row>
    <row r="339" spans="1:40" ht="27.95" customHeight="1">
      <c r="A339" s="134" t="str">
        <f>IF(I339&lt;&gt;"",COUNTA($I$2:I339),"")</f>
        <v/>
      </c>
      <c r="B339" s="138" t="str">
        <f t="shared" si="27"/>
        <v/>
      </c>
      <c r="C339" s="93" t="str">
        <f t="array" ref="C339">IF(E339="","",IF(M339&lt;&gt;"",
M339&amp;"/"&amp;SUMPRODUCT((M$2:M339=M339)*1)&amp;" - "&amp;(ROW()-2),
"إداري/"&amp;SUMPRODUCT((M$2:M339="")*1)&amp;" - "&amp;(ROW()-2)))</f>
        <v/>
      </c>
      <c r="D339" s="141" t="str">
        <f>IF(AND(G339="",H339="",I339=""),"",IF(COUNTIFS(LISTS!$A$2:$A$67,G339,LISTS!$B$2:$B$67,H339,LISTS!$C$2:$C$67,I339)=0,"✗ هرم",IF(NOT(OR(Z339="ممتاز 100%",Z339="جيد 80%",Z339="مقبول 60%",Z339="خطر 40%",Z339="")),"✗ قائمة R",IF(NOT(OR(AA339="ممتاز 100%",AA339="جيد 85%",AA339="مقبول 70%",AA339="ضعيف 50%",AA339="")),"✗ قائمة S",IF(NOT(OR(AB339="مكتمل 100%",AB339="جزئي 60%",AB339="معلق 30%",AB339="مفتوح 0%",AB339="")),"✗ قائمة T",IF(NOT(OR(AC339="لا خصم 0",AC339="تأخير −5",AC339="عجز −10",AC339="جودة −15",AC339="امتثال −20",AC339="مخالفة −25",AC339="")),"✗ قائمة U",IF(AND(X339="لا",AC339&lt;&gt;"",AC339&lt;&gt;"لا خصم 0"),"✗ خصم",IF(AND(X339="نعم",AC339="لا خصم 0"),"✗ خصم",IF(AND(Z339="ممتاز 100%",AA339="ممتاز 100%",AB339&lt;&gt;"",AB339&lt;&gt;"مكتمل 100%"),"✗ إغلاق",IFERROR(IF(LEN(_xlfn.TEXTJOIN("، ",TRUE,IF(E339="","التاريخ",""),IF(F339="","الوقت",""),IF(G339="","المركز",""),IF(H339="","الدائرة",""),IF(I339="","القسم",""),IF(J339="","المسؤول",""),IF(K339="","نوع النشاط",""),IF(L339="","المشروع",""),IF(N339="","الممول",""),IF(V339="","الموضوع",""),IF(W339="","الملاحظة",""),IF(X339="","مشكلة",""),IF(Y339="","الإجراء",""),IF(Z339="","التنفيذ",""),IF(AA339="","الجودة",""),IF(AB339="","الإغلاق",""),IF(AC339="","الخصم",""),IF(AND(COUNTA($O339:$U339)&gt;0,O339=""),"مدير المشروع",""),IF(AND(COUNTA($O339:$U339)&gt;0,P339=""),"المستفيدين",""),IF(AND(COUNTA($O339:$U339)&gt;0,Q339=""),"المناطق",""),IF(AND(COUNTA($O339:$U339)&gt;0,R339=""),"الميزانية",""),IF(AND(COUNTA($O339:$U339)&gt;0,S339=""),"نسبة الجاهزية",""),IF(AND(COUNTA($O339:$U339)&gt;0,T339=""),"حالة الجاهزية",""),IF(AND(COUNTA($O339:$U339)&gt;0,U339=""),"التوصيات","")))&gt;0,"✗ ناقص: "&amp;_xlfn.TEXTJOIN("، ",TRUE,IF(E339="","التاريخ",""),IF(F339="","الوقت",""),IF(G339="","المركز",""),IF(H339="","الدائرة",""),IF(I339="","القسم",""),IF(J339="","المسؤول",""),IF(K339="","نوع النشاط",""),IF(L339="","المشروع",""),IF(N339="","الممول",""),IF(V339="","الموضوع",""),IF(W339="","الملاحظة",""),IF(X339="","مشكلة",""),IF(Y339="","الإجراء",""),IF(Z339="","التنفيذ",""),IF(AA339="","الجودة",""),IF(AB339="","الإغلاق",""),IF(AC339="","الخصم",""),IF(AND(COUNTA($O339:$U339)&gt;0,O339=""),"مدير المشروع",""),IF(AND(COUNTA($O339:$U339)&gt;0,P339=""),"المستفيدين",""),IF(AND(COUNTA($O339:$U339)&gt;0,Q339=""),"المناطق",""),IF(AND(COUNTA($O339:$U339)&gt;0,R339=""),"الميزانية",""),IF(AND(COUNTA($O339:$U339)&gt;0,S339=""),"نسبة الجاهزية",""),IF(AND(COUNTA($O339:$U339)&gt;0,T339=""),"حالة الجاهزية",""),IF(AND(COUNTA($O339:$U339)&gt;0,U339=""),"التوصيات","")),"✓"),"✓"))))))))))</f>
        <v/>
      </c>
      <c r="E339" s="235"/>
      <c r="F339" s="236"/>
      <c r="G339" s="90"/>
      <c r="H339" s="239"/>
      <c r="I339" s="89"/>
      <c r="J339" s="142"/>
      <c r="K339" s="90"/>
      <c r="L339" s="90"/>
      <c r="M339" s="90"/>
      <c r="N339" s="89"/>
      <c r="O339" s="200"/>
      <c r="P339" s="201"/>
      <c r="Q339" s="201"/>
      <c r="R339" s="237"/>
      <c r="S339" s="202"/>
      <c r="T339" s="200"/>
      <c r="U339" s="203"/>
      <c r="V339" s="89"/>
      <c r="W339" s="89"/>
      <c r="X339" s="145"/>
      <c r="Y339" s="89"/>
      <c r="Z339" s="90"/>
      <c r="AA339" s="90"/>
      <c r="AB339" s="90"/>
      <c r="AC339" s="90"/>
      <c r="AD339" s="92"/>
      <c r="AE339" s="149" t="str">
        <f>IFERROR(VLOOKUP(Z339,LISTS!$AL$2:$AM$1000,2,FALSE()),"")</f>
        <v/>
      </c>
      <c r="AF339" s="151" t="str">
        <f>IFERROR(VLOOKUP(AA339,LISTS!$AO$2:$AP$1000,2,FALSE()),"")</f>
        <v/>
      </c>
      <c r="AG339" s="152" t="str">
        <f>IFERROR(VLOOKUP(AB339,LISTS!$AR$2:$AS$1000,2,FALSE()),"")</f>
        <v/>
      </c>
      <c r="AH339" s="154" t="str">
        <f>IFERROR(VLOOKUP(AC339,LISTS!$AU$2:$AV$1000,2,FALSE()),"")</f>
        <v/>
      </c>
      <c r="AI339" s="238" t="str">
        <f t="shared" si="28"/>
        <v>—</v>
      </c>
      <c r="AJ339" s="190" t="str">
        <f t="shared" si="29"/>
        <v>—</v>
      </c>
      <c r="AK339" s="157" t="str">
        <f t="shared" si="25"/>
        <v/>
      </c>
      <c r="AL339" s="160" t="str">
        <f t="shared" si="26"/>
        <v/>
      </c>
      <c r="AM339" s="210"/>
      <c r="AN339" s="209"/>
    </row>
    <row r="340" spans="1:40" ht="27.95" customHeight="1">
      <c r="A340" s="134" t="str">
        <f>IF(I340&lt;&gt;"",COUNTA($I$2:I340),"")</f>
        <v/>
      </c>
      <c r="B340" s="138" t="str">
        <f t="shared" si="27"/>
        <v/>
      </c>
      <c r="C340" s="93" t="str">
        <f t="array" ref="C340">IF(E340="","",IF(M340&lt;&gt;"",
M340&amp;"/"&amp;SUMPRODUCT((M$2:M340=M340)*1)&amp;" - "&amp;(ROW()-2),
"إداري/"&amp;SUMPRODUCT((M$2:M340="")*1)&amp;" - "&amp;(ROW()-2)))</f>
        <v/>
      </c>
      <c r="D340" s="141" t="str">
        <f>IF(AND(G340="",H340="",I340=""),"",IF(COUNTIFS(LISTS!$A$2:$A$67,G340,LISTS!$B$2:$B$67,H340,LISTS!$C$2:$C$67,I340)=0,"✗ هرم",IF(NOT(OR(Z340="ممتاز 100%",Z340="جيد 80%",Z340="مقبول 60%",Z340="خطر 40%",Z340="")),"✗ قائمة R",IF(NOT(OR(AA340="ممتاز 100%",AA340="جيد 85%",AA340="مقبول 70%",AA340="ضعيف 50%",AA340="")),"✗ قائمة S",IF(NOT(OR(AB340="مكتمل 100%",AB340="جزئي 60%",AB340="معلق 30%",AB340="مفتوح 0%",AB340="")),"✗ قائمة T",IF(NOT(OR(AC340="لا خصم 0",AC340="تأخير −5",AC340="عجز −10",AC340="جودة −15",AC340="امتثال −20",AC340="مخالفة −25",AC340="")),"✗ قائمة U",IF(AND(X340="لا",AC340&lt;&gt;"",AC340&lt;&gt;"لا خصم 0"),"✗ خصم",IF(AND(X340="نعم",AC340="لا خصم 0"),"✗ خصم",IF(AND(Z340="ممتاز 100%",AA340="ممتاز 100%",AB340&lt;&gt;"",AB340&lt;&gt;"مكتمل 100%"),"✗ إغلاق",IFERROR(IF(LEN(_xlfn.TEXTJOIN("، ",TRUE,IF(E340="","التاريخ",""),IF(F340="","الوقت",""),IF(G340="","المركز",""),IF(H340="","الدائرة",""),IF(I340="","القسم",""),IF(J340="","المسؤول",""),IF(K340="","نوع النشاط",""),IF(L340="","المشروع",""),IF(N340="","الممول",""),IF(V340="","الموضوع",""),IF(W340="","الملاحظة",""),IF(X340="","مشكلة",""),IF(Y340="","الإجراء",""),IF(Z340="","التنفيذ",""),IF(AA340="","الجودة",""),IF(AB340="","الإغلاق",""),IF(AC340="","الخصم",""),IF(AND(COUNTA($O340:$U340)&gt;0,O340=""),"مدير المشروع",""),IF(AND(COUNTA($O340:$U340)&gt;0,P340=""),"المستفيدين",""),IF(AND(COUNTA($O340:$U340)&gt;0,Q340=""),"المناطق",""),IF(AND(COUNTA($O340:$U340)&gt;0,R340=""),"الميزانية",""),IF(AND(COUNTA($O340:$U340)&gt;0,S340=""),"نسبة الجاهزية",""),IF(AND(COUNTA($O340:$U340)&gt;0,T340=""),"حالة الجاهزية",""),IF(AND(COUNTA($O340:$U340)&gt;0,U340=""),"التوصيات","")))&gt;0,"✗ ناقص: "&amp;_xlfn.TEXTJOIN("، ",TRUE,IF(E340="","التاريخ",""),IF(F340="","الوقت",""),IF(G340="","المركز",""),IF(H340="","الدائرة",""),IF(I340="","القسم",""),IF(J340="","المسؤول",""),IF(K340="","نوع النشاط",""),IF(L340="","المشروع",""),IF(N340="","الممول",""),IF(V340="","الموضوع",""),IF(W340="","الملاحظة",""),IF(X340="","مشكلة",""),IF(Y340="","الإجراء",""),IF(Z340="","التنفيذ",""),IF(AA340="","الجودة",""),IF(AB340="","الإغلاق",""),IF(AC340="","الخصم",""),IF(AND(COUNTA($O340:$U340)&gt;0,O340=""),"مدير المشروع",""),IF(AND(COUNTA($O340:$U340)&gt;0,P340=""),"المستفيدين",""),IF(AND(COUNTA($O340:$U340)&gt;0,Q340=""),"المناطق",""),IF(AND(COUNTA($O340:$U340)&gt;0,R340=""),"الميزانية",""),IF(AND(COUNTA($O340:$U340)&gt;0,S340=""),"نسبة الجاهزية",""),IF(AND(COUNTA($O340:$U340)&gt;0,T340=""),"حالة الجاهزية",""),IF(AND(COUNTA($O340:$U340)&gt;0,U340=""),"التوصيات","")),"✓"),"✓"))))))))))</f>
        <v/>
      </c>
      <c r="E340" s="235"/>
      <c r="F340" s="236"/>
      <c r="G340" s="90"/>
      <c r="H340" s="239"/>
      <c r="I340" s="89"/>
      <c r="J340" s="142"/>
      <c r="K340" s="90"/>
      <c r="L340" s="90"/>
      <c r="M340" s="90"/>
      <c r="N340" s="89"/>
      <c r="O340" s="200"/>
      <c r="P340" s="201"/>
      <c r="Q340" s="201"/>
      <c r="R340" s="237"/>
      <c r="S340" s="202"/>
      <c r="T340" s="200"/>
      <c r="U340" s="203"/>
      <c r="V340" s="89"/>
      <c r="W340" s="89"/>
      <c r="X340" s="145"/>
      <c r="Y340" s="89"/>
      <c r="Z340" s="90"/>
      <c r="AA340" s="90"/>
      <c r="AB340" s="90"/>
      <c r="AC340" s="90"/>
      <c r="AD340" s="92"/>
      <c r="AE340" s="149" t="str">
        <f>IFERROR(VLOOKUP(Z340,LISTS!$AL$2:$AM$1000,2,FALSE()),"")</f>
        <v/>
      </c>
      <c r="AF340" s="151" t="str">
        <f>IFERROR(VLOOKUP(AA340,LISTS!$AO$2:$AP$1000,2,FALSE()),"")</f>
        <v/>
      </c>
      <c r="AG340" s="152" t="str">
        <f>IFERROR(VLOOKUP(AB340,LISTS!$AR$2:$AS$1000,2,FALSE()),"")</f>
        <v/>
      </c>
      <c r="AH340" s="154" t="str">
        <f>IFERROR(VLOOKUP(AC340,LISTS!$AU$2:$AV$1000,2,FALSE()),"")</f>
        <v/>
      </c>
      <c r="AI340" s="238" t="str">
        <f t="shared" si="28"/>
        <v>—</v>
      </c>
      <c r="AJ340" s="190" t="str">
        <f t="shared" si="29"/>
        <v>—</v>
      </c>
      <c r="AK340" s="157" t="str">
        <f t="shared" si="25"/>
        <v/>
      </c>
      <c r="AL340" s="160" t="str">
        <f t="shared" si="26"/>
        <v/>
      </c>
      <c r="AM340" s="210"/>
      <c r="AN340" s="209"/>
    </row>
    <row r="341" spans="1:40" ht="27.95" customHeight="1">
      <c r="A341" s="134" t="str">
        <f>IF(I341&lt;&gt;"",COUNTA($I$2:I341),"")</f>
        <v/>
      </c>
      <c r="B341" s="138" t="str">
        <f t="shared" si="27"/>
        <v/>
      </c>
      <c r="C341" s="93" t="str">
        <f t="array" ref="C341">IF(E341="","",IF(M341&lt;&gt;"",
M341&amp;"/"&amp;SUMPRODUCT((M$2:M341=M341)*1)&amp;" - "&amp;(ROW()-2),
"إداري/"&amp;SUMPRODUCT((M$2:M341="")*1)&amp;" - "&amp;(ROW()-2)))</f>
        <v/>
      </c>
      <c r="D341" s="141" t="str">
        <f>IF(AND(G341="",H341="",I341=""),"",IF(COUNTIFS(LISTS!$A$2:$A$67,G341,LISTS!$B$2:$B$67,H341,LISTS!$C$2:$C$67,I341)=0,"✗ هرم",IF(NOT(OR(Z341="ممتاز 100%",Z341="جيد 80%",Z341="مقبول 60%",Z341="خطر 40%",Z341="")),"✗ قائمة R",IF(NOT(OR(AA341="ممتاز 100%",AA341="جيد 85%",AA341="مقبول 70%",AA341="ضعيف 50%",AA341="")),"✗ قائمة S",IF(NOT(OR(AB341="مكتمل 100%",AB341="جزئي 60%",AB341="معلق 30%",AB341="مفتوح 0%",AB341="")),"✗ قائمة T",IF(NOT(OR(AC341="لا خصم 0",AC341="تأخير −5",AC341="عجز −10",AC341="جودة −15",AC341="امتثال −20",AC341="مخالفة −25",AC341="")),"✗ قائمة U",IF(AND(X341="لا",AC341&lt;&gt;"",AC341&lt;&gt;"لا خصم 0"),"✗ خصم",IF(AND(X341="نعم",AC341="لا خصم 0"),"✗ خصم",IF(AND(Z341="ممتاز 100%",AA341="ممتاز 100%",AB341&lt;&gt;"",AB341&lt;&gt;"مكتمل 100%"),"✗ إغلاق",IFERROR(IF(LEN(_xlfn.TEXTJOIN("، ",TRUE,IF(E341="","التاريخ",""),IF(F341="","الوقت",""),IF(G341="","المركز",""),IF(H341="","الدائرة",""),IF(I341="","القسم",""),IF(J341="","المسؤول",""),IF(K341="","نوع النشاط",""),IF(L341="","المشروع",""),IF(N341="","الممول",""),IF(V341="","الموضوع",""),IF(W341="","الملاحظة",""),IF(X341="","مشكلة",""),IF(Y341="","الإجراء",""),IF(Z341="","التنفيذ",""),IF(AA341="","الجودة",""),IF(AB341="","الإغلاق",""),IF(AC341="","الخصم",""),IF(AND(COUNTA($O341:$U341)&gt;0,O341=""),"مدير المشروع",""),IF(AND(COUNTA($O341:$U341)&gt;0,P341=""),"المستفيدين",""),IF(AND(COUNTA($O341:$U341)&gt;0,Q341=""),"المناطق",""),IF(AND(COUNTA($O341:$U341)&gt;0,R341=""),"الميزانية",""),IF(AND(COUNTA($O341:$U341)&gt;0,S341=""),"نسبة الجاهزية",""),IF(AND(COUNTA($O341:$U341)&gt;0,T341=""),"حالة الجاهزية",""),IF(AND(COUNTA($O341:$U341)&gt;0,U341=""),"التوصيات","")))&gt;0,"✗ ناقص: "&amp;_xlfn.TEXTJOIN("، ",TRUE,IF(E341="","التاريخ",""),IF(F341="","الوقت",""),IF(G341="","المركز",""),IF(H341="","الدائرة",""),IF(I341="","القسم",""),IF(J341="","المسؤول",""),IF(K341="","نوع النشاط",""),IF(L341="","المشروع",""),IF(N341="","الممول",""),IF(V341="","الموضوع",""),IF(W341="","الملاحظة",""),IF(X341="","مشكلة",""),IF(Y341="","الإجراء",""),IF(Z341="","التنفيذ",""),IF(AA341="","الجودة",""),IF(AB341="","الإغلاق",""),IF(AC341="","الخصم",""),IF(AND(COUNTA($O341:$U341)&gt;0,O341=""),"مدير المشروع",""),IF(AND(COUNTA($O341:$U341)&gt;0,P341=""),"المستفيدين",""),IF(AND(COUNTA($O341:$U341)&gt;0,Q341=""),"المناطق",""),IF(AND(COUNTA($O341:$U341)&gt;0,R341=""),"الميزانية",""),IF(AND(COUNTA($O341:$U341)&gt;0,S341=""),"نسبة الجاهزية",""),IF(AND(COUNTA($O341:$U341)&gt;0,T341=""),"حالة الجاهزية",""),IF(AND(COUNTA($O341:$U341)&gt;0,U341=""),"التوصيات","")),"✓"),"✓"))))))))))</f>
        <v/>
      </c>
      <c r="E341" s="235"/>
      <c r="F341" s="236"/>
      <c r="G341" s="90"/>
      <c r="H341" s="239"/>
      <c r="I341" s="89"/>
      <c r="J341" s="142"/>
      <c r="K341" s="90"/>
      <c r="L341" s="90"/>
      <c r="M341" s="90"/>
      <c r="N341" s="89"/>
      <c r="O341" s="200"/>
      <c r="P341" s="201"/>
      <c r="Q341" s="201"/>
      <c r="R341" s="237"/>
      <c r="S341" s="202"/>
      <c r="T341" s="200"/>
      <c r="U341" s="203"/>
      <c r="V341" s="89"/>
      <c r="W341" s="89"/>
      <c r="X341" s="145"/>
      <c r="Y341" s="89"/>
      <c r="Z341" s="90"/>
      <c r="AA341" s="90"/>
      <c r="AB341" s="90"/>
      <c r="AC341" s="90"/>
      <c r="AD341" s="92"/>
      <c r="AE341" s="149" t="str">
        <f>IFERROR(VLOOKUP(Z341,LISTS!$AL$2:$AM$1000,2,FALSE()),"")</f>
        <v/>
      </c>
      <c r="AF341" s="151" t="str">
        <f>IFERROR(VLOOKUP(AA341,LISTS!$AO$2:$AP$1000,2,FALSE()),"")</f>
        <v/>
      </c>
      <c r="AG341" s="152" t="str">
        <f>IFERROR(VLOOKUP(AB341,LISTS!$AR$2:$AS$1000,2,FALSE()),"")</f>
        <v/>
      </c>
      <c r="AH341" s="154" t="str">
        <f>IFERROR(VLOOKUP(AC341,LISTS!$AU$2:$AV$1000,2,FALSE()),"")</f>
        <v/>
      </c>
      <c r="AI341" s="238" t="str">
        <f t="shared" si="28"/>
        <v>—</v>
      </c>
      <c r="AJ341" s="190" t="str">
        <f t="shared" si="29"/>
        <v>—</v>
      </c>
      <c r="AK341" s="157" t="str">
        <f t="shared" si="25"/>
        <v/>
      </c>
      <c r="AL341" s="160" t="str">
        <f t="shared" si="26"/>
        <v/>
      </c>
      <c r="AM341" s="210"/>
      <c r="AN341" s="209"/>
    </row>
    <row r="342" spans="1:40" ht="27.95" customHeight="1">
      <c r="A342" s="134" t="str">
        <f>IF(I342&lt;&gt;"",COUNTA($I$2:I342),"")</f>
        <v/>
      </c>
      <c r="B342" s="138" t="str">
        <f t="shared" si="27"/>
        <v/>
      </c>
      <c r="C342" s="93" t="str">
        <f t="array" ref="C342">IF(E342="","",IF(M342&lt;&gt;"",
M342&amp;"/"&amp;SUMPRODUCT((M$2:M342=M342)*1)&amp;" - "&amp;(ROW()-2),
"إداري/"&amp;SUMPRODUCT((M$2:M342="")*1)&amp;" - "&amp;(ROW()-2)))</f>
        <v/>
      </c>
      <c r="D342" s="141" t="str">
        <f>IF(AND(G342="",H342="",I342=""),"",IF(COUNTIFS(LISTS!$A$2:$A$67,G342,LISTS!$B$2:$B$67,H342,LISTS!$C$2:$C$67,I342)=0,"✗ هرم",IF(NOT(OR(Z342="ممتاز 100%",Z342="جيد 80%",Z342="مقبول 60%",Z342="خطر 40%",Z342="")),"✗ قائمة R",IF(NOT(OR(AA342="ممتاز 100%",AA342="جيد 85%",AA342="مقبول 70%",AA342="ضعيف 50%",AA342="")),"✗ قائمة S",IF(NOT(OR(AB342="مكتمل 100%",AB342="جزئي 60%",AB342="معلق 30%",AB342="مفتوح 0%",AB342="")),"✗ قائمة T",IF(NOT(OR(AC342="لا خصم 0",AC342="تأخير −5",AC342="عجز −10",AC342="جودة −15",AC342="امتثال −20",AC342="مخالفة −25",AC342="")),"✗ قائمة U",IF(AND(X342="لا",AC342&lt;&gt;"",AC342&lt;&gt;"لا خصم 0"),"✗ خصم",IF(AND(X342="نعم",AC342="لا خصم 0"),"✗ خصم",IF(AND(Z342="ممتاز 100%",AA342="ممتاز 100%",AB342&lt;&gt;"",AB342&lt;&gt;"مكتمل 100%"),"✗ إغلاق",IFERROR(IF(LEN(_xlfn.TEXTJOIN("، ",TRUE,IF(E342="","التاريخ",""),IF(F342="","الوقت",""),IF(G342="","المركز",""),IF(H342="","الدائرة",""),IF(I342="","القسم",""),IF(J342="","المسؤول",""),IF(K342="","نوع النشاط",""),IF(L342="","المشروع",""),IF(N342="","الممول",""),IF(V342="","الموضوع",""),IF(W342="","الملاحظة",""),IF(X342="","مشكلة",""),IF(Y342="","الإجراء",""),IF(Z342="","التنفيذ",""),IF(AA342="","الجودة",""),IF(AB342="","الإغلاق",""),IF(AC342="","الخصم",""),IF(AND(COUNTA($O342:$U342)&gt;0,O342=""),"مدير المشروع",""),IF(AND(COUNTA($O342:$U342)&gt;0,P342=""),"المستفيدين",""),IF(AND(COUNTA($O342:$U342)&gt;0,Q342=""),"المناطق",""),IF(AND(COUNTA($O342:$U342)&gt;0,R342=""),"الميزانية",""),IF(AND(COUNTA($O342:$U342)&gt;0,S342=""),"نسبة الجاهزية",""),IF(AND(COUNTA($O342:$U342)&gt;0,T342=""),"حالة الجاهزية",""),IF(AND(COUNTA($O342:$U342)&gt;0,U342=""),"التوصيات","")))&gt;0,"✗ ناقص: "&amp;_xlfn.TEXTJOIN("، ",TRUE,IF(E342="","التاريخ",""),IF(F342="","الوقت",""),IF(G342="","المركز",""),IF(H342="","الدائرة",""),IF(I342="","القسم",""),IF(J342="","المسؤول",""),IF(K342="","نوع النشاط",""),IF(L342="","المشروع",""),IF(N342="","الممول",""),IF(V342="","الموضوع",""),IF(W342="","الملاحظة",""),IF(X342="","مشكلة",""),IF(Y342="","الإجراء",""),IF(Z342="","التنفيذ",""),IF(AA342="","الجودة",""),IF(AB342="","الإغلاق",""),IF(AC342="","الخصم",""),IF(AND(COUNTA($O342:$U342)&gt;0,O342=""),"مدير المشروع",""),IF(AND(COUNTA($O342:$U342)&gt;0,P342=""),"المستفيدين",""),IF(AND(COUNTA($O342:$U342)&gt;0,Q342=""),"المناطق",""),IF(AND(COUNTA($O342:$U342)&gt;0,R342=""),"الميزانية",""),IF(AND(COUNTA($O342:$U342)&gt;0,S342=""),"نسبة الجاهزية",""),IF(AND(COUNTA($O342:$U342)&gt;0,T342=""),"حالة الجاهزية",""),IF(AND(COUNTA($O342:$U342)&gt;0,U342=""),"التوصيات","")),"✓"),"✓"))))))))))</f>
        <v/>
      </c>
      <c r="E342" s="235"/>
      <c r="F342" s="236"/>
      <c r="G342" s="90"/>
      <c r="H342" s="239"/>
      <c r="I342" s="89"/>
      <c r="J342" s="142"/>
      <c r="K342" s="90"/>
      <c r="L342" s="90"/>
      <c r="M342" s="90"/>
      <c r="N342" s="89"/>
      <c r="O342" s="200"/>
      <c r="P342" s="201"/>
      <c r="Q342" s="201"/>
      <c r="R342" s="237"/>
      <c r="S342" s="202"/>
      <c r="T342" s="200"/>
      <c r="U342" s="203"/>
      <c r="V342" s="89"/>
      <c r="W342" s="89"/>
      <c r="X342" s="145"/>
      <c r="Y342" s="89"/>
      <c r="Z342" s="90"/>
      <c r="AA342" s="90"/>
      <c r="AB342" s="90"/>
      <c r="AC342" s="90"/>
      <c r="AD342" s="92"/>
      <c r="AE342" s="149" t="str">
        <f>IFERROR(VLOOKUP(Z342,LISTS!$AL$2:$AM$1000,2,FALSE()),"")</f>
        <v/>
      </c>
      <c r="AF342" s="151" t="str">
        <f>IFERROR(VLOOKUP(AA342,LISTS!$AO$2:$AP$1000,2,FALSE()),"")</f>
        <v/>
      </c>
      <c r="AG342" s="152" t="str">
        <f>IFERROR(VLOOKUP(AB342,LISTS!$AR$2:$AS$1000,2,FALSE()),"")</f>
        <v/>
      </c>
      <c r="AH342" s="154" t="str">
        <f>IFERROR(VLOOKUP(AC342,LISTS!$AU$2:$AV$1000,2,FALSE()),"")</f>
        <v/>
      </c>
      <c r="AI342" s="238" t="str">
        <f t="shared" si="28"/>
        <v>—</v>
      </c>
      <c r="AJ342" s="190" t="str">
        <f t="shared" si="29"/>
        <v>—</v>
      </c>
      <c r="AK342" s="157" t="str">
        <f t="shared" si="25"/>
        <v/>
      </c>
      <c r="AL342" s="160" t="str">
        <f t="shared" si="26"/>
        <v/>
      </c>
      <c r="AM342" s="210"/>
      <c r="AN342" s="209"/>
    </row>
    <row r="343" spans="1:40" ht="27.95" customHeight="1">
      <c r="A343" s="134" t="str">
        <f>IF(I343&lt;&gt;"",COUNTA($I$2:I343),"")</f>
        <v/>
      </c>
      <c r="B343" s="138" t="str">
        <f t="shared" si="27"/>
        <v/>
      </c>
      <c r="C343" s="93" t="str">
        <f t="array" ref="C343">IF(E343="","",IF(M343&lt;&gt;"",
M343&amp;"/"&amp;SUMPRODUCT((M$2:M343=M343)*1)&amp;" - "&amp;(ROW()-2),
"إداري/"&amp;SUMPRODUCT((M$2:M343="")*1)&amp;" - "&amp;(ROW()-2)))</f>
        <v/>
      </c>
      <c r="D343" s="141" t="str">
        <f>IF(AND(G343="",H343="",I343=""),"",IF(COUNTIFS(LISTS!$A$2:$A$67,G343,LISTS!$B$2:$B$67,H343,LISTS!$C$2:$C$67,I343)=0,"✗ هرم",IF(NOT(OR(Z343="ممتاز 100%",Z343="جيد 80%",Z343="مقبول 60%",Z343="خطر 40%",Z343="")),"✗ قائمة R",IF(NOT(OR(AA343="ممتاز 100%",AA343="جيد 85%",AA343="مقبول 70%",AA343="ضعيف 50%",AA343="")),"✗ قائمة S",IF(NOT(OR(AB343="مكتمل 100%",AB343="جزئي 60%",AB343="معلق 30%",AB343="مفتوح 0%",AB343="")),"✗ قائمة T",IF(NOT(OR(AC343="لا خصم 0",AC343="تأخير −5",AC343="عجز −10",AC343="جودة −15",AC343="امتثال −20",AC343="مخالفة −25",AC343="")),"✗ قائمة U",IF(AND(X343="لا",AC343&lt;&gt;"",AC343&lt;&gt;"لا خصم 0"),"✗ خصم",IF(AND(X343="نعم",AC343="لا خصم 0"),"✗ خصم",IF(AND(Z343="ممتاز 100%",AA343="ممتاز 100%",AB343&lt;&gt;"",AB343&lt;&gt;"مكتمل 100%"),"✗ إغلاق",IFERROR(IF(LEN(_xlfn.TEXTJOIN("، ",TRUE,IF(E343="","التاريخ",""),IF(F343="","الوقت",""),IF(G343="","المركز",""),IF(H343="","الدائرة",""),IF(I343="","القسم",""),IF(J343="","المسؤول",""),IF(K343="","نوع النشاط",""),IF(L343="","المشروع",""),IF(N343="","الممول",""),IF(V343="","الموضوع",""),IF(W343="","الملاحظة",""),IF(X343="","مشكلة",""),IF(Y343="","الإجراء",""),IF(Z343="","التنفيذ",""),IF(AA343="","الجودة",""),IF(AB343="","الإغلاق",""),IF(AC343="","الخصم",""),IF(AND(COUNTA($O343:$U343)&gt;0,O343=""),"مدير المشروع",""),IF(AND(COUNTA($O343:$U343)&gt;0,P343=""),"المستفيدين",""),IF(AND(COUNTA($O343:$U343)&gt;0,Q343=""),"المناطق",""),IF(AND(COUNTA($O343:$U343)&gt;0,R343=""),"الميزانية",""),IF(AND(COUNTA($O343:$U343)&gt;0,S343=""),"نسبة الجاهزية",""),IF(AND(COUNTA($O343:$U343)&gt;0,T343=""),"حالة الجاهزية",""),IF(AND(COUNTA($O343:$U343)&gt;0,U343=""),"التوصيات","")))&gt;0,"✗ ناقص: "&amp;_xlfn.TEXTJOIN("، ",TRUE,IF(E343="","التاريخ",""),IF(F343="","الوقت",""),IF(G343="","المركز",""),IF(H343="","الدائرة",""),IF(I343="","القسم",""),IF(J343="","المسؤول",""),IF(K343="","نوع النشاط",""),IF(L343="","المشروع",""),IF(N343="","الممول",""),IF(V343="","الموضوع",""),IF(W343="","الملاحظة",""),IF(X343="","مشكلة",""),IF(Y343="","الإجراء",""),IF(Z343="","التنفيذ",""),IF(AA343="","الجودة",""),IF(AB343="","الإغلاق",""),IF(AC343="","الخصم",""),IF(AND(COUNTA($O343:$U343)&gt;0,O343=""),"مدير المشروع",""),IF(AND(COUNTA($O343:$U343)&gt;0,P343=""),"المستفيدين",""),IF(AND(COUNTA($O343:$U343)&gt;0,Q343=""),"المناطق",""),IF(AND(COUNTA($O343:$U343)&gt;0,R343=""),"الميزانية",""),IF(AND(COUNTA($O343:$U343)&gt;0,S343=""),"نسبة الجاهزية",""),IF(AND(COUNTA($O343:$U343)&gt;0,T343=""),"حالة الجاهزية",""),IF(AND(COUNTA($O343:$U343)&gt;0,U343=""),"التوصيات","")),"✓"),"✓"))))))))))</f>
        <v/>
      </c>
      <c r="E343" s="235"/>
      <c r="F343" s="236"/>
      <c r="G343" s="90"/>
      <c r="H343" s="239"/>
      <c r="I343" s="89"/>
      <c r="J343" s="142"/>
      <c r="K343" s="90"/>
      <c r="L343" s="90"/>
      <c r="M343" s="90"/>
      <c r="N343" s="89"/>
      <c r="O343" s="200"/>
      <c r="P343" s="201"/>
      <c r="Q343" s="201"/>
      <c r="R343" s="237"/>
      <c r="S343" s="202"/>
      <c r="T343" s="200"/>
      <c r="U343" s="203"/>
      <c r="V343" s="89"/>
      <c r="W343" s="89"/>
      <c r="X343" s="145"/>
      <c r="Y343" s="89"/>
      <c r="Z343" s="90"/>
      <c r="AA343" s="90"/>
      <c r="AB343" s="90"/>
      <c r="AC343" s="90"/>
      <c r="AD343" s="92"/>
      <c r="AE343" s="149" t="str">
        <f>IFERROR(VLOOKUP(Z343,LISTS!$AL$2:$AM$1000,2,FALSE()),"")</f>
        <v/>
      </c>
      <c r="AF343" s="151" t="str">
        <f>IFERROR(VLOOKUP(AA343,LISTS!$AO$2:$AP$1000,2,FALSE()),"")</f>
        <v/>
      </c>
      <c r="AG343" s="152" t="str">
        <f>IFERROR(VLOOKUP(AB343,LISTS!$AR$2:$AS$1000,2,FALSE()),"")</f>
        <v/>
      </c>
      <c r="AH343" s="154" t="str">
        <f>IFERROR(VLOOKUP(AC343,LISTS!$AU$2:$AV$1000,2,FALSE()),"")</f>
        <v/>
      </c>
      <c r="AI343" s="238" t="str">
        <f t="shared" si="28"/>
        <v>—</v>
      </c>
      <c r="AJ343" s="190" t="str">
        <f t="shared" si="29"/>
        <v>—</v>
      </c>
      <c r="AK343" s="157" t="str">
        <f t="shared" si="25"/>
        <v/>
      </c>
      <c r="AL343" s="160" t="str">
        <f t="shared" si="26"/>
        <v/>
      </c>
      <c r="AM343" s="210"/>
      <c r="AN343" s="209"/>
    </row>
    <row r="344" spans="1:40" ht="27.95" customHeight="1">
      <c r="A344" s="134" t="str">
        <f>IF(I344&lt;&gt;"",COUNTA($I$2:I344),"")</f>
        <v/>
      </c>
      <c r="B344" s="138" t="str">
        <f t="shared" si="27"/>
        <v/>
      </c>
      <c r="C344" s="93" t="str">
        <f t="array" ref="C344">IF(E344="","",IF(M344&lt;&gt;"",
M344&amp;"/"&amp;SUMPRODUCT((M$2:M344=M344)*1)&amp;" - "&amp;(ROW()-2),
"إداري/"&amp;SUMPRODUCT((M$2:M344="")*1)&amp;" - "&amp;(ROW()-2)))</f>
        <v/>
      </c>
      <c r="D344" s="141" t="str">
        <f>IF(AND(G344="",H344="",I344=""),"",IF(COUNTIFS(LISTS!$A$2:$A$67,G344,LISTS!$B$2:$B$67,H344,LISTS!$C$2:$C$67,I344)=0,"✗ هرم",IF(NOT(OR(Z344="ممتاز 100%",Z344="جيد 80%",Z344="مقبول 60%",Z344="خطر 40%",Z344="")),"✗ قائمة R",IF(NOT(OR(AA344="ممتاز 100%",AA344="جيد 85%",AA344="مقبول 70%",AA344="ضعيف 50%",AA344="")),"✗ قائمة S",IF(NOT(OR(AB344="مكتمل 100%",AB344="جزئي 60%",AB344="معلق 30%",AB344="مفتوح 0%",AB344="")),"✗ قائمة T",IF(NOT(OR(AC344="لا خصم 0",AC344="تأخير −5",AC344="عجز −10",AC344="جودة −15",AC344="امتثال −20",AC344="مخالفة −25",AC344="")),"✗ قائمة U",IF(AND(X344="لا",AC344&lt;&gt;"",AC344&lt;&gt;"لا خصم 0"),"✗ خصم",IF(AND(X344="نعم",AC344="لا خصم 0"),"✗ خصم",IF(AND(Z344="ممتاز 100%",AA344="ممتاز 100%",AB344&lt;&gt;"",AB344&lt;&gt;"مكتمل 100%"),"✗ إغلاق",IFERROR(IF(LEN(_xlfn.TEXTJOIN("، ",TRUE,IF(E344="","التاريخ",""),IF(F344="","الوقت",""),IF(G344="","المركز",""),IF(H344="","الدائرة",""),IF(I344="","القسم",""),IF(J344="","المسؤول",""),IF(K344="","نوع النشاط",""),IF(L344="","المشروع",""),IF(N344="","الممول",""),IF(V344="","الموضوع",""),IF(W344="","الملاحظة",""),IF(X344="","مشكلة",""),IF(Y344="","الإجراء",""),IF(Z344="","التنفيذ",""),IF(AA344="","الجودة",""),IF(AB344="","الإغلاق",""),IF(AC344="","الخصم",""),IF(AND(COUNTA($O344:$U344)&gt;0,O344=""),"مدير المشروع",""),IF(AND(COUNTA($O344:$U344)&gt;0,P344=""),"المستفيدين",""),IF(AND(COUNTA($O344:$U344)&gt;0,Q344=""),"المناطق",""),IF(AND(COUNTA($O344:$U344)&gt;0,R344=""),"الميزانية",""),IF(AND(COUNTA($O344:$U344)&gt;0,S344=""),"نسبة الجاهزية",""),IF(AND(COUNTA($O344:$U344)&gt;0,T344=""),"حالة الجاهزية",""),IF(AND(COUNTA($O344:$U344)&gt;0,U344=""),"التوصيات","")))&gt;0,"✗ ناقص: "&amp;_xlfn.TEXTJOIN("، ",TRUE,IF(E344="","التاريخ",""),IF(F344="","الوقت",""),IF(G344="","المركز",""),IF(H344="","الدائرة",""),IF(I344="","القسم",""),IF(J344="","المسؤول",""),IF(K344="","نوع النشاط",""),IF(L344="","المشروع",""),IF(N344="","الممول",""),IF(V344="","الموضوع",""),IF(W344="","الملاحظة",""),IF(X344="","مشكلة",""),IF(Y344="","الإجراء",""),IF(Z344="","التنفيذ",""),IF(AA344="","الجودة",""),IF(AB344="","الإغلاق",""),IF(AC344="","الخصم",""),IF(AND(COUNTA($O344:$U344)&gt;0,O344=""),"مدير المشروع",""),IF(AND(COUNTA($O344:$U344)&gt;0,P344=""),"المستفيدين",""),IF(AND(COUNTA($O344:$U344)&gt;0,Q344=""),"المناطق",""),IF(AND(COUNTA($O344:$U344)&gt;0,R344=""),"الميزانية",""),IF(AND(COUNTA($O344:$U344)&gt;0,S344=""),"نسبة الجاهزية",""),IF(AND(COUNTA($O344:$U344)&gt;0,T344=""),"حالة الجاهزية",""),IF(AND(COUNTA($O344:$U344)&gt;0,U344=""),"التوصيات","")),"✓"),"✓"))))))))))</f>
        <v/>
      </c>
      <c r="E344" s="235"/>
      <c r="F344" s="236"/>
      <c r="G344" s="90"/>
      <c r="H344" s="239"/>
      <c r="I344" s="89"/>
      <c r="J344" s="142"/>
      <c r="K344" s="90"/>
      <c r="L344" s="90"/>
      <c r="M344" s="90"/>
      <c r="N344" s="89"/>
      <c r="O344" s="200"/>
      <c r="P344" s="201"/>
      <c r="Q344" s="201"/>
      <c r="R344" s="237"/>
      <c r="S344" s="202"/>
      <c r="T344" s="200"/>
      <c r="U344" s="203"/>
      <c r="V344" s="89"/>
      <c r="W344" s="89"/>
      <c r="X344" s="145"/>
      <c r="Y344" s="89"/>
      <c r="Z344" s="90"/>
      <c r="AA344" s="90"/>
      <c r="AB344" s="90"/>
      <c r="AC344" s="90"/>
      <c r="AD344" s="92"/>
      <c r="AE344" s="149" t="str">
        <f>IFERROR(VLOOKUP(Z344,LISTS!$AL$2:$AM$1000,2,FALSE()),"")</f>
        <v/>
      </c>
      <c r="AF344" s="151" t="str">
        <f>IFERROR(VLOOKUP(AA344,LISTS!$AO$2:$AP$1000,2,FALSE()),"")</f>
        <v/>
      </c>
      <c r="AG344" s="152" t="str">
        <f>IFERROR(VLOOKUP(AB344,LISTS!$AR$2:$AS$1000,2,FALSE()),"")</f>
        <v/>
      </c>
      <c r="AH344" s="154" t="str">
        <f>IFERROR(VLOOKUP(AC344,LISTS!$AU$2:$AV$1000,2,FALSE()),"")</f>
        <v/>
      </c>
      <c r="AI344" s="238" t="str">
        <f t="shared" si="28"/>
        <v>—</v>
      </c>
      <c r="AJ344" s="190" t="str">
        <f t="shared" si="29"/>
        <v>—</v>
      </c>
      <c r="AK344" s="157" t="str">
        <f t="shared" si="25"/>
        <v/>
      </c>
      <c r="AL344" s="160" t="str">
        <f t="shared" si="26"/>
        <v/>
      </c>
      <c r="AM344" s="210"/>
      <c r="AN344" s="209"/>
    </row>
    <row r="345" spans="1:40" ht="27.95" customHeight="1">
      <c r="A345" s="134" t="str">
        <f>IF(I345&lt;&gt;"",COUNTA($I$2:I345),"")</f>
        <v/>
      </c>
      <c r="B345" s="138" t="str">
        <f t="shared" si="27"/>
        <v/>
      </c>
      <c r="C345" s="93" t="str">
        <f t="array" ref="C345">IF(E345="","",IF(M345&lt;&gt;"",
M345&amp;"/"&amp;SUMPRODUCT((M$2:M345=M345)*1)&amp;" - "&amp;(ROW()-2),
"إداري/"&amp;SUMPRODUCT((M$2:M345="")*1)&amp;" - "&amp;(ROW()-2)))</f>
        <v/>
      </c>
      <c r="D345" s="141" t="str">
        <f>IF(AND(G345="",H345="",I345=""),"",IF(COUNTIFS(LISTS!$A$2:$A$67,G345,LISTS!$B$2:$B$67,H345,LISTS!$C$2:$C$67,I345)=0,"✗ هرم",IF(NOT(OR(Z345="ممتاز 100%",Z345="جيد 80%",Z345="مقبول 60%",Z345="خطر 40%",Z345="")),"✗ قائمة R",IF(NOT(OR(AA345="ممتاز 100%",AA345="جيد 85%",AA345="مقبول 70%",AA345="ضعيف 50%",AA345="")),"✗ قائمة S",IF(NOT(OR(AB345="مكتمل 100%",AB345="جزئي 60%",AB345="معلق 30%",AB345="مفتوح 0%",AB345="")),"✗ قائمة T",IF(NOT(OR(AC345="لا خصم 0",AC345="تأخير −5",AC345="عجز −10",AC345="جودة −15",AC345="امتثال −20",AC345="مخالفة −25",AC345="")),"✗ قائمة U",IF(AND(X345="لا",AC345&lt;&gt;"",AC345&lt;&gt;"لا خصم 0"),"✗ خصم",IF(AND(X345="نعم",AC345="لا خصم 0"),"✗ خصم",IF(AND(Z345="ممتاز 100%",AA345="ممتاز 100%",AB345&lt;&gt;"",AB345&lt;&gt;"مكتمل 100%"),"✗ إغلاق",IFERROR(IF(LEN(_xlfn.TEXTJOIN("، ",TRUE,IF(E345="","التاريخ",""),IF(F345="","الوقت",""),IF(G345="","المركز",""),IF(H345="","الدائرة",""),IF(I345="","القسم",""),IF(J345="","المسؤول",""),IF(K345="","نوع النشاط",""),IF(L345="","المشروع",""),IF(N345="","الممول",""),IF(V345="","الموضوع",""),IF(W345="","الملاحظة",""),IF(X345="","مشكلة",""),IF(Y345="","الإجراء",""),IF(Z345="","التنفيذ",""),IF(AA345="","الجودة",""),IF(AB345="","الإغلاق",""),IF(AC345="","الخصم",""),IF(AND(COUNTA($O345:$U345)&gt;0,O345=""),"مدير المشروع",""),IF(AND(COUNTA($O345:$U345)&gt;0,P345=""),"المستفيدين",""),IF(AND(COUNTA($O345:$U345)&gt;0,Q345=""),"المناطق",""),IF(AND(COUNTA($O345:$U345)&gt;0,R345=""),"الميزانية",""),IF(AND(COUNTA($O345:$U345)&gt;0,S345=""),"نسبة الجاهزية",""),IF(AND(COUNTA($O345:$U345)&gt;0,T345=""),"حالة الجاهزية",""),IF(AND(COUNTA($O345:$U345)&gt;0,U345=""),"التوصيات","")))&gt;0,"✗ ناقص: "&amp;_xlfn.TEXTJOIN("، ",TRUE,IF(E345="","التاريخ",""),IF(F345="","الوقت",""),IF(G345="","المركز",""),IF(H345="","الدائرة",""),IF(I345="","القسم",""),IF(J345="","المسؤول",""),IF(K345="","نوع النشاط",""),IF(L345="","المشروع",""),IF(N345="","الممول",""),IF(V345="","الموضوع",""),IF(W345="","الملاحظة",""),IF(X345="","مشكلة",""),IF(Y345="","الإجراء",""),IF(Z345="","التنفيذ",""),IF(AA345="","الجودة",""),IF(AB345="","الإغلاق",""),IF(AC345="","الخصم",""),IF(AND(COUNTA($O345:$U345)&gt;0,O345=""),"مدير المشروع",""),IF(AND(COUNTA($O345:$U345)&gt;0,P345=""),"المستفيدين",""),IF(AND(COUNTA($O345:$U345)&gt;0,Q345=""),"المناطق",""),IF(AND(COUNTA($O345:$U345)&gt;0,R345=""),"الميزانية",""),IF(AND(COUNTA($O345:$U345)&gt;0,S345=""),"نسبة الجاهزية",""),IF(AND(COUNTA($O345:$U345)&gt;0,T345=""),"حالة الجاهزية",""),IF(AND(COUNTA($O345:$U345)&gt;0,U345=""),"التوصيات","")),"✓"),"✓"))))))))))</f>
        <v/>
      </c>
      <c r="E345" s="235"/>
      <c r="F345" s="236"/>
      <c r="G345" s="90"/>
      <c r="H345" s="239"/>
      <c r="I345" s="89"/>
      <c r="J345" s="142"/>
      <c r="K345" s="90"/>
      <c r="L345" s="90"/>
      <c r="M345" s="90"/>
      <c r="N345" s="89"/>
      <c r="O345" s="200"/>
      <c r="P345" s="201"/>
      <c r="Q345" s="201"/>
      <c r="R345" s="237"/>
      <c r="S345" s="202"/>
      <c r="T345" s="200"/>
      <c r="U345" s="203"/>
      <c r="V345" s="89"/>
      <c r="W345" s="89"/>
      <c r="X345" s="145"/>
      <c r="Y345" s="89"/>
      <c r="Z345" s="90"/>
      <c r="AA345" s="90"/>
      <c r="AB345" s="90"/>
      <c r="AC345" s="90"/>
      <c r="AD345" s="92"/>
      <c r="AE345" s="149" t="str">
        <f>IFERROR(VLOOKUP(Z345,LISTS!$AL$2:$AM$1000,2,FALSE()),"")</f>
        <v/>
      </c>
      <c r="AF345" s="151" t="str">
        <f>IFERROR(VLOOKUP(AA345,LISTS!$AO$2:$AP$1000,2,FALSE()),"")</f>
        <v/>
      </c>
      <c r="AG345" s="152" t="str">
        <f>IFERROR(VLOOKUP(AB345,LISTS!$AR$2:$AS$1000,2,FALSE()),"")</f>
        <v/>
      </c>
      <c r="AH345" s="154" t="str">
        <f>IFERROR(VLOOKUP(AC345,LISTS!$AU$2:$AV$1000,2,FALSE()),"")</f>
        <v/>
      </c>
      <c r="AI345" s="238" t="str">
        <f t="shared" si="28"/>
        <v>—</v>
      </c>
      <c r="AJ345" s="190" t="str">
        <f t="shared" si="29"/>
        <v>—</v>
      </c>
      <c r="AK345" s="157" t="str">
        <f t="shared" si="25"/>
        <v/>
      </c>
      <c r="AL345" s="160" t="str">
        <f t="shared" si="26"/>
        <v/>
      </c>
      <c r="AM345" s="210"/>
      <c r="AN345" s="209"/>
    </row>
    <row r="346" spans="1:40" ht="27.95" customHeight="1">
      <c r="A346" s="134" t="str">
        <f>IF(I346&lt;&gt;"",COUNTA($I$2:I346),"")</f>
        <v/>
      </c>
      <c r="B346" s="138" t="str">
        <f t="shared" si="27"/>
        <v/>
      </c>
      <c r="C346" s="93" t="str">
        <f t="array" ref="C346">IF(E346="","",IF(M346&lt;&gt;"",
M346&amp;"/"&amp;SUMPRODUCT((M$2:M346=M346)*1)&amp;" - "&amp;(ROW()-2),
"إداري/"&amp;SUMPRODUCT((M$2:M346="")*1)&amp;" - "&amp;(ROW()-2)))</f>
        <v/>
      </c>
      <c r="D346" s="141" t="str">
        <f>IF(AND(G346="",H346="",I346=""),"",IF(COUNTIFS(LISTS!$A$2:$A$67,G346,LISTS!$B$2:$B$67,H346,LISTS!$C$2:$C$67,I346)=0,"✗ هرم",IF(NOT(OR(Z346="ممتاز 100%",Z346="جيد 80%",Z346="مقبول 60%",Z346="خطر 40%",Z346="")),"✗ قائمة R",IF(NOT(OR(AA346="ممتاز 100%",AA346="جيد 85%",AA346="مقبول 70%",AA346="ضعيف 50%",AA346="")),"✗ قائمة S",IF(NOT(OR(AB346="مكتمل 100%",AB346="جزئي 60%",AB346="معلق 30%",AB346="مفتوح 0%",AB346="")),"✗ قائمة T",IF(NOT(OR(AC346="لا خصم 0",AC346="تأخير −5",AC346="عجز −10",AC346="جودة −15",AC346="امتثال −20",AC346="مخالفة −25",AC346="")),"✗ قائمة U",IF(AND(X346="لا",AC346&lt;&gt;"",AC346&lt;&gt;"لا خصم 0"),"✗ خصم",IF(AND(X346="نعم",AC346="لا خصم 0"),"✗ خصم",IF(AND(Z346="ممتاز 100%",AA346="ممتاز 100%",AB346&lt;&gt;"",AB346&lt;&gt;"مكتمل 100%"),"✗ إغلاق",IFERROR(IF(LEN(_xlfn.TEXTJOIN("، ",TRUE,IF(E346="","التاريخ",""),IF(F346="","الوقت",""),IF(G346="","المركز",""),IF(H346="","الدائرة",""),IF(I346="","القسم",""),IF(J346="","المسؤول",""),IF(K346="","نوع النشاط",""),IF(L346="","المشروع",""),IF(N346="","الممول",""),IF(V346="","الموضوع",""),IF(W346="","الملاحظة",""),IF(X346="","مشكلة",""),IF(Y346="","الإجراء",""),IF(Z346="","التنفيذ",""),IF(AA346="","الجودة",""),IF(AB346="","الإغلاق",""),IF(AC346="","الخصم",""),IF(AND(COUNTA($O346:$U346)&gt;0,O346=""),"مدير المشروع",""),IF(AND(COUNTA($O346:$U346)&gt;0,P346=""),"المستفيدين",""),IF(AND(COUNTA($O346:$U346)&gt;0,Q346=""),"المناطق",""),IF(AND(COUNTA($O346:$U346)&gt;0,R346=""),"الميزانية",""),IF(AND(COUNTA($O346:$U346)&gt;0,S346=""),"نسبة الجاهزية",""),IF(AND(COUNTA($O346:$U346)&gt;0,T346=""),"حالة الجاهزية",""),IF(AND(COUNTA($O346:$U346)&gt;0,U346=""),"التوصيات","")))&gt;0,"✗ ناقص: "&amp;_xlfn.TEXTJOIN("، ",TRUE,IF(E346="","التاريخ",""),IF(F346="","الوقت",""),IF(G346="","المركز",""),IF(H346="","الدائرة",""),IF(I346="","القسم",""),IF(J346="","المسؤول",""),IF(K346="","نوع النشاط",""),IF(L346="","المشروع",""),IF(N346="","الممول",""),IF(V346="","الموضوع",""),IF(W346="","الملاحظة",""),IF(X346="","مشكلة",""),IF(Y346="","الإجراء",""),IF(Z346="","التنفيذ",""),IF(AA346="","الجودة",""),IF(AB346="","الإغلاق",""),IF(AC346="","الخصم",""),IF(AND(COUNTA($O346:$U346)&gt;0,O346=""),"مدير المشروع",""),IF(AND(COUNTA($O346:$U346)&gt;0,P346=""),"المستفيدين",""),IF(AND(COUNTA($O346:$U346)&gt;0,Q346=""),"المناطق",""),IF(AND(COUNTA($O346:$U346)&gt;0,R346=""),"الميزانية",""),IF(AND(COUNTA($O346:$U346)&gt;0,S346=""),"نسبة الجاهزية",""),IF(AND(COUNTA($O346:$U346)&gt;0,T346=""),"حالة الجاهزية",""),IF(AND(COUNTA($O346:$U346)&gt;0,U346=""),"التوصيات","")),"✓"),"✓"))))))))))</f>
        <v/>
      </c>
      <c r="E346" s="235"/>
      <c r="F346" s="236"/>
      <c r="G346" s="90"/>
      <c r="H346" s="239"/>
      <c r="I346" s="89"/>
      <c r="J346" s="142"/>
      <c r="K346" s="90"/>
      <c r="L346" s="90"/>
      <c r="M346" s="90"/>
      <c r="N346" s="89"/>
      <c r="O346" s="200"/>
      <c r="P346" s="201"/>
      <c r="Q346" s="201"/>
      <c r="R346" s="237"/>
      <c r="S346" s="202"/>
      <c r="T346" s="200"/>
      <c r="U346" s="203"/>
      <c r="V346" s="89"/>
      <c r="W346" s="89"/>
      <c r="X346" s="145"/>
      <c r="Y346" s="89"/>
      <c r="Z346" s="90"/>
      <c r="AA346" s="90"/>
      <c r="AB346" s="90"/>
      <c r="AC346" s="90"/>
      <c r="AD346" s="92"/>
      <c r="AE346" s="149" t="str">
        <f>IFERROR(VLOOKUP(Z346,LISTS!$AL$2:$AM$1000,2,FALSE()),"")</f>
        <v/>
      </c>
      <c r="AF346" s="151" t="str">
        <f>IFERROR(VLOOKUP(AA346,LISTS!$AO$2:$AP$1000,2,FALSE()),"")</f>
        <v/>
      </c>
      <c r="AG346" s="152" t="str">
        <f>IFERROR(VLOOKUP(AB346,LISTS!$AR$2:$AS$1000,2,FALSE()),"")</f>
        <v/>
      </c>
      <c r="AH346" s="154" t="str">
        <f>IFERROR(VLOOKUP(AC346,LISTS!$AU$2:$AV$1000,2,FALSE()),"")</f>
        <v/>
      </c>
      <c r="AI346" s="238" t="str">
        <f t="shared" si="28"/>
        <v>—</v>
      </c>
      <c r="AJ346" s="190" t="str">
        <f t="shared" si="29"/>
        <v>—</v>
      </c>
      <c r="AK346" s="157" t="str">
        <f t="shared" si="25"/>
        <v/>
      </c>
      <c r="AL346" s="160" t="str">
        <f t="shared" si="26"/>
        <v/>
      </c>
      <c r="AM346" s="210"/>
      <c r="AN346" s="209"/>
    </row>
    <row r="347" spans="1:40" ht="27.95" customHeight="1">
      <c r="A347" s="134" t="str">
        <f>IF(I347&lt;&gt;"",COUNTA($I$2:I347),"")</f>
        <v/>
      </c>
      <c r="B347" s="138" t="str">
        <f t="shared" si="27"/>
        <v/>
      </c>
      <c r="C347" s="93" t="str">
        <f t="array" ref="C347">IF(E347="","",IF(M347&lt;&gt;"",
M347&amp;"/"&amp;SUMPRODUCT((M$2:M347=M347)*1)&amp;" - "&amp;(ROW()-2),
"إداري/"&amp;SUMPRODUCT((M$2:M347="")*1)&amp;" - "&amp;(ROW()-2)))</f>
        <v/>
      </c>
      <c r="D347" s="141" t="str">
        <f>IF(AND(G347="",H347="",I347=""),"",IF(COUNTIFS(LISTS!$A$2:$A$67,G347,LISTS!$B$2:$B$67,H347,LISTS!$C$2:$C$67,I347)=0,"✗ هرم",IF(NOT(OR(Z347="ممتاز 100%",Z347="جيد 80%",Z347="مقبول 60%",Z347="خطر 40%",Z347="")),"✗ قائمة R",IF(NOT(OR(AA347="ممتاز 100%",AA347="جيد 85%",AA347="مقبول 70%",AA347="ضعيف 50%",AA347="")),"✗ قائمة S",IF(NOT(OR(AB347="مكتمل 100%",AB347="جزئي 60%",AB347="معلق 30%",AB347="مفتوح 0%",AB347="")),"✗ قائمة T",IF(NOT(OR(AC347="لا خصم 0",AC347="تأخير −5",AC347="عجز −10",AC347="جودة −15",AC347="امتثال −20",AC347="مخالفة −25",AC347="")),"✗ قائمة U",IF(AND(X347="لا",AC347&lt;&gt;"",AC347&lt;&gt;"لا خصم 0"),"✗ خصم",IF(AND(X347="نعم",AC347="لا خصم 0"),"✗ خصم",IF(AND(Z347="ممتاز 100%",AA347="ممتاز 100%",AB347&lt;&gt;"",AB347&lt;&gt;"مكتمل 100%"),"✗ إغلاق",IFERROR(IF(LEN(_xlfn.TEXTJOIN("، ",TRUE,IF(E347="","التاريخ",""),IF(F347="","الوقت",""),IF(G347="","المركز",""),IF(H347="","الدائرة",""),IF(I347="","القسم",""),IF(J347="","المسؤول",""),IF(K347="","نوع النشاط",""),IF(L347="","المشروع",""),IF(N347="","الممول",""),IF(V347="","الموضوع",""),IF(W347="","الملاحظة",""),IF(X347="","مشكلة",""),IF(Y347="","الإجراء",""),IF(Z347="","التنفيذ",""),IF(AA347="","الجودة",""),IF(AB347="","الإغلاق",""),IF(AC347="","الخصم",""),IF(AND(COUNTA($O347:$U347)&gt;0,O347=""),"مدير المشروع",""),IF(AND(COUNTA($O347:$U347)&gt;0,P347=""),"المستفيدين",""),IF(AND(COUNTA($O347:$U347)&gt;0,Q347=""),"المناطق",""),IF(AND(COUNTA($O347:$U347)&gt;0,R347=""),"الميزانية",""),IF(AND(COUNTA($O347:$U347)&gt;0,S347=""),"نسبة الجاهزية",""),IF(AND(COUNTA($O347:$U347)&gt;0,T347=""),"حالة الجاهزية",""),IF(AND(COUNTA($O347:$U347)&gt;0,U347=""),"التوصيات","")))&gt;0,"✗ ناقص: "&amp;_xlfn.TEXTJOIN("، ",TRUE,IF(E347="","التاريخ",""),IF(F347="","الوقت",""),IF(G347="","المركز",""),IF(H347="","الدائرة",""),IF(I347="","القسم",""),IF(J347="","المسؤول",""),IF(K347="","نوع النشاط",""),IF(L347="","المشروع",""),IF(N347="","الممول",""),IF(V347="","الموضوع",""),IF(W347="","الملاحظة",""),IF(X347="","مشكلة",""),IF(Y347="","الإجراء",""),IF(Z347="","التنفيذ",""),IF(AA347="","الجودة",""),IF(AB347="","الإغلاق",""),IF(AC347="","الخصم",""),IF(AND(COUNTA($O347:$U347)&gt;0,O347=""),"مدير المشروع",""),IF(AND(COUNTA($O347:$U347)&gt;0,P347=""),"المستفيدين",""),IF(AND(COUNTA($O347:$U347)&gt;0,Q347=""),"المناطق",""),IF(AND(COUNTA($O347:$U347)&gt;0,R347=""),"الميزانية",""),IF(AND(COUNTA($O347:$U347)&gt;0,S347=""),"نسبة الجاهزية",""),IF(AND(COUNTA($O347:$U347)&gt;0,T347=""),"حالة الجاهزية",""),IF(AND(COUNTA($O347:$U347)&gt;0,U347=""),"التوصيات","")),"✓"),"✓"))))))))))</f>
        <v/>
      </c>
      <c r="E347" s="235"/>
      <c r="F347" s="236"/>
      <c r="G347" s="90"/>
      <c r="H347" s="239"/>
      <c r="I347" s="89"/>
      <c r="J347" s="142"/>
      <c r="K347" s="90"/>
      <c r="L347" s="90"/>
      <c r="M347" s="90"/>
      <c r="N347" s="89"/>
      <c r="O347" s="200"/>
      <c r="P347" s="201"/>
      <c r="Q347" s="201"/>
      <c r="R347" s="237"/>
      <c r="S347" s="202"/>
      <c r="T347" s="200"/>
      <c r="U347" s="203"/>
      <c r="V347" s="89"/>
      <c r="W347" s="89"/>
      <c r="X347" s="145"/>
      <c r="Y347" s="89"/>
      <c r="Z347" s="90"/>
      <c r="AA347" s="90"/>
      <c r="AB347" s="90"/>
      <c r="AC347" s="90"/>
      <c r="AD347" s="92"/>
      <c r="AE347" s="149" t="str">
        <f>IFERROR(VLOOKUP(Z347,LISTS!$AL$2:$AM$1000,2,FALSE()),"")</f>
        <v/>
      </c>
      <c r="AF347" s="151" t="str">
        <f>IFERROR(VLOOKUP(AA347,LISTS!$AO$2:$AP$1000,2,FALSE()),"")</f>
        <v/>
      </c>
      <c r="AG347" s="152" t="str">
        <f>IFERROR(VLOOKUP(AB347,LISTS!$AR$2:$AS$1000,2,FALSE()),"")</f>
        <v/>
      </c>
      <c r="AH347" s="154" t="str">
        <f>IFERROR(VLOOKUP(AC347,LISTS!$AU$2:$AV$1000,2,FALSE()),"")</f>
        <v/>
      </c>
      <c r="AI347" s="238" t="str">
        <f t="shared" si="28"/>
        <v>—</v>
      </c>
      <c r="AJ347" s="190" t="str">
        <f t="shared" si="29"/>
        <v>—</v>
      </c>
      <c r="AK347" s="157" t="str">
        <f t="shared" si="25"/>
        <v/>
      </c>
      <c r="AL347" s="160" t="str">
        <f t="shared" si="26"/>
        <v/>
      </c>
      <c r="AM347" s="210"/>
      <c r="AN347" s="209"/>
    </row>
    <row r="348" spans="1:40" ht="27.95" customHeight="1">
      <c r="A348" s="134" t="str">
        <f>IF(I348&lt;&gt;"",COUNTA($I$2:I348),"")</f>
        <v/>
      </c>
      <c r="B348" s="138" t="str">
        <f t="shared" si="27"/>
        <v/>
      </c>
      <c r="C348" s="93" t="str">
        <f t="array" ref="C348">IF(E348="","",IF(M348&lt;&gt;"",
M348&amp;"/"&amp;SUMPRODUCT((M$2:M348=M348)*1)&amp;" - "&amp;(ROW()-2),
"إداري/"&amp;SUMPRODUCT((M$2:M348="")*1)&amp;" - "&amp;(ROW()-2)))</f>
        <v/>
      </c>
      <c r="D348" s="141" t="str">
        <f>IF(AND(G348="",H348="",I348=""),"",IF(COUNTIFS(LISTS!$A$2:$A$67,G348,LISTS!$B$2:$B$67,H348,LISTS!$C$2:$C$67,I348)=0,"✗ هرم",IF(NOT(OR(Z348="ممتاز 100%",Z348="جيد 80%",Z348="مقبول 60%",Z348="خطر 40%",Z348="")),"✗ قائمة R",IF(NOT(OR(AA348="ممتاز 100%",AA348="جيد 85%",AA348="مقبول 70%",AA348="ضعيف 50%",AA348="")),"✗ قائمة S",IF(NOT(OR(AB348="مكتمل 100%",AB348="جزئي 60%",AB348="معلق 30%",AB348="مفتوح 0%",AB348="")),"✗ قائمة T",IF(NOT(OR(AC348="لا خصم 0",AC348="تأخير −5",AC348="عجز −10",AC348="جودة −15",AC348="امتثال −20",AC348="مخالفة −25",AC348="")),"✗ قائمة U",IF(AND(X348="لا",AC348&lt;&gt;"",AC348&lt;&gt;"لا خصم 0"),"✗ خصم",IF(AND(X348="نعم",AC348="لا خصم 0"),"✗ خصم",IF(AND(Z348="ممتاز 100%",AA348="ممتاز 100%",AB348&lt;&gt;"",AB348&lt;&gt;"مكتمل 100%"),"✗ إغلاق",IFERROR(IF(LEN(_xlfn.TEXTJOIN("، ",TRUE,IF(E348="","التاريخ",""),IF(F348="","الوقت",""),IF(G348="","المركز",""),IF(H348="","الدائرة",""),IF(I348="","القسم",""),IF(J348="","المسؤول",""),IF(K348="","نوع النشاط",""),IF(L348="","المشروع",""),IF(N348="","الممول",""),IF(V348="","الموضوع",""),IF(W348="","الملاحظة",""),IF(X348="","مشكلة",""),IF(Y348="","الإجراء",""),IF(Z348="","التنفيذ",""),IF(AA348="","الجودة",""),IF(AB348="","الإغلاق",""),IF(AC348="","الخصم",""),IF(AND(COUNTA($O348:$U348)&gt;0,O348=""),"مدير المشروع",""),IF(AND(COUNTA($O348:$U348)&gt;0,P348=""),"المستفيدين",""),IF(AND(COUNTA($O348:$U348)&gt;0,Q348=""),"المناطق",""),IF(AND(COUNTA($O348:$U348)&gt;0,R348=""),"الميزانية",""),IF(AND(COUNTA($O348:$U348)&gt;0,S348=""),"نسبة الجاهزية",""),IF(AND(COUNTA($O348:$U348)&gt;0,T348=""),"حالة الجاهزية",""),IF(AND(COUNTA($O348:$U348)&gt;0,U348=""),"التوصيات","")))&gt;0,"✗ ناقص: "&amp;_xlfn.TEXTJOIN("، ",TRUE,IF(E348="","التاريخ",""),IF(F348="","الوقت",""),IF(G348="","المركز",""),IF(H348="","الدائرة",""),IF(I348="","القسم",""),IF(J348="","المسؤول",""),IF(K348="","نوع النشاط",""),IF(L348="","المشروع",""),IF(N348="","الممول",""),IF(V348="","الموضوع",""),IF(W348="","الملاحظة",""),IF(X348="","مشكلة",""),IF(Y348="","الإجراء",""),IF(Z348="","التنفيذ",""),IF(AA348="","الجودة",""),IF(AB348="","الإغلاق",""),IF(AC348="","الخصم",""),IF(AND(COUNTA($O348:$U348)&gt;0,O348=""),"مدير المشروع",""),IF(AND(COUNTA($O348:$U348)&gt;0,P348=""),"المستفيدين",""),IF(AND(COUNTA($O348:$U348)&gt;0,Q348=""),"المناطق",""),IF(AND(COUNTA($O348:$U348)&gt;0,R348=""),"الميزانية",""),IF(AND(COUNTA($O348:$U348)&gt;0,S348=""),"نسبة الجاهزية",""),IF(AND(COUNTA($O348:$U348)&gt;0,T348=""),"حالة الجاهزية",""),IF(AND(COUNTA($O348:$U348)&gt;0,U348=""),"التوصيات","")),"✓"),"✓"))))))))))</f>
        <v/>
      </c>
      <c r="E348" s="235"/>
      <c r="F348" s="236"/>
      <c r="G348" s="90"/>
      <c r="H348" s="239"/>
      <c r="I348" s="89"/>
      <c r="J348" s="142"/>
      <c r="K348" s="90"/>
      <c r="L348" s="90"/>
      <c r="M348" s="90"/>
      <c r="N348" s="89"/>
      <c r="O348" s="200"/>
      <c r="P348" s="201"/>
      <c r="Q348" s="201"/>
      <c r="R348" s="237"/>
      <c r="S348" s="202"/>
      <c r="T348" s="200"/>
      <c r="U348" s="203"/>
      <c r="V348" s="89"/>
      <c r="W348" s="89"/>
      <c r="X348" s="145"/>
      <c r="Y348" s="89"/>
      <c r="Z348" s="90"/>
      <c r="AA348" s="90"/>
      <c r="AB348" s="90"/>
      <c r="AC348" s="90"/>
      <c r="AD348" s="92"/>
      <c r="AE348" s="149" t="str">
        <f>IFERROR(VLOOKUP(Z348,LISTS!$AL$2:$AM$1000,2,FALSE()),"")</f>
        <v/>
      </c>
      <c r="AF348" s="151" t="str">
        <f>IFERROR(VLOOKUP(AA348,LISTS!$AO$2:$AP$1000,2,FALSE()),"")</f>
        <v/>
      </c>
      <c r="AG348" s="152" t="str">
        <f>IFERROR(VLOOKUP(AB348,LISTS!$AR$2:$AS$1000,2,FALSE()),"")</f>
        <v/>
      </c>
      <c r="AH348" s="154" t="str">
        <f>IFERROR(VLOOKUP(AC348,LISTS!$AU$2:$AV$1000,2,FALSE()),"")</f>
        <v/>
      </c>
      <c r="AI348" s="238" t="str">
        <f t="shared" si="28"/>
        <v>—</v>
      </c>
      <c r="AJ348" s="190" t="str">
        <f t="shared" si="29"/>
        <v>—</v>
      </c>
      <c r="AK348" s="157" t="str">
        <f t="shared" si="25"/>
        <v/>
      </c>
      <c r="AL348" s="160" t="str">
        <f t="shared" si="26"/>
        <v/>
      </c>
      <c r="AM348" s="210"/>
      <c r="AN348" s="209"/>
    </row>
    <row r="349" spans="1:40" ht="27.95" customHeight="1">
      <c r="A349" s="134" t="str">
        <f>IF(I349&lt;&gt;"",COUNTA($I$2:I349),"")</f>
        <v/>
      </c>
      <c r="B349" s="138" t="str">
        <f t="shared" si="27"/>
        <v/>
      </c>
      <c r="C349" s="93" t="str">
        <f t="array" ref="C349">IF(E349="","",IF(M349&lt;&gt;"",
M349&amp;"/"&amp;SUMPRODUCT((M$2:M349=M349)*1)&amp;" - "&amp;(ROW()-2),
"إداري/"&amp;SUMPRODUCT((M$2:M349="")*1)&amp;" - "&amp;(ROW()-2)))</f>
        <v/>
      </c>
      <c r="D349" s="141" t="str">
        <f>IF(AND(G349="",H349="",I349=""),"",IF(COUNTIFS(LISTS!$A$2:$A$67,G349,LISTS!$B$2:$B$67,H349,LISTS!$C$2:$C$67,I349)=0,"✗ هرم",IF(NOT(OR(Z349="ممتاز 100%",Z349="جيد 80%",Z349="مقبول 60%",Z349="خطر 40%",Z349="")),"✗ قائمة R",IF(NOT(OR(AA349="ممتاز 100%",AA349="جيد 85%",AA349="مقبول 70%",AA349="ضعيف 50%",AA349="")),"✗ قائمة S",IF(NOT(OR(AB349="مكتمل 100%",AB349="جزئي 60%",AB349="معلق 30%",AB349="مفتوح 0%",AB349="")),"✗ قائمة T",IF(NOT(OR(AC349="لا خصم 0",AC349="تأخير −5",AC349="عجز −10",AC349="جودة −15",AC349="امتثال −20",AC349="مخالفة −25",AC349="")),"✗ قائمة U",IF(AND(X349="لا",AC349&lt;&gt;"",AC349&lt;&gt;"لا خصم 0"),"✗ خصم",IF(AND(X349="نعم",AC349="لا خصم 0"),"✗ خصم",IF(AND(Z349="ممتاز 100%",AA349="ممتاز 100%",AB349&lt;&gt;"",AB349&lt;&gt;"مكتمل 100%"),"✗ إغلاق",IFERROR(IF(LEN(_xlfn.TEXTJOIN("، ",TRUE,IF(E349="","التاريخ",""),IF(F349="","الوقت",""),IF(G349="","المركز",""),IF(H349="","الدائرة",""),IF(I349="","القسم",""),IF(J349="","المسؤول",""),IF(K349="","نوع النشاط",""),IF(L349="","المشروع",""),IF(N349="","الممول",""),IF(V349="","الموضوع",""),IF(W349="","الملاحظة",""),IF(X349="","مشكلة",""),IF(Y349="","الإجراء",""),IF(Z349="","التنفيذ",""),IF(AA349="","الجودة",""),IF(AB349="","الإغلاق",""),IF(AC349="","الخصم",""),IF(AND(COUNTA($O349:$U349)&gt;0,O349=""),"مدير المشروع",""),IF(AND(COUNTA($O349:$U349)&gt;0,P349=""),"المستفيدين",""),IF(AND(COUNTA($O349:$U349)&gt;0,Q349=""),"المناطق",""),IF(AND(COUNTA($O349:$U349)&gt;0,R349=""),"الميزانية",""),IF(AND(COUNTA($O349:$U349)&gt;0,S349=""),"نسبة الجاهزية",""),IF(AND(COUNTA($O349:$U349)&gt;0,T349=""),"حالة الجاهزية",""),IF(AND(COUNTA($O349:$U349)&gt;0,U349=""),"التوصيات","")))&gt;0,"✗ ناقص: "&amp;_xlfn.TEXTJOIN("، ",TRUE,IF(E349="","التاريخ",""),IF(F349="","الوقت",""),IF(G349="","المركز",""),IF(H349="","الدائرة",""),IF(I349="","القسم",""),IF(J349="","المسؤول",""),IF(K349="","نوع النشاط",""),IF(L349="","المشروع",""),IF(N349="","الممول",""),IF(V349="","الموضوع",""),IF(W349="","الملاحظة",""),IF(X349="","مشكلة",""),IF(Y349="","الإجراء",""),IF(Z349="","التنفيذ",""),IF(AA349="","الجودة",""),IF(AB349="","الإغلاق",""),IF(AC349="","الخصم",""),IF(AND(COUNTA($O349:$U349)&gt;0,O349=""),"مدير المشروع",""),IF(AND(COUNTA($O349:$U349)&gt;0,P349=""),"المستفيدين",""),IF(AND(COUNTA($O349:$U349)&gt;0,Q349=""),"المناطق",""),IF(AND(COUNTA($O349:$U349)&gt;0,R349=""),"الميزانية",""),IF(AND(COUNTA($O349:$U349)&gt;0,S349=""),"نسبة الجاهزية",""),IF(AND(COUNTA($O349:$U349)&gt;0,T349=""),"حالة الجاهزية",""),IF(AND(COUNTA($O349:$U349)&gt;0,U349=""),"التوصيات","")),"✓"),"✓"))))))))))</f>
        <v/>
      </c>
      <c r="E349" s="235"/>
      <c r="F349" s="236"/>
      <c r="G349" s="90"/>
      <c r="H349" s="239"/>
      <c r="I349" s="89"/>
      <c r="J349" s="142"/>
      <c r="K349" s="90"/>
      <c r="L349" s="90"/>
      <c r="M349" s="90"/>
      <c r="N349" s="89"/>
      <c r="O349" s="200"/>
      <c r="P349" s="201"/>
      <c r="Q349" s="201"/>
      <c r="R349" s="237"/>
      <c r="S349" s="202"/>
      <c r="T349" s="200"/>
      <c r="U349" s="203"/>
      <c r="V349" s="89"/>
      <c r="W349" s="89"/>
      <c r="X349" s="145"/>
      <c r="Y349" s="89"/>
      <c r="Z349" s="90"/>
      <c r="AA349" s="90"/>
      <c r="AB349" s="90"/>
      <c r="AC349" s="90"/>
      <c r="AD349" s="92"/>
      <c r="AE349" s="149" t="str">
        <f>IFERROR(VLOOKUP(Z349,LISTS!$AL$2:$AM$1000,2,FALSE()),"")</f>
        <v/>
      </c>
      <c r="AF349" s="151" t="str">
        <f>IFERROR(VLOOKUP(AA349,LISTS!$AO$2:$AP$1000,2,FALSE()),"")</f>
        <v/>
      </c>
      <c r="AG349" s="152" t="str">
        <f>IFERROR(VLOOKUP(AB349,LISTS!$AR$2:$AS$1000,2,FALSE()),"")</f>
        <v/>
      </c>
      <c r="AH349" s="154" t="str">
        <f>IFERROR(VLOOKUP(AC349,LISTS!$AU$2:$AV$1000,2,FALSE()),"")</f>
        <v/>
      </c>
      <c r="AI349" s="238" t="str">
        <f t="shared" si="28"/>
        <v>—</v>
      </c>
      <c r="AJ349" s="190" t="str">
        <f t="shared" si="29"/>
        <v>—</v>
      </c>
      <c r="AK349" s="157" t="str">
        <f t="shared" si="25"/>
        <v/>
      </c>
      <c r="AL349" s="160" t="str">
        <f t="shared" si="26"/>
        <v/>
      </c>
      <c r="AM349" s="210"/>
      <c r="AN349" s="209"/>
    </row>
    <row r="350" spans="1:40" ht="27.95" customHeight="1">
      <c r="A350" s="134" t="str">
        <f>IF(I350&lt;&gt;"",COUNTA($I$2:I350),"")</f>
        <v/>
      </c>
      <c r="B350" s="138" t="str">
        <f t="shared" si="27"/>
        <v/>
      </c>
      <c r="C350" s="93" t="str">
        <f t="array" ref="C350">IF(E350="","",IF(M350&lt;&gt;"",
M350&amp;"/"&amp;SUMPRODUCT((M$2:M350=M350)*1)&amp;" - "&amp;(ROW()-2),
"إداري/"&amp;SUMPRODUCT((M$2:M350="")*1)&amp;" - "&amp;(ROW()-2)))</f>
        <v/>
      </c>
      <c r="D350" s="141" t="str">
        <f>IF(AND(G350="",H350="",I350=""),"",IF(COUNTIFS(LISTS!$A$2:$A$67,G350,LISTS!$B$2:$B$67,H350,LISTS!$C$2:$C$67,I350)=0,"✗ هرم",IF(NOT(OR(Z350="ممتاز 100%",Z350="جيد 80%",Z350="مقبول 60%",Z350="خطر 40%",Z350="")),"✗ قائمة R",IF(NOT(OR(AA350="ممتاز 100%",AA350="جيد 85%",AA350="مقبول 70%",AA350="ضعيف 50%",AA350="")),"✗ قائمة S",IF(NOT(OR(AB350="مكتمل 100%",AB350="جزئي 60%",AB350="معلق 30%",AB350="مفتوح 0%",AB350="")),"✗ قائمة T",IF(NOT(OR(AC350="لا خصم 0",AC350="تأخير −5",AC350="عجز −10",AC350="جودة −15",AC350="امتثال −20",AC350="مخالفة −25",AC350="")),"✗ قائمة U",IF(AND(X350="لا",AC350&lt;&gt;"",AC350&lt;&gt;"لا خصم 0"),"✗ خصم",IF(AND(X350="نعم",AC350="لا خصم 0"),"✗ خصم",IF(AND(Z350="ممتاز 100%",AA350="ممتاز 100%",AB350&lt;&gt;"",AB350&lt;&gt;"مكتمل 100%"),"✗ إغلاق",IFERROR(IF(LEN(_xlfn.TEXTJOIN("، ",TRUE,IF(E350="","التاريخ",""),IF(F350="","الوقت",""),IF(G350="","المركز",""),IF(H350="","الدائرة",""),IF(I350="","القسم",""),IF(J350="","المسؤول",""),IF(K350="","نوع النشاط",""),IF(L350="","المشروع",""),IF(N350="","الممول",""),IF(V350="","الموضوع",""),IF(W350="","الملاحظة",""),IF(X350="","مشكلة",""),IF(Y350="","الإجراء",""),IF(Z350="","التنفيذ",""),IF(AA350="","الجودة",""),IF(AB350="","الإغلاق",""),IF(AC350="","الخصم",""),IF(AND(COUNTA($O350:$U350)&gt;0,O350=""),"مدير المشروع",""),IF(AND(COUNTA($O350:$U350)&gt;0,P350=""),"المستفيدين",""),IF(AND(COUNTA($O350:$U350)&gt;0,Q350=""),"المناطق",""),IF(AND(COUNTA($O350:$U350)&gt;0,R350=""),"الميزانية",""),IF(AND(COUNTA($O350:$U350)&gt;0,S350=""),"نسبة الجاهزية",""),IF(AND(COUNTA($O350:$U350)&gt;0,T350=""),"حالة الجاهزية",""),IF(AND(COUNTA($O350:$U350)&gt;0,U350=""),"التوصيات","")))&gt;0,"✗ ناقص: "&amp;_xlfn.TEXTJOIN("، ",TRUE,IF(E350="","التاريخ",""),IF(F350="","الوقت",""),IF(G350="","المركز",""),IF(H350="","الدائرة",""),IF(I350="","القسم",""),IF(J350="","المسؤول",""),IF(K350="","نوع النشاط",""),IF(L350="","المشروع",""),IF(N350="","الممول",""),IF(V350="","الموضوع",""),IF(W350="","الملاحظة",""),IF(X350="","مشكلة",""),IF(Y350="","الإجراء",""),IF(Z350="","التنفيذ",""),IF(AA350="","الجودة",""),IF(AB350="","الإغلاق",""),IF(AC350="","الخصم",""),IF(AND(COUNTA($O350:$U350)&gt;0,O350=""),"مدير المشروع",""),IF(AND(COUNTA($O350:$U350)&gt;0,P350=""),"المستفيدين",""),IF(AND(COUNTA($O350:$U350)&gt;0,Q350=""),"المناطق",""),IF(AND(COUNTA($O350:$U350)&gt;0,R350=""),"الميزانية",""),IF(AND(COUNTA($O350:$U350)&gt;0,S350=""),"نسبة الجاهزية",""),IF(AND(COUNTA($O350:$U350)&gt;0,T350=""),"حالة الجاهزية",""),IF(AND(COUNTA($O350:$U350)&gt;0,U350=""),"التوصيات","")),"✓"),"✓"))))))))))</f>
        <v/>
      </c>
      <c r="E350" s="235"/>
      <c r="F350" s="236"/>
      <c r="G350" s="90"/>
      <c r="H350" s="239"/>
      <c r="I350" s="89"/>
      <c r="J350" s="142"/>
      <c r="K350" s="90"/>
      <c r="L350" s="90"/>
      <c r="M350" s="90"/>
      <c r="N350" s="89"/>
      <c r="O350" s="200"/>
      <c r="P350" s="201"/>
      <c r="Q350" s="201"/>
      <c r="R350" s="237"/>
      <c r="S350" s="202"/>
      <c r="T350" s="200"/>
      <c r="U350" s="203"/>
      <c r="V350" s="89"/>
      <c r="W350" s="89"/>
      <c r="X350" s="145"/>
      <c r="Y350" s="89"/>
      <c r="Z350" s="90"/>
      <c r="AA350" s="90"/>
      <c r="AB350" s="90"/>
      <c r="AC350" s="90"/>
      <c r="AD350" s="92"/>
      <c r="AE350" s="149" t="str">
        <f>IFERROR(VLOOKUP(Z350,LISTS!$AL$2:$AM$1000,2,FALSE()),"")</f>
        <v/>
      </c>
      <c r="AF350" s="151" t="str">
        <f>IFERROR(VLOOKUP(AA350,LISTS!$AO$2:$AP$1000,2,FALSE()),"")</f>
        <v/>
      </c>
      <c r="AG350" s="152" t="str">
        <f>IFERROR(VLOOKUP(AB350,LISTS!$AR$2:$AS$1000,2,FALSE()),"")</f>
        <v/>
      </c>
      <c r="AH350" s="154" t="str">
        <f>IFERROR(VLOOKUP(AC350,LISTS!$AU$2:$AV$1000,2,FALSE()),"")</f>
        <v/>
      </c>
      <c r="AI350" s="238" t="str">
        <f t="shared" si="28"/>
        <v>—</v>
      </c>
      <c r="AJ350" s="190" t="str">
        <f t="shared" si="29"/>
        <v>—</v>
      </c>
      <c r="AK350" s="157" t="str">
        <f t="shared" ref="AK350:AK413" si="30">IF(E350="","",MONTH(E350))</f>
        <v/>
      </c>
      <c r="AL350" s="160" t="str">
        <f t="shared" ref="AL350:AL413" si="31">IF(E350="","",YEAR(E350))</f>
        <v/>
      </c>
      <c r="AM350" s="210"/>
      <c r="AN350" s="209"/>
    </row>
    <row r="351" spans="1:40" ht="27.95" customHeight="1">
      <c r="A351" s="134" t="str">
        <f>IF(I351&lt;&gt;"",COUNTA($I$2:I351),"")</f>
        <v/>
      </c>
      <c r="B351" s="138" t="str">
        <f t="shared" ref="B351:B414" si="32">IF(E351="","",CHOOSE(WEEKDAY(E351,2),"الاثنين","الثلاثاء","الأربعاء","الخميس","الجمعة","السبت","الأحد"))</f>
        <v/>
      </c>
      <c r="C351" s="93" t="str">
        <f t="array" ref="C351">IF(E351="","",IF(M351&lt;&gt;"",
M351&amp;"/"&amp;SUMPRODUCT((M$2:M351=M351)*1)&amp;" - "&amp;(ROW()-2),
"إداري/"&amp;SUMPRODUCT((M$2:M351="")*1)&amp;" - "&amp;(ROW()-2)))</f>
        <v/>
      </c>
      <c r="D351" s="141" t="str">
        <f>IF(AND(G351="",H351="",I351=""),"",IF(COUNTIFS(LISTS!$A$2:$A$67,G351,LISTS!$B$2:$B$67,H351,LISTS!$C$2:$C$67,I351)=0,"✗ هرم",IF(NOT(OR(Z351="ممتاز 100%",Z351="جيد 80%",Z351="مقبول 60%",Z351="خطر 40%",Z351="")),"✗ قائمة R",IF(NOT(OR(AA351="ممتاز 100%",AA351="جيد 85%",AA351="مقبول 70%",AA351="ضعيف 50%",AA351="")),"✗ قائمة S",IF(NOT(OR(AB351="مكتمل 100%",AB351="جزئي 60%",AB351="معلق 30%",AB351="مفتوح 0%",AB351="")),"✗ قائمة T",IF(NOT(OR(AC351="لا خصم 0",AC351="تأخير −5",AC351="عجز −10",AC351="جودة −15",AC351="امتثال −20",AC351="مخالفة −25",AC351="")),"✗ قائمة U",IF(AND(X351="لا",AC351&lt;&gt;"",AC351&lt;&gt;"لا خصم 0"),"✗ خصم",IF(AND(X351="نعم",AC351="لا خصم 0"),"✗ خصم",IF(AND(Z351="ممتاز 100%",AA351="ممتاز 100%",AB351&lt;&gt;"",AB351&lt;&gt;"مكتمل 100%"),"✗ إغلاق",IFERROR(IF(LEN(_xlfn.TEXTJOIN("، ",TRUE,IF(E351="","التاريخ",""),IF(F351="","الوقت",""),IF(G351="","المركز",""),IF(H351="","الدائرة",""),IF(I351="","القسم",""),IF(J351="","المسؤول",""),IF(K351="","نوع النشاط",""),IF(L351="","المشروع",""),IF(N351="","الممول",""),IF(V351="","الموضوع",""),IF(W351="","الملاحظة",""),IF(X351="","مشكلة",""),IF(Y351="","الإجراء",""),IF(Z351="","التنفيذ",""),IF(AA351="","الجودة",""),IF(AB351="","الإغلاق",""),IF(AC351="","الخصم",""),IF(AND(COUNTA($O351:$U351)&gt;0,O351=""),"مدير المشروع",""),IF(AND(COUNTA($O351:$U351)&gt;0,P351=""),"المستفيدين",""),IF(AND(COUNTA($O351:$U351)&gt;0,Q351=""),"المناطق",""),IF(AND(COUNTA($O351:$U351)&gt;0,R351=""),"الميزانية",""),IF(AND(COUNTA($O351:$U351)&gt;0,S351=""),"نسبة الجاهزية",""),IF(AND(COUNTA($O351:$U351)&gt;0,T351=""),"حالة الجاهزية",""),IF(AND(COUNTA($O351:$U351)&gt;0,U351=""),"التوصيات","")))&gt;0,"✗ ناقص: "&amp;_xlfn.TEXTJOIN("، ",TRUE,IF(E351="","التاريخ",""),IF(F351="","الوقت",""),IF(G351="","المركز",""),IF(H351="","الدائرة",""),IF(I351="","القسم",""),IF(J351="","المسؤول",""),IF(K351="","نوع النشاط",""),IF(L351="","المشروع",""),IF(N351="","الممول",""),IF(V351="","الموضوع",""),IF(W351="","الملاحظة",""),IF(X351="","مشكلة",""),IF(Y351="","الإجراء",""),IF(Z351="","التنفيذ",""),IF(AA351="","الجودة",""),IF(AB351="","الإغلاق",""),IF(AC351="","الخصم",""),IF(AND(COUNTA($O351:$U351)&gt;0,O351=""),"مدير المشروع",""),IF(AND(COUNTA($O351:$U351)&gt;0,P351=""),"المستفيدين",""),IF(AND(COUNTA($O351:$U351)&gt;0,Q351=""),"المناطق",""),IF(AND(COUNTA($O351:$U351)&gt;0,R351=""),"الميزانية",""),IF(AND(COUNTA($O351:$U351)&gt;0,S351=""),"نسبة الجاهزية",""),IF(AND(COUNTA($O351:$U351)&gt;0,T351=""),"حالة الجاهزية",""),IF(AND(COUNTA($O351:$U351)&gt;0,U351=""),"التوصيات","")),"✓"),"✓"))))))))))</f>
        <v/>
      </c>
      <c r="E351" s="235"/>
      <c r="F351" s="236"/>
      <c r="G351" s="90"/>
      <c r="H351" s="239"/>
      <c r="I351" s="89"/>
      <c r="J351" s="142"/>
      <c r="K351" s="90"/>
      <c r="L351" s="90"/>
      <c r="M351" s="90"/>
      <c r="N351" s="89"/>
      <c r="O351" s="200"/>
      <c r="P351" s="201"/>
      <c r="Q351" s="201"/>
      <c r="R351" s="237"/>
      <c r="S351" s="202"/>
      <c r="T351" s="200"/>
      <c r="U351" s="203"/>
      <c r="V351" s="89"/>
      <c r="W351" s="89"/>
      <c r="X351" s="145"/>
      <c r="Y351" s="89"/>
      <c r="Z351" s="90"/>
      <c r="AA351" s="90"/>
      <c r="AB351" s="90"/>
      <c r="AC351" s="90"/>
      <c r="AD351" s="92"/>
      <c r="AE351" s="149" t="str">
        <f>IFERROR(VLOOKUP(Z351,LISTS!$AL$2:$AM$1000,2,FALSE()),"")</f>
        <v/>
      </c>
      <c r="AF351" s="151" t="str">
        <f>IFERROR(VLOOKUP(AA351,LISTS!$AO$2:$AP$1000,2,FALSE()),"")</f>
        <v/>
      </c>
      <c r="AG351" s="152" t="str">
        <f>IFERROR(VLOOKUP(AB351,LISTS!$AR$2:$AS$1000,2,FALSE()),"")</f>
        <v/>
      </c>
      <c r="AH351" s="154" t="str">
        <f>IFERROR(VLOOKUP(AC351,LISTS!$AU$2:$AV$1000,2,FALSE()),"")</f>
        <v/>
      </c>
      <c r="AI351" s="238" t="str">
        <f t="shared" si="28"/>
        <v>—</v>
      </c>
      <c r="AJ351" s="190" t="str">
        <f t="shared" si="29"/>
        <v>—</v>
      </c>
      <c r="AK351" s="157" t="str">
        <f t="shared" si="30"/>
        <v/>
      </c>
      <c r="AL351" s="160" t="str">
        <f t="shared" si="31"/>
        <v/>
      </c>
      <c r="AM351" s="210"/>
      <c r="AN351" s="209"/>
    </row>
    <row r="352" spans="1:40" ht="27.95" customHeight="1">
      <c r="A352" s="134" t="str">
        <f>IF(I352&lt;&gt;"",COUNTA($I$2:I352),"")</f>
        <v/>
      </c>
      <c r="B352" s="138" t="str">
        <f t="shared" si="32"/>
        <v/>
      </c>
      <c r="C352" s="93" t="str">
        <f t="array" ref="C352">IF(E352="","",IF(M352&lt;&gt;"",
M352&amp;"/"&amp;SUMPRODUCT((M$2:M352=M352)*1)&amp;" - "&amp;(ROW()-2),
"إداري/"&amp;SUMPRODUCT((M$2:M352="")*1)&amp;" - "&amp;(ROW()-2)))</f>
        <v/>
      </c>
      <c r="D352" s="141" t="str">
        <f>IF(AND(G352="",H352="",I352=""),"",IF(COUNTIFS(LISTS!$A$2:$A$67,G352,LISTS!$B$2:$B$67,H352,LISTS!$C$2:$C$67,I352)=0,"✗ هرم",IF(NOT(OR(Z352="ممتاز 100%",Z352="جيد 80%",Z352="مقبول 60%",Z352="خطر 40%",Z352="")),"✗ قائمة R",IF(NOT(OR(AA352="ممتاز 100%",AA352="جيد 85%",AA352="مقبول 70%",AA352="ضعيف 50%",AA352="")),"✗ قائمة S",IF(NOT(OR(AB352="مكتمل 100%",AB352="جزئي 60%",AB352="معلق 30%",AB352="مفتوح 0%",AB352="")),"✗ قائمة T",IF(NOT(OR(AC352="لا خصم 0",AC352="تأخير −5",AC352="عجز −10",AC352="جودة −15",AC352="امتثال −20",AC352="مخالفة −25",AC352="")),"✗ قائمة U",IF(AND(X352="لا",AC352&lt;&gt;"",AC352&lt;&gt;"لا خصم 0"),"✗ خصم",IF(AND(X352="نعم",AC352="لا خصم 0"),"✗ خصم",IF(AND(Z352="ممتاز 100%",AA352="ممتاز 100%",AB352&lt;&gt;"",AB352&lt;&gt;"مكتمل 100%"),"✗ إغلاق",IFERROR(IF(LEN(_xlfn.TEXTJOIN("، ",TRUE,IF(E352="","التاريخ",""),IF(F352="","الوقت",""),IF(G352="","المركز",""),IF(H352="","الدائرة",""),IF(I352="","القسم",""),IF(J352="","المسؤول",""),IF(K352="","نوع النشاط",""),IF(L352="","المشروع",""),IF(N352="","الممول",""),IF(V352="","الموضوع",""),IF(W352="","الملاحظة",""),IF(X352="","مشكلة",""),IF(Y352="","الإجراء",""),IF(Z352="","التنفيذ",""),IF(AA352="","الجودة",""),IF(AB352="","الإغلاق",""),IF(AC352="","الخصم",""),IF(AND(COUNTA($O352:$U352)&gt;0,O352=""),"مدير المشروع",""),IF(AND(COUNTA($O352:$U352)&gt;0,P352=""),"المستفيدين",""),IF(AND(COUNTA($O352:$U352)&gt;0,Q352=""),"المناطق",""),IF(AND(COUNTA($O352:$U352)&gt;0,R352=""),"الميزانية",""),IF(AND(COUNTA($O352:$U352)&gt;0,S352=""),"نسبة الجاهزية",""),IF(AND(COUNTA($O352:$U352)&gt;0,T352=""),"حالة الجاهزية",""),IF(AND(COUNTA($O352:$U352)&gt;0,U352=""),"التوصيات","")))&gt;0,"✗ ناقص: "&amp;_xlfn.TEXTJOIN("، ",TRUE,IF(E352="","التاريخ",""),IF(F352="","الوقت",""),IF(G352="","المركز",""),IF(H352="","الدائرة",""),IF(I352="","القسم",""),IF(J352="","المسؤول",""),IF(K352="","نوع النشاط",""),IF(L352="","المشروع",""),IF(N352="","الممول",""),IF(V352="","الموضوع",""),IF(W352="","الملاحظة",""),IF(X352="","مشكلة",""),IF(Y352="","الإجراء",""),IF(Z352="","التنفيذ",""),IF(AA352="","الجودة",""),IF(AB352="","الإغلاق",""),IF(AC352="","الخصم",""),IF(AND(COUNTA($O352:$U352)&gt;0,O352=""),"مدير المشروع",""),IF(AND(COUNTA($O352:$U352)&gt;0,P352=""),"المستفيدين",""),IF(AND(COUNTA($O352:$U352)&gt;0,Q352=""),"المناطق",""),IF(AND(COUNTA($O352:$U352)&gt;0,R352=""),"الميزانية",""),IF(AND(COUNTA($O352:$U352)&gt;0,S352=""),"نسبة الجاهزية",""),IF(AND(COUNTA($O352:$U352)&gt;0,T352=""),"حالة الجاهزية",""),IF(AND(COUNTA($O352:$U352)&gt;0,U352=""),"التوصيات","")),"✓"),"✓"))))))))))</f>
        <v/>
      </c>
      <c r="E352" s="235"/>
      <c r="F352" s="236"/>
      <c r="G352" s="90"/>
      <c r="H352" s="239"/>
      <c r="I352" s="89"/>
      <c r="J352" s="142"/>
      <c r="K352" s="90"/>
      <c r="L352" s="90"/>
      <c r="M352" s="90"/>
      <c r="N352" s="89"/>
      <c r="O352" s="200"/>
      <c r="P352" s="201"/>
      <c r="Q352" s="201"/>
      <c r="R352" s="237"/>
      <c r="S352" s="202"/>
      <c r="T352" s="200"/>
      <c r="U352" s="203"/>
      <c r="V352" s="89"/>
      <c r="W352" s="89"/>
      <c r="X352" s="145"/>
      <c r="Y352" s="89"/>
      <c r="Z352" s="90"/>
      <c r="AA352" s="90"/>
      <c r="AB352" s="90"/>
      <c r="AC352" s="90"/>
      <c r="AD352" s="92"/>
      <c r="AE352" s="149" t="str">
        <f>IFERROR(VLOOKUP(Z352,LISTS!$AL$2:$AM$1000,2,FALSE()),"")</f>
        <v/>
      </c>
      <c r="AF352" s="151" t="str">
        <f>IFERROR(VLOOKUP(AA352,LISTS!$AO$2:$AP$1000,2,FALSE()),"")</f>
        <v/>
      </c>
      <c r="AG352" s="152" t="str">
        <f>IFERROR(VLOOKUP(AB352,LISTS!$AR$2:$AS$1000,2,FALSE()),"")</f>
        <v/>
      </c>
      <c r="AH352" s="154" t="str">
        <f>IFERROR(VLOOKUP(AC352,LISTS!$AU$2:$AV$1000,2,FALSE()),"")</f>
        <v/>
      </c>
      <c r="AI352" s="238" t="str">
        <f t="shared" si="28"/>
        <v>—</v>
      </c>
      <c r="AJ352" s="190" t="str">
        <f t="shared" si="29"/>
        <v>—</v>
      </c>
      <c r="AK352" s="157" t="str">
        <f t="shared" si="30"/>
        <v/>
      </c>
      <c r="AL352" s="160" t="str">
        <f t="shared" si="31"/>
        <v/>
      </c>
      <c r="AM352" s="210"/>
      <c r="AN352" s="209"/>
    </row>
    <row r="353" spans="1:40" ht="27.95" customHeight="1">
      <c r="A353" s="134" t="str">
        <f>IF(I353&lt;&gt;"",COUNTA($I$2:I353),"")</f>
        <v/>
      </c>
      <c r="B353" s="138" t="str">
        <f t="shared" si="32"/>
        <v/>
      </c>
      <c r="C353" s="93" t="str">
        <f t="array" ref="C353">IF(E353="","",IF(M353&lt;&gt;"",
M353&amp;"/"&amp;SUMPRODUCT((M$2:M353=M353)*1)&amp;" - "&amp;(ROW()-2),
"إداري/"&amp;SUMPRODUCT((M$2:M353="")*1)&amp;" - "&amp;(ROW()-2)))</f>
        <v/>
      </c>
      <c r="D353" s="141" t="str">
        <f>IF(AND(G353="",H353="",I353=""),"",IF(COUNTIFS(LISTS!$A$2:$A$67,G353,LISTS!$B$2:$B$67,H353,LISTS!$C$2:$C$67,I353)=0,"✗ هرم",IF(NOT(OR(Z353="ممتاز 100%",Z353="جيد 80%",Z353="مقبول 60%",Z353="خطر 40%",Z353="")),"✗ قائمة R",IF(NOT(OR(AA353="ممتاز 100%",AA353="جيد 85%",AA353="مقبول 70%",AA353="ضعيف 50%",AA353="")),"✗ قائمة S",IF(NOT(OR(AB353="مكتمل 100%",AB353="جزئي 60%",AB353="معلق 30%",AB353="مفتوح 0%",AB353="")),"✗ قائمة T",IF(NOT(OR(AC353="لا خصم 0",AC353="تأخير −5",AC353="عجز −10",AC353="جودة −15",AC353="امتثال −20",AC353="مخالفة −25",AC353="")),"✗ قائمة U",IF(AND(X353="لا",AC353&lt;&gt;"",AC353&lt;&gt;"لا خصم 0"),"✗ خصم",IF(AND(X353="نعم",AC353="لا خصم 0"),"✗ خصم",IF(AND(Z353="ممتاز 100%",AA353="ممتاز 100%",AB353&lt;&gt;"",AB353&lt;&gt;"مكتمل 100%"),"✗ إغلاق",IFERROR(IF(LEN(_xlfn.TEXTJOIN("، ",TRUE,IF(E353="","التاريخ",""),IF(F353="","الوقت",""),IF(G353="","المركز",""),IF(H353="","الدائرة",""),IF(I353="","القسم",""),IF(J353="","المسؤول",""),IF(K353="","نوع النشاط",""),IF(L353="","المشروع",""),IF(N353="","الممول",""),IF(V353="","الموضوع",""),IF(W353="","الملاحظة",""),IF(X353="","مشكلة",""),IF(Y353="","الإجراء",""),IF(Z353="","التنفيذ",""),IF(AA353="","الجودة",""),IF(AB353="","الإغلاق",""),IF(AC353="","الخصم",""),IF(AND(COUNTA($O353:$U353)&gt;0,O353=""),"مدير المشروع",""),IF(AND(COUNTA($O353:$U353)&gt;0,P353=""),"المستفيدين",""),IF(AND(COUNTA($O353:$U353)&gt;0,Q353=""),"المناطق",""),IF(AND(COUNTA($O353:$U353)&gt;0,R353=""),"الميزانية",""),IF(AND(COUNTA($O353:$U353)&gt;0,S353=""),"نسبة الجاهزية",""),IF(AND(COUNTA($O353:$U353)&gt;0,T353=""),"حالة الجاهزية",""),IF(AND(COUNTA($O353:$U353)&gt;0,U353=""),"التوصيات","")))&gt;0,"✗ ناقص: "&amp;_xlfn.TEXTJOIN("، ",TRUE,IF(E353="","التاريخ",""),IF(F353="","الوقت",""),IF(G353="","المركز",""),IF(H353="","الدائرة",""),IF(I353="","القسم",""),IF(J353="","المسؤول",""),IF(K353="","نوع النشاط",""),IF(L353="","المشروع",""),IF(N353="","الممول",""),IF(V353="","الموضوع",""),IF(W353="","الملاحظة",""),IF(X353="","مشكلة",""),IF(Y353="","الإجراء",""),IF(Z353="","التنفيذ",""),IF(AA353="","الجودة",""),IF(AB353="","الإغلاق",""),IF(AC353="","الخصم",""),IF(AND(COUNTA($O353:$U353)&gt;0,O353=""),"مدير المشروع",""),IF(AND(COUNTA($O353:$U353)&gt;0,P353=""),"المستفيدين",""),IF(AND(COUNTA($O353:$U353)&gt;0,Q353=""),"المناطق",""),IF(AND(COUNTA($O353:$U353)&gt;0,R353=""),"الميزانية",""),IF(AND(COUNTA($O353:$U353)&gt;0,S353=""),"نسبة الجاهزية",""),IF(AND(COUNTA($O353:$U353)&gt;0,T353=""),"حالة الجاهزية",""),IF(AND(COUNTA($O353:$U353)&gt;0,U353=""),"التوصيات","")),"✓"),"✓"))))))))))</f>
        <v/>
      </c>
      <c r="E353" s="235"/>
      <c r="F353" s="236"/>
      <c r="G353" s="90"/>
      <c r="H353" s="239"/>
      <c r="I353" s="89"/>
      <c r="J353" s="142"/>
      <c r="K353" s="90"/>
      <c r="L353" s="90"/>
      <c r="M353" s="90"/>
      <c r="N353" s="89"/>
      <c r="O353" s="200"/>
      <c r="P353" s="201"/>
      <c r="Q353" s="201"/>
      <c r="R353" s="237"/>
      <c r="S353" s="202"/>
      <c r="T353" s="200"/>
      <c r="U353" s="203"/>
      <c r="V353" s="89"/>
      <c r="W353" s="89"/>
      <c r="X353" s="145"/>
      <c r="Y353" s="89"/>
      <c r="Z353" s="90"/>
      <c r="AA353" s="90"/>
      <c r="AB353" s="90"/>
      <c r="AC353" s="90"/>
      <c r="AD353" s="92"/>
      <c r="AE353" s="149" t="str">
        <f>IFERROR(VLOOKUP(Z353,LISTS!$AL$2:$AM$1000,2,FALSE()),"")</f>
        <v/>
      </c>
      <c r="AF353" s="151" t="str">
        <f>IFERROR(VLOOKUP(AA353,LISTS!$AO$2:$AP$1000,2,FALSE()),"")</f>
        <v/>
      </c>
      <c r="AG353" s="152" t="str">
        <f>IFERROR(VLOOKUP(AB353,LISTS!$AR$2:$AS$1000,2,FALSE()),"")</f>
        <v/>
      </c>
      <c r="AH353" s="154" t="str">
        <f>IFERROR(VLOOKUP(AC353,LISTS!$AU$2:$AV$1000,2,FALSE()),"")</f>
        <v/>
      </c>
      <c r="AI353" s="238" t="str">
        <f t="shared" si="28"/>
        <v>—</v>
      </c>
      <c r="AJ353" s="190" t="str">
        <f t="shared" si="29"/>
        <v>—</v>
      </c>
      <c r="AK353" s="157" t="str">
        <f t="shared" si="30"/>
        <v/>
      </c>
      <c r="AL353" s="160" t="str">
        <f t="shared" si="31"/>
        <v/>
      </c>
      <c r="AM353" s="210"/>
      <c r="AN353" s="209"/>
    </row>
    <row r="354" spans="1:40" ht="27.95" customHeight="1">
      <c r="A354" s="134" t="str">
        <f>IF(I354&lt;&gt;"",COUNTA($I$2:I354),"")</f>
        <v/>
      </c>
      <c r="B354" s="138" t="str">
        <f t="shared" si="32"/>
        <v/>
      </c>
      <c r="C354" s="93" t="str">
        <f t="array" ref="C354">IF(E354="","",IF(M354&lt;&gt;"",
M354&amp;"/"&amp;SUMPRODUCT((M$2:M354=M354)*1)&amp;" - "&amp;(ROW()-2),
"إداري/"&amp;SUMPRODUCT((M$2:M354="")*1)&amp;" - "&amp;(ROW()-2)))</f>
        <v/>
      </c>
      <c r="D354" s="141" t="str">
        <f>IF(AND(G354="",H354="",I354=""),"",IF(COUNTIFS(LISTS!$A$2:$A$67,G354,LISTS!$B$2:$B$67,H354,LISTS!$C$2:$C$67,I354)=0,"✗ هرم",IF(NOT(OR(Z354="ممتاز 100%",Z354="جيد 80%",Z354="مقبول 60%",Z354="خطر 40%",Z354="")),"✗ قائمة R",IF(NOT(OR(AA354="ممتاز 100%",AA354="جيد 85%",AA354="مقبول 70%",AA354="ضعيف 50%",AA354="")),"✗ قائمة S",IF(NOT(OR(AB354="مكتمل 100%",AB354="جزئي 60%",AB354="معلق 30%",AB354="مفتوح 0%",AB354="")),"✗ قائمة T",IF(NOT(OR(AC354="لا خصم 0",AC354="تأخير −5",AC354="عجز −10",AC354="جودة −15",AC354="امتثال −20",AC354="مخالفة −25",AC354="")),"✗ قائمة U",IF(AND(X354="لا",AC354&lt;&gt;"",AC354&lt;&gt;"لا خصم 0"),"✗ خصم",IF(AND(X354="نعم",AC354="لا خصم 0"),"✗ خصم",IF(AND(Z354="ممتاز 100%",AA354="ممتاز 100%",AB354&lt;&gt;"",AB354&lt;&gt;"مكتمل 100%"),"✗ إغلاق",IFERROR(IF(LEN(_xlfn.TEXTJOIN("، ",TRUE,IF(E354="","التاريخ",""),IF(F354="","الوقت",""),IF(G354="","المركز",""),IF(H354="","الدائرة",""),IF(I354="","القسم",""),IF(J354="","المسؤول",""),IF(K354="","نوع النشاط",""),IF(L354="","المشروع",""),IF(N354="","الممول",""),IF(V354="","الموضوع",""),IF(W354="","الملاحظة",""),IF(X354="","مشكلة",""),IF(Y354="","الإجراء",""),IF(Z354="","التنفيذ",""),IF(AA354="","الجودة",""),IF(AB354="","الإغلاق",""),IF(AC354="","الخصم",""),IF(AND(COUNTA($O354:$U354)&gt;0,O354=""),"مدير المشروع",""),IF(AND(COUNTA($O354:$U354)&gt;0,P354=""),"المستفيدين",""),IF(AND(COUNTA($O354:$U354)&gt;0,Q354=""),"المناطق",""),IF(AND(COUNTA($O354:$U354)&gt;0,R354=""),"الميزانية",""),IF(AND(COUNTA($O354:$U354)&gt;0,S354=""),"نسبة الجاهزية",""),IF(AND(COUNTA($O354:$U354)&gt;0,T354=""),"حالة الجاهزية",""),IF(AND(COUNTA($O354:$U354)&gt;0,U354=""),"التوصيات","")))&gt;0,"✗ ناقص: "&amp;_xlfn.TEXTJOIN("، ",TRUE,IF(E354="","التاريخ",""),IF(F354="","الوقت",""),IF(G354="","المركز",""),IF(H354="","الدائرة",""),IF(I354="","القسم",""),IF(J354="","المسؤول",""),IF(K354="","نوع النشاط",""),IF(L354="","المشروع",""),IF(N354="","الممول",""),IF(V354="","الموضوع",""),IF(W354="","الملاحظة",""),IF(X354="","مشكلة",""),IF(Y354="","الإجراء",""),IF(Z354="","التنفيذ",""),IF(AA354="","الجودة",""),IF(AB354="","الإغلاق",""),IF(AC354="","الخصم",""),IF(AND(COUNTA($O354:$U354)&gt;0,O354=""),"مدير المشروع",""),IF(AND(COUNTA($O354:$U354)&gt;0,P354=""),"المستفيدين",""),IF(AND(COUNTA($O354:$U354)&gt;0,Q354=""),"المناطق",""),IF(AND(COUNTA($O354:$U354)&gt;0,R354=""),"الميزانية",""),IF(AND(COUNTA($O354:$U354)&gt;0,S354=""),"نسبة الجاهزية",""),IF(AND(COUNTA($O354:$U354)&gt;0,T354=""),"حالة الجاهزية",""),IF(AND(COUNTA($O354:$U354)&gt;0,U354=""),"التوصيات","")),"✓"),"✓"))))))))))</f>
        <v/>
      </c>
      <c r="E354" s="235"/>
      <c r="F354" s="236"/>
      <c r="G354" s="90"/>
      <c r="H354" s="239"/>
      <c r="I354" s="89"/>
      <c r="J354" s="142"/>
      <c r="K354" s="90"/>
      <c r="L354" s="90"/>
      <c r="M354" s="90"/>
      <c r="N354" s="89"/>
      <c r="O354" s="200"/>
      <c r="P354" s="201"/>
      <c r="Q354" s="201"/>
      <c r="R354" s="237"/>
      <c r="S354" s="202"/>
      <c r="T354" s="200"/>
      <c r="U354" s="203"/>
      <c r="V354" s="89"/>
      <c r="W354" s="89"/>
      <c r="X354" s="145"/>
      <c r="Y354" s="89"/>
      <c r="Z354" s="90"/>
      <c r="AA354" s="90"/>
      <c r="AB354" s="90"/>
      <c r="AC354" s="90"/>
      <c r="AD354" s="92"/>
      <c r="AE354" s="149" t="str">
        <f>IFERROR(VLOOKUP(Z354,LISTS!$AL$2:$AM$1000,2,FALSE()),"")</f>
        <v/>
      </c>
      <c r="AF354" s="151" t="str">
        <f>IFERROR(VLOOKUP(AA354,LISTS!$AO$2:$AP$1000,2,FALSE()),"")</f>
        <v/>
      </c>
      <c r="AG354" s="152" t="str">
        <f>IFERROR(VLOOKUP(AB354,LISTS!$AR$2:$AS$1000,2,FALSE()),"")</f>
        <v/>
      </c>
      <c r="AH354" s="154" t="str">
        <f>IFERROR(VLOOKUP(AC354,LISTS!$AU$2:$AV$1000,2,FALSE()),"")</f>
        <v/>
      </c>
      <c r="AI354" s="238" t="str">
        <f t="shared" si="28"/>
        <v>—</v>
      </c>
      <c r="AJ354" s="190" t="str">
        <f t="shared" si="29"/>
        <v>—</v>
      </c>
      <c r="AK354" s="157" t="str">
        <f t="shared" si="30"/>
        <v/>
      </c>
      <c r="AL354" s="160" t="str">
        <f t="shared" si="31"/>
        <v/>
      </c>
      <c r="AM354" s="210"/>
      <c r="AN354" s="209"/>
    </row>
    <row r="355" spans="1:40" ht="27.95" customHeight="1">
      <c r="A355" s="134" t="str">
        <f>IF(I355&lt;&gt;"",COUNTA($I$2:I355),"")</f>
        <v/>
      </c>
      <c r="B355" s="138" t="str">
        <f t="shared" si="32"/>
        <v/>
      </c>
      <c r="C355" s="93" t="str">
        <f t="array" ref="C355">IF(E355="","",IF(M355&lt;&gt;"",
M355&amp;"/"&amp;SUMPRODUCT((M$2:M355=M355)*1)&amp;" - "&amp;(ROW()-2),
"إداري/"&amp;SUMPRODUCT((M$2:M355="")*1)&amp;" - "&amp;(ROW()-2)))</f>
        <v/>
      </c>
      <c r="D355" s="141" t="str">
        <f>IF(AND(G355="",H355="",I355=""),"",IF(COUNTIFS(LISTS!$A$2:$A$67,G355,LISTS!$B$2:$B$67,H355,LISTS!$C$2:$C$67,I355)=0,"✗ هرم",IF(NOT(OR(Z355="ممتاز 100%",Z355="جيد 80%",Z355="مقبول 60%",Z355="خطر 40%",Z355="")),"✗ قائمة R",IF(NOT(OR(AA355="ممتاز 100%",AA355="جيد 85%",AA355="مقبول 70%",AA355="ضعيف 50%",AA355="")),"✗ قائمة S",IF(NOT(OR(AB355="مكتمل 100%",AB355="جزئي 60%",AB355="معلق 30%",AB355="مفتوح 0%",AB355="")),"✗ قائمة T",IF(NOT(OR(AC355="لا خصم 0",AC355="تأخير −5",AC355="عجز −10",AC355="جودة −15",AC355="امتثال −20",AC355="مخالفة −25",AC355="")),"✗ قائمة U",IF(AND(X355="لا",AC355&lt;&gt;"",AC355&lt;&gt;"لا خصم 0"),"✗ خصم",IF(AND(X355="نعم",AC355="لا خصم 0"),"✗ خصم",IF(AND(Z355="ممتاز 100%",AA355="ممتاز 100%",AB355&lt;&gt;"",AB355&lt;&gt;"مكتمل 100%"),"✗ إغلاق",IFERROR(IF(LEN(_xlfn.TEXTJOIN("، ",TRUE,IF(E355="","التاريخ",""),IF(F355="","الوقت",""),IF(G355="","المركز",""),IF(H355="","الدائرة",""),IF(I355="","القسم",""),IF(J355="","المسؤول",""),IF(K355="","نوع النشاط",""),IF(L355="","المشروع",""),IF(N355="","الممول",""),IF(V355="","الموضوع",""),IF(W355="","الملاحظة",""),IF(X355="","مشكلة",""),IF(Y355="","الإجراء",""),IF(Z355="","التنفيذ",""),IF(AA355="","الجودة",""),IF(AB355="","الإغلاق",""),IF(AC355="","الخصم",""),IF(AND(COUNTA($O355:$U355)&gt;0,O355=""),"مدير المشروع",""),IF(AND(COUNTA($O355:$U355)&gt;0,P355=""),"المستفيدين",""),IF(AND(COUNTA($O355:$U355)&gt;0,Q355=""),"المناطق",""),IF(AND(COUNTA($O355:$U355)&gt;0,R355=""),"الميزانية",""),IF(AND(COUNTA($O355:$U355)&gt;0,S355=""),"نسبة الجاهزية",""),IF(AND(COUNTA($O355:$U355)&gt;0,T355=""),"حالة الجاهزية",""),IF(AND(COUNTA($O355:$U355)&gt;0,U355=""),"التوصيات","")))&gt;0,"✗ ناقص: "&amp;_xlfn.TEXTJOIN("، ",TRUE,IF(E355="","التاريخ",""),IF(F355="","الوقت",""),IF(G355="","المركز",""),IF(H355="","الدائرة",""),IF(I355="","القسم",""),IF(J355="","المسؤول",""),IF(K355="","نوع النشاط",""),IF(L355="","المشروع",""),IF(N355="","الممول",""),IF(V355="","الموضوع",""),IF(W355="","الملاحظة",""),IF(X355="","مشكلة",""),IF(Y355="","الإجراء",""),IF(Z355="","التنفيذ",""),IF(AA355="","الجودة",""),IF(AB355="","الإغلاق",""),IF(AC355="","الخصم",""),IF(AND(COUNTA($O355:$U355)&gt;0,O355=""),"مدير المشروع",""),IF(AND(COUNTA($O355:$U355)&gt;0,P355=""),"المستفيدين",""),IF(AND(COUNTA($O355:$U355)&gt;0,Q355=""),"المناطق",""),IF(AND(COUNTA($O355:$U355)&gt;0,R355=""),"الميزانية",""),IF(AND(COUNTA($O355:$U355)&gt;0,S355=""),"نسبة الجاهزية",""),IF(AND(COUNTA($O355:$U355)&gt;0,T355=""),"حالة الجاهزية",""),IF(AND(COUNTA($O355:$U355)&gt;0,U355=""),"التوصيات","")),"✓"),"✓"))))))))))</f>
        <v/>
      </c>
      <c r="E355" s="235"/>
      <c r="F355" s="236"/>
      <c r="G355" s="90"/>
      <c r="H355" s="239"/>
      <c r="I355" s="89"/>
      <c r="J355" s="142"/>
      <c r="K355" s="90"/>
      <c r="L355" s="90"/>
      <c r="M355" s="90"/>
      <c r="N355" s="89"/>
      <c r="O355" s="200"/>
      <c r="P355" s="201"/>
      <c r="Q355" s="201"/>
      <c r="R355" s="237"/>
      <c r="S355" s="202"/>
      <c r="T355" s="200"/>
      <c r="U355" s="203"/>
      <c r="V355" s="89"/>
      <c r="W355" s="89"/>
      <c r="X355" s="145"/>
      <c r="Y355" s="89"/>
      <c r="Z355" s="90"/>
      <c r="AA355" s="90"/>
      <c r="AB355" s="90"/>
      <c r="AC355" s="90"/>
      <c r="AD355" s="92"/>
      <c r="AE355" s="149" t="str">
        <f>IFERROR(VLOOKUP(Z355,LISTS!$AL$2:$AM$1000,2,FALSE()),"")</f>
        <v/>
      </c>
      <c r="AF355" s="151" t="str">
        <f>IFERROR(VLOOKUP(AA355,LISTS!$AO$2:$AP$1000,2,FALSE()),"")</f>
        <v/>
      </c>
      <c r="AG355" s="152" t="str">
        <f>IFERROR(VLOOKUP(AB355,LISTS!$AR$2:$AS$1000,2,FALSE()),"")</f>
        <v/>
      </c>
      <c r="AH355" s="154" t="str">
        <f>IFERROR(VLOOKUP(AC355,LISTS!$AU$2:$AV$1000,2,FALSE()),"")</f>
        <v/>
      </c>
      <c r="AI355" s="238" t="str">
        <f t="shared" si="28"/>
        <v>—</v>
      </c>
      <c r="AJ355" s="190" t="str">
        <f t="shared" si="29"/>
        <v>—</v>
      </c>
      <c r="AK355" s="157" t="str">
        <f t="shared" si="30"/>
        <v/>
      </c>
      <c r="AL355" s="160" t="str">
        <f t="shared" si="31"/>
        <v/>
      </c>
      <c r="AM355" s="210"/>
      <c r="AN355" s="209"/>
    </row>
    <row r="356" spans="1:40" ht="27.95" customHeight="1">
      <c r="A356" s="134" t="str">
        <f>IF(I356&lt;&gt;"",COUNTA($I$2:I356),"")</f>
        <v/>
      </c>
      <c r="B356" s="138" t="str">
        <f t="shared" si="32"/>
        <v/>
      </c>
      <c r="C356" s="93" t="str">
        <f t="array" ref="C356">IF(E356="","",IF(M356&lt;&gt;"",
M356&amp;"/"&amp;SUMPRODUCT((M$2:M356=M356)*1)&amp;" - "&amp;(ROW()-2),
"إداري/"&amp;SUMPRODUCT((M$2:M356="")*1)&amp;" - "&amp;(ROW()-2)))</f>
        <v/>
      </c>
      <c r="D356" s="141" t="str">
        <f>IF(AND(G356="",H356="",I356=""),"",IF(COUNTIFS(LISTS!$A$2:$A$67,G356,LISTS!$B$2:$B$67,H356,LISTS!$C$2:$C$67,I356)=0,"✗ هرم",IF(NOT(OR(Z356="ممتاز 100%",Z356="جيد 80%",Z356="مقبول 60%",Z356="خطر 40%",Z356="")),"✗ قائمة R",IF(NOT(OR(AA356="ممتاز 100%",AA356="جيد 85%",AA356="مقبول 70%",AA356="ضعيف 50%",AA356="")),"✗ قائمة S",IF(NOT(OR(AB356="مكتمل 100%",AB356="جزئي 60%",AB356="معلق 30%",AB356="مفتوح 0%",AB356="")),"✗ قائمة T",IF(NOT(OR(AC356="لا خصم 0",AC356="تأخير −5",AC356="عجز −10",AC356="جودة −15",AC356="امتثال −20",AC356="مخالفة −25",AC356="")),"✗ قائمة U",IF(AND(X356="لا",AC356&lt;&gt;"",AC356&lt;&gt;"لا خصم 0"),"✗ خصم",IF(AND(X356="نعم",AC356="لا خصم 0"),"✗ خصم",IF(AND(Z356="ممتاز 100%",AA356="ممتاز 100%",AB356&lt;&gt;"",AB356&lt;&gt;"مكتمل 100%"),"✗ إغلاق",IFERROR(IF(LEN(_xlfn.TEXTJOIN("، ",TRUE,IF(E356="","التاريخ",""),IF(F356="","الوقت",""),IF(G356="","المركز",""),IF(H356="","الدائرة",""),IF(I356="","القسم",""),IF(J356="","المسؤول",""),IF(K356="","نوع النشاط",""),IF(L356="","المشروع",""),IF(N356="","الممول",""),IF(V356="","الموضوع",""),IF(W356="","الملاحظة",""),IF(X356="","مشكلة",""),IF(Y356="","الإجراء",""),IF(Z356="","التنفيذ",""),IF(AA356="","الجودة",""),IF(AB356="","الإغلاق",""),IF(AC356="","الخصم",""),IF(AND(COUNTA($O356:$U356)&gt;0,O356=""),"مدير المشروع",""),IF(AND(COUNTA($O356:$U356)&gt;0,P356=""),"المستفيدين",""),IF(AND(COUNTA($O356:$U356)&gt;0,Q356=""),"المناطق",""),IF(AND(COUNTA($O356:$U356)&gt;0,R356=""),"الميزانية",""),IF(AND(COUNTA($O356:$U356)&gt;0,S356=""),"نسبة الجاهزية",""),IF(AND(COUNTA($O356:$U356)&gt;0,T356=""),"حالة الجاهزية",""),IF(AND(COUNTA($O356:$U356)&gt;0,U356=""),"التوصيات","")))&gt;0,"✗ ناقص: "&amp;_xlfn.TEXTJOIN("، ",TRUE,IF(E356="","التاريخ",""),IF(F356="","الوقت",""),IF(G356="","المركز",""),IF(H356="","الدائرة",""),IF(I356="","القسم",""),IF(J356="","المسؤول",""),IF(K356="","نوع النشاط",""),IF(L356="","المشروع",""),IF(N356="","الممول",""),IF(V356="","الموضوع",""),IF(W356="","الملاحظة",""),IF(X356="","مشكلة",""),IF(Y356="","الإجراء",""),IF(Z356="","التنفيذ",""),IF(AA356="","الجودة",""),IF(AB356="","الإغلاق",""),IF(AC356="","الخصم",""),IF(AND(COUNTA($O356:$U356)&gt;0,O356=""),"مدير المشروع",""),IF(AND(COUNTA($O356:$U356)&gt;0,P356=""),"المستفيدين",""),IF(AND(COUNTA($O356:$U356)&gt;0,Q356=""),"المناطق",""),IF(AND(COUNTA($O356:$U356)&gt;0,R356=""),"الميزانية",""),IF(AND(COUNTA($O356:$U356)&gt;0,S356=""),"نسبة الجاهزية",""),IF(AND(COUNTA($O356:$U356)&gt;0,T356=""),"حالة الجاهزية",""),IF(AND(COUNTA($O356:$U356)&gt;0,U356=""),"التوصيات","")),"✓"),"✓"))))))))))</f>
        <v/>
      </c>
      <c r="E356" s="235"/>
      <c r="F356" s="236"/>
      <c r="G356" s="90"/>
      <c r="H356" s="239"/>
      <c r="I356" s="89"/>
      <c r="J356" s="142"/>
      <c r="K356" s="90"/>
      <c r="L356" s="90"/>
      <c r="M356" s="90"/>
      <c r="N356" s="89"/>
      <c r="O356" s="200"/>
      <c r="P356" s="201"/>
      <c r="Q356" s="201"/>
      <c r="R356" s="237"/>
      <c r="S356" s="202"/>
      <c r="T356" s="200"/>
      <c r="U356" s="203"/>
      <c r="V356" s="89"/>
      <c r="W356" s="89"/>
      <c r="X356" s="145"/>
      <c r="Y356" s="89"/>
      <c r="Z356" s="90"/>
      <c r="AA356" s="90"/>
      <c r="AB356" s="90"/>
      <c r="AC356" s="90"/>
      <c r="AD356" s="92"/>
      <c r="AE356" s="149" t="str">
        <f>IFERROR(VLOOKUP(Z356,LISTS!$AL$2:$AM$1000,2,FALSE()),"")</f>
        <v/>
      </c>
      <c r="AF356" s="151" t="str">
        <f>IFERROR(VLOOKUP(AA356,LISTS!$AO$2:$AP$1000,2,FALSE()),"")</f>
        <v/>
      </c>
      <c r="AG356" s="152" t="str">
        <f>IFERROR(VLOOKUP(AB356,LISTS!$AR$2:$AS$1000,2,FALSE()),"")</f>
        <v/>
      </c>
      <c r="AH356" s="154" t="str">
        <f>IFERROR(VLOOKUP(AC356,LISTS!$AU$2:$AV$1000,2,FALSE()),"")</f>
        <v/>
      </c>
      <c r="AI356" s="238" t="str">
        <f t="shared" si="28"/>
        <v>—</v>
      </c>
      <c r="AJ356" s="190" t="str">
        <f t="shared" si="29"/>
        <v>—</v>
      </c>
      <c r="AK356" s="157" t="str">
        <f t="shared" si="30"/>
        <v/>
      </c>
      <c r="AL356" s="160" t="str">
        <f t="shared" si="31"/>
        <v/>
      </c>
      <c r="AM356" s="210"/>
      <c r="AN356" s="209"/>
    </row>
    <row r="357" spans="1:40" ht="27.95" customHeight="1">
      <c r="A357" s="134" t="str">
        <f>IF(I357&lt;&gt;"",COUNTA($I$2:I357),"")</f>
        <v/>
      </c>
      <c r="B357" s="138" t="str">
        <f t="shared" si="32"/>
        <v/>
      </c>
      <c r="C357" s="93" t="str">
        <f t="array" ref="C357">IF(E357="","",IF(M357&lt;&gt;"",
M357&amp;"/"&amp;SUMPRODUCT((M$2:M357=M357)*1)&amp;" - "&amp;(ROW()-2),
"إداري/"&amp;SUMPRODUCT((M$2:M357="")*1)&amp;" - "&amp;(ROW()-2)))</f>
        <v/>
      </c>
      <c r="D357" s="141" t="str">
        <f>IF(AND(G357="",H357="",I357=""),"",IF(COUNTIFS(LISTS!$A$2:$A$67,G357,LISTS!$B$2:$B$67,H357,LISTS!$C$2:$C$67,I357)=0,"✗ هرم",IF(NOT(OR(Z357="ممتاز 100%",Z357="جيد 80%",Z357="مقبول 60%",Z357="خطر 40%",Z357="")),"✗ قائمة R",IF(NOT(OR(AA357="ممتاز 100%",AA357="جيد 85%",AA357="مقبول 70%",AA357="ضعيف 50%",AA357="")),"✗ قائمة S",IF(NOT(OR(AB357="مكتمل 100%",AB357="جزئي 60%",AB357="معلق 30%",AB357="مفتوح 0%",AB357="")),"✗ قائمة T",IF(NOT(OR(AC357="لا خصم 0",AC357="تأخير −5",AC357="عجز −10",AC357="جودة −15",AC357="امتثال −20",AC357="مخالفة −25",AC357="")),"✗ قائمة U",IF(AND(X357="لا",AC357&lt;&gt;"",AC357&lt;&gt;"لا خصم 0"),"✗ خصم",IF(AND(X357="نعم",AC357="لا خصم 0"),"✗ خصم",IF(AND(Z357="ممتاز 100%",AA357="ممتاز 100%",AB357&lt;&gt;"",AB357&lt;&gt;"مكتمل 100%"),"✗ إغلاق",IFERROR(IF(LEN(_xlfn.TEXTJOIN("، ",TRUE,IF(E357="","التاريخ",""),IF(F357="","الوقت",""),IF(G357="","المركز",""),IF(H357="","الدائرة",""),IF(I357="","القسم",""),IF(J357="","المسؤول",""),IF(K357="","نوع النشاط",""),IF(L357="","المشروع",""),IF(N357="","الممول",""),IF(V357="","الموضوع",""),IF(W357="","الملاحظة",""),IF(X357="","مشكلة",""),IF(Y357="","الإجراء",""),IF(Z357="","التنفيذ",""),IF(AA357="","الجودة",""),IF(AB357="","الإغلاق",""),IF(AC357="","الخصم",""),IF(AND(COUNTA($O357:$U357)&gt;0,O357=""),"مدير المشروع",""),IF(AND(COUNTA($O357:$U357)&gt;0,P357=""),"المستفيدين",""),IF(AND(COUNTA($O357:$U357)&gt;0,Q357=""),"المناطق",""),IF(AND(COUNTA($O357:$U357)&gt;0,R357=""),"الميزانية",""),IF(AND(COUNTA($O357:$U357)&gt;0,S357=""),"نسبة الجاهزية",""),IF(AND(COUNTA($O357:$U357)&gt;0,T357=""),"حالة الجاهزية",""),IF(AND(COUNTA($O357:$U357)&gt;0,U357=""),"التوصيات","")))&gt;0,"✗ ناقص: "&amp;_xlfn.TEXTJOIN("، ",TRUE,IF(E357="","التاريخ",""),IF(F357="","الوقت",""),IF(G357="","المركز",""),IF(H357="","الدائرة",""),IF(I357="","القسم",""),IF(J357="","المسؤول",""),IF(K357="","نوع النشاط",""),IF(L357="","المشروع",""),IF(N357="","الممول",""),IF(V357="","الموضوع",""),IF(W357="","الملاحظة",""),IF(X357="","مشكلة",""),IF(Y357="","الإجراء",""),IF(Z357="","التنفيذ",""),IF(AA357="","الجودة",""),IF(AB357="","الإغلاق",""),IF(AC357="","الخصم",""),IF(AND(COUNTA($O357:$U357)&gt;0,O357=""),"مدير المشروع",""),IF(AND(COUNTA($O357:$U357)&gt;0,P357=""),"المستفيدين",""),IF(AND(COUNTA($O357:$U357)&gt;0,Q357=""),"المناطق",""),IF(AND(COUNTA($O357:$U357)&gt;0,R357=""),"الميزانية",""),IF(AND(COUNTA($O357:$U357)&gt;0,S357=""),"نسبة الجاهزية",""),IF(AND(COUNTA($O357:$U357)&gt;0,T357=""),"حالة الجاهزية",""),IF(AND(COUNTA($O357:$U357)&gt;0,U357=""),"التوصيات","")),"✓"),"✓"))))))))))</f>
        <v/>
      </c>
      <c r="E357" s="235"/>
      <c r="F357" s="236"/>
      <c r="G357" s="90"/>
      <c r="H357" s="239"/>
      <c r="I357" s="89"/>
      <c r="J357" s="142"/>
      <c r="K357" s="90"/>
      <c r="L357" s="90"/>
      <c r="M357" s="90"/>
      <c r="N357" s="89"/>
      <c r="O357" s="200"/>
      <c r="P357" s="201"/>
      <c r="Q357" s="201"/>
      <c r="R357" s="237"/>
      <c r="S357" s="202"/>
      <c r="T357" s="200"/>
      <c r="U357" s="203"/>
      <c r="V357" s="89"/>
      <c r="W357" s="89"/>
      <c r="X357" s="145"/>
      <c r="Y357" s="89"/>
      <c r="Z357" s="90"/>
      <c r="AA357" s="90"/>
      <c r="AB357" s="90"/>
      <c r="AC357" s="90"/>
      <c r="AD357" s="92"/>
      <c r="AE357" s="149" t="str">
        <f>IFERROR(VLOOKUP(Z357,LISTS!$AL$2:$AM$1000,2,FALSE()),"")</f>
        <v/>
      </c>
      <c r="AF357" s="151" t="str">
        <f>IFERROR(VLOOKUP(AA357,LISTS!$AO$2:$AP$1000,2,FALSE()),"")</f>
        <v/>
      </c>
      <c r="AG357" s="152" t="str">
        <f>IFERROR(VLOOKUP(AB357,LISTS!$AR$2:$AS$1000,2,FALSE()),"")</f>
        <v/>
      </c>
      <c r="AH357" s="154" t="str">
        <f>IFERROR(VLOOKUP(AC357,LISTS!$AU$2:$AV$1000,2,FALSE()),"")</f>
        <v/>
      </c>
      <c r="AI357" s="238" t="str">
        <f t="shared" si="28"/>
        <v>—</v>
      </c>
      <c r="AJ357" s="190" t="str">
        <f t="shared" si="29"/>
        <v>—</v>
      </c>
      <c r="AK357" s="157" t="str">
        <f t="shared" si="30"/>
        <v/>
      </c>
      <c r="AL357" s="160" t="str">
        <f t="shared" si="31"/>
        <v/>
      </c>
      <c r="AM357" s="210"/>
      <c r="AN357" s="209"/>
    </row>
    <row r="358" spans="1:40" ht="27.95" customHeight="1">
      <c r="A358" s="134" t="str">
        <f>IF(I358&lt;&gt;"",COUNTA($I$2:I358),"")</f>
        <v/>
      </c>
      <c r="B358" s="138" t="str">
        <f t="shared" si="32"/>
        <v/>
      </c>
      <c r="C358" s="93" t="str">
        <f t="array" ref="C358">IF(E358="","",IF(M358&lt;&gt;"",
M358&amp;"/"&amp;SUMPRODUCT((M$2:M358=M358)*1)&amp;" - "&amp;(ROW()-2),
"إداري/"&amp;SUMPRODUCT((M$2:M358="")*1)&amp;" - "&amp;(ROW()-2)))</f>
        <v/>
      </c>
      <c r="D358" s="141" t="str">
        <f>IF(AND(G358="",H358="",I358=""),"",IF(COUNTIFS(LISTS!$A$2:$A$67,G358,LISTS!$B$2:$B$67,H358,LISTS!$C$2:$C$67,I358)=0,"✗ هرم",IF(NOT(OR(Z358="ممتاز 100%",Z358="جيد 80%",Z358="مقبول 60%",Z358="خطر 40%",Z358="")),"✗ قائمة R",IF(NOT(OR(AA358="ممتاز 100%",AA358="جيد 85%",AA358="مقبول 70%",AA358="ضعيف 50%",AA358="")),"✗ قائمة S",IF(NOT(OR(AB358="مكتمل 100%",AB358="جزئي 60%",AB358="معلق 30%",AB358="مفتوح 0%",AB358="")),"✗ قائمة T",IF(NOT(OR(AC358="لا خصم 0",AC358="تأخير −5",AC358="عجز −10",AC358="جودة −15",AC358="امتثال −20",AC358="مخالفة −25",AC358="")),"✗ قائمة U",IF(AND(X358="لا",AC358&lt;&gt;"",AC358&lt;&gt;"لا خصم 0"),"✗ خصم",IF(AND(X358="نعم",AC358="لا خصم 0"),"✗ خصم",IF(AND(Z358="ممتاز 100%",AA358="ممتاز 100%",AB358&lt;&gt;"",AB358&lt;&gt;"مكتمل 100%"),"✗ إغلاق",IFERROR(IF(LEN(_xlfn.TEXTJOIN("، ",TRUE,IF(E358="","التاريخ",""),IF(F358="","الوقت",""),IF(G358="","المركز",""),IF(H358="","الدائرة",""),IF(I358="","القسم",""),IF(J358="","المسؤول",""),IF(K358="","نوع النشاط",""),IF(L358="","المشروع",""),IF(N358="","الممول",""),IF(V358="","الموضوع",""),IF(W358="","الملاحظة",""),IF(X358="","مشكلة",""),IF(Y358="","الإجراء",""),IF(Z358="","التنفيذ",""),IF(AA358="","الجودة",""),IF(AB358="","الإغلاق",""),IF(AC358="","الخصم",""),IF(AND(COUNTA($O358:$U358)&gt;0,O358=""),"مدير المشروع",""),IF(AND(COUNTA($O358:$U358)&gt;0,P358=""),"المستفيدين",""),IF(AND(COUNTA($O358:$U358)&gt;0,Q358=""),"المناطق",""),IF(AND(COUNTA($O358:$U358)&gt;0,R358=""),"الميزانية",""),IF(AND(COUNTA($O358:$U358)&gt;0,S358=""),"نسبة الجاهزية",""),IF(AND(COUNTA($O358:$U358)&gt;0,T358=""),"حالة الجاهزية",""),IF(AND(COUNTA($O358:$U358)&gt;0,U358=""),"التوصيات","")))&gt;0,"✗ ناقص: "&amp;_xlfn.TEXTJOIN("، ",TRUE,IF(E358="","التاريخ",""),IF(F358="","الوقت",""),IF(G358="","المركز",""),IF(H358="","الدائرة",""),IF(I358="","القسم",""),IF(J358="","المسؤول",""),IF(K358="","نوع النشاط",""),IF(L358="","المشروع",""),IF(N358="","الممول",""),IF(V358="","الموضوع",""),IF(W358="","الملاحظة",""),IF(X358="","مشكلة",""),IF(Y358="","الإجراء",""),IF(Z358="","التنفيذ",""),IF(AA358="","الجودة",""),IF(AB358="","الإغلاق",""),IF(AC358="","الخصم",""),IF(AND(COUNTA($O358:$U358)&gt;0,O358=""),"مدير المشروع",""),IF(AND(COUNTA($O358:$U358)&gt;0,P358=""),"المستفيدين",""),IF(AND(COUNTA($O358:$U358)&gt;0,Q358=""),"المناطق",""),IF(AND(COUNTA($O358:$U358)&gt;0,R358=""),"الميزانية",""),IF(AND(COUNTA($O358:$U358)&gt;0,S358=""),"نسبة الجاهزية",""),IF(AND(COUNTA($O358:$U358)&gt;0,T358=""),"حالة الجاهزية",""),IF(AND(COUNTA($O358:$U358)&gt;0,U358=""),"التوصيات","")),"✓"),"✓"))))))))))</f>
        <v/>
      </c>
      <c r="E358" s="235"/>
      <c r="F358" s="236"/>
      <c r="G358" s="90"/>
      <c r="H358" s="239"/>
      <c r="I358" s="89"/>
      <c r="J358" s="142"/>
      <c r="K358" s="90"/>
      <c r="L358" s="90"/>
      <c r="M358" s="90"/>
      <c r="N358" s="89"/>
      <c r="O358" s="200"/>
      <c r="P358" s="201"/>
      <c r="Q358" s="201"/>
      <c r="R358" s="237"/>
      <c r="S358" s="202"/>
      <c r="T358" s="200"/>
      <c r="U358" s="203"/>
      <c r="V358" s="89"/>
      <c r="W358" s="89"/>
      <c r="X358" s="145"/>
      <c r="Y358" s="89"/>
      <c r="Z358" s="90"/>
      <c r="AA358" s="90"/>
      <c r="AB358" s="90"/>
      <c r="AC358" s="90"/>
      <c r="AD358" s="92"/>
      <c r="AE358" s="149" t="str">
        <f>IFERROR(VLOOKUP(Z358,LISTS!$AL$2:$AM$1000,2,FALSE()),"")</f>
        <v/>
      </c>
      <c r="AF358" s="151" t="str">
        <f>IFERROR(VLOOKUP(AA358,LISTS!$AO$2:$AP$1000,2,FALSE()),"")</f>
        <v/>
      </c>
      <c r="AG358" s="152" t="str">
        <f>IFERROR(VLOOKUP(AB358,LISTS!$AR$2:$AS$1000,2,FALSE()),"")</f>
        <v/>
      </c>
      <c r="AH358" s="154" t="str">
        <f>IFERROR(VLOOKUP(AC358,LISTS!$AU$2:$AV$1000,2,FALSE()),"")</f>
        <v/>
      </c>
      <c r="AI358" s="238" t="str">
        <f t="shared" si="28"/>
        <v>—</v>
      </c>
      <c r="AJ358" s="190" t="str">
        <f t="shared" si="29"/>
        <v>—</v>
      </c>
      <c r="AK358" s="157" t="str">
        <f t="shared" si="30"/>
        <v/>
      </c>
      <c r="AL358" s="160" t="str">
        <f t="shared" si="31"/>
        <v/>
      </c>
      <c r="AM358" s="210"/>
      <c r="AN358" s="209"/>
    </row>
    <row r="359" spans="1:40" ht="27.95" customHeight="1">
      <c r="A359" s="134" t="str">
        <f>IF(I359&lt;&gt;"",COUNTA($I$2:I359),"")</f>
        <v/>
      </c>
      <c r="B359" s="138" t="str">
        <f t="shared" si="32"/>
        <v/>
      </c>
      <c r="C359" s="93" t="str">
        <f t="array" ref="C359">IF(E359="","",IF(M359&lt;&gt;"",
M359&amp;"/"&amp;SUMPRODUCT((M$2:M359=M359)*1)&amp;" - "&amp;(ROW()-2),
"إداري/"&amp;SUMPRODUCT((M$2:M359="")*1)&amp;" - "&amp;(ROW()-2)))</f>
        <v/>
      </c>
      <c r="D359" s="141" t="str">
        <f>IF(AND(G359="",H359="",I359=""),"",IF(COUNTIFS(LISTS!$A$2:$A$67,G359,LISTS!$B$2:$B$67,H359,LISTS!$C$2:$C$67,I359)=0,"✗ هرم",IF(NOT(OR(Z359="ممتاز 100%",Z359="جيد 80%",Z359="مقبول 60%",Z359="خطر 40%",Z359="")),"✗ قائمة R",IF(NOT(OR(AA359="ممتاز 100%",AA359="جيد 85%",AA359="مقبول 70%",AA359="ضعيف 50%",AA359="")),"✗ قائمة S",IF(NOT(OR(AB359="مكتمل 100%",AB359="جزئي 60%",AB359="معلق 30%",AB359="مفتوح 0%",AB359="")),"✗ قائمة T",IF(NOT(OR(AC359="لا خصم 0",AC359="تأخير −5",AC359="عجز −10",AC359="جودة −15",AC359="امتثال −20",AC359="مخالفة −25",AC359="")),"✗ قائمة U",IF(AND(X359="لا",AC359&lt;&gt;"",AC359&lt;&gt;"لا خصم 0"),"✗ خصم",IF(AND(X359="نعم",AC359="لا خصم 0"),"✗ خصم",IF(AND(Z359="ممتاز 100%",AA359="ممتاز 100%",AB359&lt;&gt;"",AB359&lt;&gt;"مكتمل 100%"),"✗ إغلاق",IFERROR(IF(LEN(_xlfn.TEXTJOIN("، ",TRUE,IF(E359="","التاريخ",""),IF(F359="","الوقت",""),IF(G359="","المركز",""),IF(H359="","الدائرة",""),IF(I359="","القسم",""),IF(J359="","المسؤول",""),IF(K359="","نوع النشاط",""),IF(L359="","المشروع",""),IF(N359="","الممول",""),IF(V359="","الموضوع",""),IF(W359="","الملاحظة",""),IF(X359="","مشكلة",""),IF(Y359="","الإجراء",""),IF(Z359="","التنفيذ",""),IF(AA359="","الجودة",""),IF(AB359="","الإغلاق",""),IF(AC359="","الخصم",""),IF(AND(COUNTA($O359:$U359)&gt;0,O359=""),"مدير المشروع",""),IF(AND(COUNTA($O359:$U359)&gt;0,P359=""),"المستفيدين",""),IF(AND(COUNTA($O359:$U359)&gt;0,Q359=""),"المناطق",""),IF(AND(COUNTA($O359:$U359)&gt;0,R359=""),"الميزانية",""),IF(AND(COUNTA($O359:$U359)&gt;0,S359=""),"نسبة الجاهزية",""),IF(AND(COUNTA($O359:$U359)&gt;0,T359=""),"حالة الجاهزية",""),IF(AND(COUNTA($O359:$U359)&gt;0,U359=""),"التوصيات","")))&gt;0,"✗ ناقص: "&amp;_xlfn.TEXTJOIN("، ",TRUE,IF(E359="","التاريخ",""),IF(F359="","الوقت",""),IF(G359="","المركز",""),IF(H359="","الدائرة",""),IF(I359="","القسم",""),IF(J359="","المسؤول",""),IF(K359="","نوع النشاط",""),IF(L359="","المشروع",""),IF(N359="","الممول",""),IF(V359="","الموضوع",""),IF(W359="","الملاحظة",""),IF(X359="","مشكلة",""),IF(Y359="","الإجراء",""),IF(Z359="","التنفيذ",""),IF(AA359="","الجودة",""),IF(AB359="","الإغلاق",""),IF(AC359="","الخصم",""),IF(AND(COUNTA($O359:$U359)&gt;0,O359=""),"مدير المشروع",""),IF(AND(COUNTA($O359:$U359)&gt;0,P359=""),"المستفيدين",""),IF(AND(COUNTA($O359:$U359)&gt;0,Q359=""),"المناطق",""),IF(AND(COUNTA($O359:$U359)&gt;0,R359=""),"الميزانية",""),IF(AND(COUNTA($O359:$U359)&gt;0,S359=""),"نسبة الجاهزية",""),IF(AND(COUNTA($O359:$U359)&gt;0,T359=""),"حالة الجاهزية",""),IF(AND(COUNTA($O359:$U359)&gt;0,U359=""),"التوصيات","")),"✓"),"✓"))))))))))</f>
        <v/>
      </c>
      <c r="E359" s="235"/>
      <c r="F359" s="236"/>
      <c r="G359" s="90"/>
      <c r="H359" s="239"/>
      <c r="I359" s="89"/>
      <c r="J359" s="142"/>
      <c r="K359" s="90"/>
      <c r="L359" s="90"/>
      <c r="M359" s="90"/>
      <c r="N359" s="89"/>
      <c r="O359" s="200"/>
      <c r="P359" s="201"/>
      <c r="Q359" s="201"/>
      <c r="R359" s="237"/>
      <c r="S359" s="202"/>
      <c r="T359" s="200"/>
      <c r="U359" s="203"/>
      <c r="V359" s="89"/>
      <c r="W359" s="89"/>
      <c r="X359" s="145"/>
      <c r="Y359" s="89"/>
      <c r="Z359" s="90"/>
      <c r="AA359" s="90"/>
      <c r="AB359" s="90"/>
      <c r="AC359" s="90"/>
      <c r="AD359" s="92"/>
      <c r="AE359" s="149" t="str">
        <f>IFERROR(VLOOKUP(Z359,LISTS!$AL$2:$AM$1000,2,FALSE()),"")</f>
        <v/>
      </c>
      <c r="AF359" s="151" t="str">
        <f>IFERROR(VLOOKUP(AA359,LISTS!$AO$2:$AP$1000,2,FALSE()),"")</f>
        <v/>
      </c>
      <c r="AG359" s="152" t="str">
        <f>IFERROR(VLOOKUP(AB359,LISTS!$AR$2:$AS$1000,2,FALSE()),"")</f>
        <v/>
      </c>
      <c r="AH359" s="154" t="str">
        <f>IFERROR(VLOOKUP(AC359,LISTS!$AU$2:$AV$1000,2,FALSE()),"")</f>
        <v/>
      </c>
      <c r="AI359" s="238" t="str">
        <f t="shared" si="28"/>
        <v>—</v>
      </c>
      <c r="AJ359" s="190" t="str">
        <f t="shared" si="29"/>
        <v>—</v>
      </c>
      <c r="AK359" s="157" t="str">
        <f t="shared" si="30"/>
        <v/>
      </c>
      <c r="AL359" s="160" t="str">
        <f t="shared" si="31"/>
        <v/>
      </c>
      <c r="AM359" s="210"/>
      <c r="AN359" s="209"/>
    </row>
    <row r="360" spans="1:40" ht="27.95" customHeight="1">
      <c r="A360" s="134" t="str">
        <f>IF(I360&lt;&gt;"",COUNTA($I$2:I360),"")</f>
        <v/>
      </c>
      <c r="B360" s="138" t="str">
        <f t="shared" si="32"/>
        <v/>
      </c>
      <c r="C360" s="93" t="str">
        <f t="array" ref="C360">IF(E360="","",IF(M360&lt;&gt;"",
M360&amp;"/"&amp;SUMPRODUCT((M$2:M360=M360)*1)&amp;" - "&amp;(ROW()-2),
"إداري/"&amp;SUMPRODUCT((M$2:M360="")*1)&amp;" - "&amp;(ROW()-2)))</f>
        <v/>
      </c>
      <c r="D360" s="141" t="str">
        <f>IF(AND(G360="",H360="",I360=""),"",IF(COUNTIFS(LISTS!$A$2:$A$67,G360,LISTS!$B$2:$B$67,H360,LISTS!$C$2:$C$67,I360)=0,"✗ هرم",IF(NOT(OR(Z360="ممتاز 100%",Z360="جيد 80%",Z360="مقبول 60%",Z360="خطر 40%",Z360="")),"✗ قائمة R",IF(NOT(OR(AA360="ممتاز 100%",AA360="جيد 85%",AA360="مقبول 70%",AA360="ضعيف 50%",AA360="")),"✗ قائمة S",IF(NOT(OR(AB360="مكتمل 100%",AB360="جزئي 60%",AB360="معلق 30%",AB360="مفتوح 0%",AB360="")),"✗ قائمة T",IF(NOT(OR(AC360="لا خصم 0",AC360="تأخير −5",AC360="عجز −10",AC360="جودة −15",AC360="امتثال −20",AC360="مخالفة −25",AC360="")),"✗ قائمة U",IF(AND(X360="لا",AC360&lt;&gt;"",AC360&lt;&gt;"لا خصم 0"),"✗ خصم",IF(AND(X360="نعم",AC360="لا خصم 0"),"✗ خصم",IF(AND(Z360="ممتاز 100%",AA360="ممتاز 100%",AB360&lt;&gt;"",AB360&lt;&gt;"مكتمل 100%"),"✗ إغلاق",IFERROR(IF(LEN(_xlfn.TEXTJOIN("، ",TRUE,IF(E360="","التاريخ",""),IF(F360="","الوقت",""),IF(G360="","المركز",""),IF(H360="","الدائرة",""),IF(I360="","القسم",""),IF(J360="","المسؤول",""),IF(K360="","نوع النشاط",""),IF(L360="","المشروع",""),IF(N360="","الممول",""),IF(V360="","الموضوع",""),IF(W360="","الملاحظة",""),IF(X360="","مشكلة",""),IF(Y360="","الإجراء",""),IF(Z360="","التنفيذ",""),IF(AA360="","الجودة",""),IF(AB360="","الإغلاق",""),IF(AC360="","الخصم",""),IF(AND(COUNTA($O360:$U360)&gt;0,O360=""),"مدير المشروع",""),IF(AND(COUNTA($O360:$U360)&gt;0,P360=""),"المستفيدين",""),IF(AND(COUNTA($O360:$U360)&gt;0,Q360=""),"المناطق",""),IF(AND(COUNTA($O360:$U360)&gt;0,R360=""),"الميزانية",""),IF(AND(COUNTA($O360:$U360)&gt;0,S360=""),"نسبة الجاهزية",""),IF(AND(COUNTA($O360:$U360)&gt;0,T360=""),"حالة الجاهزية",""),IF(AND(COUNTA($O360:$U360)&gt;0,U360=""),"التوصيات","")))&gt;0,"✗ ناقص: "&amp;_xlfn.TEXTJOIN("، ",TRUE,IF(E360="","التاريخ",""),IF(F360="","الوقت",""),IF(G360="","المركز",""),IF(H360="","الدائرة",""),IF(I360="","القسم",""),IF(J360="","المسؤول",""),IF(K360="","نوع النشاط",""),IF(L360="","المشروع",""),IF(N360="","الممول",""),IF(V360="","الموضوع",""),IF(W360="","الملاحظة",""),IF(X360="","مشكلة",""),IF(Y360="","الإجراء",""),IF(Z360="","التنفيذ",""),IF(AA360="","الجودة",""),IF(AB360="","الإغلاق",""),IF(AC360="","الخصم",""),IF(AND(COUNTA($O360:$U360)&gt;0,O360=""),"مدير المشروع",""),IF(AND(COUNTA($O360:$U360)&gt;0,P360=""),"المستفيدين",""),IF(AND(COUNTA($O360:$U360)&gt;0,Q360=""),"المناطق",""),IF(AND(COUNTA($O360:$U360)&gt;0,R360=""),"الميزانية",""),IF(AND(COUNTA($O360:$U360)&gt;0,S360=""),"نسبة الجاهزية",""),IF(AND(COUNTA($O360:$U360)&gt;0,T360=""),"حالة الجاهزية",""),IF(AND(COUNTA($O360:$U360)&gt;0,U360=""),"التوصيات","")),"✓"),"✓"))))))))))</f>
        <v/>
      </c>
      <c r="E360" s="235"/>
      <c r="F360" s="236"/>
      <c r="G360" s="90"/>
      <c r="H360" s="239"/>
      <c r="I360" s="89"/>
      <c r="J360" s="142"/>
      <c r="K360" s="90"/>
      <c r="L360" s="90"/>
      <c r="M360" s="90"/>
      <c r="N360" s="89"/>
      <c r="O360" s="200"/>
      <c r="P360" s="201"/>
      <c r="Q360" s="201"/>
      <c r="R360" s="237"/>
      <c r="S360" s="202"/>
      <c r="T360" s="200"/>
      <c r="U360" s="203"/>
      <c r="V360" s="89"/>
      <c r="W360" s="89"/>
      <c r="X360" s="145"/>
      <c r="Y360" s="89"/>
      <c r="Z360" s="90"/>
      <c r="AA360" s="90"/>
      <c r="AB360" s="90"/>
      <c r="AC360" s="90"/>
      <c r="AD360" s="92"/>
      <c r="AE360" s="149" t="str">
        <f>IFERROR(VLOOKUP(Z360,LISTS!$AL$2:$AM$1000,2,FALSE()),"")</f>
        <v/>
      </c>
      <c r="AF360" s="151" t="str">
        <f>IFERROR(VLOOKUP(AA360,LISTS!$AO$2:$AP$1000,2,FALSE()),"")</f>
        <v/>
      </c>
      <c r="AG360" s="152" t="str">
        <f>IFERROR(VLOOKUP(AB360,LISTS!$AR$2:$AS$1000,2,FALSE()),"")</f>
        <v/>
      </c>
      <c r="AH360" s="154" t="str">
        <f>IFERROR(VLOOKUP(AC360,LISTS!$AU$2:$AV$1000,2,FALSE()),"")</f>
        <v/>
      </c>
      <c r="AI360" s="238" t="str">
        <f t="shared" si="28"/>
        <v>—</v>
      </c>
      <c r="AJ360" s="190" t="str">
        <f t="shared" si="29"/>
        <v>—</v>
      </c>
      <c r="AK360" s="157" t="str">
        <f t="shared" si="30"/>
        <v/>
      </c>
      <c r="AL360" s="160" t="str">
        <f t="shared" si="31"/>
        <v/>
      </c>
      <c r="AM360" s="210"/>
      <c r="AN360" s="209"/>
    </row>
    <row r="361" spans="1:40" ht="27.95" customHeight="1">
      <c r="A361" s="134" t="str">
        <f>IF(I361&lt;&gt;"",COUNTA($I$2:I361),"")</f>
        <v/>
      </c>
      <c r="B361" s="138" t="str">
        <f t="shared" si="32"/>
        <v/>
      </c>
      <c r="C361" s="93" t="str">
        <f t="array" ref="C361">IF(E361="","",IF(M361&lt;&gt;"",
M361&amp;"/"&amp;SUMPRODUCT((M$2:M361=M361)*1)&amp;" - "&amp;(ROW()-2),
"إداري/"&amp;SUMPRODUCT((M$2:M361="")*1)&amp;" - "&amp;(ROW()-2)))</f>
        <v/>
      </c>
      <c r="D361" s="141" t="str">
        <f>IF(AND(G361="",H361="",I361=""),"",IF(COUNTIFS(LISTS!$A$2:$A$67,G361,LISTS!$B$2:$B$67,H361,LISTS!$C$2:$C$67,I361)=0,"✗ هرم",IF(NOT(OR(Z361="ممتاز 100%",Z361="جيد 80%",Z361="مقبول 60%",Z361="خطر 40%",Z361="")),"✗ قائمة R",IF(NOT(OR(AA361="ممتاز 100%",AA361="جيد 85%",AA361="مقبول 70%",AA361="ضعيف 50%",AA361="")),"✗ قائمة S",IF(NOT(OR(AB361="مكتمل 100%",AB361="جزئي 60%",AB361="معلق 30%",AB361="مفتوح 0%",AB361="")),"✗ قائمة T",IF(NOT(OR(AC361="لا خصم 0",AC361="تأخير −5",AC361="عجز −10",AC361="جودة −15",AC361="امتثال −20",AC361="مخالفة −25",AC361="")),"✗ قائمة U",IF(AND(X361="لا",AC361&lt;&gt;"",AC361&lt;&gt;"لا خصم 0"),"✗ خصم",IF(AND(X361="نعم",AC361="لا خصم 0"),"✗ خصم",IF(AND(Z361="ممتاز 100%",AA361="ممتاز 100%",AB361&lt;&gt;"",AB361&lt;&gt;"مكتمل 100%"),"✗ إغلاق",IFERROR(IF(LEN(_xlfn.TEXTJOIN("، ",TRUE,IF(E361="","التاريخ",""),IF(F361="","الوقت",""),IF(G361="","المركز",""),IF(H361="","الدائرة",""),IF(I361="","القسم",""),IF(J361="","المسؤول",""),IF(K361="","نوع النشاط",""),IF(L361="","المشروع",""),IF(N361="","الممول",""),IF(V361="","الموضوع",""),IF(W361="","الملاحظة",""),IF(X361="","مشكلة",""),IF(Y361="","الإجراء",""),IF(Z361="","التنفيذ",""),IF(AA361="","الجودة",""),IF(AB361="","الإغلاق",""),IF(AC361="","الخصم",""),IF(AND(COUNTA($O361:$U361)&gt;0,O361=""),"مدير المشروع",""),IF(AND(COUNTA($O361:$U361)&gt;0,P361=""),"المستفيدين",""),IF(AND(COUNTA($O361:$U361)&gt;0,Q361=""),"المناطق",""),IF(AND(COUNTA($O361:$U361)&gt;0,R361=""),"الميزانية",""),IF(AND(COUNTA($O361:$U361)&gt;0,S361=""),"نسبة الجاهزية",""),IF(AND(COUNTA($O361:$U361)&gt;0,T361=""),"حالة الجاهزية",""),IF(AND(COUNTA($O361:$U361)&gt;0,U361=""),"التوصيات","")))&gt;0,"✗ ناقص: "&amp;_xlfn.TEXTJOIN("، ",TRUE,IF(E361="","التاريخ",""),IF(F361="","الوقت",""),IF(G361="","المركز",""),IF(H361="","الدائرة",""),IF(I361="","القسم",""),IF(J361="","المسؤول",""),IF(K361="","نوع النشاط",""),IF(L361="","المشروع",""),IF(N361="","الممول",""),IF(V361="","الموضوع",""),IF(W361="","الملاحظة",""),IF(X361="","مشكلة",""),IF(Y361="","الإجراء",""),IF(Z361="","التنفيذ",""),IF(AA361="","الجودة",""),IF(AB361="","الإغلاق",""),IF(AC361="","الخصم",""),IF(AND(COUNTA($O361:$U361)&gt;0,O361=""),"مدير المشروع",""),IF(AND(COUNTA($O361:$U361)&gt;0,P361=""),"المستفيدين",""),IF(AND(COUNTA($O361:$U361)&gt;0,Q361=""),"المناطق",""),IF(AND(COUNTA($O361:$U361)&gt;0,R361=""),"الميزانية",""),IF(AND(COUNTA($O361:$U361)&gt;0,S361=""),"نسبة الجاهزية",""),IF(AND(COUNTA($O361:$U361)&gt;0,T361=""),"حالة الجاهزية",""),IF(AND(COUNTA($O361:$U361)&gt;0,U361=""),"التوصيات","")),"✓"),"✓"))))))))))</f>
        <v/>
      </c>
      <c r="E361" s="235"/>
      <c r="F361" s="236"/>
      <c r="G361" s="90"/>
      <c r="H361" s="239"/>
      <c r="I361" s="89"/>
      <c r="J361" s="142"/>
      <c r="K361" s="90"/>
      <c r="L361" s="90"/>
      <c r="M361" s="90"/>
      <c r="N361" s="89"/>
      <c r="O361" s="200"/>
      <c r="P361" s="201"/>
      <c r="Q361" s="201"/>
      <c r="R361" s="237"/>
      <c r="S361" s="202"/>
      <c r="T361" s="200"/>
      <c r="U361" s="203"/>
      <c r="V361" s="89"/>
      <c r="W361" s="89"/>
      <c r="X361" s="145"/>
      <c r="Y361" s="89"/>
      <c r="Z361" s="90"/>
      <c r="AA361" s="90"/>
      <c r="AB361" s="90"/>
      <c r="AC361" s="90"/>
      <c r="AD361" s="92"/>
      <c r="AE361" s="149" t="str">
        <f>IFERROR(VLOOKUP(Z361,LISTS!$AL$2:$AM$1000,2,FALSE()),"")</f>
        <v/>
      </c>
      <c r="AF361" s="151" t="str">
        <f>IFERROR(VLOOKUP(AA361,LISTS!$AO$2:$AP$1000,2,FALSE()),"")</f>
        <v/>
      </c>
      <c r="AG361" s="152" t="str">
        <f>IFERROR(VLOOKUP(AB361,LISTS!$AR$2:$AS$1000,2,FALSE()),"")</f>
        <v/>
      </c>
      <c r="AH361" s="154" t="str">
        <f>IFERROR(VLOOKUP(AC361,LISTS!$AU$2:$AV$1000,2,FALSE()),"")</f>
        <v/>
      </c>
      <c r="AI361" s="238" t="str">
        <f t="shared" si="28"/>
        <v>—</v>
      </c>
      <c r="AJ361" s="190" t="str">
        <f t="shared" si="29"/>
        <v>—</v>
      </c>
      <c r="AK361" s="157" t="str">
        <f t="shared" si="30"/>
        <v/>
      </c>
      <c r="AL361" s="160" t="str">
        <f t="shared" si="31"/>
        <v/>
      </c>
      <c r="AM361" s="210"/>
      <c r="AN361" s="209"/>
    </row>
    <row r="362" spans="1:40" ht="27.95" customHeight="1">
      <c r="A362" s="134" t="str">
        <f>IF(I362&lt;&gt;"",COUNTA($I$2:I362),"")</f>
        <v/>
      </c>
      <c r="B362" s="138" t="str">
        <f t="shared" si="32"/>
        <v/>
      </c>
      <c r="C362" s="93" t="str">
        <f t="array" ref="C362">IF(E362="","",IF(M362&lt;&gt;"",
M362&amp;"/"&amp;SUMPRODUCT((M$2:M362=M362)*1)&amp;" - "&amp;(ROW()-2),
"إداري/"&amp;SUMPRODUCT((M$2:M362="")*1)&amp;" - "&amp;(ROW()-2)))</f>
        <v/>
      </c>
      <c r="D362" s="141" t="str">
        <f>IF(AND(G362="",H362="",I362=""),"",IF(COUNTIFS(LISTS!$A$2:$A$67,G362,LISTS!$B$2:$B$67,H362,LISTS!$C$2:$C$67,I362)=0,"✗ هرم",IF(NOT(OR(Z362="ممتاز 100%",Z362="جيد 80%",Z362="مقبول 60%",Z362="خطر 40%",Z362="")),"✗ قائمة R",IF(NOT(OR(AA362="ممتاز 100%",AA362="جيد 85%",AA362="مقبول 70%",AA362="ضعيف 50%",AA362="")),"✗ قائمة S",IF(NOT(OR(AB362="مكتمل 100%",AB362="جزئي 60%",AB362="معلق 30%",AB362="مفتوح 0%",AB362="")),"✗ قائمة T",IF(NOT(OR(AC362="لا خصم 0",AC362="تأخير −5",AC362="عجز −10",AC362="جودة −15",AC362="امتثال −20",AC362="مخالفة −25",AC362="")),"✗ قائمة U",IF(AND(X362="لا",AC362&lt;&gt;"",AC362&lt;&gt;"لا خصم 0"),"✗ خصم",IF(AND(X362="نعم",AC362="لا خصم 0"),"✗ خصم",IF(AND(Z362="ممتاز 100%",AA362="ممتاز 100%",AB362&lt;&gt;"",AB362&lt;&gt;"مكتمل 100%"),"✗ إغلاق",IFERROR(IF(LEN(_xlfn.TEXTJOIN("، ",TRUE,IF(E362="","التاريخ",""),IF(F362="","الوقت",""),IF(G362="","المركز",""),IF(H362="","الدائرة",""),IF(I362="","القسم",""),IF(J362="","المسؤول",""),IF(K362="","نوع النشاط",""),IF(L362="","المشروع",""),IF(N362="","الممول",""),IF(V362="","الموضوع",""),IF(W362="","الملاحظة",""),IF(X362="","مشكلة",""),IF(Y362="","الإجراء",""),IF(Z362="","التنفيذ",""),IF(AA362="","الجودة",""),IF(AB362="","الإغلاق",""),IF(AC362="","الخصم",""),IF(AND(COUNTA($O362:$U362)&gt;0,O362=""),"مدير المشروع",""),IF(AND(COUNTA($O362:$U362)&gt;0,P362=""),"المستفيدين",""),IF(AND(COUNTA($O362:$U362)&gt;0,Q362=""),"المناطق",""),IF(AND(COUNTA($O362:$U362)&gt;0,R362=""),"الميزانية",""),IF(AND(COUNTA($O362:$U362)&gt;0,S362=""),"نسبة الجاهزية",""),IF(AND(COUNTA($O362:$U362)&gt;0,T362=""),"حالة الجاهزية",""),IF(AND(COUNTA($O362:$U362)&gt;0,U362=""),"التوصيات","")))&gt;0,"✗ ناقص: "&amp;_xlfn.TEXTJOIN("، ",TRUE,IF(E362="","التاريخ",""),IF(F362="","الوقت",""),IF(G362="","المركز",""),IF(H362="","الدائرة",""),IF(I362="","القسم",""),IF(J362="","المسؤول",""),IF(K362="","نوع النشاط",""),IF(L362="","المشروع",""),IF(N362="","الممول",""),IF(V362="","الموضوع",""),IF(W362="","الملاحظة",""),IF(X362="","مشكلة",""),IF(Y362="","الإجراء",""),IF(Z362="","التنفيذ",""),IF(AA362="","الجودة",""),IF(AB362="","الإغلاق",""),IF(AC362="","الخصم",""),IF(AND(COUNTA($O362:$U362)&gt;0,O362=""),"مدير المشروع",""),IF(AND(COUNTA($O362:$U362)&gt;0,P362=""),"المستفيدين",""),IF(AND(COUNTA($O362:$U362)&gt;0,Q362=""),"المناطق",""),IF(AND(COUNTA($O362:$U362)&gt;0,R362=""),"الميزانية",""),IF(AND(COUNTA($O362:$U362)&gt;0,S362=""),"نسبة الجاهزية",""),IF(AND(COUNTA($O362:$U362)&gt;0,T362=""),"حالة الجاهزية",""),IF(AND(COUNTA($O362:$U362)&gt;0,U362=""),"التوصيات","")),"✓"),"✓"))))))))))</f>
        <v/>
      </c>
      <c r="E362" s="235"/>
      <c r="F362" s="236"/>
      <c r="G362" s="90"/>
      <c r="H362" s="239"/>
      <c r="I362" s="89"/>
      <c r="J362" s="142"/>
      <c r="K362" s="90"/>
      <c r="L362" s="90"/>
      <c r="M362" s="90"/>
      <c r="N362" s="89"/>
      <c r="O362" s="200"/>
      <c r="P362" s="201"/>
      <c r="Q362" s="201"/>
      <c r="R362" s="237"/>
      <c r="S362" s="202"/>
      <c r="T362" s="200"/>
      <c r="U362" s="203"/>
      <c r="V362" s="89"/>
      <c r="W362" s="89"/>
      <c r="X362" s="145"/>
      <c r="Y362" s="89"/>
      <c r="Z362" s="90"/>
      <c r="AA362" s="90"/>
      <c r="AB362" s="90"/>
      <c r="AC362" s="90"/>
      <c r="AD362" s="92"/>
      <c r="AE362" s="149" t="str">
        <f>IFERROR(VLOOKUP(Z362,LISTS!$AL$2:$AM$1000,2,FALSE()),"")</f>
        <v/>
      </c>
      <c r="AF362" s="151" t="str">
        <f>IFERROR(VLOOKUP(AA362,LISTS!$AO$2:$AP$1000,2,FALSE()),"")</f>
        <v/>
      </c>
      <c r="AG362" s="152" t="str">
        <f>IFERROR(VLOOKUP(AB362,LISTS!$AR$2:$AS$1000,2,FALSE()),"")</f>
        <v/>
      </c>
      <c r="AH362" s="154" t="str">
        <f>IFERROR(VLOOKUP(AC362,LISTS!$AU$2:$AV$1000,2,FALSE()),"")</f>
        <v/>
      </c>
      <c r="AI362" s="238" t="str">
        <f t="shared" si="28"/>
        <v>—</v>
      </c>
      <c r="AJ362" s="190" t="str">
        <f t="shared" si="29"/>
        <v>—</v>
      </c>
      <c r="AK362" s="157" t="str">
        <f t="shared" si="30"/>
        <v/>
      </c>
      <c r="AL362" s="160" t="str">
        <f t="shared" si="31"/>
        <v/>
      </c>
      <c r="AM362" s="210"/>
      <c r="AN362" s="209"/>
    </row>
    <row r="363" spans="1:40" ht="27.95" customHeight="1">
      <c r="A363" s="134" t="str">
        <f>IF(I363&lt;&gt;"",COUNTA($I$2:I363),"")</f>
        <v/>
      </c>
      <c r="B363" s="138" t="str">
        <f t="shared" si="32"/>
        <v/>
      </c>
      <c r="C363" s="93" t="str">
        <f t="array" ref="C363">IF(E363="","",IF(M363&lt;&gt;"",
M363&amp;"/"&amp;SUMPRODUCT((M$2:M363=M363)*1)&amp;" - "&amp;(ROW()-2),
"إداري/"&amp;SUMPRODUCT((M$2:M363="")*1)&amp;" - "&amp;(ROW()-2)))</f>
        <v/>
      </c>
      <c r="D363" s="141" t="str">
        <f>IF(AND(G363="",H363="",I363=""),"",IF(COUNTIFS(LISTS!$A$2:$A$67,G363,LISTS!$B$2:$B$67,H363,LISTS!$C$2:$C$67,I363)=0,"✗ هرم",IF(NOT(OR(Z363="ممتاز 100%",Z363="جيد 80%",Z363="مقبول 60%",Z363="خطر 40%",Z363="")),"✗ قائمة R",IF(NOT(OR(AA363="ممتاز 100%",AA363="جيد 85%",AA363="مقبول 70%",AA363="ضعيف 50%",AA363="")),"✗ قائمة S",IF(NOT(OR(AB363="مكتمل 100%",AB363="جزئي 60%",AB363="معلق 30%",AB363="مفتوح 0%",AB363="")),"✗ قائمة T",IF(NOT(OR(AC363="لا خصم 0",AC363="تأخير −5",AC363="عجز −10",AC363="جودة −15",AC363="امتثال −20",AC363="مخالفة −25",AC363="")),"✗ قائمة U",IF(AND(X363="لا",AC363&lt;&gt;"",AC363&lt;&gt;"لا خصم 0"),"✗ خصم",IF(AND(X363="نعم",AC363="لا خصم 0"),"✗ خصم",IF(AND(Z363="ممتاز 100%",AA363="ممتاز 100%",AB363&lt;&gt;"",AB363&lt;&gt;"مكتمل 100%"),"✗ إغلاق",IFERROR(IF(LEN(_xlfn.TEXTJOIN("، ",TRUE,IF(E363="","التاريخ",""),IF(F363="","الوقت",""),IF(G363="","المركز",""),IF(H363="","الدائرة",""),IF(I363="","القسم",""),IF(J363="","المسؤول",""),IF(K363="","نوع النشاط",""),IF(L363="","المشروع",""),IF(N363="","الممول",""),IF(V363="","الموضوع",""),IF(W363="","الملاحظة",""),IF(X363="","مشكلة",""),IF(Y363="","الإجراء",""),IF(Z363="","التنفيذ",""),IF(AA363="","الجودة",""),IF(AB363="","الإغلاق",""),IF(AC363="","الخصم",""),IF(AND(COUNTA($O363:$U363)&gt;0,O363=""),"مدير المشروع",""),IF(AND(COUNTA($O363:$U363)&gt;0,P363=""),"المستفيدين",""),IF(AND(COUNTA($O363:$U363)&gt;0,Q363=""),"المناطق",""),IF(AND(COUNTA($O363:$U363)&gt;0,R363=""),"الميزانية",""),IF(AND(COUNTA($O363:$U363)&gt;0,S363=""),"نسبة الجاهزية",""),IF(AND(COUNTA($O363:$U363)&gt;0,T363=""),"حالة الجاهزية",""),IF(AND(COUNTA($O363:$U363)&gt;0,U363=""),"التوصيات","")))&gt;0,"✗ ناقص: "&amp;_xlfn.TEXTJOIN("، ",TRUE,IF(E363="","التاريخ",""),IF(F363="","الوقت",""),IF(G363="","المركز",""),IF(H363="","الدائرة",""),IF(I363="","القسم",""),IF(J363="","المسؤول",""),IF(K363="","نوع النشاط",""),IF(L363="","المشروع",""),IF(N363="","الممول",""),IF(V363="","الموضوع",""),IF(W363="","الملاحظة",""),IF(X363="","مشكلة",""),IF(Y363="","الإجراء",""),IF(Z363="","التنفيذ",""),IF(AA363="","الجودة",""),IF(AB363="","الإغلاق",""),IF(AC363="","الخصم",""),IF(AND(COUNTA($O363:$U363)&gt;0,O363=""),"مدير المشروع",""),IF(AND(COUNTA($O363:$U363)&gt;0,P363=""),"المستفيدين",""),IF(AND(COUNTA($O363:$U363)&gt;0,Q363=""),"المناطق",""),IF(AND(COUNTA($O363:$U363)&gt;0,R363=""),"الميزانية",""),IF(AND(COUNTA($O363:$U363)&gt;0,S363=""),"نسبة الجاهزية",""),IF(AND(COUNTA($O363:$U363)&gt;0,T363=""),"حالة الجاهزية",""),IF(AND(COUNTA($O363:$U363)&gt;0,U363=""),"التوصيات","")),"✓"),"✓"))))))))))</f>
        <v/>
      </c>
      <c r="E363" s="235"/>
      <c r="F363" s="236"/>
      <c r="G363" s="90"/>
      <c r="H363" s="239"/>
      <c r="I363" s="89"/>
      <c r="J363" s="142"/>
      <c r="K363" s="90"/>
      <c r="L363" s="90"/>
      <c r="M363" s="90"/>
      <c r="N363" s="89"/>
      <c r="O363" s="200"/>
      <c r="P363" s="201"/>
      <c r="Q363" s="201"/>
      <c r="R363" s="237"/>
      <c r="S363" s="202"/>
      <c r="T363" s="200"/>
      <c r="U363" s="203"/>
      <c r="V363" s="89"/>
      <c r="W363" s="89"/>
      <c r="X363" s="145"/>
      <c r="Y363" s="89"/>
      <c r="Z363" s="90"/>
      <c r="AA363" s="90"/>
      <c r="AB363" s="90"/>
      <c r="AC363" s="90"/>
      <c r="AD363" s="92"/>
      <c r="AE363" s="149" t="str">
        <f>IFERROR(VLOOKUP(Z363,LISTS!$AL$2:$AM$1000,2,FALSE()),"")</f>
        <v/>
      </c>
      <c r="AF363" s="151" t="str">
        <f>IFERROR(VLOOKUP(AA363,LISTS!$AO$2:$AP$1000,2,FALSE()),"")</f>
        <v/>
      </c>
      <c r="AG363" s="152" t="str">
        <f>IFERROR(VLOOKUP(AB363,LISTS!$AR$2:$AS$1000,2,FALSE()),"")</f>
        <v/>
      </c>
      <c r="AH363" s="154" t="str">
        <f>IFERROR(VLOOKUP(AC363,LISTS!$AU$2:$AV$1000,2,FALSE()),"")</f>
        <v/>
      </c>
      <c r="AI363" s="238" t="str">
        <f t="shared" si="28"/>
        <v>—</v>
      </c>
      <c r="AJ363" s="190" t="str">
        <f t="shared" si="29"/>
        <v>—</v>
      </c>
      <c r="AK363" s="157" t="str">
        <f t="shared" si="30"/>
        <v/>
      </c>
      <c r="AL363" s="160" t="str">
        <f t="shared" si="31"/>
        <v/>
      </c>
      <c r="AM363" s="210"/>
      <c r="AN363" s="209"/>
    </row>
    <row r="364" spans="1:40" ht="27.95" customHeight="1">
      <c r="A364" s="134" t="str">
        <f>IF(I364&lt;&gt;"",COUNTA($I$2:I364),"")</f>
        <v/>
      </c>
      <c r="B364" s="138" t="str">
        <f t="shared" si="32"/>
        <v/>
      </c>
      <c r="C364" s="93" t="str">
        <f t="array" ref="C364">IF(E364="","",IF(M364&lt;&gt;"",
M364&amp;"/"&amp;SUMPRODUCT((M$2:M364=M364)*1)&amp;" - "&amp;(ROW()-2),
"إداري/"&amp;SUMPRODUCT((M$2:M364="")*1)&amp;" - "&amp;(ROW()-2)))</f>
        <v/>
      </c>
      <c r="D364" s="141" t="str">
        <f>IF(AND(G364="",H364="",I364=""),"",IF(COUNTIFS(LISTS!$A$2:$A$67,G364,LISTS!$B$2:$B$67,H364,LISTS!$C$2:$C$67,I364)=0,"✗ هرم",IF(NOT(OR(Z364="ممتاز 100%",Z364="جيد 80%",Z364="مقبول 60%",Z364="خطر 40%",Z364="")),"✗ قائمة R",IF(NOT(OR(AA364="ممتاز 100%",AA364="جيد 85%",AA364="مقبول 70%",AA364="ضعيف 50%",AA364="")),"✗ قائمة S",IF(NOT(OR(AB364="مكتمل 100%",AB364="جزئي 60%",AB364="معلق 30%",AB364="مفتوح 0%",AB364="")),"✗ قائمة T",IF(NOT(OR(AC364="لا خصم 0",AC364="تأخير −5",AC364="عجز −10",AC364="جودة −15",AC364="امتثال −20",AC364="مخالفة −25",AC364="")),"✗ قائمة U",IF(AND(X364="لا",AC364&lt;&gt;"",AC364&lt;&gt;"لا خصم 0"),"✗ خصم",IF(AND(X364="نعم",AC364="لا خصم 0"),"✗ خصم",IF(AND(Z364="ممتاز 100%",AA364="ممتاز 100%",AB364&lt;&gt;"",AB364&lt;&gt;"مكتمل 100%"),"✗ إغلاق",IFERROR(IF(LEN(_xlfn.TEXTJOIN("، ",TRUE,IF(E364="","التاريخ",""),IF(F364="","الوقت",""),IF(G364="","المركز",""),IF(H364="","الدائرة",""),IF(I364="","القسم",""),IF(J364="","المسؤول",""),IF(K364="","نوع النشاط",""),IF(L364="","المشروع",""),IF(N364="","الممول",""),IF(V364="","الموضوع",""),IF(W364="","الملاحظة",""),IF(X364="","مشكلة",""),IF(Y364="","الإجراء",""),IF(Z364="","التنفيذ",""),IF(AA364="","الجودة",""),IF(AB364="","الإغلاق",""),IF(AC364="","الخصم",""),IF(AND(COUNTA($O364:$U364)&gt;0,O364=""),"مدير المشروع",""),IF(AND(COUNTA($O364:$U364)&gt;0,P364=""),"المستفيدين",""),IF(AND(COUNTA($O364:$U364)&gt;0,Q364=""),"المناطق",""),IF(AND(COUNTA($O364:$U364)&gt;0,R364=""),"الميزانية",""),IF(AND(COUNTA($O364:$U364)&gt;0,S364=""),"نسبة الجاهزية",""),IF(AND(COUNTA($O364:$U364)&gt;0,T364=""),"حالة الجاهزية",""),IF(AND(COUNTA($O364:$U364)&gt;0,U364=""),"التوصيات","")))&gt;0,"✗ ناقص: "&amp;_xlfn.TEXTJOIN("، ",TRUE,IF(E364="","التاريخ",""),IF(F364="","الوقت",""),IF(G364="","المركز",""),IF(H364="","الدائرة",""),IF(I364="","القسم",""),IF(J364="","المسؤول",""),IF(K364="","نوع النشاط",""),IF(L364="","المشروع",""),IF(N364="","الممول",""),IF(V364="","الموضوع",""),IF(W364="","الملاحظة",""),IF(X364="","مشكلة",""),IF(Y364="","الإجراء",""),IF(Z364="","التنفيذ",""),IF(AA364="","الجودة",""),IF(AB364="","الإغلاق",""),IF(AC364="","الخصم",""),IF(AND(COUNTA($O364:$U364)&gt;0,O364=""),"مدير المشروع",""),IF(AND(COUNTA($O364:$U364)&gt;0,P364=""),"المستفيدين",""),IF(AND(COUNTA($O364:$U364)&gt;0,Q364=""),"المناطق",""),IF(AND(COUNTA($O364:$U364)&gt;0,R364=""),"الميزانية",""),IF(AND(COUNTA($O364:$U364)&gt;0,S364=""),"نسبة الجاهزية",""),IF(AND(COUNTA($O364:$U364)&gt;0,T364=""),"حالة الجاهزية",""),IF(AND(COUNTA($O364:$U364)&gt;0,U364=""),"التوصيات","")),"✓"),"✓"))))))))))</f>
        <v/>
      </c>
      <c r="E364" s="235"/>
      <c r="F364" s="236"/>
      <c r="G364" s="90"/>
      <c r="H364" s="239"/>
      <c r="I364" s="89"/>
      <c r="J364" s="142"/>
      <c r="K364" s="90"/>
      <c r="L364" s="90"/>
      <c r="M364" s="90"/>
      <c r="N364" s="89"/>
      <c r="O364" s="200"/>
      <c r="P364" s="201"/>
      <c r="Q364" s="201"/>
      <c r="R364" s="237"/>
      <c r="S364" s="202"/>
      <c r="T364" s="200"/>
      <c r="U364" s="203"/>
      <c r="V364" s="89"/>
      <c r="W364" s="89"/>
      <c r="X364" s="145"/>
      <c r="Y364" s="89"/>
      <c r="Z364" s="90"/>
      <c r="AA364" s="90"/>
      <c r="AB364" s="90"/>
      <c r="AC364" s="90"/>
      <c r="AD364" s="92"/>
      <c r="AE364" s="149" t="str">
        <f>IFERROR(VLOOKUP(Z364,LISTS!$AL$2:$AM$1000,2,FALSE()),"")</f>
        <v/>
      </c>
      <c r="AF364" s="151" t="str">
        <f>IFERROR(VLOOKUP(AA364,LISTS!$AO$2:$AP$1000,2,FALSE()),"")</f>
        <v/>
      </c>
      <c r="AG364" s="152" t="str">
        <f>IFERROR(VLOOKUP(AB364,LISTS!$AR$2:$AS$1000,2,FALSE()),"")</f>
        <v/>
      </c>
      <c r="AH364" s="154" t="str">
        <f>IFERROR(VLOOKUP(AC364,LISTS!$AU$2:$AV$1000,2,FALSE()),"")</f>
        <v/>
      </c>
      <c r="AI364" s="238" t="str">
        <f t="shared" si="28"/>
        <v>—</v>
      </c>
      <c r="AJ364" s="190" t="str">
        <f t="shared" si="29"/>
        <v>—</v>
      </c>
      <c r="AK364" s="157" t="str">
        <f t="shared" si="30"/>
        <v/>
      </c>
      <c r="AL364" s="160" t="str">
        <f t="shared" si="31"/>
        <v/>
      </c>
      <c r="AM364" s="210"/>
      <c r="AN364" s="209"/>
    </row>
    <row r="365" spans="1:40" ht="27.95" customHeight="1">
      <c r="A365" s="134" t="str">
        <f>IF(I365&lt;&gt;"",COUNTA($I$2:I365),"")</f>
        <v/>
      </c>
      <c r="B365" s="138" t="str">
        <f t="shared" si="32"/>
        <v/>
      </c>
      <c r="C365" s="93" t="str">
        <f t="array" ref="C365">IF(E365="","",IF(M365&lt;&gt;"",
M365&amp;"/"&amp;SUMPRODUCT((M$2:M365=M365)*1)&amp;" - "&amp;(ROW()-2),
"إداري/"&amp;SUMPRODUCT((M$2:M365="")*1)&amp;" - "&amp;(ROW()-2)))</f>
        <v/>
      </c>
      <c r="D365" s="141" t="str">
        <f>IF(AND(G365="",H365="",I365=""),"",IF(COUNTIFS(LISTS!$A$2:$A$67,G365,LISTS!$B$2:$B$67,H365,LISTS!$C$2:$C$67,I365)=0,"✗ هرم",IF(NOT(OR(Z365="ممتاز 100%",Z365="جيد 80%",Z365="مقبول 60%",Z365="خطر 40%",Z365="")),"✗ قائمة R",IF(NOT(OR(AA365="ممتاز 100%",AA365="جيد 85%",AA365="مقبول 70%",AA365="ضعيف 50%",AA365="")),"✗ قائمة S",IF(NOT(OR(AB365="مكتمل 100%",AB365="جزئي 60%",AB365="معلق 30%",AB365="مفتوح 0%",AB365="")),"✗ قائمة T",IF(NOT(OR(AC365="لا خصم 0",AC365="تأخير −5",AC365="عجز −10",AC365="جودة −15",AC365="امتثال −20",AC365="مخالفة −25",AC365="")),"✗ قائمة U",IF(AND(X365="لا",AC365&lt;&gt;"",AC365&lt;&gt;"لا خصم 0"),"✗ خصم",IF(AND(X365="نعم",AC365="لا خصم 0"),"✗ خصم",IF(AND(Z365="ممتاز 100%",AA365="ممتاز 100%",AB365&lt;&gt;"",AB365&lt;&gt;"مكتمل 100%"),"✗ إغلاق",IFERROR(IF(LEN(_xlfn.TEXTJOIN("، ",TRUE,IF(E365="","التاريخ",""),IF(F365="","الوقت",""),IF(G365="","المركز",""),IF(H365="","الدائرة",""),IF(I365="","القسم",""),IF(J365="","المسؤول",""),IF(K365="","نوع النشاط",""),IF(L365="","المشروع",""),IF(N365="","الممول",""),IF(V365="","الموضوع",""),IF(W365="","الملاحظة",""),IF(X365="","مشكلة",""),IF(Y365="","الإجراء",""),IF(Z365="","التنفيذ",""),IF(AA365="","الجودة",""),IF(AB365="","الإغلاق",""),IF(AC365="","الخصم",""),IF(AND(COUNTA($O365:$U365)&gt;0,O365=""),"مدير المشروع",""),IF(AND(COUNTA($O365:$U365)&gt;0,P365=""),"المستفيدين",""),IF(AND(COUNTA($O365:$U365)&gt;0,Q365=""),"المناطق",""),IF(AND(COUNTA($O365:$U365)&gt;0,R365=""),"الميزانية",""),IF(AND(COUNTA($O365:$U365)&gt;0,S365=""),"نسبة الجاهزية",""),IF(AND(COUNTA($O365:$U365)&gt;0,T365=""),"حالة الجاهزية",""),IF(AND(COUNTA($O365:$U365)&gt;0,U365=""),"التوصيات","")))&gt;0,"✗ ناقص: "&amp;_xlfn.TEXTJOIN("، ",TRUE,IF(E365="","التاريخ",""),IF(F365="","الوقت",""),IF(G365="","المركز",""),IF(H365="","الدائرة",""),IF(I365="","القسم",""),IF(J365="","المسؤول",""),IF(K365="","نوع النشاط",""),IF(L365="","المشروع",""),IF(N365="","الممول",""),IF(V365="","الموضوع",""),IF(W365="","الملاحظة",""),IF(X365="","مشكلة",""),IF(Y365="","الإجراء",""),IF(Z365="","التنفيذ",""),IF(AA365="","الجودة",""),IF(AB365="","الإغلاق",""),IF(AC365="","الخصم",""),IF(AND(COUNTA($O365:$U365)&gt;0,O365=""),"مدير المشروع",""),IF(AND(COUNTA($O365:$U365)&gt;0,P365=""),"المستفيدين",""),IF(AND(COUNTA($O365:$U365)&gt;0,Q365=""),"المناطق",""),IF(AND(COUNTA($O365:$U365)&gt;0,R365=""),"الميزانية",""),IF(AND(COUNTA($O365:$U365)&gt;0,S365=""),"نسبة الجاهزية",""),IF(AND(COUNTA($O365:$U365)&gt;0,T365=""),"حالة الجاهزية",""),IF(AND(COUNTA($O365:$U365)&gt;0,U365=""),"التوصيات","")),"✓"),"✓"))))))))))</f>
        <v/>
      </c>
      <c r="E365" s="235"/>
      <c r="F365" s="236"/>
      <c r="G365" s="90"/>
      <c r="H365" s="239"/>
      <c r="I365" s="89"/>
      <c r="J365" s="142"/>
      <c r="K365" s="90"/>
      <c r="L365" s="90"/>
      <c r="M365" s="90"/>
      <c r="N365" s="89"/>
      <c r="O365" s="200"/>
      <c r="P365" s="201"/>
      <c r="Q365" s="201"/>
      <c r="R365" s="237"/>
      <c r="S365" s="202"/>
      <c r="T365" s="200"/>
      <c r="U365" s="203"/>
      <c r="V365" s="89"/>
      <c r="W365" s="89"/>
      <c r="X365" s="145"/>
      <c r="Y365" s="89"/>
      <c r="Z365" s="90"/>
      <c r="AA365" s="90"/>
      <c r="AB365" s="90"/>
      <c r="AC365" s="90"/>
      <c r="AD365" s="92"/>
      <c r="AE365" s="149" t="str">
        <f>IFERROR(VLOOKUP(Z365,LISTS!$AL$2:$AM$1000,2,FALSE()),"")</f>
        <v/>
      </c>
      <c r="AF365" s="151" t="str">
        <f>IFERROR(VLOOKUP(AA365,LISTS!$AO$2:$AP$1000,2,FALSE()),"")</f>
        <v/>
      </c>
      <c r="AG365" s="152" t="str">
        <f>IFERROR(VLOOKUP(AB365,LISTS!$AR$2:$AS$1000,2,FALSE()),"")</f>
        <v/>
      </c>
      <c r="AH365" s="154" t="str">
        <f>IFERROR(VLOOKUP(AC365,LISTS!$AU$2:$AV$1000,2,FALSE()),"")</f>
        <v/>
      </c>
      <c r="AI365" s="238" t="str">
        <f t="shared" si="28"/>
        <v>—</v>
      </c>
      <c r="AJ365" s="190" t="str">
        <f t="shared" si="29"/>
        <v>—</v>
      </c>
      <c r="AK365" s="157" t="str">
        <f t="shared" si="30"/>
        <v/>
      </c>
      <c r="AL365" s="160" t="str">
        <f t="shared" si="31"/>
        <v/>
      </c>
      <c r="AM365" s="210"/>
      <c r="AN365" s="209"/>
    </row>
    <row r="366" spans="1:40" ht="27.95" customHeight="1">
      <c r="A366" s="134" t="str">
        <f>IF(I366&lt;&gt;"",COUNTA($I$2:I366),"")</f>
        <v/>
      </c>
      <c r="B366" s="138" t="str">
        <f t="shared" si="32"/>
        <v/>
      </c>
      <c r="C366" s="93" t="str">
        <f t="array" ref="C366">IF(E366="","",IF(M366&lt;&gt;"",
M366&amp;"/"&amp;SUMPRODUCT((M$2:M366=M366)*1)&amp;" - "&amp;(ROW()-2),
"إداري/"&amp;SUMPRODUCT((M$2:M366="")*1)&amp;" - "&amp;(ROW()-2)))</f>
        <v/>
      </c>
      <c r="D366" s="141" t="str">
        <f>IF(AND(G366="",H366="",I366=""),"",IF(COUNTIFS(LISTS!$A$2:$A$67,G366,LISTS!$B$2:$B$67,H366,LISTS!$C$2:$C$67,I366)=0,"✗ هرم",IF(NOT(OR(Z366="ممتاز 100%",Z366="جيد 80%",Z366="مقبول 60%",Z366="خطر 40%",Z366="")),"✗ قائمة R",IF(NOT(OR(AA366="ممتاز 100%",AA366="جيد 85%",AA366="مقبول 70%",AA366="ضعيف 50%",AA366="")),"✗ قائمة S",IF(NOT(OR(AB366="مكتمل 100%",AB366="جزئي 60%",AB366="معلق 30%",AB366="مفتوح 0%",AB366="")),"✗ قائمة T",IF(NOT(OR(AC366="لا خصم 0",AC366="تأخير −5",AC366="عجز −10",AC366="جودة −15",AC366="امتثال −20",AC366="مخالفة −25",AC366="")),"✗ قائمة U",IF(AND(X366="لا",AC366&lt;&gt;"",AC366&lt;&gt;"لا خصم 0"),"✗ خصم",IF(AND(X366="نعم",AC366="لا خصم 0"),"✗ خصم",IF(AND(Z366="ممتاز 100%",AA366="ممتاز 100%",AB366&lt;&gt;"",AB366&lt;&gt;"مكتمل 100%"),"✗ إغلاق",IFERROR(IF(LEN(_xlfn.TEXTJOIN("، ",TRUE,IF(E366="","التاريخ",""),IF(F366="","الوقت",""),IF(G366="","المركز",""),IF(H366="","الدائرة",""),IF(I366="","القسم",""),IF(J366="","المسؤول",""),IF(K366="","نوع النشاط",""),IF(L366="","المشروع",""),IF(N366="","الممول",""),IF(V366="","الموضوع",""),IF(W366="","الملاحظة",""),IF(X366="","مشكلة",""),IF(Y366="","الإجراء",""),IF(Z366="","التنفيذ",""),IF(AA366="","الجودة",""),IF(AB366="","الإغلاق",""),IF(AC366="","الخصم",""),IF(AND(COUNTA($O366:$U366)&gt;0,O366=""),"مدير المشروع",""),IF(AND(COUNTA($O366:$U366)&gt;0,P366=""),"المستفيدين",""),IF(AND(COUNTA($O366:$U366)&gt;0,Q366=""),"المناطق",""),IF(AND(COUNTA($O366:$U366)&gt;0,R366=""),"الميزانية",""),IF(AND(COUNTA($O366:$U366)&gt;0,S366=""),"نسبة الجاهزية",""),IF(AND(COUNTA($O366:$U366)&gt;0,T366=""),"حالة الجاهزية",""),IF(AND(COUNTA($O366:$U366)&gt;0,U366=""),"التوصيات","")))&gt;0,"✗ ناقص: "&amp;_xlfn.TEXTJOIN("، ",TRUE,IF(E366="","التاريخ",""),IF(F366="","الوقت",""),IF(G366="","المركز",""),IF(H366="","الدائرة",""),IF(I366="","القسم",""),IF(J366="","المسؤول",""),IF(K366="","نوع النشاط",""),IF(L366="","المشروع",""),IF(N366="","الممول",""),IF(V366="","الموضوع",""),IF(W366="","الملاحظة",""),IF(X366="","مشكلة",""),IF(Y366="","الإجراء",""),IF(Z366="","التنفيذ",""),IF(AA366="","الجودة",""),IF(AB366="","الإغلاق",""),IF(AC366="","الخصم",""),IF(AND(COUNTA($O366:$U366)&gt;0,O366=""),"مدير المشروع",""),IF(AND(COUNTA($O366:$U366)&gt;0,P366=""),"المستفيدين",""),IF(AND(COUNTA($O366:$U366)&gt;0,Q366=""),"المناطق",""),IF(AND(COUNTA($O366:$U366)&gt;0,R366=""),"الميزانية",""),IF(AND(COUNTA($O366:$U366)&gt;0,S366=""),"نسبة الجاهزية",""),IF(AND(COUNTA($O366:$U366)&gt;0,T366=""),"حالة الجاهزية",""),IF(AND(COUNTA($O366:$U366)&gt;0,U366=""),"التوصيات","")),"✓"),"✓"))))))))))</f>
        <v/>
      </c>
      <c r="E366" s="235"/>
      <c r="F366" s="236"/>
      <c r="G366" s="90"/>
      <c r="H366" s="239"/>
      <c r="I366" s="89"/>
      <c r="J366" s="142"/>
      <c r="K366" s="90"/>
      <c r="L366" s="90"/>
      <c r="M366" s="90"/>
      <c r="N366" s="89"/>
      <c r="O366" s="200"/>
      <c r="P366" s="201"/>
      <c r="Q366" s="201"/>
      <c r="R366" s="237"/>
      <c r="S366" s="202"/>
      <c r="T366" s="200"/>
      <c r="U366" s="203"/>
      <c r="V366" s="89"/>
      <c r="W366" s="89"/>
      <c r="X366" s="145"/>
      <c r="Y366" s="89"/>
      <c r="Z366" s="90"/>
      <c r="AA366" s="90"/>
      <c r="AB366" s="90"/>
      <c r="AC366" s="90"/>
      <c r="AD366" s="92"/>
      <c r="AE366" s="149" t="str">
        <f>IFERROR(VLOOKUP(Z366,LISTS!$AL$2:$AM$1000,2,FALSE()),"")</f>
        <v/>
      </c>
      <c r="AF366" s="151" t="str">
        <f>IFERROR(VLOOKUP(AA366,LISTS!$AO$2:$AP$1000,2,FALSE()),"")</f>
        <v/>
      </c>
      <c r="AG366" s="152" t="str">
        <f>IFERROR(VLOOKUP(AB366,LISTS!$AR$2:$AS$1000,2,FALSE()),"")</f>
        <v/>
      </c>
      <c r="AH366" s="154" t="str">
        <f>IFERROR(VLOOKUP(AC366,LISTS!$AU$2:$AV$1000,2,FALSE()),"")</f>
        <v/>
      </c>
      <c r="AI366" s="238" t="str">
        <f t="shared" si="28"/>
        <v>—</v>
      </c>
      <c r="AJ366" s="190" t="str">
        <f t="shared" si="29"/>
        <v>—</v>
      </c>
      <c r="AK366" s="157" t="str">
        <f t="shared" si="30"/>
        <v/>
      </c>
      <c r="AL366" s="160" t="str">
        <f t="shared" si="31"/>
        <v/>
      </c>
      <c r="AM366" s="210"/>
      <c r="AN366" s="209"/>
    </row>
    <row r="367" spans="1:40" ht="27.95" customHeight="1">
      <c r="A367" s="134" t="str">
        <f>IF(I367&lt;&gt;"",COUNTA($I$2:I367),"")</f>
        <v/>
      </c>
      <c r="B367" s="138" t="str">
        <f t="shared" si="32"/>
        <v/>
      </c>
      <c r="C367" s="93" t="str">
        <f t="array" ref="C367">IF(E367="","",IF(M367&lt;&gt;"",
M367&amp;"/"&amp;SUMPRODUCT((M$2:M367=M367)*1)&amp;" - "&amp;(ROW()-2),
"إداري/"&amp;SUMPRODUCT((M$2:M367="")*1)&amp;" - "&amp;(ROW()-2)))</f>
        <v/>
      </c>
      <c r="D367" s="141" t="str">
        <f>IF(AND(G367="",H367="",I367=""),"",IF(COUNTIFS(LISTS!$A$2:$A$67,G367,LISTS!$B$2:$B$67,H367,LISTS!$C$2:$C$67,I367)=0,"✗ هرم",IF(NOT(OR(Z367="ممتاز 100%",Z367="جيد 80%",Z367="مقبول 60%",Z367="خطر 40%",Z367="")),"✗ قائمة R",IF(NOT(OR(AA367="ممتاز 100%",AA367="جيد 85%",AA367="مقبول 70%",AA367="ضعيف 50%",AA367="")),"✗ قائمة S",IF(NOT(OR(AB367="مكتمل 100%",AB367="جزئي 60%",AB367="معلق 30%",AB367="مفتوح 0%",AB367="")),"✗ قائمة T",IF(NOT(OR(AC367="لا خصم 0",AC367="تأخير −5",AC367="عجز −10",AC367="جودة −15",AC367="امتثال −20",AC367="مخالفة −25",AC367="")),"✗ قائمة U",IF(AND(X367="لا",AC367&lt;&gt;"",AC367&lt;&gt;"لا خصم 0"),"✗ خصم",IF(AND(X367="نعم",AC367="لا خصم 0"),"✗ خصم",IF(AND(Z367="ممتاز 100%",AA367="ممتاز 100%",AB367&lt;&gt;"",AB367&lt;&gt;"مكتمل 100%"),"✗ إغلاق",IFERROR(IF(LEN(_xlfn.TEXTJOIN("، ",TRUE,IF(E367="","التاريخ",""),IF(F367="","الوقت",""),IF(G367="","المركز",""),IF(H367="","الدائرة",""),IF(I367="","القسم",""),IF(J367="","المسؤول",""),IF(K367="","نوع النشاط",""),IF(L367="","المشروع",""),IF(N367="","الممول",""),IF(V367="","الموضوع",""),IF(W367="","الملاحظة",""),IF(X367="","مشكلة",""),IF(Y367="","الإجراء",""),IF(Z367="","التنفيذ",""),IF(AA367="","الجودة",""),IF(AB367="","الإغلاق",""),IF(AC367="","الخصم",""),IF(AND(COUNTA($O367:$U367)&gt;0,O367=""),"مدير المشروع",""),IF(AND(COUNTA($O367:$U367)&gt;0,P367=""),"المستفيدين",""),IF(AND(COUNTA($O367:$U367)&gt;0,Q367=""),"المناطق",""),IF(AND(COUNTA($O367:$U367)&gt;0,R367=""),"الميزانية",""),IF(AND(COUNTA($O367:$U367)&gt;0,S367=""),"نسبة الجاهزية",""),IF(AND(COUNTA($O367:$U367)&gt;0,T367=""),"حالة الجاهزية",""),IF(AND(COUNTA($O367:$U367)&gt;0,U367=""),"التوصيات","")))&gt;0,"✗ ناقص: "&amp;_xlfn.TEXTJOIN("، ",TRUE,IF(E367="","التاريخ",""),IF(F367="","الوقت",""),IF(G367="","المركز",""),IF(H367="","الدائرة",""),IF(I367="","القسم",""),IF(J367="","المسؤول",""),IF(K367="","نوع النشاط",""),IF(L367="","المشروع",""),IF(N367="","الممول",""),IF(V367="","الموضوع",""),IF(W367="","الملاحظة",""),IF(X367="","مشكلة",""),IF(Y367="","الإجراء",""),IF(Z367="","التنفيذ",""),IF(AA367="","الجودة",""),IF(AB367="","الإغلاق",""),IF(AC367="","الخصم",""),IF(AND(COUNTA($O367:$U367)&gt;0,O367=""),"مدير المشروع",""),IF(AND(COUNTA($O367:$U367)&gt;0,P367=""),"المستفيدين",""),IF(AND(COUNTA($O367:$U367)&gt;0,Q367=""),"المناطق",""),IF(AND(COUNTA($O367:$U367)&gt;0,R367=""),"الميزانية",""),IF(AND(COUNTA($O367:$U367)&gt;0,S367=""),"نسبة الجاهزية",""),IF(AND(COUNTA($O367:$U367)&gt;0,T367=""),"حالة الجاهزية",""),IF(AND(COUNTA($O367:$U367)&gt;0,U367=""),"التوصيات","")),"✓"),"✓"))))))))))</f>
        <v/>
      </c>
      <c r="E367" s="235"/>
      <c r="F367" s="236"/>
      <c r="G367" s="90"/>
      <c r="H367" s="239"/>
      <c r="I367" s="89"/>
      <c r="J367" s="142"/>
      <c r="K367" s="90"/>
      <c r="L367" s="90"/>
      <c r="M367" s="90"/>
      <c r="N367" s="89"/>
      <c r="O367" s="200"/>
      <c r="P367" s="201"/>
      <c r="Q367" s="201"/>
      <c r="R367" s="237"/>
      <c r="S367" s="202"/>
      <c r="T367" s="200"/>
      <c r="U367" s="203"/>
      <c r="V367" s="89"/>
      <c r="W367" s="89"/>
      <c r="X367" s="145"/>
      <c r="Y367" s="89"/>
      <c r="Z367" s="90"/>
      <c r="AA367" s="90"/>
      <c r="AB367" s="90"/>
      <c r="AC367" s="90"/>
      <c r="AD367" s="92"/>
      <c r="AE367" s="149" t="str">
        <f>IFERROR(VLOOKUP(Z367,LISTS!$AL$2:$AM$1000,2,FALSE()),"")</f>
        <v/>
      </c>
      <c r="AF367" s="151" t="str">
        <f>IFERROR(VLOOKUP(AA367,LISTS!$AO$2:$AP$1000,2,FALSE()),"")</f>
        <v/>
      </c>
      <c r="AG367" s="152" t="str">
        <f>IFERROR(VLOOKUP(AB367,LISTS!$AR$2:$AS$1000,2,FALSE()),"")</f>
        <v/>
      </c>
      <c r="AH367" s="154" t="str">
        <f>IFERROR(VLOOKUP(AC367,LISTS!$AU$2:$AV$1000,2,FALSE()),"")</f>
        <v/>
      </c>
      <c r="AI367" s="238" t="str">
        <f t="shared" si="28"/>
        <v>—</v>
      </c>
      <c r="AJ367" s="190" t="str">
        <f t="shared" si="29"/>
        <v>—</v>
      </c>
      <c r="AK367" s="157" t="str">
        <f t="shared" si="30"/>
        <v/>
      </c>
      <c r="AL367" s="160" t="str">
        <f t="shared" si="31"/>
        <v/>
      </c>
      <c r="AM367" s="210"/>
      <c r="AN367" s="209"/>
    </row>
    <row r="368" spans="1:40" ht="27.95" customHeight="1">
      <c r="A368" s="134" t="str">
        <f>IF(I368&lt;&gt;"",COUNTA($I$2:I368),"")</f>
        <v/>
      </c>
      <c r="B368" s="138" t="str">
        <f t="shared" si="32"/>
        <v/>
      </c>
      <c r="C368" s="93" t="str">
        <f t="array" ref="C368">IF(E368="","",IF(M368&lt;&gt;"",
M368&amp;"/"&amp;SUMPRODUCT((M$2:M368=M368)*1)&amp;" - "&amp;(ROW()-2),
"إداري/"&amp;SUMPRODUCT((M$2:M368="")*1)&amp;" - "&amp;(ROW()-2)))</f>
        <v/>
      </c>
      <c r="D368" s="141" t="str">
        <f>IF(AND(G368="",H368="",I368=""),"",IF(COUNTIFS(LISTS!$A$2:$A$67,G368,LISTS!$B$2:$B$67,H368,LISTS!$C$2:$C$67,I368)=0,"✗ هرم",IF(NOT(OR(Z368="ممتاز 100%",Z368="جيد 80%",Z368="مقبول 60%",Z368="خطر 40%",Z368="")),"✗ قائمة R",IF(NOT(OR(AA368="ممتاز 100%",AA368="جيد 85%",AA368="مقبول 70%",AA368="ضعيف 50%",AA368="")),"✗ قائمة S",IF(NOT(OR(AB368="مكتمل 100%",AB368="جزئي 60%",AB368="معلق 30%",AB368="مفتوح 0%",AB368="")),"✗ قائمة T",IF(NOT(OR(AC368="لا خصم 0",AC368="تأخير −5",AC368="عجز −10",AC368="جودة −15",AC368="امتثال −20",AC368="مخالفة −25",AC368="")),"✗ قائمة U",IF(AND(X368="لا",AC368&lt;&gt;"",AC368&lt;&gt;"لا خصم 0"),"✗ خصم",IF(AND(X368="نعم",AC368="لا خصم 0"),"✗ خصم",IF(AND(Z368="ممتاز 100%",AA368="ممتاز 100%",AB368&lt;&gt;"",AB368&lt;&gt;"مكتمل 100%"),"✗ إغلاق",IFERROR(IF(LEN(_xlfn.TEXTJOIN("، ",TRUE,IF(E368="","التاريخ",""),IF(F368="","الوقت",""),IF(G368="","المركز",""),IF(H368="","الدائرة",""),IF(I368="","القسم",""),IF(J368="","المسؤول",""),IF(K368="","نوع النشاط",""),IF(L368="","المشروع",""),IF(N368="","الممول",""),IF(V368="","الموضوع",""),IF(W368="","الملاحظة",""),IF(X368="","مشكلة",""),IF(Y368="","الإجراء",""),IF(Z368="","التنفيذ",""),IF(AA368="","الجودة",""),IF(AB368="","الإغلاق",""),IF(AC368="","الخصم",""),IF(AND(COUNTA($O368:$U368)&gt;0,O368=""),"مدير المشروع",""),IF(AND(COUNTA($O368:$U368)&gt;0,P368=""),"المستفيدين",""),IF(AND(COUNTA($O368:$U368)&gt;0,Q368=""),"المناطق",""),IF(AND(COUNTA($O368:$U368)&gt;0,R368=""),"الميزانية",""),IF(AND(COUNTA($O368:$U368)&gt;0,S368=""),"نسبة الجاهزية",""),IF(AND(COUNTA($O368:$U368)&gt;0,T368=""),"حالة الجاهزية",""),IF(AND(COUNTA($O368:$U368)&gt;0,U368=""),"التوصيات","")))&gt;0,"✗ ناقص: "&amp;_xlfn.TEXTJOIN("، ",TRUE,IF(E368="","التاريخ",""),IF(F368="","الوقت",""),IF(G368="","المركز",""),IF(H368="","الدائرة",""),IF(I368="","القسم",""),IF(J368="","المسؤول",""),IF(K368="","نوع النشاط",""),IF(L368="","المشروع",""),IF(N368="","الممول",""),IF(V368="","الموضوع",""),IF(W368="","الملاحظة",""),IF(X368="","مشكلة",""),IF(Y368="","الإجراء",""),IF(Z368="","التنفيذ",""),IF(AA368="","الجودة",""),IF(AB368="","الإغلاق",""),IF(AC368="","الخصم",""),IF(AND(COUNTA($O368:$U368)&gt;0,O368=""),"مدير المشروع",""),IF(AND(COUNTA($O368:$U368)&gt;0,P368=""),"المستفيدين",""),IF(AND(COUNTA($O368:$U368)&gt;0,Q368=""),"المناطق",""),IF(AND(COUNTA($O368:$U368)&gt;0,R368=""),"الميزانية",""),IF(AND(COUNTA($O368:$U368)&gt;0,S368=""),"نسبة الجاهزية",""),IF(AND(COUNTA($O368:$U368)&gt;0,T368=""),"حالة الجاهزية",""),IF(AND(COUNTA($O368:$U368)&gt;0,U368=""),"التوصيات","")),"✓"),"✓"))))))))))</f>
        <v/>
      </c>
      <c r="E368" s="235"/>
      <c r="F368" s="236"/>
      <c r="G368" s="90"/>
      <c r="H368" s="239"/>
      <c r="I368" s="89"/>
      <c r="J368" s="142"/>
      <c r="K368" s="90"/>
      <c r="L368" s="90"/>
      <c r="M368" s="90"/>
      <c r="N368" s="89"/>
      <c r="O368" s="200"/>
      <c r="P368" s="201"/>
      <c r="Q368" s="201"/>
      <c r="R368" s="237"/>
      <c r="S368" s="202"/>
      <c r="T368" s="200"/>
      <c r="U368" s="203"/>
      <c r="V368" s="89"/>
      <c r="W368" s="89"/>
      <c r="X368" s="145"/>
      <c r="Y368" s="89"/>
      <c r="Z368" s="90"/>
      <c r="AA368" s="90"/>
      <c r="AB368" s="90"/>
      <c r="AC368" s="90"/>
      <c r="AD368" s="92"/>
      <c r="AE368" s="149" t="str">
        <f>IFERROR(VLOOKUP(Z368,LISTS!$AL$2:$AM$1000,2,FALSE()),"")</f>
        <v/>
      </c>
      <c r="AF368" s="151" t="str">
        <f>IFERROR(VLOOKUP(AA368,LISTS!$AO$2:$AP$1000,2,FALSE()),"")</f>
        <v/>
      </c>
      <c r="AG368" s="152" t="str">
        <f>IFERROR(VLOOKUP(AB368,LISTS!$AR$2:$AS$1000,2,FALSE()),"")</f>
        <v/>
      </c>
      <c r="AH368" s="154" t="str">
        <f>IFERROR(VLOOKUP(AC368,LISTS!$AU$2:$AV$1000,2,FALSE()),"")</f>
        <v/>
      </c>
      <c r="AI368" s="238" t="str">
        <f t="shared" si="28"/>
        <v>—</v>
      </c>
      <c r="AJ368" s="190" t="str">
        <f t="shared" si="29"/>
        <v>—</v>
      </c>
      <c r="AK368" s="157" t="str">
        <f t="shared" si="30"/>
        <v/>
      </c>
      <c r="AL368" s="160" t="str">
        <f t="shared" si="31"/>
        <v/>
      </c>
      <c r="AM368" s="210"/>
      <c r="AN368" s="209"/>
    </row>
    <row r="369" spans="1:40" ht="27.95" customHeight="1">
      <c r="A369" s="134" t="str">
        <f>IF(I369&lt;&gt;"",COUNTA($I$2:I369),"")</f>
        <v/>
      </c>
      <c r="B369" s="138" t="str">
        <f t="shared" si="32"/>
        <v/>
      </c>
      <c r="C369" s="93" t="str">
        <f t="array" ref="C369">IF(E369="","",IF(M369&lt;&gt;"",
M369&amp;"/"&amp;SUMPRODUCT((M$2:M369=M369)*1)&amp;" - "&amp;(ROW()-2),
"إداري/"&amp;SUMPRODUCT((M$2:M369="")*1)&amp;" - "&amp;(ROW()-2)))</f>
        <v/>
      </c>
      <c r="D369" s="141" t="str">
        <f>IF(AND(G369="",H369="",I369=""),"",IF(COUNTIFS(LISTS!$A$2:$A$67,G369,LISTS!$B$2:$B$67,H369,LISTS!$C$2:$C$67,I369)=0,"✗ هرم",IF(NOT(OR(Z369="ممتاز 100%",Z369="جيد 80%",Z369="مقبول 60%",Z369="خطر 40%",Z369="")),"✗ قائمة R",IF(NOT(OR(AA369="ممتاز 100%",AA369="جيد 85%",AA369="مقبول 70%",AA369="ضعيف 50%",AA369="")),"✗ قائمة S",IF(NOT(OR(AB369="مكتمل 100%",AB369="جزئي 60%",AB369="معلق 30%",AB369="مفتوح 0%",AB369="")),"✗ قائمة T",IF(NOT(OR(AC369="لا خصم 0",AC369="تأخير −5",AC369="عجز −10",AC369="جودة −15",AC369="امتثال −20",AC369="مخالفة −25",AC369="")),"✗ قائمة U",IF(AND(X369="لا",AC369&lt;&gt;"",AC369&lt;&gt;"لا خصم 0"),"✗ خصم",IF(AND(X369="نعم",AC369="لا خصم 0"),"✗ خصم",IF(AND(Z369="ممتاز 100%",AA369="ممتاز 100%",AB369&lt;&gt;"",AB369&lt;&gt;"مكتمل 100%"),"✗ إغلاق",IFERROR(IF(LEN(_xlfn.TEXTJOIN("، ",TRUE,IF(E369="","التاريخ",""),IF(F369="","الوقت",""),IF(G369="","المركز",""),IF(H369="","الدائرة",""),IF(I369="","القسم",""),IF(J369="","المسؤول",""),IF(K369="","نوع النشاط",""),IF(L369="","المشروع",""),IF(N369="","الممول",""),IF(V369="","الموضوع",""),IF(W369="","الملاحظة",""),IF(X369="","مشكلة",""),IF(Y369="","الإجراء",""),IF(Z369="","التنفيذ",""),IF(AA369="","الجودة",""),IF(AB369="","الإغلاق",""),IF(AC369="","الخصم",""),IF(AND(COUNTA($O369:$U369)&gt;0,O369=""),"مدير المشروع",""),IF(AND(COUNTA($O369:$U369)&gt;0,P369=""),"المستفيدين",""),IF(AND(COUNTA($O369:$U369)&gt;0,Q369=""),"المناطق",""),IF(AND(COUNTA($O369:$U369)&gt;0,R369=""),"الميزانية",""),IF(AND(COUNTA($O369:$U369)&gt;0,S369=""),"نسبة الجاهزية",""),IF(AND(COUNTA($O369:$U369)&gt;0,T369=""),"حالة الجاهزية",""),IF(AND(COUNTA($O369:$U369)&gt;0,U369=""),"التوصيات","")))&gt;0,"✗ ناقص: "&amp;_xlfn.TEXTJOIN("، ",TRUE,IF(E369="","التاريخ",""),IF(F369="","الوقت",""),IF(G369="","المركز",""),IF(H369="","الدائرة",""),IF(I369="","القسم",""),IF(J369="","المسؤول",""),IF(K369="","نوع النشاط",""),IF(L369="","المشروع",""),IF(N369="","الممول",""),IF(V369="","الموضوع",""),IF(W369="","الملاحظة",""),IF(X369="","مشكلة",""),IF(Y369="","الإجراء",""),IF(Z369="","التنفيذ",""),IF(AA369="","الجودة",""),IF(AB369="","الإغلاق",""),IF(AC369="","الخصم",""),IF(AND(COUNTA($O369:$U369)&gt;0,O369=""),"مدير المشروع",""),IF(AND(COUNTA($O369:$U369)&gt;0,P369=""),"المستفيدين",""),IF(AND(COUNTA($O369:$U369)&gt;0,Q369=""),"المناطق",""),IF(AND(COUNTA($O369:$U369)&gt;0,R369=""),"الميزانية",""),IF(AND(COUNTA($O369:$U369)&gt;0,S369=""),"نسبة الجاهزية",""),IF(AND(COUNTA($O369:$U369)&gt;0,T369=""),"حالة الجاهزية",""),IF(AND(COUNTA($O369:$U369)&gt;0,U369=""),"التوصيات","")),"✓"),"✓"))))))))))</f>
        <v/>
      </c>
      <c r="E369" s="235"/>
      <c r="F369" s="236"/>
      <c r="G369" s="90"/>
      <c r="H369" s="239"/>
      <c r="I369" s="89"/>
      <c r="J369" s="142"/>
      <c r="K369" s="90"/>
      <c r="L369" s="90"/>
      <c r="M369" s="90"/>
      <c r="N369" s="89"/>
      <c r="O369" s="200"/>
      <c r="P369" s="201"/>
      <c r="Q369" s="201"/>
      <c r="R369" s="237"/>
      <c r="S369" s="202"/>
      <c r="T369" s="200"/>
      <c r="U369" s="203"/>
      <c r="V369" s="89"/>
      <c r="W369" s="89"/>
      <c r="X369" s="145"/>
      <c r="Y369" s="89"/>
      <c r="Z369" s="90"/>
      <c r="AA369" s="90"/>
      <c r="AB369" s="90"/>
      <c r="AC369" s="90"/>
      <c r="AD369" s="92"/>
      <c r="AE369" s="149" t="str">
        <f>IFERROR(VLOOKUP(Z369,LISTS!$AL$2:$AM$1000,2,FALSE()),"")</f>
        <v/>
      </c>
      <c r="AF369" s="151" t="str">
        <f>IFERROR(VLOOKUP(AA369,LISTS!$AO$2:$AP$1000,2,FALSE()),"")</f>
        <v/>
      </c>
      <c r="AG369" s="152" t="str">
        <f>IFERROR(VLOOKUP(AB369,LISTS!$AR$2:$AS$1000,2,FALSE()),"")</f>
        <v/>
      </c>
      <c r="AH369" s="154" t="str">
        <f>IFERROR(VLOOKUP(AC369,LISTS!$AU$2:$AV$1000,2,FALSE()),"")</f>
        <v/>
      </c>
      <c r="AI369" s="238" t="str">
        <f t="shared" si="28"/>
        <v>—</v>
      </c>
      <c r="AJ369" s="190" t="str">
        <f t="shared" si="29"/>
        <v>—</v>
      </c>
      <c r="AK369" s="157" t="str">
        <f t="shared" si="30"/>
        <v/>
      </c>
      <c r="AL369" s="160" t="str">
        <f t="shared" si="31"/>
        <v/>
      </c>
      <c r="AM369" s="210"/>
      <c r="AN369" s="209"/>
    </row>
    <row r="370" spans="1:40" ht="27.95" customHeight="1">
      <c r="A370" s="134" t="str">
        <f>IF(I370&lt;&gt;"",COUNTA($I$2:I370),"")</f>
        <v/>
      </c>
      <c r="B370" s="138" t="str">
        <f t="shared" si="32"/>
        <v/>
      </c>
      <c r="C370" s="93" t="str">
        <f t="array" ref="C370">IF(E370="","",IF(M370&lt;&gt;"",
M370&amp;"/"&amp;SUMPRODUCT((M$2:M370=M370)*1)&amp;" - "&amp;(ROW()-2),
"إداري/"&amp;SUMPRODUCT((M$2:M370="")*1)&amp;" - "&amp;(ROW()-2)))</f>
        <v/>
      </c>
      <c r="D370" s="141" t="str">
        <f>IF(AND(G370="",H370="",I370=""),"",IF(COUNTIFS(LISTS!$A$2:$A$67,G370,LISTS!$B$2:$B$67,H370,LISTS!$C$2:$C$67,I370)=0,"✗ هرم",IF(NOT(OR(Z370="ممتاز 100%",Z370="جيد 80%",Z370="مقبول 60%",Z370="خطر 40%",Z370="")),"✗ قائمة R",IF(NOT(OR(AA370="ممتاز 100%",AA370="جيد 85%",AA370="مقبول 70%",AA370="ضعيف 50%",AA370="")),"✗ قائمة S",IF(NOT(OR(AB370="مكتمل 100%",AB370="جزئي 60%",AB370="معلق 30%",AB370="مفتوح 0%",AB370="")),"✗ قائمة T",IF(NOT(OR(AC370="لا خصم 0",AC370="تأخير −5",AC370="عجز −10",AC370="جودة −15",AC370="امتثال −20",AC370="مخالفة −25",AC370="")),"✗ قائمة U",IF(AND(X370="لا",AC370&lt;&gt;"",AC370&lt;&gt;"لا خصم 0"),"✗ خصم",IF(AND(X370="نعم",AC370="لا خصم 0"),"✗ خصم",IF(AND(Z370="ممتاز 100%",AA370="ممتاز 100%",AB370&lt;&gt;"",AB370&lt;&gt;"مكتمل 100%"),"✗ إغلاق",IFERROR(IF(LEN(_xlfn.TEXTJOIN("، ",TRUE,IF(E370="","التاريخ",""),IF(F370="","الوقت",""),IF(G370="","المركز",""),IF(H370="","الدائرة",""),IF(I370="","القسم",""),IF(J370="","المسؤول",""),IF(K370="","نوع النشاط",""),IF(L370="","المشروع",""),IF(N370="","الممول",""),IF(V370="","الموضوع",""),IF(W370="","الملاحظة",""),IF(X370="","مشكلة",""),IF(Y370="","الإجراء",""),IF(Z370="","التنفيذ",""),IF(AA370="","الجودة",""),IF(AB370="","الإغلاق",""),IF(AC370="","الخصم",""),IF(AND(COUNTA($O370:$U370)&gt;0,O370=""),"مدير المشروع",""),IF(AND(COUNTA($O370:$U370)&gt;0,P370=""),"المستفيدين",""),IF(AND(COUNTA($O370:$U370)&gt;0,Q370=""),"المناطق",""),IF(AND(COUNTA($O370:$U370)&gt;0,R370=""),"الميزانية",""),IF(AND(COUNTA($O370:$U370)&gt;0,S370=""),"نسبة الجاهزية",""),IF(AND(COUNTA($O370:$U370)&gt;0,T370=""),"حالة الجاهزية",""),IF(AND(COUNTA($O370:$U370)&gt;0,U370=""),"التوصيات","")))&gt;0,"✗ ناقص: "&amp;_xlfn.TEXTJOIN("، ",TRUE,IF(E370="","التاريخ",""),IF(F370="","الوقت",""),IF(G370="","المركز",""),IF(H370="","الدائرة",""),IF(I370="","القسم",""),IF(J370="","المسؤول",""),IF(K370="","نوع النشاط",""),IF(L370="","المشروع",""),IF(N370="","الممول",""),IF(V370="","الموضوع",""),IF(W370="","الملاحظة",""),IF(X370="","مشكلة",""),IF(Y370="","الإجراء",""),IF(Z370="","التنفيذ",""),IF(AA370="","الجودة",""),IF(AB370="","الإغلاق",""),IF(AC370="","الخصم",""),IF(AND(COUNTA($O370:$U370)&gt;0,O370=""),"مدير المشروع",""),IF(AND(COUNTA($O370:$U370)&gt;0,P370=""),"المستفيدين",""),IF(AND(COUNTA($O370:$U370)&gt;0,Q370=""),"المناطق",""),IF(AND(COUNTA($O370:$U370)&gt;0,R370=""),"الميزانية",""),IF(AND(COUNTA($O370:$U370)&gt;0,S370=""),"نسبة الجاهزية",""),IF(AND(COUNTA($O370:$U370)&gt;0,T370=""),"حالة الجاهزية",""),IF(AND(COUNTA($O370:$U370)&gt;0,U370=""),"التوصيات","")),"✓"),"✓"))))))))))</f>
        <v/>
      </c>
      <c r="E370" s="235"/>
      <c r="F370" s="236"/>
      <c r="G370" s="90"/>
      <c r="H370" s="239"/>
      <c r="I370" s="89"/>
      <c r="J370" s="142"/>
      <c r="K370" s="90"/>
      <c r="L370" s="90"/>
      <c r="M370" s="90"/>
      <c r="N370" s="89"/>
      <c r="O370" s="200"/>
      <c r="P370" s="201"/>
      <c r="Q370" s="201"/>
      <c r="R370" s="237"/>
      <c r="S370" s="202"/>
      <c r="T370" s="200"/>
      <c r="U370" s="203"/>
      <c r="V370" s="89"/>
      <c r="W370" s="89"/>
      <c r="X370" s="145"/>
      <c r="Y370" s="89"/>
      <c r="Z370" s="90"/>
      <c r="AA370" s="90"/>
      <c r="AB370" s="90"/>
      <c r="AC370" s="90"/>
      <c r="AD370" s="92"/>
      <c r="AE370" s="149" t="str">
        <f>IFERROR(VLOOKUP(Z370,LISTS!$AL$2:$AM$1000,2,FALSE()),"")</f>
        <v/>
      </c>
      <c r="AF370" s="151" t="str">
        <f>IFERROR(VLOOKUP(AA370,LISTS!$AO$2:$AP$1000,2,FALSE()),"")</f>
        <v/>
      </c>
      <c r="AG370" s="152" t="str">
        <f>IFERROR(VLOOKUP(AB370,LISTS!$AR$2:$AS$1000,2,FALSE()),"")</f>
        <v/>
      </c>
      <c r="AH370" s="154" t="str">
        <f>IFERROR(VLOOKUP(AC370,LISTS!$AU$2:$AV$1000,2,FALSE()),"")</f>
        <v/>
      </c>
      <c r="AI370" s="238" t="str">
        <f t="shared" si="28"/>
        <v>—</v>
      </c>
      <c r="AJ370" s="190" t="str">
        <f t="shared" si="29"/>
        <v>—</v>
      </c>
      <c r="AK370" s="157" t="str">
        <f t="shared" si="30"/>
        <v/>
      </c>
      <c r="AL370" s="160" t="str">
        <f t="shared" si="31"/>
        <v/>
      </c>
      <c r="AM370" s="210"/>
      <c r="AN370" s="209"/>
    </row>
    <row r="371" spans="1:40" ht="27.95" customHeight="1">
      <c r="A371" s="134" t="str">
        <f>IF(I371&lt;&gt;"",COUNTA($I$2:I371),"")</f>
        <v/>
      </c>
      <c r="B371" s="138" t="str">
        <f t="shared" si="32"/>
        <v/>
      </c>
      <c r="C371" s="93" t="str">
        <f t="array" ref="C371">IF(E371="","",IF(M371&lt;&gt;"",
M371&amp;"/"&amp;SUMPRODUCT((M$2:M371=M371)*1)&amp;" - "&amp;(ROW()-2),
"إداري/"&amp;SUMPRODUCT((M$2:M371="")*1)&amp;" - "&amp;(ROW()-2)))</f>
        <v/>
      </c>
      <c r="D371" s="141" t="str">
        <f>IF(AND(G371="",H371="",I371=""),"",IF(COUNTIFS(LISTS!$A$2:$A$67,G371,LISTS!$B$2:$B$67,H371,LISTS!$C$2:$C$67,I371)=0,"✗ هرم",IF(NOT(OR(Z371="ممتاز 100%",Z371="جيد 80%",Z371="مقبول 60%",Z371="خطر 40%",Z371="")),"✗ قائمة R",IF(NOT(OR(AA371="ممتاز 100%",AA371="جيد 85%",AA371="مقبول 70%",AA371="ضعيف 50%",AA371="")),"✗ قائمة S",IF(NOT(OR(AB371="مكتمل 100%",AB371="جزئي 60%",AB371="معلق 30%",AB371="مفتوح 0%",AB371="")),"✗ قائمة T",IF(NOT(OR(AC371="لا خصم 0",AC371="تأخير −5",AC371="عجز −10",AC371="جودة −15",AC371="امتثال −20",AC371="مخالفة −25",AC371="")),"✗ قائمة U",IF(AND(X371="لا",AC371&lt;&gt;"",AC371&lt;&gt;"لا خصم 0"),"✗ خصم",IF(AND(X371="نعم",AC371="لا خصم 0"),"✗ خصم",IF(AND(Z371="ممتاز 100%",AA371="ممتاز 100%",AB371&lt;&gt;"",AB371&lt;&gt;"مكتمل 100%"),"✗ إغلاق",IFERROR(IF(LEN(_xlfn.TEXTJOIN("، ",TRUE,IF(E371="","التاريخ",""),IF(F371="","الوقت",""),IF(G371="","المركز",""),IF(H371="","الدائرة",""),IF(I371="","القسم",""),IF(J371="","المسؤول",""),IF(K371="","نوع النشاط",""),IF(L371="","المشروع",""),IF(N371="","الممول",""),IF(V371="","الموضوع",""),IF(W371="","الملاحظة",""),IF(X371="","مشكلة",""),IF(Y371="","الإجراء",""),IF(Z371="","التنفيذ",""),IF(AA371="","الجودة",""),IF(AB371="","الإغلاق",""),IF(AC371="","الخصم",""),IF(AND(COUNTA($O371:$U371)&gt;0,O371=""),"مدير المشروع",""),IF(AND(COUNTA($O371:$U371)&gt;0,P371=""),"المستفيدين",""),IF(AND(COUNTA($O371:$U371)&gt;0,Q371=""),"المناطق",""),IF(AND(COUNTA($O371:$U371)&gt;0,R371=""),"الميزانية",""),IF(AND(COUNTA($O371:$U371)&gt;0,S371=""),"نسبة الجاهزية",""),IF(AND(COUNTA($O371:$U371)&gt;0,T371=""),"حالة الجاهزية",""),IF(AND(COUNTA($O371:$U371)&gt;0,U371=""),"التوصيات","")))&gt;0,"✗ ناقص: "&amp;_xlfn.TEXTJOIN("، ",TRUE,IF(E371="","التاريخ",""),IF(F371="","الوقت",""),IF(G371="","المركز",""),IF(H371="","الدائرة",""),IF(I371="","القسم",""),IF(J371="","المسؤول",""),IF(K371="","نوع النشاط",""),IF(L371="","المشروع",""),IF(N371="","الممول",""),IF(V371="","الموضوع",""),IF(W371="","الملاحظة",""),IF(X371="","مشكلة",""),IF(Y371="","الإجراء",""),IF(Z371="","التنفيذ",""),IF(AA371="","الجودة",""),IF(AB371="","الإغلاق",""),IF(AC371="","الخصم",""),IF(AND(COUNTA($O371:$U371)&gt;0,O371=""),"مدير المشروع",""),IF(AND(COUNTA($O371:$U371)&gt;0,P371=""),"المستفيدين",""),IF(AND(COUNTA($O371:$U371)&gt;0,Q371=""),"المناطق",""),IF(AND(COUNTA($O371:$U371)&gt;0,R371=""),"الميزانية",""),IF(AND(COUNTA($O371:$U371)&gt;0,S371=""),"نسبة الجاهزية",""),IF(AND(COUNTA($O371:$U371)&gt;0,T371=""),"حالة الجاهزية",""),IF(AND(COUNTA($O371:$U371)&gt;0,U371=""),"التوصيات","")),"✓"),"✓"))))))))))</f>
        <v/>
      </c>
      <c r="E371" s="235"/>
      <c r="F371" s="236"/>
      <c r="G371" s="90"/>
      <c r="H371" s="239"/>
      <c r="I371" s="89"/>
      <c r="J371" s="142"/>
      <c r="K371" s="90"/>
      <c r="L371" s="90"/>
      <c r="M371" s="90"/>
      <c r="N371" s="89"/>
      <c r="O371" s="200"/>
      <c r="P371" s="201"/>
      <c r="Q371" s="201"/>
      <c r="R371" s="237"/>
      <c r="S371" s="202"/>
      <c r="T371" s="200"/>
      <c r="U371" s="203"/>
      <c r="V371" s="89"/>
      <c r="W371" s="89"/>
      <c r="X371" s="145"/>
      <c r="Y371" s="89"/>
      <c r="Z371" s="90"/>
      <c r="AA371" s="90"/>
      <c r="AB371" s="90"/>
      <c r="AC371" s="90"/>
      <c r="AD371" s="92"/>
      <c r="AE371" s="149" t="str">
        <f>IFERROR(VLOOKUP(Z371,LISTS!$AL$2:$AM$1000,2,FALSE()),"")</f>
        <v/>
      </c>
      <c r="AF371" s="151" t="str">
        <f>IFERROR(VLOOKUP(AA371,LISTS!$AO$2:$AP$1000,2,FALSE()),"")</f>
        <v/>
      </c>
      <c r="AG371" s="152" t="str">
        <f>IFERROR(VLOOKUP(AB371,LISTS!$AR$2:$AS$1000,2,FALSE()),"")</f>
        <v/>
      </c>
      <c r="AH371" s="154" t="str">
        <f>IFERROR(VLOOKUP(AC371,LISTS!$AU$2:$AV$1000,2,FALSE()),"")</f>
        <v/>
      </c>
      <c r="AI371" s="238" t="str">
        <f t="shared" si="28"/>
        <v>—</v>
      </c>
      <c r="AJ371" s="190" t="str">
        <f t="shared" si="29"/>
        <v>—</v>
      </c>
      <c r="AK371" s="157" t="str">
        <f t="shared" si="30"/>
        <v/>
      </c>
      <c r="AL371" s="160" t="str">
        <f t="shared" si="31"/>
        <v/>
      </c>
      <c r="AM371" s="210"/>
      <c r="AN371" s="209"/>
    </row>
    <row r="372" spans="1:40" ht="27.95" customHeight="1">
      <c r="A372" s="134" t="str">
        <f>IF(I372&lt;&gt;"",COUNTA($I$2:I372),"")</f>
        <v/>
      </c>
      <c r="B372" s="138" t="str">
        <f t="shared" si="32"/>
        <v/>
      </c>
      <c r="C372" s="93" t="str">
        <f t="array" ref="C372">IF(E372="","",IF(M372&lt;&gt;"",
M372&amp;"/"&amp;SUMPRODUCT((M$2:M372=M372)*1)&amp;" - "&amp;(ROW()-2),
"إداري/"&amp;SUMPRODUCT((M$2:M372="")*1)&amp;" - "&amp;(ROW()-2)))</f>
        <v/>
      </c>
      <c r="D372" s="141" t="str">
        <f>IF(AND(G372="",H372="",I372=""),"",IF(COUNTIFS(LISTS!$A$2:$A$67,G372,LISTS!$B$2:$B$67,H372,LISTS!$C$2:$C$67,I372)=0,"✗ هرم",IF(NOT(OR(Z372="ممتاز 100%",Z372="جيد 80%",Z372="مقبول 60%",Z372="خطر 40%",Z372="")),"✗ قائمة R",IF(NOT(OR(AA372="ممتاز 100%",AA372="جيد 85%",AA372="مقبول 70%",AA372="ضعيف 50%",AA372="")),"✗ قائمة S",IF(NOT(OR(AB372="مكتمل 100%",AB372="جزئي 60%",AB372="معلق 30%",AB372="مفتوح 0%",AB372="")),"✗ قائمة T",IF(NOT(OR(AC372="لا خصم 0",AC372="تأخير −5",AC372="عجز −10",AC372="جودة −15",AC372="امتثال −20",AC372="مخالفة −25",AC372="")),"✗ قائمة U",IF(AND(X372="لا",AC372&lt;&gt;"",AC372&lt;&gt;"لا خصم 0"),"✗ خصم",IF(AND(X372="نعم",AC372="لا خصم 0"),"✗ خصم",IF(AND(Z372="ممتاز 100%",AA372="ممتاز 100%",AB372&lt;&gt;"",AB372&lt;&gt;"مكتمل 100%"),"✗ إغلاق",IFERROR(IF(LEN(_xlfn.TEXTJOIN("، ",TRUE,IF(E372="","التاريخ",""),IF(F372="","الوقت",""),IF(G372="","المركز",""),IF(H372="","الدائرة",""),IF(I372="","القسم",""),IF(J372="","المسؤول",""),IF(K372="","نوع النشاط",""),IF(L372="","المشروع",""),IF(N372="","الممول",""),IF(V372="","الموضوع",""),IF(W372="","الملاحظة",""),IF(X372="","مشكلة",""),IF(Y372="","الإجراء",""),IF(Z372="","التنفيذ",""),IF(AA372="","الجودة",""),IF(AB372="","الإغلاق",""),IF(AC372="","الخصم",""),IF(AND(COUNTA($O372:$U372)&gt;0,O372=""),"مدير المشروع",""),IF(AND(COUNTA($O372:$U372)&gt;0,P372=""),"المستفيدين",""),IF(AND(COUNTA($O372:$U372)&gt;0,Q372=""),"المناطق",""),IF(AND(COUNTA($O372:$U372)&gt;0,R372=""),"الميزانية",""),IF(AND(COUNTA($O372:$U372)&gt;0,S372=""),"نسبة الجاهزية",""),IF(AND(COUNTA($O372:$U372)&gt;0,T372=""),"حالة الجاهزية",""),IF(AND(COUNTA($O372:$U372)&gt;0,U372=""),"التوصيات","")))&gt;0,"✗ ناقص: "&amp;_xlfn.TEXTJOIN("، ",TRUE,IF(E372="","التاريخ",""),IF(F372="","الوقت",""),IF(G372="","المركز",""),IF(H372="","الدائرة",""),IF(I372="","القسم",""),IF(J372="","المسؤول",""),IF(K372="","نوع النشاط",""),IF(L372="","المشروع",""),IF(N372="","الممول",""),IF(V372="","الموضوع",""),IF(W372="","الملاحظة",""),IF(X372="","مشكلة",""),IF(Y372="","الإجراء",""),IF(Z372="","التنفيذ",""),IF(AA372="","الجودة",""),IF(AB372="","الإغلاق",""),IF(AC372="","الخصم",""),IF(AND(COUNTA($O372:$U372)&gt;0,O372=""),"مدير المشروع",""),IF(AND(COUNTA($O372:$U372)&gt;0,P372=""),"المستفيدين",""),IF(AND(COUNTA($O372:$U372)&gt;0,Q372=""),"المناطق",""),IF(AND(COUNTA($O372:$U372)&gt;0,R372=""),"الميزانية",""),IF(AND(COUNTA($O372:$U372)&gt;0,S372=""),"نسبة الجاهزية",""),IF(AND(COUNTA($O372:$U372)&gt;0,T372=""),"حالة الجاهزية",""),IF(AND(COUNTA($O372:$U372)&gt;0,U372=""),"التوصيات","")),"✓"),"✓"))))))))))</f>
        <v/>
      </c>
      <c r="E372" s="235"/>
      <c r="F372" s="236"/>
      <c r="G372" s="90"/>
      <c r="H372" s="239"/>
      <c r="I372" s="89"/>
      <c r="J372" s="142"/>
      <c r="K372" s="90"/>
      <c r="L372" s="90"/>
      <c r="M372" s="90"/>
      <c r="N372" s="89"/>
      <c r="O372" s="200"/>
      <c r="P372" s="201"/>
      <c r="Q372" s="201"/>
      <c r="R372" s="237"/>
      <c r="S372" s="202"/>
      <c r="T372" s="200"/>
      <c r="U372" s="203"/>
      <c r="V372" s="89"/>
      <c r="W372" s="89"/>
      <c r="X372" s="145"/>
      <c r="Y372" s="89"/>
      <c r="Z372" s="90"/>
      <c r="AA372" s="90"/>
      <c r="AB372" s="90"/>
      <c r="AC372" s="90"/>
      <c r="AD372" s="92"/>
      <c r="AE372" s="149" t="str">
        <f>IFERROR(VLOOKUP(Z372,LISTS!$AL$2:$AM$1000,2,FALSE()),"")</f>
        <v/>
      </c>
      <c r="AF372" s="151" t="str">
        <f>IFERROR(VLOOKUP(AA372,LISTS!$AO$2:$AP$1000,2,FALSE()),"")</f>
        <v/>
      </c>
      <c r="AG372" s="152" t="str">
        <f>IFERROR(VLOOKUP(AB372,LISTS!$AR$2:$AS$1000,2,FALSE()),"")</f>
        <v/>
      </c>
      <c r="AH372" s="154" t="str">
        <f>IFERROR(VLOOKUP(AC372,LISTS!$AU$2:$AV$1000,2,FALSE()),"")</f>
        <v/>
      </c>
      <c r="AI372" s="238" t="str">
        <f t="shared" si="28"/>
        <v>—</v>
      </c>
      <c r="AJ372" s="190" t="str">
        <f t="shared" si="29"/>
        <v>—</v>
      </c>
      <c r="AK372" s="157" t="str">
        <f t="shared" si="30"/>
        <v/>
      </c>
      <c r="AL372" s="160" t="str">
        <f t="shared" si="31"/>
        <v/>
      </c>
      <c r="AM372" s="210"/>
      <c r="AN372" s="209"/>
    </row>
    <row r="373" spans="1:40" ht="27.95" customHeight="1">
      <c r="A373" s="134" t="str">
        <f>IF(I373&lt;&gt;"",COUNTA($I$2:I373),"")</f>
        <v/>
      </c>
      <c r="B373" s="138" t="str">
        <f t="shared" si="32"/>
        <v/>
      </c>
      <c r="C373" s="93" t="str">
        <f t="array" ref="C373">IF(E373="","",IF(M373&lt;&gt;"",
M373&amp;"/"&amp;SUMPRODUCT((M$2:M373=M373)*1)&amp;" - "&amp;(ROW()-2),
"إداري/"&amp;SUMPRODUCT((M$2:M373="")*1)&amp;" - "&amp;(ROW()-2)))</f>
        <v/>
      </c>
      <c r="D373" s="141" t="str">
        <f>IF(AND(G373="",H373="",I373=""),"",IF(COUNTIFS(LISTS!$A$2:$A$67,G373,LISTS!$B$2:$B$67,H373,LISTS!$C$2:$C$67,I373)=0,"✗ هرم",IF(NOT(OR(Z373="ممتاز 100%",Z373="جيد 80%",Z373="مقبول 60%",Z373="خطر 40%",Z373="")),"✗ قائمة R",IF(NOT(OR(AA373="ممتاز 100%",AA373="جيد 85%",AA373="مقبول 70%",AA373="ضعيف 50%",AA373="")),"✗ قائمة S",IF(NOT(OR(AB373="مكتمل 100%",AB373="جزئي 60%",AB373="معلق 30%",AB373="مفتوح 0%",AB373="")),"✗ قائمة T",IF(NOT(OR(AC373="لا خصم 0",AC373="تأخير −5",AC373="عجز −10",AC373="جودة −15",AC373="امتثال −20",AC373="مخالفة −25",AC373="")),"✗ قائمة U",IF(AND(X373="لا",AC373&lt;&gt;"",AC373&lt;&gt;"لا خصم 0"),"✗ خصم",IF(AND(X373="نعم",AC373="لا خصم 0"),"✗ خصم",IF(AND(Z373="ممتاز 100%",AA373="ممتاز 100%",AB373&lt;&gt;"",AB373&lt;&gt;"مكتمل 100%"),"✗ إغلاق",IFERROR(IF(LEN(_xlfn.TEXTJOIN("، ",TRUE,IF(E373="","التاريخ",""),IF(F373="","الوقت",""),IF(G373="","المركز",""),IF(H373="","الدائرة",""),IF(I373="","القسم",""),IF(J373="","المسؤول",""),IF(K373="","نوع النشاط",""),IF(L373="","المشروع",""),IF(N373="","الممول",""),IF(V373="","الموضوع",""),IF(W373="","الملاحظة",""),IF(X373="","مشكلة",""),IF(Y373="","الإجراء",""),IF(Z373="","التنفيذ",""),IF(AA373="","الجودة",""),IF(AB373="","الإغلاق",""),IF(AC373="","الخصم",""),IF(AND(COUNTA($O373:$U373)&gt;0,O373=""),"مدير المشروع",""),IF(AND(COUNTA($O373:$U373)&gt;0,P373=""),"المستفيدين",""),IF(AND(COUNTA($O373:$U373)&gt;0,Q373=""),"المناطق",""),IF(AND(COUNTA($O373:$U373)&gt;0,R373=""),"الميزانية",""),IF(AND(COUNTA($O373:$U373)&gt;0,S373=""),"نسبة الجاهزية",""),IF(AND(COUNTA($O373:$U373)&gt;0,T373=""),"حالة الجاهزية",""),IF(AND(COUNTA($O373:$U373)&gt;0,U373=""),"التوصيات","")))&gt;0,"✗ ناقص: "&amp;_xlfn.TEXTJOIN("، ",TRUE,IF(E373="","التاريخ",""),IF(F373="","الوقت",""),IF(G373="","المركز",""),IF(H373="","الدائرة",""),IF(I373="","القسم",""),IF(J373="","المسؤول",""),IF(K373="","نوع النشاط",""),IF(L373="","المشروع",""),IF(N373="","الممول",""),IF(V373="","الموضوع",""),IF(W373="","الملاحظة",""),IF(X373="","مشكلة",""),IF(Y373="","الإجراء",""),IF(Z373="","التنفيذ",""),IF(AA373="","الجودة",""),IF(AB373="","الإغلاق",""),IF(AC373="","الخصم",""),IF(AND(COUNTA($O373:$U373)&gt;0,O373=""),"مدير المشروع",""),IF(AND(COUNTA($O373:$U373)&gt;0,P373=""),"المستفيدين",""),IF(AND(COUNTA($O373:$U373)&gt;0,Q373=""),"المناطق",""),IF(AND(COUNTA($O373:$U373)&gt;0,R373=""),"الميزانية",""),IF(AND(COUNTA($O373:$U373)&gt;0,S373=""),"نسبة الجاهزية",""),IF(AND(COUNTA($O373:$U373)&gt;0,T373=""),"حالة الجاهزية",""),IF(AND(COUNTA($O373:$U373)&gt;0,U373=""),"التوصيات","")),"✓"),"✓"))))))))))</f>
        <v/>
      </c>
      <c r="E373" s="235"/>
      <c r="F373" s="236"/>
      <c r="G373" s="90"/>
      <c r="H373" s="239"/>
      <c r="I373" s="89"/>
      <c r="J373" s="142"/>
      <c r="K373" s="90"/>
      <c r="L373" s="90"/>
      <c r="M373" s="90"/>
      <c r="N373" s="89"/>
      <c r="O373" s="200"/>
      <c r="P373" s="201"/>
      <c r="Q373" s="201"/>
      <c r="R373" s="237"/>
      <c r="S373" s="202"/>
      <c r="T373" s="200"/>
      <c r="U373" s="203"/>
      <c r="V373" s="89"/>
      <c r="W373" s="89"/>
      <c r="X373" s="145"/>
      <c r="Y373" s="89"/>
      <c r="Z373" s="90"/>
      <c r="AA373" s="90"/>
      <c r="AB373" s="90"/>
      <c r="AC373" s="90"/>
      <c r="AD373" s="92"/>
      <c r="AE373" s="149" t="str">
        <f>IFERROR(VLOOKUP(Z373,LISTS!$AL$2:$AM$1000,2,FALSE()),"")</f>
        <v/>
      </c>
      <c r="AF373" s="151" t="str">
        <f>IFERROR(VLOOKUP(AA373,LISTS!$AO$2:$AP$1000,2,FALSE()),"")</f>
        <v/>
      </c>
      <c r="AG373" s="152" t="str">
        <f>IFERROR(VLOOKUP(AB373,LISTS!$AR$2:$AS$1000,2,FALSE()),"")</f>
        <v/>
      </c>
      <c r="AH373" s="154" t="str">
        <f>IFERROR(VLOOKUP(AC373,LISTS!$AU$2:$AV$1000,2,FALSE()),"")</f>
        <v/>
      </c>
      <c r="AI373" s="238" t="str">
        <f t="shared" si="28"/>
        <v>—</v>
      </c>
      <c r="AJ373" s="190" t="str">
        <f t="shared" si="29"/>
        <v>—</v>
      </c>
      <c r="AK373" s="157" t="str">
        <f t="shared" si="30"/>
        <v/>
      </c>
      <c r="AL373" s="160" t="str">
        <f t="shared" si="31"/>
        <v/>
      </c>
      <c r="AM373" s="210"/>
      <c r="AN373" s="209"/>
    </row>
    <row r="374" spans="1:40" ht="27.95" customHeight="1">
      <c r="A374" s="134" t="str">
        <f>IF(I374&lt;&gt;"",COUNTA($I$2:I374),"")</f>
        <v/>
      </c>
      <c r="B374" s="138" t="str">
        <f t="shared" si="32"/>
        <v/>
      </c>
      <c r="C374" s="93" t="str">
        <f t="array" ref="C374">IF(E374="","",IF(M374&lt;&gt;"",
M374&amp;"/"&amp;SUMPRODUCT((M$2:M374=M374)*1)&amp;" - "&amp;(ROW()-2),
"إداري/"&amp;SUMPRODUCT((M$2:M374="")*1)&amp;" - "&amp;(ROW()-2)))</f>
        <v/>
      </c>
      <c r="D374" s="141" t="str">
        <f>IF(AND(G374="",H374="",I374=""),"",IF(COUNTIFS(LISTS!$A$2:$A$67,G374,LISTS!$B$2:$B$67,H374,LISTS!$C$2:$C$67,I374)=0,"✗ هرم",IF(NOT(OR(Z374="ممتاز 100%",Z374="جيد 80%",Z374="مقبول 60%",Z374="خطر 40%",Z374="")),"✗ قائمة R",IF(NOT(OR(AA374="ممتاز 100%",AA374="جيد 85%",AA374="مقبول 70%",AA374="ضعيف 50%",AA374="")),"✗ قائمة S",IF(NOT(OR(AB374="مكتمل 100%",AB374="جزئي 60%",AB374="معلق 30%",AB374="مفتوح 0%",AB374="")),"✗ قائمة T",IF(NOT(OR(AC374="لا خصم 0",AC374="تأخير −5",AC374="عجز −10",AC374="جودة −15",AC374="امتثال −20",AC374="مخالفة −25",AC374="")),"✗ قائمة U",IF(AND(X374="لا",AC374&lt;&gt;"",AC374&lt;&gt;"لا خصم 0"),"✗ خصم",IF(AND(X374="نعم",AC374="لا خصم 0"),"✗ خصم",IF(AND(Z374="ممتاز 100%",AA374="ممتاز 100%",AB374&lt;&gt;"",AB374&lt;&gt;"مكتمل 100%"),"✗ إغلاق",IFERROR(IF(LEN(_xlfn.TEXTJOIN("، ",TRUE,IF(E374="","التاريخ",""),IF(F374="","الوقت",""),IF(G374="","المركز",""),IF(H374="","الدائرة",""),IF(I374="","القسم",""),IF(J374="","المسؤول",""),IF(K374="","نوع النشاط",""),IF(L374="","المشروع",""),IF(N374="","الممول",""),IF(V374="","الموضوع",""),IF(W374="","الملاحظة",""),IF(X374="","مشكلة",""),IF(Y374="","الإجراء",""),IF(Z374="","التنفيذ",""),IF(AA374="","الجودة",""),IF(AB374="","الإغلاق",""),IF(AC374="","الخصم",""),IF(AND(COUNTA($O374:$U374)&gt;0,O374=""),"مدير المشروع",""),IF(AND(COUNTA($O374:$U374)&gt;0,P374=""),"المستفيدين",""),IF(AND(COUNTA($O374:$U374)&gt;0,Q374=""),"المناطق",""),IF(AND(COUNTA($O374:$U374)&gt;0,R374=""),"الميزانية",""),IF(AND(COUNTA($O374:$U374)&gt;0,S374=""),"نسبة الجاهزية",""),IF(AND(COUNTA($O374:$U374)&gt;0,T374=""),"حالة الجاهزية",""),IF(AND(COUNTA($O374:$U374)&gt;0,U374=""),"التوصيات","")))&gt;0,"✗ ناقص: "&amp;_xlfn.TEXTJOIN("، ",TRUE,IF(E374="","التاريخ",""),IF(F374="","الوقت",""),IF(G374="","المركز",""),IF(H374="","الدائرة",""),IF(I374="","القسم",""),IF(J374="","المسؤول",""),IF(K374="","نوع النشاط",""),IF(L374="","المشروع",""),IF(N374="","الممول",""),IF(V374="","الموضوع",""),IF(W374="","الملاحظة",""),IF(X374="","مشكلة",""),IF(Y374="","الإجراء",""),IF(Z374="","التنفيذ",""),IF(AA374="","الجودة",""),IF(AB374="","الإغلاق",""),IF(AC374="","الخصم",""),IF(AND(COUNTA($O374:$U374)&gt;0,O374=""),"مدير المشروع",""),IF(AND(COUNTA($O374:$U374)&gt;0,P374=""),"المستفيدين",""),IF(AND(COUNTA($O374:$U374)&gt;0,Q374=""),"المناطق",""),IF(AND(COUNTA($O374:$U374)&gt;0,R374=""),"الميزانية",""),IF(AND(COUNTA($O374:$U374)&gt;0,S374=""),"نسبة الجاهزية",""),IF(AND(COUNTA($O374:$U374)&gt;0,T374=""),"حالة الجاهزية",""),IF(AND(COUNTA($O374:$U374)&gt;0,U374=""),"التوصيات","")),"✓"),"✓"))))))))))</f>
        <v/>
      </c>
      <c r="E374" s="235"/>
      <c r="F374" s="236"/>
      <c r="G374" s="90"/>
      <c r="H374" s="239"/>
      <c r="I374" s="89"/>
      <c r="J374" s="142"/>
      <c r="K374" s="90"/>
      <c r="L374" s="90"/>
      <c r="M374" s="90"/>
      <c r="N374" s="89"/>
      <c r="O374" s="200"/>
      <c r="P374" s="201"/>
      <c r="Q374" s="201"/>
      <c r="R374" s="237"/>
      <c r="S374" s="202"/>
      <c r="T374" s="200"/>
      <c r="U374" s="203"/>
      <c r="V374" s="89"/>
      <c r="W374" s="89"/>
      <c r="X374" s="145"/>
      <c r="Y374" s="89"/>
      <c r="Z374" s="90"/>
      <c r="AA374" s="90"/>
      <c r="AB374" s="90"/>
      <c r="AC374" s="90"/>
      <c r="AD374" s="92"/>
      <c r="AE374" s="149" t="str">
        <f>IFERROR(VLOOKUP(Z374,LISTS!$AL$2:$AM$1000,2,FALSE()),"")</f>
        <v/>
      </c>
      <c r="AF374" s="151" t="str">
        <f>IFERROR(VLOOKUP(AA374,LISTS!$AO$2:$AP$1000,2,FALSE()),"")</f>
        <v/>
      </c>
      <c r="AG374" s="152" t="str">
        <f>IFERROR(VLOOKUP(AB374,LISTS!$AR$2:$AS$1000,2,FALSE()),"")</f>
        <v/>
      </c>
      <c r="AH374" s="154" t="str">
        <f>IFERROR(VLOOKUP(AC374,LISTS!$AU$2:$AV$1000,2,FALSE()),"")</f>
        <v/>
      </c>
      <c r="AI374" s="238" t="str">
        <f t="shared" si="28"/>
        <v>—</v>
      </c>
      <c r="AJ374" s="190" t="str">
        <f t="shared" si="29"/>
        <v>—</v>
      </c>
      <c r="AK374" s="157" t="str">
        <f t="shared" si="30"/>
        <v/>
      </c>
      <c r="AL374" s="160" t="str">
        <f t="shared" si="31"/>
        <v/>
      </c>
      <c r="AM374" s="210"/>
      <c r="AN374" s="209"/>
    </row>
    <row r="375" spans="1:40" ht="27.95" customHeight="1">
      <c r="A375" s="134" t="str">
        <f>IF(I375&lt;&gt;"",COUNTA($I$2:I375),"")</f>
        <v/>
      </c>
      <c r="B375" s="138" t="str">
        <f t="shared" si="32"/>
        <v/>
      </c>
      <c r="C375" s="93" t="str">
        <f t="array" ref="C375">IF(E375="","",IF(M375&lt;&gt;"",
M375&amp;"/"&amp;SUMPRODUCT((M$2:M375=M375)*1)&amp;" - "&amp;(ROW()-2),
"إداري/"&amp;SUMPRODUCT((M$2:M375="")*1)&amp;" - "&amp;(ROW()-2)))</f>
        <v/>
      </c>
      <c r="D375" s="141" t="str">
        <f>IF(AND(G375="",H375="",I375=""),"",IF(COUNTIFS(LISTS!$A$2:$A$67,G375,LISTS!$B$2:$B$67,H375,LISTS!$C$2:$C$67,I375)=0,"✗ هرم",IF(NOT(OR(Z375="ممتاز 100%",Z375="جيد 80%",Z375="مقبول 60%",Z375="خطر 40%",Z375="")),"✗ قائمة R",IF(NOT(OR(AA375="ممتاز 100%",AA375="جيد 85%",AA375="مقبول 70%",AA375="ضعيف 50%",AA375="")),"✗ قائمة S",IF(NOT(OR(AB375="مكتمل 100%",AB375="جزئي 60%",AB375="معلق 30%",AB375="مفتوح 0%",AB375="")),"✗ قائمة T",IF(NOT(OR(AC375="لا خصم 0",AC375="تأخير −5",AC375="عجز −10",AC375="جودة −15",AC375="امتثال −20",AC375="مخالفة −25",AC375="")),"✗ قائمة U",IF(AND(X375="لا",AC375&lt;&gt;"",AC375&lt;&gt;"لا خصم 0"),"✗ خصم",IF(AND(X375="نعم",AC375="لا خصم 0"),"✗ خصم",IF(AND(Z375="ممتاز 100%",AA375="ممتاز 100%",AB375&lt;&gt;"",AB375&lt;&gt;"مكتمل 100%"),"✗ إغلاق",IFERROR(IF(LEN(_xlfn.TEXTJOIN("، ",TRUE,IF(E375="","التاريخ",""),IF(F375="","الوقت",""),IF(G375="","المركز",""),IF(H375="","الدائرة",""),IF(I375="","القسم",""),IF(J375="","المسؤول",""),IF(K375="","نوع النشاط",""),IF(L375="","المشروع",""),IF(N375="","الممول",""),IF(V375="","الموضوع",""),IF(W375="","الملاحظة",""),IF(X375="","مشكلة",""),IF(Y375="","الإجراء",""),IF(Z375="","التنفيذ",""),IF(AA375="","الجودة",""),IF(AB375="","الإغلاق",""),IF(AC375="","الخصم",""),IF(AND(COUNTA($O375:$U375)&gt;0,O375=""),"مدير المشروع",""),IF(AND(COUNTA($O375:$U375)&gt;0,P375=""),"المستفيدين",""),IF(AND(COUNTA($O375:$U375)&gt;0,Q375=""),"المناطق",""),IF(AND(COUNTA($O375:$U375)&gt;0,R375=""),"الميزانية",""),IF(AND(COUNTA($O375:$U375)&gt;0,S375=""),"نسبة الجاهزية",""),IF(AND(COUNTA($O375:$U375)&gt;0,T375=""),"حالة الجاهزية",""),IF(AND(COUNTA($O375:$U375)&gt;0,U375=""),"التوصيات","")))&gt;0,"✗ ناقص: "&amp;_xlfn.TEXTJOIN("، ",TRUE,IF(E375="","التاريخ",""),IF(F375="","الوقت",""),IF(G375="","المركز",""),IF(H375="","الدائرة",""),IF(I375="","القسم",""),IF(J375="","المسؤول",""),IF(K375="","نوع النشاط",""),IF(L375="","المشروع",""),IF(N375="","الممول",""),IF(V375="","الموضوع",""),IF(W375="","الملاحظة",""),IF(X375="","مشكلة",""),IF(Y375="","الإجراء",""),IF(Z375="","التنفيذ",""),IF(AA375="","الجودة",""),IF(AB375="","الإغلاق",""),IF(AC375="","الخصم",""),IF(AND(COUNTA($O375:$U375)&gt;0,O375=""),"مدير المشروع",""),IF(AND(COUNTA($O375:$U375)&gt;0,P375=""),"المستفيدين",""),IF(AND(COUNTA($O375:$U375)&gt;0,Q375=""),"المناطق",""),IF(AND(COUNTA($O375:$U375)&gt;0,R375=""),"الميزانية",""),IF(AND(COUNTA($O375:$U375)&gt;0,S375=""),"نسبة الجاهزية",""),IF(AND(COUNTA($O375:$U375)&gt;0,T375=""),"حالة الجاهزية",""),IF(AND(COUNTA($O375:$U375)&gt;0,U375=""),"التوصيات","")),"✓"),"✓"))))))))))</f>
        <v/>
      </c>
      <c r="E375" s="235"/>
      <c r="F375" s="236"/>
      <c r="G375" s="90"/>
      <c r="H375" s="239"/>
      <c r="I375" s="89"/>
      <c r="J375" s="142"/>
      <c r="K375" s="90"/>
      <c r="L375" s="90"/>
      <c r="M375" s="90"/>
      <c r="N375" s="89"/>
      <c r="O375" s="200"/>
      <c r="P375" s="201"/>
      <c r="Q375" s="201"/>
      <c r="R375" s="237"/>
      <c r="S375" s="202"/>
      <c r="T375" s="200"/>
      <c r="U375" s="203"/>
      <c r="V375" s="89"/>
      <c r="W375" s="89"/>
      <c r="X375" s="145"/>
      <c r="Y375" s="89"/>
      <c r="Z375" s="90"/>
      <c r="AA375" s="90"/>
      <c r="AB375" s="90"/>
      <c r="AC375" s="90"/>
      <c r="AD375" s="92"/>
      <c r="AE375" s="149" t="str">
        <f>IFERROR(VLOOKUP(Z375,LISTS!$AL$2:$AM$1000,2,FALSE()),"")</f>
        <v/>
      </c>
      <c r="AF375" s="151" t="str">
        <f>IFERROR(VLOOKUP(AA375,LISTS!$AO$2:$AP$1000,2,FALSE()),"")</f>
        <v/>
      </c>
      <c r="AG375" s="152" t="str">
        <f>IFERROR(VLOOKUP(AB375,LISTS!$AR$2:$AS$1000,2,FALSE()),"")</f>
        <v/>
      </c>
      <c r="AH375" s="154" t="str">
        <f>IFERROR(VLOOKUP(AC375,LISTS!$AU$2:$AV$1000,2,FALSE()),"")</f>
        <v/>
      </c>
      <c r="AI375" s="238" t="str">
        <f t="shared" si="28"/>
        <v>—</v>
      </c>
      <c r="AJ375" s="190" t="str">
        <f t="shared" si="29"/>
        <v>—</v>
      </c>
      <c r="AK375" s="157" t="str">
        <f t="shared" si="30"/>
        <v/>
      </c>
      <c r="AL375" s="160" t="str">
        <f t="shared" si="31"/>
        <v/>
      </c>
      <c r="AM375" s="210"/>
      <c r="AN375" s="209"/>
    </row>
    <row r="376" spans="1:40" ht="27.95" customHeight="1">
      <c r="A376" s="134" t="str">
        <f>IF(I376&lt;&gt;"",COUNTA($I$2:I376),"")</f>
        <v/>
      </c>
      <c r="B376" s="138" t="str">
        <f t="shared" si="32"/>
        <v/>
      </c>
      <c r="C376" s="93" t="str">
        <f t="array" ref="C376">IF(E376="","",IF(M376&lt;&gt;"",
M376&amp;"/"&amp;SUMPRODUCT((M$2:M376=M376)*1)&amp;" - "&amp;(ROW()-2),
"إداري/"&amp;SUMPRODUCT((M$2:M376="")*1)&amp;" - "&amp;(ROW()-2)))</f>
        <v/>
      </c>
      <c r="D376" s="141" t="str">
        <f>IF(AND(G376="",H376="",I376=""),"",IF(COUNTIFS(LISTS!$A$2:$A$67,G376,LISTS!$B$2:$B$67,H376,LISTS!$C$2:$C$67,I376)=0,"✗ هرم",IF(NOT(OR(Z376="ممتاز 100%",Z376="جيد 80%",Z376="مقبول 60%",Z376="خطر 40%",Z376="")),"✗ قائمة R",IF(NOT(OR(AA376="ممتاز 100%",AA376="جيد 85%",AA376="مقبول 70%",AA376="ضعيف 50%",AA376="")),"✗ قائمة S",IF(NOT(OR(AB376="مكتمل 100%",AB376="جزئي 60%",AB376="معلق 30%",AB376="مفتوح 0%",AB376="")),"✗ قائمة T",IF(NOT(OR(AC376="لا خصم 0",AC376="تأخير −5",AC376="عجز −10",AC376="جودة −15",AC376="امتثال −20",AC376="مخالفة −25",AC376="")),"✗ قائمة U",IF(AND(X376="لا",AC376&lt;&gt;"",AC376&lt;&gt;"لا خصم 0"),"✗ خصم",IF(AND(X376="نعم",AC376="لا خصم 0"),"✗ خصم",IF(AND(Z376="ممتاز 100%",AA376="ممتاز 100%",AB376&lt;&gt;"",AB376&lt;&gt;"مكتمل 100%"),"✗ إغلاق",IFERROR(IF(LEN(_xlfn.TEXTJOIN("، ",TRUE,IF(E376="","التاريخ",""),IF(F376="","الوقت",""),IF(G376="","المركز",""),IF(H376="","الدائرة",""),IF(I376="","القسم",""),IF(J376="","المسؤول",""),IF(K376="","نوع النشاط",""),IF(L376="","المشروع",""),IF(N376="","الممول",""),IF(V376="","الموضوع",""),IF(W376="","الملاحظة",""),IF(X376="","مشكلة",""),IF(Y376="","الإجراء",""),IF(Z376="","التنفيذ",""),IF(AA376="","الجودة",""),IF(AB376="","الإغلاق",""),IF(AC376="","الخصم",""),IF(AND(COUNTA($O376:$U376)&gt;0,O376=""),"مدير المشروع",""),IF(AND(COUNTA($O376:$U376)&gt;0,P376=""),"المستفيدين",""),IF(AND(COUNTA($O376:$U376)&gt;0,Q376=""),"المناطق",""),IF(AND(COUNTA($O376:$U376)&gt;0,R376=""),"الميزانية",""),IF(AND(COUNTA($O376:$U376)&gt;0,S376=""),"نسبة الجاهزية",""),IF(AND(COUNTA($O376:$U376)&gt;0,T376=""),"حالة الجاهزية",""),IF(AND(COUNTA($O376:$U376)&gt;0,U376=""),"التوصيات","")))&gt;0,"✗ ناقص: "&amp;_xlfn.TEXTJOIN("، ",TRUE,IF(E376="","التاريخ",""),IF(F376="","الوقت",""),IF(G376="","المركز",""),IF(H376="","الدائرة",""),IF(I376="","القسم",""),IF(J376="","المسؤول",""),IF(K376="","نوع النشاط",""),IF(L376="","المشروع",""),IF(N376="","الممول",""),IF(V376="","الموضوع",""),IF(W376="","الملاحظة",""),IF(X376="","مشكلة",""),IF(Y376="","الإجراء",""),IF(Z376="","التنفيذ",""),IF(AA376="","الجودة",""),IF(AB376="","الإغلاق",""),IF(AC376="","الخصم",""),IF(AND(COUNTA($O376:$U376)&gt;0,O376=""),"مدير المشروع",""),IF(AND(COUNTA($O376:$U376)&gt;0,P376=""),"المستفيدين",""),IF(AND(COUNTA($O376:$U376)&gt;0,Q376=""),"المناطق",""),IF(AND(COUNTA($O376:$U376)&gt;0,R376=""),"الميزانية",""),IF(AND(COUNTA($O376:$U376)&gt;0,S376=""),"نسبة الجاهزية",""),IF(AND(COUNTA($O376:$U376)&gt;0,T376=""),"حالة الجاهزية",""),IF(AND(COUNTA($O376:$U376)&gt;0,U376=""),"التوصيات","")),"✓"),"✓"))))))))))</f>
        <v/>
      </c>
      <c r="E376" s="235"/>
      <c r="F376" s="236"/>
      <c r="G376" s="90"/>
      <c r="H376" s="239"/>
      <c r="I376" s="89"/>
      <c r="J376" s="142"/>
      <c r="K376" s="90"/>
      <c r="L376" s="90"/>
      <c r="M376" s="90"/>
      <c r="N376" s="89"/>
      <c r="O376" s="200"/>
      <c r="P376" s="201"/>
      <c r="Q376" s="201"/>
      <c r="R376" s="237"/>
      <c r="S376" s="202"/>
      <c r="T376" s="200"/>
      <c r="U376" s="203"/>
      <c r="V376" s="89"/>
      <c r="W376" s="89"/>
      <c r="X376" s="145"/>
      <c r="Y376" s="89"/>
      <c r="Z376" s="90"/>
      <c r="AA376" s="90"/>
      <c r="AB376" s="90"/>
      <c r="AC376" s="90"/>
      <c r="AD376" s="92"/>
      <c r="AE376" s="149" t="str">
        <f>IFERROR(VLOOKUP(Z376,LISTS!$AL$2:$AM$1000,2,FALSE()),"")</f>
        <v/>
      </c>
      <c r="AF376" s="151" t="str">
        <f>IFERROR(VLOOKUP(AA376,LISTS!$AO$2:$AP$1000,2,FALSE()),"")</f>
        <v/>
      </c>
      <c r="AG376" s="152" t="str">
        <f>IFERROR(VLOOKUP(AB376,LISTS!$AR$2:$AS$1000,2,FALSE()),"")</f>
        <v/>
      </c>
      <c r="AH376" s="154" t="str">
        <f>IFERROR(VLOOKUP(AC376,LISTS!$AU$2:$AV$1000,2,FALSE()),"")</f>
        <v/>
      </c>
      <c r="AI376" s="238" t="str">
        <f t="shared" si="28"/>
        <v>—</v>
      </c>
      <c r="AJ376" s="190" t="str">
        <f t="shared" si="29"/>
        <v>—</v>
      </c>
      <c r="AK376" s="157" t="str">
        <f t="shared" si="30"/>
        <v/>
      </c>
      <c r="AL376" s="160" t="str">
        <f t="shared" si="31"/>
        <v/>
      </c>
      <c r="AM376" s="210"/>
      <c r="AN376" s="209"/>
    </row>
    <row r="377" spans="1:40" ht="27.95" customHeight="1">
      <c r="A377" s="134" t="str">
        <f>IF(I377&lt;&gt;"",COUNTA($I$2:I377),"")</f>
        <v/>
      </c>
      <c r="B377" s="138" t="str">
        <f t="shared" si="32"/>
        <v/>
      </c>
      <c r="C377" s="93" t="str">
        <f t="array" ref="C377">IF(E377="","",IF(M377&lt;&gt;"",
M377&amp;"/"&amp;SUMPRODUCT((M$2:M377=M377)*1)&amp;" - "&amp;(ROW()-2),
"إداري/"&amp;SUMPRODUCT((M$2:M377="")*1)&amp;" - "&amp;(ROW()-2)))</f>
        <v/>
      </c>
      <c r="D377" s="141" t="str">
        <f>IF(AND(G377="",H377="",I377=""),"",IF(COUNTIFS(LISTS!$A$2:$A$67,G377,LISTS!$B$2:$B$67,H377,LISTS!$C$2:$C$67,I377)=0,"✗ هرم",IF(NOT(OR(Z377="ممتاز 100%",Z377="جيد 80%",Z377="مقبول 60%",Z377="خطر 40%",Z377="")),"✗ قائمة R",IF(NOT(OR(AA377="ممتاز 100%",AA377="جيد 85%",AA377="مقبول 70%",AA377="ضعيف 50%",AA377="")),"✗ قائمة S",IF(NOT(OR(AB377="مكتمل 100%",AB377="جزئي 60%",AB377="معلق 30%",AB377="مفتوح 0%",AB377="")),"✗ قائمة T",IF(NOT(OR(AC377="لا خصم 0",AC377="تأخير −5",AC377="عجز −10",AC377="جودة −15",AC377="امتثال −20",AC377="مخالفة −25",AC377="")),"✗ قائمة U",IF(AND(X377="لا",AC377&lt;&gt;"",AC377&lt;&gt;"لا خصم 0"),"✗ خصم",IF(AND(X377="نعم",AC377="لا خصم 0"),"✗ خصم",IF(AND(Z377="ممتاز 100%",AA377="ممتاز 100%",AB377&lt;&gt;"",AB377&lt;&gt;"مكتمل 100%"),"✗ إغلاق",IFERROR(IF(LEN(_xlfn.TEXTJOIN("، ",TRUE,IF(E377="","التاريخ",""),IF(F377="","الوقت",""),IF(G377="","المركز",""),IF(H377="","الدائرة",""),IF(I377="","القسم",""),IF(J377="","المسؤول",""),IF(K377="","نوع النشاط",""),IF(L377="","المشروع",""),IF(N377="","الممول",""),IF(V377="","الموضوع",""),IF(W377="","الملاحظة",""),IF(X377="","مشكلة",""),IF(Y377="","الإجراء",""),IF(Z377="","التنفيذ",""),IF(AA377="","الجودة",""),IF(AB377="","الإغلاق",""),IF(AC377="","الخصم",""),IF(AND(COUNTA($O377:$U377)&gt;0,O377=""),"مدير المشروع",""),IF(AND(COUNTA($O377:$U377)&gt;0,P377=""),"المستفيدين",""),IF(AND(COUNTA($O377:$U377)&gt;0,Q377=""),"المناطق",""),IF(AND(COUNTA($O377:$U377)&gt;0,R377=""),"الميزانية",""),IF(AND(COUNTA($O377:$U377)&gt;0,S377=""),"نسبة الجاهزية",""),IF(AND(COUNTA($O377:$U377)&gt;0,T377=""),"حالة الجاهزية",""),IF(AND(COUNTA($O377:$U377)&gt;0,U377=""),"التوصيات","")))&gt;0,"✗ ناقص: "&amp;_xlfn.TEXTJOIN("، ",TRUE,IF(E377="","التاريخ",""),IF(F377="","الوقت",""),IF(G377="","المركز",""),IF(H377="","الدائرة",""),IF(I377="","القسم",""),IF(J377="","المسؤول",""),IF(K377="","نوع النشاط",""),IF(L377="","المشروع",""),IF(N377="","الممول",""),IF(V377="","الموضوع",""),IF(W377="","الملاحظة",""),IF(X377="","مشكلة",""),IF(Y377="","الإجراء",""),IF(Z377="","التنفيذ",""),IF(AA377="","الجودة",""),IF(AB377="","الإغلاق",""),IF(AC377="","الخصم",""),IF(AND(COUNTA($O377:$U377)&gt;0,O377=""),"مدير المشروع",""),IF(AND(COUNTA($O377:$U377)&gt;0,P377=""),"المستفيدين",""),IF(AND(COUNTA($O377:$U377)&gt;0,Q377=""),"المناطق",""),IF(AND(COUNTA($O377:$U377)&gt;0,R377=""),"الميزانية",""),IF(AND(COUNTA($O377:$U377)&gt;0,S377=""),"نسبة الجاهزية",""),IF(AND(COUNTA($O377:$U377)&gt;0,T377=""),"حالة الجاهزية",""),IF(AND(COUNTA($O377:$U377)&gt;0,U377=""),"التوصيات","")),"✓"),"✓"))))))))))</f>
        <v/>
      </c>
      <c r="E377" s="235"/>
      <c r="F377" s="236"/>
      <c r="G377" s="90"/>
      <c r="H377" s="239"/>
      <c r="I377" s="89"/>
      <c r="J377" s="142"/>
      <c r="K377" s="90"/>
      <c r="L377" s="90"/>
      <c r="M377" s="90"/>
      <c r="N377" s="89"/>
      <c r="O377" s="200"/>
      <c r="P377" s="201"/>
      <c r="Q377" s="201"/>
      <c r="R377" s="237"/>
      <c r="S377" s="202"/>
      <c r="T377" s="200"/>
      <c r="U377" s="203"/>
      <c r="V377" s="89"/>
      <c r="W377" s="89"/>
      <c r="X377" s="145"/>
      <c r="Y377" s="89"/>
      <c r="Z377" s="90"/>
      <c r="AA377" s="90"/>
      <c r="AB377" s="90"/>
      <c r="AC377" s="90"/>
      <c r="AD377" s="92"/>
      <c r="AE377" s="149" t="str">
        <f>IFERROR(VLOOKUP(Z377,LISTS!$AL$2:$AM$1000,2,FALSE()),"")</f>
        <v/>
      </c>
      <c r="AF377" s="151" t="str">
        <f>IFERROR(VLOOKUP(AA377,LISTS!$AO$2:$AP$1000,2,FALSE()),"")</f>
        <v/>
      </c>
      <c r="AG377" s="152" t="str">
        <f>IFERROR(VLOOKUP(AB377,LISTS!$AR$2:$AS$1000,2,FALSE()),"")</f>
        <v/>
      </c>
      <c r="AH377" s="154" t="str">
        <f>IFERROR(VLOOKUP(AC377,LISTS!$AU$2:$AV$1000,2,FALSE()),"")</f>
        <v/>
      </c>
      <c r="AI377" s="238" t="str">
        <f t="shared" si="28"/>
        <v>—</v>
      </c>
      <c r="AJ377" s="190" t="str">
        <f t="shared" si="29"/>
        <v>—</v>
      </c>
      <c r="AK377" s="157" t="str">
        <f t="shared" si="30"/>
        <v/>
      </c>
      <c r="AL377" s="160" t="str">
        <f t="shared" si="31"/>
        <v/>
      </c>
      <c r="AM377" s="210"/>
      <c r="AN377" s="209"/>
    </row>
    <row r="378" spans="1:40" ht="27.95" customHeight="1">
      <c r="A378" s="134" t="str">
        <f>IF(I378&lt;&gt;"",COUNTA($I$2:I378),"")</f>
        <v/>
      </c>
      <c r="B378" s="138" t="str">
        <f t="shared" si="32"/>
        <v/>
      </c>
      <c r="C378" s="93" t="str">
        <f t="array" ref="C378">IF(E378="","",IF(M378&lt;&gt;"",
M378&amp;"/"&amp;SUMPRODUCT((M$2:M378=M378)*1)&amp;" - "&amp;(ROW()-2),
"إداري/"&amp;SUMPRODUCT((M$2:M378="")*1)&amp;" - "&amp;(ROW()-2)))</f>
        <v/>
      </c>
      <c r="D378" s="141" t="str">
        <f>IF(AND(G378="",H378="",I378=""),"",IF(COUNTIFS(LISTS!$A$2:$A$67,G378,LISTS!$B$2:$B$67,H378,LISTS!$C$2:$C$67,I378)=0,"✗ هرم",IF(NOT(OR(Z378="ممتاز 100%",Z378="جيد 80%",Z378="مقبول 60%",Z378="خطر 40%",Z378="")),"✗ قائمة R",IF(NOT(OR(AA378="ممتاز 100%",AA378="جيد 85%",AA378="مقبول 70%",AA378="ضعيف 50%",AA378="")),"✗ قائمة S",IF(NOT(OR(AB378="مكتمل 100%",AB378="جزئي 60%",AB378="معلق 30%",AB378="مفتوح 0%",AB378="")),"✗ قائمة T",IF(NOT(OR(AC378="لا خصم 0",AC378="تأخير −5",AC378="عجز −10",AC378="جودة −15",AC378="امتثال −20",AC378="مخالفة −25",AC378="")),"✗ قائمة U",IF(AND(X378="لا",AC378&lt;&gt;"",AC378&lt;&gt;"لا خصم 0"),"✗ خصم",IF(AND(X378="نعم",AC378="لا خصم 0"),"✗ خصم",IF(AND(Z378="ممتاز 100%",AA378="ممتاز 100%",AB378&lt;&gt;"",AB378&lt;&gt;"مكتمل 100%"),"✗ إغلاق",IFERROR(IF(LEN(_xlfn.TEXTJOIN("، ",TRUE,IF(E378="","التاريخ",""),IF(F378="","الوقت",""),IF(G378="","المركز",""),IF(H378="","الدائرة",""),IF(I378="","القسم",""),IF(J378="","المسؤول",""),IF(K378="","نوع النشاط",""),IF(L378="","المشروع",""),IF(N378="","الممول",""),IF(V378="","الموضوع",""),IF(W378="","الملاحظة",""),IF(X378="","مشكلة",""),IF(Y378="","الإجراء",""),IF(Z378="","التنفيذ",""),IF(AA378="","الجودة",""),IF(AB378="","الإغلاق",""),IF(AC378="","الخصم",""),IF(AND(COUNTA($O378:$U378)&gt;0,O378=""),"مدير المشروع",""),IF(AND(COUNTA($O378:$U378)&gt;0,P378=""),"المستفيدين",""),IF(AND(COUNTA($O378:$U378)&gt;0,Q378=""),"المناطق",""),IF(AND(COUNTA($O378:$U378)&gt;0,R378=""),"الميزانية",""),IF(AND(COUNTA($O378:$U378)&gt;0,S378=""),"نسبة الجاهزية",""),IF(AND(COUNTA($O378:$U378)&gt;0,T378=""),"حالة الجاهزية",""),IF(AND(COUNTA($O378:$U378)&gt;0,U378=""),"التوصيات","")))&gt;0,"✗ ناقص: "&amp;_xlfn.TEXTJOIN("، ",TRUE,IF(E378="","التاريخ",""),IF(F378="","الوقت",""),IF(G378="","المركز",""),IF(H378="","الدائرة",""),IF(I378="","القسم",""),IF(J378="","المسؤول",""),IF(K378="","نوع النشاط",""),IF(L378="","المشروع",""),IF(N378="","الممول",""),IF(V378="","الموضوع",""),IF(W378="","الملاحظة",""),IF(X378="","مشكلة",""),IF(Y378="","الإجراء",""),IF(Z378="","التنفيذ",""),IF(AA378="","الجودة",""),IF(AB378="","الإغلاق",""),IF(AC378="","الخصم",""),IF(AND(COUNTA($O378:$U378)&gt;0,O378=""),"مدير المشروع",""),IF(AND(COUNTA($O378:$U378)&gt;0,P378=""),"المستفيدين",""),IF(AND(COUNTA($O378:$U378)&gt;0,Q378=""),"المناطق",""),IF(AND(COUNTA($O378:$U378)&gt;0,R378=""),"الميزانية",""),IF(AND(COUNTA($O378:$U378)&gt;0,S378=""),"نسبة الجاهزية",""),IF(AND(COUNTA($O378:$U378)&gt;0,T378=""),"حالة الجاهزية",""),IF(AND(COUNTA($O378:$U378)&gt;0,U378=""),"التوصيات","")),"✓"),"✓"))))))))))</f>
        <v/>
      </c>
      <c r="E378" s="235"/>
      <c r="F378" s="236"/>
      <c r="G378" s="90"/>
      <c r="H378" s="239"/>
      <c r="I378" s="89"/>
      <c r="J378" s="142"/>
      <c r="K378" s="90"/>
      <c r="L378" s="90"/>
      <c r="M378" s="90"/>
      <c r="N378" s="89"/>
      <c r="O378" s="200"/>
      <c r="P378" s="201"/>
      <c r="Q378" s="201"/>
      <c r="R378" s="237"/>
      <c r="S378" s="202"/>
      <c r="T378" s="200"/>
      <c r="U378" s="203"/>
      <c r="V378" s="89"/>
      <c r="W378" s="89"/>
      <c r="X378" s="145"/>
      <c r="Y378" s="89"/>
      <c r="Z378" s="90"/>
      <c r="AA378" s="90"/>
      <c r="AB378" s="90"/>
      <c r="AC378" s="90"/>
      <c r="AD378" s="92"/>
      <c r="AE378" s="149" t="str">
        <f>IFERROR(VLOOKUP(Z378,LISTS!$AL$2:$AM$1000,2,FALSE()),"")</f>
        <v/>
      </c>
      <c r="AF378" s="151" t="str">
        <f>IFERROR(VLOOKUP(AA378,LISTS!$AO$2:$AP$1000,2,FALSE()),"")</f>
        <v/>
      </c>
      <c r="AG378" s="152" t="str">
        <f>IFERROR(VLOOKUP(AB378,LISTS!$AR$2:$AS$1000,2,FALSE()),"")</f>
        <v/>
      </c>
      <c r="AH378" s="154" t="str">
        <f>IFERROR(VLOOKUP(AC378,LISTS!$AU$2:$AV$1000,2,FALSE()),"")</f>
        <v/>
      </c>
      <c r="AI378" s="238" t="str">
        <f t="shared" si="28"/>
        <v>—</v>
      </c>
      <c r="AJ378" s="190" t="str">
        <f t="shared" si="29"/>
        <v>—</v>
      </c>
      <c r="AK378" s="157" t="str">
        <f t="shared" si="30"/>
        <v/>
      </c>
      <c r="AL378" s="160" t="str">
        <f t="shared" si="31"/>
        <v/>
      </c>
      <c r="AM378" s="210"/>
      <c r="AN378" s="209"/>
    </row>
    <row r="379" spans="1:40" ht="27.95" customHeight="1">
      <c r="A379" s="134" t="str">
        <f>IF(I379&lt;&gt;"",COUNTA($I$2:I379),"")</f>
        <v/>
      </c>
      <c r="B379" s="138" t="str">
        <f t="shared" si="32"/>
        <v/>
      </c>
      <c r="C379" s="93" t="str">
        <f t="array" ref="C379">IF(E379="","",IF(M379&lt;&gt;"",
M379&amp;"/"&amp;SUMPRODUCT((M$2:M379=M379)*1)&amp;" - "&amp;(ROW()-2),
"إداري/"&amp;SUMPRODUCT((M$2:M379="")*1)&amp;" - "&amp;(ROW()-2)))</f>
        <v/>
      </c>
      <c r="D379" s="141" t="str">
        <f>IF(AND(G379="",H379="",I379=""),"",IF(COUNTIFS(LISTS!$A$2:$A$67,G379,LISTS!$B$2:$B$67,H379,LISTS!$C$2:$C$67,I379)=0,"✗ هرم",IF(NOT(OR(Z379="ممتاز 100%",Z379="جيد 80%",Z379="مقبول 60%",Z379="خطر 40%",Z379="")),"✗ قائمة R",IF(NOT(OR(AA379="ممتاز 100%",AA379="جيد 85%",AA379="مقبول 70%",AA379="ضعيف 50%",AA379="")),"✗ قائمة S",IF(NOT(OR(AB379="مكتمل 100%",AB379="جزئي 60%",AB379="معلق 30%",AB379="مفتوح 0%",AB379="")),"✗ قائمة T",IF(NOT(OR(AC379="لا خصم 0",AC379="تأخير −5",AC379="عجز −10",AC379="جودة −15",AC379="امتثال −20",AC379="مخالفة −25",AC379="")),"✗ قائمة U",IF(AND(X379="لا",AC379&lt;&gt;"",AC379&lt;&gt;"لا خصم 0"),"✗ خصم",IF(AND(X379="نعم",AC379="لا خصم 0"),"✗ خصم",IF(AND(Z379="ممتاز 100%",AA379="ممتاز 100%",AB379&lt;&gt;"",AB379&lt;&gt;"مكتمل 100%"),"✗ إغلاق",IFERROR(IF(LEN(_xlfn.TEXTJOIN("، ",TRUE,IF(E379="","التاريخ",""),IF(F379="","الوقت",""),IF(G379="","المركز",""),IF(H379="","الدائرة",""),IF(I379="","القسم",""),IF(J379="","المسؤول",""),IF(K379="","نوع النشاط",""),IF(L379="","المشروع",""),IF(N379="","الممول",""),IF(V379="","الموضوع",""),IF(W379="","الملاحظة",""),IF(X379="","مشكلة",""),IF(Y379="","الإجراء",""),IF(Z379="","التنفيذ",""),IF(AA379="","الجودة",""),IF(AB379="","الإغلاق",""),IF(AC379="","الخصم",""),IF(AND(COUNTA($O379:$U379)&gt;0,O379=""),"مدير المشروع",""),IF(AND(COUNTA($O379:$U379)&gt;0,P379=""),"المستفيدين",""),IF(AND(COUNTA($O379:$U379)&gt;0,Q379=""),"المناطق",""),IF(AND(COUNTA($O379:$U379)&gt;0,R379=""),"الميزانية",""),IF(AND(COUNTA($O379:$U379)&gt;0,S379=""),"نسبة الجاهزية",""),IF(AND(COUNTA($O379:$U379)&gt;0,T379=""),"حالة الجاهزية",""),IF(AND(COUNTA($O379:$U379)&gt;0,U379=""),"التوصيات","")))&gt;0,"✗ ناقص: "&amp;_xlfn.TEXTJOIN("، ",TRUE,IF(E379="","التاريخ",""),IF(F379="","الوقت",""),IF(G379="","المركز",""),IF(H379="","الدائرة",""),IF(I379="","القسم",""),IF(J379="","المسؤول",""),IF(K379="","نوع النشاط",""),IF(L379="","المشروع",""),IF(N379="","الممول",""),IF(V379="","الموضوع",""),IF(W379="","الملاحظة",""),IF(X379="","مشكلة",""),IF(Y379="","الإجراء",""),IF(Z379="","التنفيذ",""),IF(AA379="","الجودة",""),IF(AB379="","الإغلاق",""),IF(AC379="","الخصم",""),IF(AND(COUNTA($O379:$U379)&gt;0,O379=""),"مدير المشروع",""),IF(AND(COUNTA($O379:$U379)&gt;0,P379=""),"المستفيدين",""),IF(AND(COUNTA($O379:$U379)&gt;0,Q379=""),"المناطق",""),IF(AND(COUNTA($O379:$U379)&gt;0,R379=""),"الميزانية",""),IF(AND(COUNTA($O379:$U379)&gt;0,S379=""),"نسبة الجاهزية",""),IF(AND(COUNTA($O379:$U379)&gt;0,T379=""),"حالة الجاهزية",""),IF(AND(COUNTA($O379:$U379)&gt;0,U379=""),"التوصيات","")),"✓"),"✓"))))))))))</f>
        <v/>
      </c>
      <c r="E379" s="235"/>
      <c r="F379" s="236"/>
      <c r="G379" s="90"/>
      <c r="H379" s="239"/>
      <c r="I379" s="89"/>
      <c r="J379" s="142"/>
      <c r="K379" s="90"/>
      <c r="L379" s="90"/>
      <c r="M379" s="90"/>
      <c r="N379" s="89"/>
      <c r="O379" s="200"/>
      <c r="P379" s="201"/>
      <c r="Q379" s="201"/>
      <c r="R379" s="237"/>
      <c r="S379" s="202"/>
      <c r="T379" s="200"/>
      <c r="U379" s="203"/>
      <c r="V379" s="89"/>
      <c r="W379" s="89"/>
      <c r="X379" s="145"/>
      <c r="Y379" s="89"/>
      <c r="Z379" s="90"/>
      <c r="AA379" s="90"/>
      <c r="AB379" s="90"/>
      <c r="AC379" s="90"/>
      <c r="AD379" s="92"/>
      <c r="AE379" s="149" t="str">
        <f>IFERROR(VLOOKUP(Z379,LISTS!$AL$2:$AM$1000,2,FALSE()),"")</f>
        <v/>
      </c>
      <c r="AF379" s="151" t="str">
        <f>IFERROR(VLOOKUP(AA379,LISTS!$AO$2:$AP$1000,2,FALSE()),"")</f>
        <v/>
      </c>
      <c r="AG379" s="152" t="str">
        <f>IFERROR(VLOOKUP(AB379,LISTS!$AR$2:$AS$1000,2,FALSE()),"")</f>
        <v/>
      </c>
      <c r="AH379" s="154" t="str">
        <f>IFERROR(VLOOKUP(AC379,LISTS!$AU$2:$AV$1000,2,FALSE()),"")</f>
        <v/>
      </c>
      <c r="AI379" s="238" t="str">
        <f t="shared" si="28"/>
        <v>—</v>
      </c>
      <c r="AJ379" s="190" t="str">
        <f t="shared" si="29"/>
        <v>—</v>
      </c>
      <c r="AK379" s="157" t="str">
        <f t="shared" si="30"/>
        <v/>
      </c>
      <c r="AL379" s="160" t="str">
        <f t="shared" si="31"/>
        <v/>
      </c>
      <c r="AM379" s="210"/>
      <c r="AN379" s="209"/>
    </row>
    <row r="380" spans="1:40" ht="27.95" customHeight="1">
      <c r="A380" s="134" t="str">
        <f>IF(I380&lt;&gt;"",COUNTA($I$2:I380),"")</f>
        <v/>
      </c>
      <c r="B380" s="138" t="str">
        <f t="shared" si="32"/>
        <v/>
      </c>
      <c r="C380" s="93" t="str">
        <f t="array" ref="C380">IF(E380="","",IF(M380&lt;&gt;"",
M380&amp;"/"&amp;SUMPRODUCT((M$2:M380=M380)*1)&amp;" - "&amp;(ROW()-2),
"إداري/"&amp;SUMPRODUCT((M$2:M380="")*1)&amp;" - "&amp;(ROW()-2)))</f>
        <v/>
      </c>
      <c r="D380" s="141" t="str">
        <f>IF(AND(G380="",H380="",I380=""),"",IF(COUNTIFS(LISTS!$A$2:$A$67,G380,LISTS!$B$2:$B$67,H380,LISTS!$C$2:$C$67,I380)=0,"✗ هرم",IF(NOT(OR(Z380="ممتاز 100%",Z380="جيد 80%",Z380="مقبول 60%",Z380="خطر 40%",Z380="")),"✗ قائمة R",IF(NOT(OR(AA380="ممتاز 100%",AA380="جيد 85%",AA380="مقبول 70%",AA380="ضعيف 50%",AA380="")),"✗ قائمة S",IF(NOT(OR(AB380="مكتمل 100%",AB380="جزئي 60%",AB380="معلق 30%",AB380="مفتوح 0%",AB380="")),"✗ قائمة T",IF(NOT(OR(AC380="لا خصم 0",AC380="تأخير −5",AC380="عجز −10",AC380="جودة −15",AC380="امتثال −20",AC380="مخالفة −25",AC380="")),"✗ قائمة U",IF(AND(X380="لا",AC380&lt;&gt;"",AC380&lt;&gt;"لا خصم 0"),"✗ خصم",IF(AND(X380="نعم",AC380="لا خصم 0"),"✗ خصم",IF(AND(Z380="ممتاز 100%",AA380="ممتاز 100%",AB380&lt;&gt;"",AB380&lt;&gt;"مكتمل 100%"),"✗ إغلاق",IFERROR(IF(LEN(_xlfn.TEXTJOIN("، ",TRUE,IF(E380="","التاريخ",""),IF(F380="","الوقت",""),IF(G380="","المركز",""),IF(H380="","الدائرة",""),IF(I380="","القسم",""),IF(J380="","المسؤول",""),IF(K380="","نوع النشاط",""),IF(L380="","المشروع",""),IF(N380="","الممول",""),IF(V380="","الموضوع",""),IF(W380="","الملاحظة",""),IF(X380="","مشكلة",""),IF(Y380="","الإجراء",""),IF(Z380="","التنفيذ",""),IF(AA380="","الجودة",""),IF(AB380="","الإغلاق",""),IF(AC380="","الخصم",""),IF(AND(COUNTA($O380:$U380)&gt;0,O380=""),"مدير المشروع",""),IF(AND(COUNTA($O380:$U380)&gt;0,P380=""),"المستفيدين",""),IF(AND(COUNTA($O380:$U380)&gt;0,Q380=""),"المناطق",""),IF(AND(COUNTA($O380:$U380)&gt;0,R380=""),"الميزانية",""),IF(AND(COUNTA($O380:$U380)&gt;0,S380=""),"نسبة الجاهزية",""),IF(AND(COUNTA($O380:$U380)&gt;0,T380=""),"حالة الجاهزية",""),IF(AND(COUNTA($O380:$U380)&gt;0,U380=""),"التوصيات","")))&gt;0,"✗ ناقص: "&amp;_xlfn.TEXTJOIN("، ",TRUE,IF(E380="","التاريخ",""),IF(F380="","الوقت",""),IF(G380="","المركز",""),IF(H380="","الدائرة",""),IF(I380="","القسم",""),IF(J380="","المسؤول",""),IF(K380="","نوع النشاط",""),IF(L380="","المشروع",""),IF(N380="","الممول",""),IF(V380="","الموضوع",""),IF(W380="","الملاحظة",""),IF(X380="","مشكلة",""),IF(Y380="","الإجراء",""),IF(Z380="","التنفيذ",""),IF(AA380="","الجودة",""),IF(AB380="","الإغلاق",""),IF(AC380="","الخصم",""),IF(AND(COUNTA($O380:$U380)&gt;0,O380=""),"مدير المشروع",""),IF(AND(COUNTA($O380:$U380)&gt;0,P380=""),"المستفيدين",""),IF(AND(COUNTA($O380:$U380)&gt;0,Q380=""),"المناطق",""),IF(AND(COUNTA($O380:$U380)&gt;0,R380=""),"الميزانية",""),IF(AND(COUNTA($O380:$U380)&gt;0,S380=""),"نسبة الجاهزية",""),IF(AND(COUNTA($O380:$U380)&gt;0,T380=""),"حالة الجاهزية",""),IF(AND(COUNTA($O380:$U380)&gt;0,U380=""),"التوصيات","")),"✓"),"✓"))))))))))</f>
        <v/>
      </c>
      <c r="E380" s="235"/>
      <c r="F380" s="236"/>
      <c r="G380" s="90"/>
      <c r="H380" s="239"/>
      <c r="I380" s="89"/>
      <c r="J380" s="142"/>
      <c r="K380" s="90"/>
      <c r="L380" s="90"/>
      <c r="M380" s="90"/>
      <c r="N380" s="89"/>
      <c r="O380" s="200"/>
      <c r="P380" s="201"/>
      <c r="Q380" s="201"/>
      <c r="R380" s="237"/>
      <c r="S380" s="202"/>
      <c r="T380" s="200"/>
      <c r="U380" s="203"/>
      <c r="V380" s="89"/>
      <c r="W380" s="89"/>
      <c r="X380" s="145"/>
      <c r="Y380" s="89"/>
      <c r="Z380" s="90"/>
      <c r="AA380" s="90"/>
      <c r="AB380" s="90"/>
      <c r="AC380" s="90"/>
      <c r="AD380" s="92"/>
      <c r="AE380" s="149" t="str">
        <f>IFERROR(VLOOKUP(Z380,LISTS!$AL$2:$AM$1000,2,FALSE()),"")</f>
        <v/>
      </c>
      <c r="AF380" s="151" t="str">
        <f>IFERROR(VLOOKUP(AA380,LISTS!$AO$2:$AP$1000,2,FALSE()),"")</f>
        <v/>
      </c>
      <c r="AG380" s="152" t="str">
        <f>IFERROR(VLOOKUP(AB380,LISTS!$AR$2:$AS$1000,2,FALSE()),"")</f>
        <v/>
      </c>
      <c r="AH380" s="154" t="str">
        <f>IFERROR(VLOOKUP(AC380,LISTS!$AU$2:$AV$1000,2,FALSE()),"")</f>
        <v/>
      </c>
      <c r="AI380" s="238" t="str">
        <f t="shared" si="28"/>
        <v>—</v>
      </c>
      <c r="AJ380" s="190" t="str">
        <f t="shared" si="29"/>
        <v>—</v>
      </c>
      <c r="AK380" s="157" t="str">
        <f t="shared" si="30"/>
        <v/>
      </c>
      <c r="AL380" s="160" t="str">
        <f t="shared" si="31"/>
        <v/>
      </c>
      <c r="AM380" s="210"/>
      <c r="AN380" s="209"/>
    </row>
    <row r="381" spans="1:40" ht="27.95" customHeight="1">
      <c r="A381" s="134" t="str">
        <f>IF(I381&lt;&gt;"",COUNTA($I$2:I381),"")</f>
        <v/>
      </c>
      <c r="B381" s="138" t="str">
        <f t="shared" si="32"/>
        <v/>
      </c>
      <c r="C381" s="93" t="str">
        <f t="array" ref="C381">IF(E381="","",IF(M381&lt;&gt;"",
M381&amp;"/"&amp;SUMPRODUCT((M$2:M381=M381)*1)&amp;" - "&amp;(ROW()-2),
"إداري/"&amp;SUMPRODUCT((M$2:M381="")*1)&amp;" - "&amp;(ROW()-2)))</f>
        <v/>
      </c>
      <c r="D381" s="141" t="str">
        <f>IF(AND(G381="",H381="",I381=""),"",IF(COUNTIFS(LISTS!$A$2:$A$67,G381,LISTS!$B$2:$B$67,H381,LISTS!$C$2:$C$67,I381)=0,"✗ هرم",IF(NOT(OR(Z381="ممتاز 100%",Z381="جيد 80%",Z381="مقبول 60%",Z381="خطر 40%",Z381="")),"✗ قائمة R",IF(NOT(OR(AA381="ممتاز 100%",AA381="جيد 85%",AA381="مقبول 70%",AA381="ضعيف 50%",AA381="")),"✗ قائمة S",IF(NOT(OR(AB381="مكتمل 100%",AB381="جزئي 60%",AB381="معلق 30%",AB381="مفتوح 0%",AB381="")),"✗ قائمة T",IF(NOT(OR(AC381="لا خصم 0",AC381="تأخير −5",AC381="عجز −10",AC381="جودة −15",AC381="امتثال −20",AC381="مخالفة −25",AC381="")),"✗ قائمة U",IF(AND(X381="لا",AC381&lt;&gt;"",AC381&lt;&gt;"لا خصم 0"),"✗ خصم",IF(AND(X381="نعم",AC381="لا خصم 0"),"✗ خصم",IF(AND(Z381="ممتاز 100%",AA381="ممتاز 100%",AB381&lt;&gt;"",AB381&lt;&gt;"مكتمل 100%"),"✗ إغلاق",IFERROR(IF(LEN(_xlfn.TEXTJOIN("، ",TRUE,IF(E381="","التاريخ",""),IF(F381="","الوقت",""),IF(G381="","المركز",""),IF(H381="","الدائرة",""),IF(I381="","القسم",""),IF(J381="","المسؤول",""),IF(K381="","نوع النشاط",""),IF(L381="","المشروع",""),IF(N381="","الممول",""),IF(V381="","الموضوع",""),IF(W381="","الملاحظة",""),IF(X381="","مشكلة",""),IF(Y381="","الإجراء",""),IF(Z381="","التنفيذ",""),IF(AA381="","الجودة",""),IF(AB381="","الإغلاق",""),IF(AC381="","الخصم",""),IF(AND(COUNTA($O381:$U381)&gt;0,O381=""),"مدير المشروع",""),IF(AND(COUNTA($O381:$U381)&gt;0,P381=""),"المستفيدين",""),IF(AND(COUNTA($O381:$U381)&gt;0,Q381=""),"المناطق",""),IF(AND(COUNTA($O381:$U381)&gt;0,R381=""),"الميزانية",""),IF(AND(COUNTA($O381:$U381)&gt;0,S381=""),"نسبة الجاهزية",""),IF(AND(COUNTA($O381:$U381)&gt;0,T381=""),"حالة الجاهزية",""),IF(AND(COUNTA($O381:$U381)&gt;0,U381=""),"التوصيات","")))&gt;0,"✗ ناقص: "&amp;_xlfn.TEXTJOIN("، ",TRUE,IF(E381="","التاريخ",""),IF(F381="","الوقت",""),IF(G381="","المركز",""),IF(H381="","الدائرة",""),IF(I381="","القسم",""),IF(J381="","المسؤول",""),IF(K381="","نوع النشاط",""),IF(L381="","المشروع",""),IF(N381="","الممول",""),IF(V381="","الموضوع",""),IF(W381="","الملاحظة",""),IF(X381="","مشكلة",""),IF(Y381="","الإجراء",""),IF(Z381="","التنفيذ",""),IF(AA381="","الجودة",""),IF(AB381="","الإغلاق",""),IF(AC381="","الخصم",""),IF(AND(COUNTA($O381:$U381)&gt;0,O381=""),"مدير المشروع",""),IF(AND(COUNTA($O381:$U381)&gt;0,P381=""),"المستفيدين",""),IF(AND(COUNTA($O381:$U381)&gt;0,Q381=""),"المناطق",""),IF(AND(COUNTA($O381:$U381)&gt;0,R381=""),"الميزانية",""),IF(AND(COUNTA($O381:$U381)&gt;0,S381=""),"نسبة الجاهزية",""),IF(AND(COUNTA($O381:$U381)&gt;0,T381=""),"حالة الجاهزية",""),IF(AND(COUNTA($O381:$U381)&gt;0,U381=""),"التوصيات","")),"✓"),"✓"))))))))))</f>
        <v/>
      </c>
      <c r="E381" s="235"/>
      <c r="F381" s="236"/>
      <c r="G381" s="90"/>
      <c r="H381" s="239"/>
      <c r="I381" s="89"/>
      <c r="J381" s="142"/>
      <c r="K381" s="90"/>
      <c r="L381" s="90"/>
      <c r="M381" s="90"/>
      <c r="N381" s="89"/>
      <c r="O381" s="200"/>
      <c r="P381" s="201"/>
      <c r="Q381" s="201"/>
      <c r="R381" s="237"/>
      <c r="S381" s="202"/>
      <c r="T381" s="200"/>
      <c r="U381" s="203"/>
      <c r="V381" s="89"/>
      <c r="W381" s="89"/>
      <c r="X381" s="145"/>
      <c r="Y381" s="89"/>
      <c r="Z381" s="90"/>
      <c r="AA381" s="90"/>
      <c r="AB381" s="90"/>
      <c r="AC381" s="90"/>
      <c r="AD381" s="92"/>
      <c r="AE381" s="149" t="str">
        <f>IFERROR(VLOOKUP(Z381,LISTS!$AL$2:$AM$1000,2,FALSE()),"")</f>
        <v/>
      </c>
      <c r="AF381" s="151" t="str">
        <f>IFERROR(VLOOKUP(AA381,LISTS!$AO$2:$AP$1000,2,FALSE()),"")</f>
        <v/>
      </c>
      <c r="AG381" s="152" t="str">
        <f>IFERROR(VLOOKUP(AB381,LISTS!$AR$2:$AS$1000,2,FALSE()),"")</f>
        <v/>
      </c>
      <c r="AH381" s="154" t="str">
        <f>IFERROR(VLOOKUP(AC381,LISTS!$AU$2:$AV$1000,2,FALSE()),"")</f>
        <v/>
      </c>
      <c r="AI381" s="238" t="str">
        <f t="shared" si="28"/>
        <v>—</v>
      </c>
      <c r="AJ381" s="190" t="str">
        <f t="shared" si="29"/>
        <v>—</v>
      </c>
      <c r="AK381" s="157" t="str">
        <f t="shared" si="30"/>
        <v/>
      </c>
      <c r="AL381" s="160" t="str">
        <f t="shared" si="31"/>
        <v/>
      </c>
      <c r="AM381" s="210"/>
      <c r="AN381" s="209"/>
    </row>
    <row r="382" spans="1:40" ht="27.95" customHeight="1">
      <c r="A382" s="134" t="str">
        <f>IF(I382&lt;&gt;"",COUNTA($I$2:I382),"")</f>
        <v/>
      </c>
      <c r="B382" s="138" t="str">
        <f t="shared" si="32"/>
        <v/>
      </c>
      <c r="C382" s="93" t="str">
        <f t="array" ref="C382">IF(E382="","",IF(M382&lt;&gt;"",
M382&amp;"/"&amp;SUMPRODUCT((M$2:M382=M382)*1)&amp;" - "&amp;(ROW()-2),
"إداري/"&amp;SUMPRODUCT((M$2:M382="")*1)&amp;" - "&amp;(ROW()-2)))</f>
        <v/>
      </c>
      <c r="D382" s="141" t="str">
        <f>IF(AND(G382="",H382="",I382=""),"",IF(COUNTIFS(LISTS!$A$2:$A$67,G382,LISTS!$B$2:$B$67,H382,LISTS!$C$2:$C$67,I382)=0,"✗ هرم",IF(NOT(OR(Z382="ممتاز 100%",Z382="جيد 80%",Z382="مقبول 60%",Z382="خطر 40%",Z382="")),"✗ قائمة R",IF(NOT(OR(AA382="ممتاز 100%",AA382="جيد 85%",AA382="مقبول 70%",AA382="ضعيف 50%",AA382="")),"✗ قائمة S",IF(NOT(OR(AB382="مكتمل 100%",AB382="جزئي 60%",AB382="معلق 30%",AB382="مفتوح 0%",AB382="")),"✗ قائمة T",IF(NOT(OR(AC382="لا خصم 0",AC382="تأخير −5",AC382="عجز −10",AC382="جودة −15",AC382="امتثال −20",AC382="مخالفة −25",AC382="")),"✗ قائمة U",IF(AND(X382="لا",AC382&lt;&gt;"",AC382&lt;&gt;"لا خصم 0"),"✗ خصم",IF(AND(X382="نعم",AC382="لا خصم 0"),"✗ خصم",IF(AND(Z382="ممتاز 100%",AA382="ممتاز 100%",AB382&lt;&gt;"",AB382&lt;&gt;"مكتمل 100%"),"✗ إغلاق",IFERROR(IF(LEN(_xlfn.TEXTJOIN("، ",TRUE,IF(E382="","التاريخ",""),IF(F382="","الوقت",""),IF(G382="","المركز",""),IF(H382="","الدائرة",""),IF(I382="","القسم",""),IF(J382="","المسؤول",""),IF(K382="","نوع النشاط",""),IF(L382="","المشروع",""),IF(N382="","الممول",""),IF(V382="","الموضوع",""),IF(W382="","الملاحظة",""),IF(X382="","مشكلة",""),IF(Y382="","الإجراء",""),IF(Z382="","التنفيذ",""),IF(AA382="","الجودة",""),IF(AB382="","الإغلاق",""),IF(AC382="","الخصم",""),IF(AND(COUNTA($O382:$U382)&gt;0,O382=""),"مدير المشروع",""),IF(AND(COUNTA($O382:$U382)&gt;0,P382=""),"المستفيدين",""),IF(AND(COUNTA($O382:$U382)&gt;0,Q382=""),"المناطق",""),IF(AND(COUNTA($O382:$U382)&gt;0,R382=""),"الميزانية",""),IF(AND(COUNTA($O382:$U382)&gt;0,S382=""),"نسبة الجاهزية",""),IF(AND(COUNTA($O382:$U382)&gt;0,T382=""),"حالة الجاهزية",""),IF(AND(COUNTA($O382:$U382)&gt;0,U382=""),"التوصيات","")))&gt;0,"✗ ناقص: "&amp;_xlfn.TEXTJOIN("، ",TRUE,IF(E382="","التاريخ",""),IF(F382="","الوقت",""),IF(G382="","المركز",""),IF(H382="","الدائرة",""),IF(I382="","القسم",""),IF(J382="","المسؤول",""),IF(K382="","نوع النشاط",""),IF(L382="","المشروع",""),IF(N382="","الممول",""),IF(V382="","الموضوع",""),IF(W382="","الملاحظة",""),IF(X382="","مشكلة",""),IF(Y382="","الإجراء",""),IF(Z382="","التنفيذ",""),IF(AA382="","الجودة",""),IF(AB382="","الإغلاق",""),IF(AC382="","الخصم",""),IF(AND(COUNTA($O382:$U382)&gt;0,O382=""),"مدير المشروع",""),IF(AND(COUNTA($O382:$U382)&gt;0,P382=""),"المستفيدين",""),IF(AND(COUNTA($O382:$U382)&gt;0,Q382=""),"المناطق",""),IF(AND(COUNTA($O382:$U382)&gt;0,R382=""),"الميزانية",""),IF(AND(COUNTA($O382:$U382)&gt;0,S382=""),"نسبة الجاهزية",""),IF(AND(COUNTA($O382:$U382)&gt;0,T382=""),"حالة الجاهزية",""),IF(AND(COUNTA($O382:$U382)&gt;0,U382=""),"التوصيات","")),"✓"),"✓"))))))))))</f>
        <v/>
      </c>
      <c r="E382" s="235"/>
      <c r="F382" s="236"/>
      <c r="G382" s="90"/>
      <c r="H382" s="239"/>
      <c r="I382" s="89"/>
      <c r="J382" s="142"/>
      <c r="K382" s="90"/>
      <c r="L382" s="90"/>
      <c r="M382" s="90"/>
      <c r="N382" s="89"/>
      <c r="O382" s="200"/>
      <c r="P382" s="201"/>
      <c r="Q382" s="201"/>
      <c r="R382" s="237"/>
      <c r="S382" s="202"/>
      <c r="T382" s="200"/>
      <c r="U382" s="203"/>
      <c r="V382" s="89"/>
      <c r="W382" s="89"/>
      <c r="X382" s="145"/>
      <c r="Y382" s="89"/>
      <c r="Z382" s="90"/>
      <c r="AA382" s="90"/>
      <c r="AB382" s="90"/>
      <c r="AC382" s="90"/>
      <c r="AD382" s="92"/>
      <c r="AE382" s="149" t="str">
        <f>IFERROR(VLOOKUP(Z382,LISTS!$AL$2:$AM$1000,2,FALSE()),"")</f>
        <v/>
      </c>
      <c r="AF382" s="151" t="str">
        <f>IFERROR(VLOOKUP(AA382,LISTS!$AO$2:$AP$1000,2,FALSE()),"")</f>
        <v/>
      </c>
      <c r="AG382" s="152" t="str">
        <f>IFERROR(VLOOKUP(AB382,LISTS!$AR$2:$AS$1000,2,FALSE()),"")</f>
        <v/>
      </c>
      <c r="AH382" s="154" t="str">
        <f>IFERROR(VLOOKUP(AC382,LISTS!$AU$2:$AV$1000,2,FALSE()),"")</f>
        <v/>
      </c>
      <c r="AI382" s="238" t="str">
        <f t="shared" si="28"/>
        <v>—</v>
      </c>
      <c r="AJ382" s="190" t="str">
        <f t="shared" si="29"/>
        <v>—</v>
      </c>
      <c r="AK382" s="157" t="str">
        <f t="shared" si="30"/>
        <v/>
      </c>
      <c r="AL382" s="160" t="str">
        <f t="shared" si="31"/>
        <v/>
      </c>
      <c r="AM382" s="210"/>
      <c r="AN382" s="209"/>
    </row>
    <row r="383" spans="1:40" ht="27.95" customHeight="1">
      <c r="A383" s="134" t="str">
        <f>IF(I383&lt;&gt;"",COUNTA($I$2:I383),"")</f>
        <v/>
      </c>
      <c r="B383" s="138" t="str">
        <f t="shared" si="32"/>
        <v/>
      </c>
      <c r="C383" s="93" t="str">
        <f t="array" ref="C383">IF(E383="","",IF(M383&lt;&gt;"",
M383&amp;"/"&amp;SUMPRODUCT((M$2:M383=M383)*1)&amp;" - "&amp;(ROW()-2),
"إداري/"&amp;SUMPRODUCT((M$2:M383="")*1)&amp;" - "&amp;(ROW()-2)))</f>
        <v/>
      </c>
      <c r="D383" s="141" t="str">
        <f>IF(AND(G383="",H383="",I383=""),"",IF(COUNTIFS(LISTS!$A$2:$A$67,G383,LISTS!$B$2:$B$67,H383,LISTS!$C$2:$C$67,I383)=0,"✗ هرم",IF(NOT(OR(Z383="ممتاز 100%",Z383="جيد 80%",Z383="مقبول 60%",Z383="خطر 40%",Z383="")),"✗ قائمة R",IF(NOT(OR(AA383="ممتاز 100%",AA383="جيد 85%",AA383="مقبول 70%",AA383="ضعيف 50%",AA383="")),"✗ قائمة S",IF(NOT(OR(AB383="مكتمل 100%",AB383="جزئي 60%",AB383="معلق 30%",AB383="مفتوح 0%",AB383="")),"✗ قائمة T",IF(NOT(OR(AC383="لا خصم 0",AC383="تأخير −5",AC383="عجز −10",AC383="جودة −15",AC383="امتثال −20",AC383="مخالفة −25",AC383="")),"✗ قائمة U",IF(AND(X383="لا",AC383&lt;&gt;"",AC383&lt;&gt;"لا خصم 0"),"✗ خصم",IF(AND(X383="نعم",AC383="لا خصم 0"),"✗ خصم",IF(AND(Z383="ممتاز 100%",AA383="ممتاز 100%",AB383&lt;&gt;"",AB383&lt;&gt;"مكتمل 100%"),"✗ إغلاق",IFERROR(IF(LEN(_xlfn.TEXTJOIN("، ",TRUE,IF(E383="","التاريخ",""),IF(F383="","الوقت",""),IF(G383="","المركز",""),IF(H383="","الدائرة",""),IF(I383="","القسم",""),IF(J383="","المسؤول",""),IF(K383="","نوع النشاط",""),IF(L383="","المشروع",""),IF(N383="","الممول",""),IF(V383="","الموضوع",""),IF(W383="","الملاحظة",""),IF(X383="","مشكلة",""),IF(Y383="","الإجراء",""),IF(Z383="","التنفيذ",""),IF(AA383="","الجودة",""),IF(AB383="","الإغلاق",""),IF(AC383="","الخصم",""),IF(AND(COUNTA($O383:$U383)&gt;0,O383=""),"مدير المشروع",""),IF(AND(COUNTA($O383:$U383)&gt;0,P383=""),"المستفيدين",""),IF(AND(COUNTA($O383:$U383)&gt;0,Q383=""),"المناطق",""),IF(AND(COUNTA($O383:$U383)&gt;0,R383=""),"الميزانية",""),IF(AND(COUNTA($O383:$U383)&gt;0,S383=""),"نسبة الجاهزية",""),IF(AND(COUNTA($O383:$U383)&gt;0,T383=""),"حالة الجاهزية",""),IF(AND(COUNTA($O383:$U383)&gt;0,U383=""),"التوصيات","")))&gt;0,"✗ ناقص: "&amp;_xlfn.TEXTJOIN("، ",TRUE,IF(E383="","التاريخ",""),IF(F383="","الوقت",""),IF(G383="","المركز",""),IF(H383="","الدائرة",""),IF(I383="","القسم",""),IF(J383="","المسؤول",""),IF(K383="","نوع النشاط",""),IF(L383="","المشروع",""),IF(N383="","الممول",""),IF(V383="","الموضوع",""),IF(W383="","الملاحظة",""),IF(X383="","مشكلة",""),IF(Y383="","الإجراء",""),IF(Z383="","التنفيذ",""),IF(AA383="","الجودة",""),IF(AB383="","الإغلاق",""),IF(AC383="","الخصم",""),IF(AND(COUNTA($O383:$U383)&gt;0,O383=""),"مدير المشروع",""),IF(AND(COUNTA($O383:$U383)&gt;0,P383=""),"المستفيدين",""),IF(AND(COUNTA($O383:$U383)&gt;0,Q383=""),"المناطق",""),IF(AND(COUNTA($O383:$U383)&gt;0,R383=""),"الميزانية",""),IF(AND(COUNTA($O383:$U383)&gt;0,S383=""),"نسبة الجاهزية",""),IF(AND(COUNTA($O383:$U383)&gt;0,T383=""),"حالة الجاهزية",""),IF(AND(COUNTA($O383:$U383)&gt;0,U383=""),"التوصيات","")),"✓"),"✓"))))))))))</f>
        <v/>
      </c>
      <c r="E383" s="235"/>
      <c r="F383" s="236"/>
      <c r="G383" s="90"/>
      <c r="H383" s="239"/>
      <c r="I383" s="89"/>
      <c r="J383" s="142"/>
      <c r="K383" s="90"/>
      <c r="L383" s="90"/>
      <c r="M383" s="90"/>
      <c r="N383" s="89"/>
      <c r="O383" s="200"/>
      <c r="P383" s="201"/>
      <c r="Q383" s="201"/>
      <c r="R383" s="237"/>
      <c r="S383" s="202"/>
      <c r="T383" s="200"/>
      <c r="U383" s="203"/>
      <c r="V383" s="89"/>
      <c r="W383" s="89"/>
      <c r="X383" s="145"/>
      <c r="Y383" s="89"/>
      <c r="Z383" s="90"/>
      <c r="AA383" s="90"/>
      <c r="AB383" s="90"/>
      <c r="AC383" s="90"/>
      <c r="AD383" s="92"/>
      <c r="AE383" s="149" t="str">
        <f>IFERROR(VLOOKUP(Z383,LISTS!$AL$2:$AM$1000,2,FALSE()),"")</f>
        <v/>
      </c>
      <c r="AF383" s="151" t="str">
        <f>IFERROR(VLOOKUP(AA383,LISTS!$AO$2:$AP$1000,2,FALSE()),"")</f>
        <v/>
      </c>
      <c r="AG383" s="152" t="str">
        <f>IFERROR(VLOOKUP(AB383,LISTS!$AR$2:$AS$1000,2,FALSE()),"")</f>
        <v/>
      </c>
      <c r="AH383" s="154" t="str">
        <f>IFERROR(VLOOKUP(AC383,LISTS!$AU$2:$AV$1000,2,FALSE()),"")</f>
        <v/>
      </c>
      <c r="AI383" s="238" t="str">
        <f t="shared" si="28"/>
        <v>—</v>
      </c>
      <c r="AJ383" s="190" t="str">
        <f t="shared" si="29"/>
        <v>—</v>
      </c>
      <c r="AK383" s="157" t="str">
        <f t="shared" si="30"/>
        <v/>
      </c>
      <c r="AL383" s="160" t="str">
        <f t="shared" si="31"/>
        <v/>
      </c>
      <c r="AM383" s="210"/>
      <c r="AN383" s="209"/>
    </row>
    <row r="384" spans="1:40" ht="27.95" customHeight="1">
      <c r="A384" s="134" t="str">
        <f>IF(I384&lt;&gt;"",COUNTA($I$2:I384),"")</f>
        <v/>
      </c>
      <c r="B384" s="138" t="str">
        <f t="shared" si="32"/>
        <v/>
      </c>
      <c r="C384" s="93" t="str">
        <f t="array" ref="C384">IF(E384="","",IF(M384&lt;&gt;"",
M384&amp;"/"&amp;SUMPRODUCT((M$2:M384=M384)*1)&amp;" - "&amp;(ROW()-2),
"إداري/"&amp;SUMPRODUCT((M$2:M384="")*1)&amp;" - "&amp;(ROW()-2)))</f>
        <v/>
      </c>
      <c r="D384" s="141" t="str">
        <f>IF(AND(G384="",H384="",I384=""),"",IF(COUNTIFS(LISTS!$A$2:$A$67,G384,LISTS!$B$2:$B$67,H384,LISTS!$C$2:$C$67,I384)=0,"✗ هرم",IF(NOT(OR(Z384="ممتاز 100%",Z384="جيد 80%",Z384="مقبول 60%",Z384="خطر 40%",Z384="")),"✗ قائمة R",IF(NOT(OR(AA384="ممتاز 100%",AA384="جيد 85%",AA384="مقبول 70%",AA384="ضعيف 50%",AA384="")),"✗ قائمة S",IF(NOT(OR(AB384="مكتمل 100%",AB384="جزئي 60%",AB384="معلق 30%",AB384="مفتوح 0%",AB384="")),"✗ قائمة T",IF(NOT(OR(AC384="لا خصم 0",AC384="تأخير −5",AC384="عجز −10",AC384="جودة −15",AC384="امتثال −20",AC384="مخالفة −25",AC384="")),"✗ قائمة U",IF(AND(X384="لا",AC384&lt;&gt;"",AC384&lt;&gt;"لا خصم 0"),"✗ خصم",IF(AND(X384="نعم",AC384="لا خصم 0"),"✗ خصم",IF(AND(Z384="ممتاز 100%",AA384="ممتاز 100%",AB384&lt;&gt;"",AB384&lt;&gt;"مكتمل 100%"),"✗ إغلاق",IFERROR(IF(LEN(_xlfn.TEXTJOIN("، ",TRUE,IF(E384="","التاريخ",""),IF(F384="","الوقت",""),IF(G384="","المركز",""),IF(H384="","الدائرة",""),IF(I384="","القسم",""),IF(J384="","المسؤول",""),IF(K384="","نوع النشاط",""),IF(L384="","المشروع",""),IF(N384="","الممول",""),IF(V384="","الموضوع",""),IF(W384="","الملاحظة",""),IF(X384="","مشكلة",""),IF(Y384="","الإجراء",""),IF(Z384="","التنفيذ",""),IF(AA384="","الجودة",""),IF(AB384="","الإغلاق",""),IF(AC384="","الخصم",""),IF(AND(COUNTA($O384:$U384)&gt;0,O384=""),"مدير المشروع",""),IF(AND(COUNTA($O384:$U384)&gt;0,P384=""),"المستفيدين",""),IF(AND(COUNTA($O384:$U384)&gt;0,Q384=""),"المناطق",""),IF(AND(COUNTA($O384:$U384)&gt;0,R384=""),"الميزانية",""),IF(AND(COUNTA($O384:$U384)&gt;0,S384=""),"نسبة الجاهزية",""),IF(AND(COUNTA($O384:$U384)&gt;0,T384=""),"حالة الجاهزية",""),IF(AND(COUNTA($O384:$U384)&gt;0,U384=""),"التوصيات","")))&gt;0,"✗ ناقص: "&amp;_xlfn.TEXTJOIN("، ",TRUE,IF(E384="","التاريخ",""),IF(F384="","الوقت",""),IF(G384="","المركز",""),IF(H384="","الدائرة",""),IF(I384="","القسم",""),IF(J384="","المسؤول",""),IF(K384="","نوع النشاط",""),IF(L384="","المشروع",""),IF(N384="","الممول",""),IF(V384="","الموضوع",""),IF(W384="","الملاحظة",""),IF(X384="","مشكلة",""),IF(Y384="","الإجراء",""),IF(Z384="","التنفيذ",""),IF(AA384="","الجودة",""),IF(AB384="","الإغلاق",""),IF(AC384="","الخصم",""),IF(AND(COUNTA($O384:$U384)&gt;0,O384=""),"مدير المشروع",""),IF(AND(COUNTA($O384:$U384)&gt;0,P384=""),"المستفيدين",""),IF(AND(COUNTA($O384:$U384)&gt;0,Q384=""),"المناطق",""),IF(AND(COUNTA($O384:$U384)&gt;0,R384=""),"الميزانية",""),IF(AND(COUNTA($O384:$U384)&gt;0,S384=""),"نسبة الجاهزية",""),IF(AND(COUNTA($O384:$U384)&gt;0,T384=""),"حالة الجاهزية",""),IF(AND(COUNTA($O384:$U384)&gt;0,U384=""),"التوصيات","")),"✓"),"✓"))))))))))</f>
        <v/>
      </c>
      <c r="E384" s="235"/>
      <c r="F384" s="236"/>
      <c r="G384" s="90"/>
      <c r="H384" s="239"/>
      <c r="I384" s="89"/>
      <c r="J384" s="142"/>
      <c r="K384" s="90"/>
      <c r="L384" s="90"/>
      <c r="M384" s="90"/>
      <c r="N384" s="89"/>
      <c r="O384" s="200"/>
      <c r="P384" s="201"/>
      <c r="Q384" s="201"/>
      <c r="R384" s="237"/>
      <c r="S384" s="202"/>
      <c r="T384" s="200"/>
      <c r="U384" s="203"/>
      <c r="V384" s="89"/>
      <c r="W384" s="89"/>
      <c r="X384" s="145"/>
      <c r="Y384" s="89"/>
      <c r="Z384" s="90"/>
      <c r="AA384" s="90"/>
      <c r="AB384" s="90"/>
      <c r="AC384" s="90"/>
      <c r="AD384" s="92"/>
      <c r="AE384" s="149" t="str">
        <f>IFERROR(VLOOKUP(Z384,LISTS!$AL$2:$AM$1000,2,FALSE()),"")</f>
        <v/>
      </c>
      <c r="AF384" s="151" t="str">
        <f>IFERROR(VLOOKUP(AA384,LISTS!$AO$2:$AP$1000,2,FALSE()),"")</f>
        <v/>
      </c>
      <c r="AG384" s="152" t="str">
        <f>IFERROR(VLOOKUP(AB384,LISTS!$AR$2:$AS$1000,2,FALSE()),"")</f>
        <v/>
      </c>
      <c r="AH384" s="154" t="str">
        <f>IFERROR(VLOOKUP(AC384,LISTS!$AU$2:$AV$1000,2,FALSE()),"")</f>
        <v/>
      </c>
      <c r="AI384" s="238" t="str">
        <f t="shared" si="28"/>
        <v>—</v>
      </c>
      <c r="AJ384" s="190" t="str">
        <f t="shared" si="29"/>
        <v>—</v>
      </c>
      <c r="AK384" s="157" t="str">
        <f t="shared" si="30"/>
        <v/>
      </c>
      <c r="AL384" s="160" t="str">
        <f t="shared" si="31"/>
        <v/>
      </c>
      <c r="AM384" s="210"/>
      <c r="AN384" s="209"/>
    </row>
    <row r="385" spans="1:40" ht="27.95" customHeight="1">
      <c r="A385" s="134" t="str">
        <f>IF(I385&lt;&gt;"",COUNTA($I$2:I385),"")</f>
        <v/>
      </c>
      <c r="B385" s="138" t="str">
        <f t="shared" si="32"/>
        <v/>
      </c>
      <c r="C385" s="93" t="str">
        <f t="array" ref="C385">IF(E385="","",IF(M385&lt;&gt;"",
M385&amp;"/"&amp;SUMPRODUCT((M$2:M385=M385)*1)&amp;" - "&amp;(ROW()-2),
"إداري/"&amp;SUMPRODUCT((M$2:M385="")*1)&amp;" - "&amp;(ROW()-2)))</f>
        <v/>
      </c>
      <c r="D385" s="141" t="str">
        <f>IF(AND(G385="",H385="",I385=""),"",IF(COUNTIFS(LISTS!$A$2:$A$67,G385,LISTS!$B$2:$B$67,H385,LISTS!$C$2:$C$67,I385)=0,"✗ هرم",IF(NOT(OR(Z385="ممتاز 100%",Z385="جيد 80%",Z385="مقبول 60%",Z385="خطر 40%",Z385="")),"✗ قائمة R",IF(NOT(OR(AA385="ممتاز 100%",AA385="جيد 85%",AA385="مقبول 70%",AA385="ضعيف 50%",AA385="")),"✗ قائمة S",IF(NOT(OR(AB385="مكتمل 100%",AB385="جزئي 60%",AB385="معلق 30%",AB385="مفتوح 0%",AB385="")),"✗ قائمة T",IF(NOT(OR(AC385="لا خصم 0",AC385="تأخير −5",AC385="عجز −10",AC385="جودة −15",AC385="امتثال −20",AC385="مخالفة −25",AC385="")),"✗ قائمة U",IF(AND(X385="لا",AC385&lt;&gt;"",AC385&lt;&gt;"لا خصم 0"),"✗ خصم",IF(AND(X385="نعم",AC385="لا خصم 0"),"✗ خصم",IF(AND(Z385="ممتاز 100%",AA385="ممتاز 100%",AB385&lt;&gt;"",AB385&lt;&gt;"مكتمل 100%"),"✗ إغلاق",IFERROR(IF(LEN(_xlfn.TEXTJOIN("، ",TRUE,IF(E385="","التاريخ",""),IF(F385="","الوقت",""),IF(G385="","المركز",""),IF(H385="","الدائرة",""),IF(I385="","القسم",""),IF(J385="","المسؤول",""),IF(K385="","نوع النشاط",""),IF(L385="","المشروع",""),IF(N385="","الممول",""),IF(V385="","الموضوع",""),IF(W385="","الملاحظة",""),IF(X385="","مشكلة",""),IF(Y385="","الإجراء",""),IF(Z385="","التنفيذ",""),IF(AA385="","الجودة",""),IF(AB385="","الإغلاق",""),IF(AC385="","الخصم",""),IF(AND(COUNTA($O385:$U385)&gt;0,O385=""),"مدير المشروع",""),IF(AND(COUNTA($O385:$U385)&gt;0,P385=""),"المستفيدين",""),IF(AND(COUNTA($O385:$U385)&gt;0,Q385=""),"المناطق",""),IF(AND(COUNTA($O385:$U385)&gt;0,R385=""),"الميزانية",""),IF(AND(COUNTA($O385:$U385)&gt;0,S385=""),"نسبة الجاهزية",""),IF(AND(COUNTA($O385:$U385)&gt;0,T385=""),"حالة الجاهزية",""),IF(AND(COUNTA($O385:$U385)&gt;0,U385=""),"التوصيات","")))&gt;0,"✗ ناقص: "&amp;_xlfn.TEXTJOIN("، ",TRUE,IF(E385="","التاريخ",""),IF(F385="","الوقت",""),IF(G385="","المركز",""),IF(H385="","الدائرة",""),IF(I385="","القسم",""),IF(J385="","المسؤول",""),IF(K385="","نوع النشاط",""),IF(L385="","المشروع",""),IF(N385="","الممول",""),IF(V385="","الموضوع",""),IF(W385="","الملاحظة",""),IF(X385="","مشكلة",""),IF(Y385="","الإجراء",""),IF(Z385="","التنفيذ",""),IF(AA385="","الجودة",""),IF(AB385="","الإغلاق",""),IF(AC385="","الخصم",""),IF(AND(COUNTA($O385:$U385)&gt;0,O385=""),"مدير المشروع",""),IF(AND(COUNTA($O385:$U385)&gt;0,P385=""),"المستفيدين",""),IF(AND(COUNTA($O385:$U385)&gt;0,Q385=""),"المناطق",""),IF(AND(COUNTA($O385:$U385)&gt;0,R385=""),"الميزانية",""),IF(AND(COUNTA($O385:$U385)&gt;0,S385=""),"نسبة الجاهزية",""),IF(AND(COUNTA($O385:$U385)&gt;0,T385=""),"حالة الجاهزية",""),IF(AND(COUNTA($O385:$U385)&gt;0,U385=""),"التوصيات","")),"✓"),"✓"))))))))))</f>
        <v/>
      </c>
      <c r="E385" s="235"/>
      <c r="F385" s="236"/>
      <c r="G385" s="90"/>
      <c r="H385" s="239"/>
      <c r="I385" s="89"/>
      <c r="J385" s="142"/>
      <c r="K385" s="90"/>
      <c r="L385" s="90"/>
      <c r="M385" s="90"/>
      <c r="N385" s="89"/>
      <c r="O385" s="200"/>
      <c r="P385" s="201"/>
      <c r="Q385" s="201"/>
      <c r="R385" s="237"/>
      <c r="S385" s="202"/>
      <c r="T385" s="200"/>
      <c r="U385" s="203"/>
      <c r="V385" s="89"/>
      <c r="W385" s="89"/>
      <c r="X385" s="145"/>
      <c r="Y385" s="89"/>
      <c r="Z385" s="90"/>
      <c r="AA385" s="90"/>
      <c r="AB385" s="90"/>
      <c r="AC385" s="90"/>
      <c r="AD385" s="92"/>
      <c r="AE385" s="149" t="str">
        <f>IFERROR(VLOOKUP(Z385,LISTS!$AL$2:$AM$1000,2,FALSE()),"")</f>
        <v/>
      </c>
      <c r="AF385" s="151" t="str">
        <f>IFERROR(VLOOKUP(AA385,LISTS!$AO$2:$AP$1000,2,FALSE()),"")</f>
        <v/>
      </c>
      <c r="AG385" s="152" t="str">
        <f>IFERROR(VLOOKUP(AB385,LISTS!$AR$2:$AS$1000,2,FALSE()),"")</f>
        <v/>
      </c>
      <c r="AH385" s="154" t="str">
        <f>IFERROR(VLOOKUP(AC385,LISTS!$AU$2:$AV$1000,2,FALSE()),"")</f>
        <v/>
      </c>
      <c r="AI385" s="238" t="str">
        <f t="shared" si="28"/>
        <v>—</v>
      </c>
      <c r="AJ385" s="190" t="str">
        <f t="shared" si="29"/>
        <v>—</v>
      </c>
      <c r="AK385" s="157" t="str">
        <f t="shared" si="30"/>
        <v/>
      </c>
      <c r="AL385" s="160" t="str">
        <f t="shared" si="31"/>
        <v/>
      </c>
      <c r="AM385" s="210"/>
      <c r="AN385" s="209"/>
    </row>
    <row r="386" spans="1:40" ht="27.95" customHeight="1">
      <c r="A386" s="134" t="str">
        <f>IF(I386&lt;&gt;"",COUNTA($I$2:I386),"")</f>
        <v/>
      </c>
      <c r="B386" s="138" t="str">
        <f t="shared" si="32"/>
        <v/>
      </c>
      <c r="C386" s="93" t="str">
        <f t="array" ref="C386">IF(E386="","",IF(M386&lt;&gt;"",
M386&amp;"/"&amp;SUMPRODUCT((M$2:M386=M386)*1)&amp;" - "&amp;(ROW()-2),
"إداري/"&amp;SUMPRODUCT((M$2:M386="")*1)&amp;" - "&amp;(ROW()-2)))</f>
        <v/>
      </c>
      <c r="D386" s="141" t="str">
        <f>IF(AND(G386="",H386="",I386=""),"",IF(COUNTIFS(LISTS!$A$2:$A$67,G386,LISTS!$B$2:$B$67,H386,LISTS!$C$2:$C$67,I386)=0,"✗ هرم",IF(NOT(OR(Z386="ممتاز 100%",Z386="جيد 80%",Z386="مقبول 60%",Z386="خطر 40%",Z386="")),"✗ قائمة R",IF(NOT(OR(AA386="ممتاز 100%",AA386="جيد 85%",AA386="مقبول 70%",AA386="ضعيف 50%",AA386="")),"✗ قائمة S",IF(NOT(OR(AB386="مكتمل 100%",AB386="جزئي 60%",AB386="معلق 30%",AB386="مفتوح 0%",AB386="")),"✗ قائمة T",IF(NOT(OR(AC386="لا خصم 0",AC386="تأخير −5",AC386="عجز −10",AC386="جودة −15",AC386="امتثال −20",AC386="مخالفة −25",AC386="")),"✗ قائمة U",IF(AND(X386="لا",AC386&lt;&gt;"",AC386&lt;&gt;"لا خصم 0"),"✗ خصم",IF(AND(X386="نعم",AC386="لا خصم 0"),"✗ خصم",IF(AND(Z386="ممتاز 100%",AA386="ممتاز 100%",AB386&lt;&gt;"",AB386&lt;&gt;"مكتمل 100%"),"✗ إغلاق",IFERROR(IF(LEN(_xlfn.TEXTJOIN("، ",TRUE,IF(E386="","التاريخ",""),IF(F386="","الوقت",""),IF(G386="","المركز",""),IF(H386="","الدائرة",""),IF(I386="","القسم",""),IF(J386="","المسؤول",""),IF(K386="","نوع النشاط",""),IF(L386="","المشروع",""),IF(N386="","الممول",""),IF(V386="","الموضوع",""),IF(W386="","الملاحظة",""),IF(X386="","مشكلة",""),IF(Y386="","الإجراء",""),IF(Z386="","التنفيذ",""),IF(AA386="","الجودة",""),IF(AB386="","الإغلاق",""),IF(AC386="","الخصم",""),IF(AND(COUNTA($O386:$U386)&gt;0,O386=""),"مدير المشروع",""),IF(AND(COUNTA($O386:$U386)&gt;0,P386=""),"المستفيدين",""),IF(AND(COUNTA($O386:$U386)&gt;0,Q386=""),"المناطق",""),IF(AND(COUNTA($O386:$U386)&gt;0,R386=""),"الميزانية",""),IF(AND(COUNTA($O386:$U386)&gt;0,S386=""),"نسبة الجاهزية",""),IF(AND(COUNTA($O386:$U386)&gt;0,T386=""),"حالة الجاهزية",""),IF(AND(COUNTA($O386:$U386)&gt;0,U386=""),"التوصيات","")))&gt;0,"✗ ناقص: "&amp;_xlfn.TEXTJOIN("، ",TRUE,IF(E386="","التاريخ",""),IF(F386="","الوقت",""),IF(G386="","المركز",""),IF(H386="","الدائرة",""),IF(I386="","القسم",""),IF(J386="","المسؤول",""),IF(K386="","نوع النشاط",""),IF(L386="","المشروع",""),IF(N386="","الممول",""),IF(V386="","الموضوع",""),IF(W386="","الملاحظة",""),IF(X386="","مشكلة",""),IF(Y386="","الإجراء",""),IF(Z386="","التنفيذ",""),IF(AA386="","الجودة",""),IF(AB386="","الإغلاق",""),IF(AC386="","الخصم",""),IF(AND(COUNTA($O386:$U386)&gt;0,O386=""),"مدير المشروع",""),IF(AND(COUNTA($O386:$U386)&gt;0,P386=""),"المستفيدين",""),IF(AND(COUNTA($O386:$U386)&gt;0,Q386=""),"المناطق",""),IF(AND(COUNTA($O386:$U386)&gt;0,R386=""),"الميزانية",""),IF(AND(COUNTA($O386:$U386)&gt;0,S386=""),"نسبة الجاهزية",""),IF(AND(COUNTA($O386:$U386)&gt;0,T386=""),"حالة الجاهزية",""),IF(AND(COUNTA($O386:$U386)&gt;0,U386=""),"التوصيات","")),"✓"),"✓"))))))))))</f>
        <v/>
      </c>
      <c r="E386" s="235"/>
      <c r="F386" s="236"/>
      <c r="G386" s="90"/>
      <c r="H386" s="239"/>
      <c r="I386" s="89"/>
      <c r="J386" s="142"/>
      <c r="K386" s="90"/>
      <c r="L386" s="90"/>
      <c r="M386" s="90"/>
      <c r="N386" s="89"/>
      <c r="O386" s="200"/>
      <c r="P386" s="201"/>
      <c r="Q386" s="201"/>
      <c r="R386" s="237"/>
      <c r="S386" s="202"/>
      <c r="T386" s="200"/>
      <c r="U386" s="203"/>
      <c r="V386" s="89"/>
      <c r="W386" s="89"/>
      <c r="X386" s="145"/>
      <c r="Y386" s="89"/>
      <c r="Z386" s="90"/>
      <c r="AA386" s="90"/>
      <c r="AB386" s="90"/>
      <c r="AC386" s="90"/>
      <c r="AD386" s="92"/>
      <c r="AE386" s="149" t="str">
        <f>IFERROR(VLOOKUP(Z386,LISTS!$AL$2:$AM$1000,2,FALSE()),"")</f>
        <v/>
      </c>
      <c r="AF386" s="151" t="str">
        <f>IFERROR(VLOOKUP(AA386,LISTS!$AO$2:$AP$1000,2,FALSE()),"")</f>
        <v/>
      </c>
      <c r="AG386" s="152" t="str">
        <f>IFERROR(VLOOKUP(AB386,LISTS!$AR$2:$AS$1000,2,FALSE()),"")</f>
        <v/>
      </c>
      <c r="AH386" s="154" t="str">
        <f>IFERROR(VLOOKUP(AC386,LISTS!$AU$2:$AV$1000,2,FALSE()),"")</f>
        <v/>
      </c>
      <c r="AI386" s="238" t="str">
        <f t="shared" ref="AI386:AI449" si="33">IF(OR(AE386="",AF386="",AG386=""),"—",IFERROR(ROUND(AE386*0.4+AF386*0.3+AG386*0.3-IF(ISNUMBER(AH386),AH386,0),1),"⚠️"))</f>
        <v>—</v>
      </c>
      <c r="AJ386" s="190" t="str">
        <f t="shared" ref="AJ386:AJ449" si="34">IF(AI386="—","—",IF(NOT(ISNUMBER(AI386)),"⚠️",IF(AI386&gt;=98,"🌟 ممتاز جدًا",IF(AI386&gt;=90,"⭐ ممتاز",IF(AI386&gt;=75,"🟢 جيد",IF(AI386&gt;=60,"🟡 مقبول",IF(AI386&gt;=40,"🔴 ضعيف","🚨 خطر شديد")))))))</f>
        <v>—</v>
      </c>
      <c r="AK386" s="157" t="str">
        <f t="shared" si="30"/>
        <v/>
      </c>
      <c r="AL386" s="160" t="str">
        <f t="shared" si="31"/>
        <v/>
      </c>
      <c r="AM386" s="210"/>
      <c r="AN386" s="209"/>
    </row>
    <row r="387" spans="1:40" ht="27.95" customHeight="1">
      <c r="A387" s="134" t="str">
        <f>IF(I387&lt;&gt;"",COUNTA($I$2:I387),"")</f>
        <v/>
      </c>
      <c r="B387" s="138" t="str">
        <f t="shared" si="32"/>
        <v/>
      </c>
      <c r="C387" s="93" t="str">
        <f t="array" ref="C387">IF(E387="","",IF(M387&lt;&gt;"",
M387&amp;"/"&amp;SUMPRODUCT((M$2:M387=M387)*1)&amp;" - "&amp;(ROW()-2),
"إداري/"&amp;SUMPRODUCT((M$2:M387="")*1)&amp;" - "&amp;(ROW()-2)))</f>
        <v/>
      </c>
      <c r="D387" s="141" t="str">
        <f>IF(AND(G387="",H387="",I387=""),"",IF(COUNTIFS(LISTS!$A$2:$A$67,G387,LISTS!$B$2:$B$67,H387,LISTS!$C$2:$C$67,I387)=0,"✗ هرم",IF(NOT(OR(Z387="ممتاز 100%",Z387="جيد 80%",Z387="مقبول 60%",Z387="خطر 40%",Z387="")),"✗ قائمة R",IF(NOT(OR(AA387="ممتاز 100%",AA387="جيد 85%",AA387="مقبول 70%",AA387="ضعيف 50%",AA387="")),"✗ قائمة S",IF(NOT(OR(AB387="مكتمل 100%",AB387="جزئي 60%",AB387="معلق 30%",AB387="مفتوح 0%",AB387="")),"✗ قائمة T",IF(NOT(OR(AC387="لا خصم 0",AC387="تأخير −5",AC387="عجز −10",AC387="جودة −15",AC387="امتثال −20",AC387="مخالفة −25",AC387="")),"✗ قائمة U",IF(AND(X387="لا",AC387&lt;&gt;"",AC387&lt;&gt;"لا خصم 0"),"✗ خصم",IF(AND(X387="نعم",AC387="لا خصم 0"),"✗ خصم",IF(AND(Z387="ممتاز 100%",AA387="ممتاز 100%",AB387&lt;&gt;"",AB387&lt;&gt;"مكتمل 100%"),"✗ إغلاق",IFERROR(IF(LEN(_xlfn.TEXTJOIN("، ",TRUE,IF(E387="","التاريخ",""),IF(F387="","الوقت",""),IF(G387="","المركز",""),IF(H387="","الدائرة",""),IF(I387="","القسم",""),IF(J387="","المسؤول",""),IF(K387="","نوع النشاط",""),IF(L387="","المشروع",""),IF(N387="","الممول",""),IF(V387="","الموضوع",""),IF(W387="","الملاحظة",""),IF(X387="","مشكلة",""),IF(Y387="","الإجراء",""),IF(Z387="","التنفيذ",""),IF(AA387="","الجودة",""),IF(AB387="","الإغلاق",""),IF(AC387="","الخصم",""),IF(AND(COUNTA($O387:$U387)&gt;0,O387=""),"مدير المشروع",""),IF(AND(COUNTA($O387:$U387)&gt;0,P387=""),"المستفيدين",""),IF(AND(COUNTA($O387:$U387)&gt;0,Q387=""),"المناطق",""),IF(AND(COUNTA($O387:$U387)&gt;0,R387=""),"الميزانية",""),IF(AND(COUNTA($O387:$U387)&gt;0,S387=""),"نسبة الجاهزية",""),IF(AND(COUNTA($O387:$U387)&gt;0,T387=""),"حالة الجاهزية",""),IF(AND(COUNTA($O387:$U387)&gt;0,U387=""),"التوصيات","")))&gt;0,"✗ ناقص: "&amp;_xlfn.TEXTJOIN("، ",TRUE,IF(E387="","التاريخ",""),IF(F387="","الوقت",""),IF(G387="","المركز",""),IF(H387="","الدائرة",""),IF(I387="","القسم",""),IF(J387="","المسؤول",""),IF(K387="","نوع النشاط",""),IF(L387="","المشروع",""),IF(N387="","الممول",""),IF(V387="","الموضوع",""),IF(W387="","الملاحظة",""),IF(X387="","مشكلة",""),IF(Y387="","الإجراء",""),IF(Z387="","التنفيذ",""),IF(AA387="","الجودة",""),IF(AB387="","الإغلاق",""),IF(AC387="","الخصم",""),IF(AND(COUNTA($O387:$U387)&gt;0,O387=""),"مدير المشروع",""),IF(AND(COUNTA($O387:$U387)&gt;0,P387=""),"المستفيدين",""),IF(AND(COUNTA($O387:$U387)&gt;0,Q387=""),"المناطق",""),IF(AND(COUNTA($O387:$U387)&gt;0,R387=""),"الميزانية",""),IF(AND(COUNTA($O387:$U387)&gt;0,S387=""),"نسبة الجاهزية",""),IF(AND(COUNTA($O387:$U387)&gt;0,T387=""),"حالة الجاهزية",""),IF(AND(COUNTA($O387:$U387)&gt;0,U387=""),"التوصيات","")),"✓"),"✓"))))))))))</f>
        <v/>
      </c>
      <c r="E387" s="235"/>
      <c r="F387" s="236"/>
      <c r="G387" s="90"/>
      <c r="H387" s="239"/>
      <c r="I387" s="89"/>
      <c r="J387" s="142"/>
      <c r="K387" s="90"/>
      <c r="L387" s="90"/>
      <c r="M387" s="90"/>
      <c r="N387" s="89"/>
      <c r="O387" s="200"/>
      <c r="P387" s="201"/>
      <c r="Q387" s="201"/>
      <c r="R387" s="237"/>
      <c r="S387" s="202"/>
      <c r="T387" s="200"/>
      <c r="U387" s="203"/>
      <c r="V387" s="89"/>
      <c r="W387" s="89"/>
      <c r="X387" s="145"/>
      <c r="Y387" s="89"/>
      <c r="Z387" s="90"/>
      <c r="AA387" s="90"/>
      <c r="AB387" s="90"/>
      <c r="AC387" s="90"/>
      <c r="AD387" s="92"/>
      <c r="AE387" s="149" t="str">
        <f>IFERROR(VLOOKUP(Z387,LISTS!$AL$2:$AM$1000,2,FALSE()),"")</f>
        <v/>
      </c>
      <c r="AF387" s="151" t="str">
        <f>IFERROR(VLOOKUP(AA387,LISTS!$AO$2:$AP$1000,2,FALSE()),"")</f>
        <v/>
      </c>
      <c r="AG387" s="152" t="str">
        <f>IFERROR(VLOOKUP(AB387,LISTS!$AR$2:$AS$1000,2,FALSE()),"")</f>
        <v/>
      </c>
      <c r="AH387" s="154" t="str">
        <f>IFERROR(VLOOKUP(AC387,LISTS!$AU$2:$AV$1000,2,FALSE()),"")</f>
        <v/>
      </c>
      <c r="AI387" s="238" t="str">
        <f t="shared" si="33"/>
        <v>—</v>
      </c>
      <c r="AJ387" s="190" t="str">
        <f t="shared" si="34"/>
        <v>—</v>
      </c>
      <c r="AK387" s="157" t="str">
        <f t="shared" si="30"/>
        <v/>
      </c>
      <c r="AL387" s="160" t="str">
        <f t="shared" si="31"/>
        <v/>
      </c>
      <c r="AM387" s="210"/>
      <c r="AN387" s="209"/>
    </row>
    <row r="388" spans="1:40" ht="27.95" customHeight="1">
      <c r="A388" s="134" t="str">
        <f>IF(I388&lt;&gt;"",COUNTA($I$2:I388),"")</f>
        <v/>
      </c>
      <c r="B388" s="138" t="str">
        <f t="shared" si="32"/>
        <v/>
      </c>
      <c r="C388" s="93" t="str">
        <f t="array" ref="C388">IF(E388="","",IF(M388&lt;&gt;"",
M388&amp;"/"&amp;SUMPRODUCT((M$2:M388=M388)*1)&amp;" - "&amp;(ROW()-2),
"إداري/"&amp;SUMPRODUCT((M$2:M388="")*1)&amp;" - "&amp;(ROW()-2)))</f>
        <v/>
      </c>
      <c r="D388" s="141" t="str">
        <f>IF(AND(G388="",H388="",I388=""),"",IF(COUNTIFS(LISTS!$A$2:$A$67,G388,LISTS!$B$2:$B$67,H388,LISTS!$C$2:$C$67,I388)=0,"✗ هرم",IF(NOT(OR(Z388="ممتاز 100%",Z388="جيد 80%",Z388="مقبول 60%",Z388="خطر 40%",Z388="")),"✗ قائمة R",IF(NOT(OR(AA388="ممتاز 100%",AA388="جيد 85%",AA388="مقبول 70%",AA388="ضعيف 50%",AA388="")),"✗ قائمة S",IF(NOT(OR(AB388="مكتمل 100%",AB388="جزئي 60%",AB388="معلق 30%",AB388="مفتوح 0%",AB388="")),"✗ قائمة T",IF(NOT(OR(AC388="لا خصم 0",AC388="تأخير −5",AC388="عجز −10",AC388="جودة −15",AC388="امتثال −20",AC388="مخالفة −25",AC388="")),"✗ قائمة U",IF(AND(X388="لا",AC388&lt;&gt;"",AC388&lt;&gt;"لا خصم 0"),"✗ خصم",IF(AND(X388="نعم",AC388="لا خصم 0"),"✗ خصم",IF(AND(Z388="ممتاز 100%",AA388="ممتاز 100%",AB388&lt;&gt;"",AB388&lt;&gt;"مكتمل 100%"),"✗ إغلاق",IFERROR(IF(LEN(_xlfn.TEXTJOIN("، ",TRUE,IF(E388="","التاريخ",""),IF(F388="","الوقت",""),IF(G388="","المركز",""),IF(H388="","الدائرة",""),IF(I388="","القسم",""),IF(J388="","المسؤول",""),IF(K388="","نوع النشاط",""),IF(L388="","المشروع",""),IF(N388="","الممول",""),IF(V388="","الموضوع",""),IF(W388="","الملاحظة",""),IF(X388="","مشكلة",""),IF(Y388="","الإجراء",""),IF(Z388="","التنفيذ",""),IF(AA388="","الجودة",""),IF(AB388="","الإغلاق",""),IF(AC388="","الخصم",""),IF(AND(COUNTA($O388:$U388)&gt;0,O388=""),"مدير المشروع",""),IF(AND(COUNTA($O388:$U388)&gt;0,P388=""),"المستفيدين",""),IF(AND(COUNTA($O388:$U388)&gt;0,Q388=""),"المناطق",""),IF(AND(COUNTA($O388:$U388)&gt;0,R388=""),"الميزانية",""),IF(AND(COUNTA($O388:$U388)&gt;0,S388=""),"نسبة الجاهزية",""),IF(AND(COUNTA($O388:$U388)&gt;0,T388=""),"حالة الجاهزية",""),IF(AND(COUNTA($O388:$U388)&gt;0,U388=""),"التوصيات","")))&gt;0,"✗ ناقص: "&amp;_xlfn.TEXTJOIN("، ",TRUE,IF(E388="","التاريخ",""),IF(F388="","الوقت",""),IF(G388="","المركز",""),IF(H388="","الدائرة",""),IF(I388="","القسم",""),IF(J388="","المسؤول",""),IF(K388="","نوع النشاط",""),IF(L388="","المشروع",""),IF(N388="","الممول",""),IF(V388="","الموضوع",""),IF(W388="","الملاحظة",""),IF(X388="","مشكلة",""),IF(Y388="","الإجراء",""),IF(Z388="","التنفيذ",""),IF(AA388="","الجودة",""),IF(AB388="","الإغلاق",""),IF(AC388="","الخصم",""),IF(AND(COUNTA($O388:$U388)&gt;0,O388=""),"مدير المشروع",""),IF(AND(COUNTA($O388:$U388)&gt;0,P388=""),"المستفيدين",""),IF(AND(COUNTA($O388:$U388)&gt;0,Q388=""),"المناطق",""),IF(AND(COUNTA($O388:$U388)&gt;0,R388=""),"الميزانية",""),IF(AND(COUNTA($O388:$U388)&gt;0,S388=""),"نسبة الجاهزية",""),IF(AND(COUNTA($O388:$U388)&gt;0,T388=""),"حالة الجاهزية",""),IF(AND(COUNTA($O388:$U388)&gt;0,U388=""),"التوصيات","")),"✓"),"✓"))))))))))</f>
        <v/>
      </c>
      <c r="E388" s="235"/>
      <c r="F388" s="236"/>
      <c r="G388" s="90"/>
      <c r="H388" s="239"/>
      <c r="I388" s="89"/>
      <c r="J388" s="142"/>
      <c r="K388" s="90"/>
      <c r="L388" s="90"/>
      <c r="M388" s="90"/>
      <c r="N388" s="89"/>
      <c r="O388" s="200"/>
      <c r="P388" s="201"/>
      <c r="Q388" s="201"/>
      <c r="R388" s="237"/>
      <c r="S388" s="202"/>
      <c r="T388" s="200"/>
      <c r="U388" s="203"/>
      <c r="V388" s="89"/>
      <c r="W388" s="89"/>
      <c r="X388" s="145"/>
      <c r="Y388" s="89"/>
      <c r="Z388" s="90"/>
      <c r="AA388" s="90"/>
      <c r="AB388" s="90"/>
      <c r="AC388" s="90"/>
      <c r="AD388" s="92"/>
      <c r="AE388" s="149" t="str">
        <f>IFERROR(VLOOKUP(Z388,LISTS!$AL$2:$AM$1000,2,FALSE()),"")</f>
        <v/>
      </c>
      <c r="AF388" s="151" t="str">
        <f>IFERROR(VLOOKUP(AA388,LISTS!$AO$2:$AP$1000,2,FALSE()),"")</f>
        <v/>
      </c>
      <c r="AG388" s="152" t="str">
        <f>IFERROR(VLOOKUP(AB388,LISTS!$AR$2:$AS$1000,2,FALSE()),"")</f>
        <v/>
      </c>
      <c r="AH388" s="154" t="str">
        <f>IFERROR(VLOOKUP(AC388,LISTS!$AU$2:$AV$1000,2,FALSE()),"")</f>
        <v/>
      </c>
      <c r="AI388" s="238" t="str">
        <f t="shared" si="33"/>
        <v>—</v>
      </c>
      <c r="AJ388" s="190" t="str">
        <f t="shared" si="34"/>
        <v>—</v>
      </c>
      <c r="AK388" s="157" t="str">
        <f t="shared" si="30"/>
        <v/>
      </c>
      <c r="AL388" s="160" t="str">
        <f t="shared" si="31"/>
        <v/>
      </c>
      <c r="AM388" s="210"/>
      <c r="AN388" s="209"/>
    </row>
    <row r="389" spans="1:40" ht="27.95" customHeight="1">
      <c r="A389" s="134" t="str">
        <f>IF(I389&lt;&gt;"",COUNTA($I$2:I389),"")</f>
        <v/>
      </c>
      <c r="B389" s="138" t="str">
        <f t="shared" si="32"/>
        <v/>
      </c>
      <c r="C389" s="93" t="str">
        <f t="array" ref="C389">IF(E389="","",IF(M389&lt;&gt;"",
M389&amp;"/"&amp;SUMPRODUCT((M$2:M389=M389)*1)&amp;" - "&amp;(ROW()-2),
"إداري/"&amp;SUMPRODUCT((M$2:M389="")*1)&amp;" - "&amp;(ROW()-2)))</f>
        <v/>
      </c>
      <c r="D389" s="141" t="str">
        <f>IF(AND(G389="",H389="",I389=""),"",IF(COUNTIFS(LISTS!$A$2:$A$67,G389,LISTS!$B$2:$B$67,H389,LISTS!$C$2:$C$67,I389)=0,"✗ هرم",IF(NOT(OR(Z389="ممتاز 100%",Z389="جيد 80%",Z389="مقبول 60%",Z389="خطر 40%",Z389="")),"✗ قائمة R",IF(NOT(OR(AA389="ممتاز 100%",AA389="جيد 85%",AA389="مقبول 70%",AA389="ضعيف 50%",AA389="")),"✗ قائمة S",IF(NOT(OR(AB389="مكتمل 100%",AB389="جزئي 60%",AB389="معلق 30%",AB389="مفتوح 0%",AB389="")),"✗ قائمة T",IF(NOT(OR(AC389="لا خصم 0",AC389="تأخير −5",AC389="عجز −10",AC389="جودة −15",AC389="امتثال −20",AC389="مخالفة −25",AC389="")),"✗ قائمة U",IF(AND(X389="لا",AC389&lt;&gt;"",AC389&lt;&gt;"لا خصم 0"),"✗ خصم",IF(AND(X389="نعم",AC389="لا خصم 0"),"✗ خصم",IF(AND(Z389="ممتاز 100%",AA389="ممتاز 100%",AB389&lt;&gt;"",AB389&lt;&gt;"مكتمل 100%"),"✗ إغلاق",IFERROR(IF(LEN(_xlfn.TEXTJOIN("، ",TRUE,IF(E389="","التاريخ",""),IF(F389="","الوقت",""),IF(G389="","المركز",""),IF(H389="","الدائرة",""),IF(I389="","القسم",""),IF(J389="","المسؤول",""),IF(K389="","نوع النشاط",""),IF(L389="","المشروع",""),IF(N389="","الممول",""),IF(V389="","الموضوع",""),IF(W389="","الملاحظة",""),IF(X389="","مشكلة",""),IF(Y389="","الإجراء",""),IF(Z389="","التنفيذ",""),IF(AA389="","الجودة",""),IF(AB389="","الإغلاق",""),IF(AC389="","الخصم",""),IF(AND(COUNTA($O389:$U389)&gt;0,O389=""),"مدير المشروع",""),IF(AND(COUNTA($O389:$U389)&gt;0,P389=""),"المستفيدين",""),IF(AND(COUNTA($O389:$U389)&gt;0,Q389=""),"المناطق",""),IF(AND(COUNTA($O389:$U389)&gt;0,R389=""),"الميزانية",""),IF(AND(COUNTA($O389:$U389)&gt;0,S389=""),"نسبة الجاهزية",""),IF(AND(COUNTA($O389:$U389)&gt;0,T389=""),"حالة الجاهزية",""),IF(AND(COUNTA($O389:$U389)&gt;0,U389=""),"التوصيات","")))&gt;0,"✗ ناقص: "&amp;_xlfn.TEXTJOIN("، ",TRUE,IF(E389="","التاريخ",""),IF(F389="","الوقت",""),IF(G389="","المركز",""),IF(H389="","الدائرة",""),IF(I389="","القسم",""),IF(J389="","المسؤول",""),IF(K389="","نوع النشاط",""),IF(L389="","المشروع",""),IF(N389="","الممول",""),IF(V389="","الموضوع",""),IF(W389="","الملاحظة",""),IF(X389="","مشكلة",""),IF(Y389="","الإجراء",""),IF(Z389="","التنفيذ",""),IF(AA389="","الجودة",""),IF(AB389="","الإغلاق",""),IF(AC389="","الخصم",""),IF(AND(COUNTA($O389:$U389)&gt;0,O389=""),"مدير المشروع",""),IF(AND(COUNTA($O389:$U389)&gt;0,P389=""),"المستفيدين",""),IF(AND(COUNTA($O389:$U389)&gt;0,Q389=""),"المناطق",""),IF(AND(COUNTA($O389:$U389)&gt;0,R389=""),"الميزانية",""),IF(AND(COUNTA($O389:$U389)&gt;0,S389=""),"نسبة الجاهزية",""),IF(AND(COUNTA($O389:$U389)&gt;0,T389=""),"حالة الجاهزية",""),IF(AND(COUNTA($O389:$U389)&gt;0,U389=""),"التوصيات","")),"✓"),"✓"))))))))))</f>
        <v/>
      </c>
      <c r="E389" s="235"/>
      <c r="F389" s="236"/>
      <c r="G389" s="90"/>
      <c r="H389" s="239"/>
      <c r="I389" s="89"/>
      <c r="J389" s="142"/>
      <c r="K389" s="90"/>
      <c r="L389" s="90"/>
      <c r="M389" s="90"/>
      <c r="N389" s="89"/>
      <c r="O389" s="200"/>
      <c r="P389" s="201"/>
      <c r="Q389" s="201"/>
      <c r="R389" s="237"/>
      <c r="S389" s="202"/>
      <c r="T389" s="200"/>
      <c r="U389" s="203"/>
      <c r="V389" s="89"/>
      <c r="W389" s="89"/>
      <c r="X389" s="145"/>
      <c r="Y389" s="89"/>
      <c r="Z389" s="90"/>
      <c r="AA389" s="90"/>
      <c r="AB389" s="90"/>
      <c r="AC389" s="90"/>
      <c r="AD389" s="92"/>
      <c r="AE389" s="149" t="str">
        <f>IFERROR(VLOOKUP(Z389,LISTS!$AL$2:$AM$1000,2,FALSE()),"")</f>
        <v/>
      </c>
      <c r="AF389" s="151" t="str">
        <f>IFERROR(VLOOKUP(AA389,LISTS!$AO$2:$AP$1000,2,FALSE()),"")</f>
        <v/>
      </c>
      <c r="AG389" s="152" t="str">
        <f>IFERROR(VLOOKUP(AB389,LISTS!$AR$2:$AS$1000,2,FALSE()),"")</f>
        <v/>
      </c>
      <c r="AH389" s="154" t="str">
        <f>IFERROR(VLOOKUP(AC389,LISTS!$AU$2:$AV$1000,2,FALSE()),"")</f>
        <v/>
      </c>
      <c r="AI389" s="238" t="str">
        <f t="shared" si="33"/>
        <v>—</v>
      </c>
      <c r="AJ389" s="190" t="str">
        <f t="shared" si="34"/>
        <v>—</v>
      </c>
      <c r="AK389" s="157" t="str">
        <f t="shared" si="30"/>
        <v/>
      </c>
      <c r="AL389" s="160" t="str">
        <f t="shared" si="31"/>
        <v/>
      </c>
      <c r="AM389" s="210"/>
      <c r="AN389" s="209"/>
    </row>
    <row r="390" spans="1:40" ht="27.95" customHeight="1">
      <c r="A390" s="134" t="str">
        <f>IF(I390&lt;&gt;"",COUNTA($I$2:I390),"")</f>
        <v/>
      </c>
      <c r="B390" s="138" t="str">
        <f t="shared" si="32"/>
        <v/>
      </c>
      <c r="C390" s="93" t="str">
        <f t="array" ref="C390">IF(E390="","",IF(M390&lt;&gt;"",
M390&amp;"/"&amp;SUMPRODUCT((M$2:M390=M390)*1)&amp;" - "&amp;(ROW()-2),
"إداري/"&amp;SUMPRODUCT((M$2:M390="")*1)&amp;" - "&amp;(ROW()-2)))</f>
        <v/>
      </c>
      <c r="D390" s="141" t="str">
        <f>IF(AND(G390="",H390="",I390=""),"",IF(COUNTIFS(LISTS!$A$2:$A$67,G390,LISTS!$B$2:$B$67,H390,LISTS!$C$2:$C$67,I390)=0,"✗ هرم",IF(NOT(OR(Z390="ممتاز 100%",Z390="جيد 80%",Z390="مقبول 60%",Z390="خطر 40%",Z390="")),"✗ قائمة R",IF(NOT(OR(AA390="ممتاز 100%",AA390="جيد 85%",AA390="مقبول 70%",AA390="ضعيف 50%",AA390="")),"✗ قائمة S",IF(NOT(OR(AB390="مكتمل 100%",AB390="جزئي 60%",AB390="معلق 30%",AB390="مفتوح 0%",AB390="")),"✗ قائمة T",IF(NOT(OR(AC390="لا خصم 0",AC390="تأخير −5",AC390="عجز −10",AC390="جودة −15",AC390="امتثال −20",AC390="مخالفة −25",AC390="")),"✗ قائمة U",IF(AND(X390="لا",AC390&lt;&gt;"",AC390&lt;&gt;"لا خصم 0"),"✗ خصم",IF(AND(X390="نعم",AC390="لا خصم 0"),"✗ خصم",IF(AND(Z390="ممتاز 100%",AA390="ممتاز 100%",AB390&lt;&gt;"",AB390&lt;&gt;"مكتمل 100%"),"✗ إغلاق",IFERROR(IF(LEN(_xlfn.TEXTJOIN("، ",TRUE,IF(E390="","التاريخ",""),IF(F390="","الوقت",""),IF(G390="","المركز",""),IF(H390="","الدائرة",""),IF(I390="","القسم",""),IF(J390="","المسؤول",""),IF(K390="","نوع النشاط",""),IF(L390="","المشروع",""),IF(N390="","الممول",""),IF(V390="","الموضوع",""),IF(W390="","الملاحظة",""),IF(X390="","مشكلة",""),IF(Y390="","الإجراء",""),IF(Z390="","التنفيذ",""),IF(AA390="","الجودة",""),IF(AB390="","الإغلاق",""),IF(AC390="","الخصم",""),IF(AND(COUNTA($O390:$U390)&gt;0,O390=""),"مدير المشروع",""),IF(AND(COUNTA($O390:$U390)&gt;0,P390=""),"المستفيدين",""),IF(AND(COUNTA($O390:$U390)&gt;0,Q390=""),"المناطق",""),IF(AND(COUNTA($O390:$U390)&gt;0,R390=""),"الميزانية",""),IF(AND(COUNTA($O390:$U390)&gt;0,S390=""),"نسبة الجاهزية",""),IF(AND(COUNTA($O390:$U390)&gt;0,T390=""),"حالة الجاهزية",""),IF(AND(COUNTA($O390:$U390)&gt;0,U390=""),"التوصيات","")))&gt;0,"✗ ناقص: "&amp;_xlfn.TEXTJOIN("، ",TRUE,IF(E390="","التاريخ",""),IF(F390="","الوقت",""),IF(G390="","المركز",""),IF(H390="","الدائرة",""),IF(I390="","القسم",""),IF(J390="","المسؤول",""),IF(K390="","نوع النشاط",""),IF(L390="","المشروع",""),IF(N390="","الممول",""),IF(V390="","الموضوع",""),IF(W390="","الملاحظة",""),IF(X390="","مشكلة",""),IF(Y390="","الإجراء",""),IF(Z390="","التنفيذ",""),IF(AA390="","الجودة",""),IF(AB390="","الإغلاق",""),IF(AC390="","الخصم",""),IF(AND(COUNTA($O390:$U390)&gt;0,O390=""),"مدير المشروع",""),IF(AND(COUNTA($O390:$U390)&gt;0,P390=""),"المستفيدين",""),IF(AND(COUNTA($O390:$U390)&gt;0,Q390=""),"المناطق",""),IF(AND(COUNTA($O390:$U390)&gt;0,R390=""),"الميزانية",""),IF(AND(COUNTA($O390:$U390)&gt;0,S390=""),"نسبة الجاهزية",""),IF(AND(COUNTA($O390:$U390)&gt;0,T390=""),"حالة الجاهزية",""),IF(AND(COUNTA($O390:$U390)&gt;0,U390=""),"التوصيات","")),"✓"),"✓"))))))))))</f>
        <v/>
      </c>
      <c r="E390" s="235"/>
      <c r="F390" s="236"/>
      <c r="G390" s="90"/>
      <c r="H390" s="239"/>
      <c r="I390" s="89"/>
      <c r="J390" s="142"/>
      <c r="K390" s="90"/>
      <c r="L390" s="90"/>
      <c r="M390" s="90"/>
      <c r="N390" s="89"/>
      <c r="O390" s="200"/>
      <c r="P390" s="201"/>
      <c r="Q390" s="201"/>
      <c r="R390" s="237"/>
      <c r="S390" s="202"/>
      <c r="T390" s="200"/>
      <c r="U390" s="203"/>
      <c r="V390" s="89"/>
      <c r="W390" s="89"/>
      <c r="X390" s="145"/>
      <c r="Y390" s="89"/>
      <c r="Z390" s="90"/>
      <c r="AA390" s="90"/>
      <c r="AB390" s="90"/>
      <c r="AC390" s="90"/>
      <c r="AD390" s="92"/>
      <c r="AE390" s="149" t="str">
        <f>IFERROR(VLOOKUP(Z390,LISTS!$AL$2:$AM$1000,2,FALSE()),"")</f>
        <v/>
      </c>
      <c r="AF390" s="151" t="str">
        <f>IFERROR(VLOOKUP(AA390,LISTS!$AO$2:$AP$1000,2,FALSE()),"")</f>
        <v/>
      </c>
      <c r="AG390" s="152" t="str">
        <f>IFERROR(VLOOKUP(AB390,LISTS!$AR$2:$AS$1000,2,FALSE()),"")</f>
        <v/>
      </c>
      <c r="AH390" s="154" t="str">
        <f>IFERROR(VLOOKUP(AC390,LISTS!$AU$2:$AV$1000,2,FALSE()),"")</f>
        <v/>
      </c>
      <c r="AI390" s="238" t="str">
        <f t="shared" si="33"/>
        <v>—</v>
      </c>
      <c r="AJ390" s="190" t="str">
        <f t="shared" si="34"/>
        <v>—</v>
      </c>
      <c r="AK390" s="157" t="str">
        <f t="shared" si="30"/>
        <v/>
      </c>
      <c r="AL390" s="160" t="str">
        <f t="shared" si="31"/>
        <v/>
      </c>
      <c r="AM390" s="210"/>
      <c r="AN390" s="209"/>
    </row>
    <row r="391" spans="1:40" ht="27.95" customHeight="1">
      <c r="A391" s="134" t="str">
        <f>IF(I391&lt;&gt;"",COUNTA($I$2:I391),"")</f>
        <v/>
      </c>
      <c r="B391" s="138" t="str">
        <f t="shared" si="32"/>
        <v/>
      </c>
      <c r="C391" s="93" t="str">
        <f t="array" ref="C391">IF(E391="","",IF(M391&lt;&gt;"",
M391&amp;"/"&amp;SUMPRODUCT((M$2:M391=M391)*1)&amp;" - "&amp;(ROW()-2),
"إداري/"&amp;SUMPRODUCT((M$2:M391="")*1)&amp;" - "&amp;(ROW()-2)))</f>
        <v/>
      </c>
      <c r="D391" s="141" t="str">
        <f>IF(AND(G391="",H391="",I391=""),"",IF(COUNTIFS(LISTS!$A$2:$A$67,G391,LISTS!$B$2:$B$67,H391,LISTS!$C$2:$C$67,I391)=0,"✗ هرم",IF(NOT(OR(Z391="ممتاز 100%",Z391="جيد 80%",Z391="مقبول 60%",Z391="خطر 40%",Z391="")),"✗ قائمة R",IF(NOT(OR(AA391="ممتاز 100%",AA391="جيد 85%",AA391="مقبول 70%",AA391="ضعيف 50%",AA391="")),"✗ قائمة S",IF(NOT(OR(AB391="مكتمل 100%",AB391="جزئي 60%",AB391="معلق 30%",AB391="مفتوح 0%",AB391="")),"✗ قائمة T",IF(NOT(OR(AC391="لا خصم 0",AC391="تأخير −5",AC391="عجز −10",AC391="جودة −15",AC391="امتثال −20",AC391="مخالفة −25",AC391="")),"✗ قائمة U",IF(AND(X391="لا",AC391&lt;&gt;"",AC391&lt;&gt;"لا خصم 0"),"✗ خصم",IF(AND(X391="نعم",AC391="لا خصم 0"),"✗ خصم",IF(AND(Z391="ممتاز 100%",AA391="ممتاز 100%",AB391&lt;&gt;"",AB391&lt;&gt;"مكتمل 100%"),"✗ إغلاق",IFERROR(IF(LEN(_xlfn.TEXTJOIN("، ",TRUE,IF(E391="","التاريخ",""),IF(F391="","الوقت",""),IF(G391="","المركز",""),IF(H391="","الدائرة",""),IF(I391="","القسم",""),IF(J391="","المسؤول",""),IF(K391="","نوع النشاط",""),IF(L391="","المشروع",""),IF(N391="","الممول",""),IF(V391="","الموضوع",""),IF(W391="","الملاحظة",""),IF(X391="","مشكلة",""),IF(Y391="","الإجراء",""),IF(Z391="","التنفيذ",""),IF(AA391="","الجودة",""),IF(AB391="","الإغلاق",""),IF(AC391="","الخصم",""),IF(AND(COUNTA($O391:$U391)&gt;0,O391=""),"مدير المشروع",""),IF(AND(COUNTA($O391:$U391)&gt;0,P391=""),"المستفيدين",""),IF(AND(COUNTA($O391:$U391)&gt;0,Q391=""),"المناطق",""),IF(AND(COUNTA($O391:$U391)&gt;0,R391=""),"الميزانية",""),IF(AND(COUNTA($O391:$U391)&gt;0,S391=""),"نسبة الجاهزية",""),IF(AND(COUNTA($O391:$U391)&gt;0,T391=""),"حالة الجاهزية",""),IF(AND(COUNTA($O391:$U391)&gt;0,U391=""),"التوصيات","")))&gt;0,"✗ ناقص: "&amp;_xlfn.TEXTJOIN("، ",TRUE,IF(E391="","التاريخ",""),IF(F391="","الوقت",""),IF(G391="","المركز",""),IF(H391="","الدائرة",""),IF(I391="","القسم",""),IF(J391="","المسؤول",""),IF(K391="","نوع النشاط",""),IF(L391="","المشروع",""),IF(N391="","الممول",""),IF(V391="","الموضوع",""),IF(W391="","الملاحظة",""),IF(X391="","مشكلة",""),IF(Y391="","الإجراء",""),IF(Z391="","التنفيذ",""),IF(AA391="","الجودة",""),IF(AB391="","الإغلاق",""),IF(AC391="","الخصم",""),IF(AND(COUNTA($O391:$U391)&gt;0,O391=""),"مدير المشروع",""),IF(AND(COUNTA($O391:$U391)&gt;0,P391=""),"المستفيدين",""),IF(AND(COUNTA($O391:$U391)&gt;0,Q391=""),"المناطق",""),IF(AND(COUNTA($O391:$U391)&gt;0,R391=""),"الميزانية",""),IF(AND(COUNTA($O391:$U391)&gt;0,S391=""),"نسبة الجاهزية",""),IF(AND(COUNTA($O391:$U391)&gt;0,T391=""),"حالة الجاهزية",""),IF(AND(COUNTA($O391:$U391)&gt;0,U391=""),"التوصيات","")),"✓"),"✓"))))))))))</f>
        <v/>
      </c>
      <c r="E391" s="235"/>
      <c r="F391" s="236"/>
      <c r="G391" s="90"/>
      <c r="H391" s="239"/>
      <c r="I391" s="89"/>
      <c r="J391" s="142"/>
      <c r="K391" s="90"/>
      <c r="L391" s="90"/>
      <c r="M391" s="90"/>
      <c r="N391" s="89"/>
      <c r="O391" s="200"/>
      <c r="P391" s="201"/>
      <c r="Q391" s="201"/>
      <c r="R391" s="237"/>
      <c r="S391" s="202"/>
      <c r="T391" s="200"/>
      <c r="U391" s="203"/>
      <c r="V391" s="89"/>
      <c r="W391" s="89"/>
      <c r="X391" s="145"/>
      <c r="Y391" s="89"/>
      <c r="Z391" s="90"/>
      <c r="AA391" s="90"/>
      <c r="AB391" s="90"/>
      <c r="AC391" s="90"/>
      <c r="AD391" s="92"/>
      <c r="AE391" s="149" t="str">
        <f>IFERROR(VLOOKUP(Z391,LISTS!$AL$2:$AM$1000,2,FALSE()),"")</f>
        <v/>
      </c>
      <c r="AF391" s="151" t="str">
        <f>IFERROR(VLOOKUP(AA391,LISTS!$AO$2:$AP$1000,2,FALSE()),"")</f>
        <v/>
      </c>
      <c r="AG391" s="152" t="str">
        <f>IFERROR(VLOOKUP(AB391,LISTS!$AR$2:$AS$1000,2,FALSE()),"")</f>
        <v/>
      </c>
      <c r="AH391" s="154" t="str">
        <f>IFERROR(VLOOKUP(AC391,LISTS!$AU$2:$AV$1000,2,FALSE()),"")</f>
        <v/>
      </c>
      <c r="AI391" s="238" t="str">
        <f t="shared" si="33"/>
        <v>—</v>
      </c>
      <c r="AJ391" s="190" t="str">
        <f t="shared" si="34"/>
        <v>—</v>
      </c>
      <c r="AK391" s="157" t="str">
        <f t="shared" si="30"/>
        <v/>
      </c>
      <c r="AL391" s="160" t="str">
        <f t="shared" si="31"/>
        <v/>
      </c>
      <c r="AM391" s="210"/>
      <c r="AN391" s="209"/>
    </row>
    <row r="392" spans="1:40" ht="27.95" customHeight="1">
      <c r="A392" s="134" t="str">
        <f>IF(I392&lt;&gt;"",COUNTA($I$2:I392),"")</f>
        <v/>
      </c>
      <c r="B392" s="138" t="str">
        <f t="shared" si="32"/>
        <v/>
      </c>
      <c r="C392" s="93" t="str">
        <f t="array" ref="C392">IF(E392="","",IF(M392&lt;&gt;"",
M392&amp;"/"&amp;SUMPRODUCT((M$2:M392=M392)*1)&amp;" - "&amp;(ROW()-2),
"إداري/"&amp;SUMPRODUCT((M$2:M392="")*1)&amp;" - "&amp;(ROW()-2)))</f>
        <v/>
      </c>
      <c r="D392" s="141" t="str">
        <f>IF(AND(G392="",H392="",I392=""),"",IF(COUNTIFS(LISTS!$A$2:$A$67,G392,LISTS!$B$2:$B$67,H392,LISTS!$C$2:$C$67,I392)=0,"✗ هرم",IF(NOT(OR(Z392="ممتاز 100%",Z392="جيد 80%",Z392="مقبول 60%",Z392="خطر 40%",Z392="")),"✗ قائمة R",IF(NOT(OR(AA392="ممتاز 100%",AA392="جيد 85%",AA392="مقبول 70%",AA392="ضعيف 50%",AA392="")),"✗ قائمة S",IF(NOT(OR(AB392="مكتمل 100%",AB392="جزئي 60%",AB392="معلق 30%",AB392="مفتوح 0%",AB392="")),"✗ قائمة T",IF(NOT(OR(AC392="لا خصم 0",AC392="تأخير −5",AC392="عجز −10",AC392="جودة −15",AC392="امتثال −20",AC392="مخالفة −25",AC392="")),"✗ قائمة U",IF(AND(X392="لا",AC392&lt;&gt;"",AC392&lt;&gt;"لا خصم 0"),"✗ خصم",IF(AND(X392="نعم",AC392="لا خصم 0"),"✗ خصم",IF(AND(Z392="ممتاز 100%",AA392="ممتاز 100%",AB392&lt;&gt;"",AB392&lt;&gt;"مكتمل 100%"),"✗ إغلاق",IFERROR(IF(LEN(_xlfn.TEXTJOIN("، ",TRUE,IF(E392="","التاريخ",""),IF(F392="","الوقت",""),IF(G392="","المركز",""),IF(H392="","الدائرة",""),IF(I392="","القسم",""),IF(J392="","المسؤول",""),IF(K392="","نوع النشاط",""),IF(L392="","المشروع",""),IF(N392="","الممول",""),IF(V392="","الموضوع",""),IF(W392="","الملاحظة",""),IF(X392="","مشكلة",""),IF(Y392="","الإجراء",""),IF(Z392="","التنفيذ",""),IF(AA392="","الجودة",""),IF(AB392="","الإغلاق",""),IF(AC392="","الخصم",""),IF(AND(COUNTA($O392:$U392)&gt;0,O392=""),"مدير المشروع",""),IF(AND(COUNTA($O392:$U392)&gt;0,P392=""),"المستفيدين",""),IF(AND(COUNTA($O392:$U392)&gt;0,Q392=""),"المناطق",""),IF(AND(COUNTA($O392:$U392)&gt;0,R392=""),"الميزانية",""),IF(AND(COUNTA($O392:$U392)&gt;0,S392=""),"نسبة الجاهزية",""),IF(AND(COUNTA($O392:$U392)&gt;0,T392=""),"حالة الجاهزية",""),IF(AND(COUNTA($O392:$U392)&gt;0,U392=""),"التوصيات","")))&gt;0,"✗ ناقص: "&amp;_xlfn.TEXTJOIN("، ",TRUE,IF(E392="","التاريخ",""),IF(F392="","الوقت",""),IF(G392="","المركز",""),IF(H392="","الدائرة",""),IF(I392="","القسم",""),IF(J392="","المسؤول",""),IF(K392="","نوع النشاط",""),IF(L392="","المشروع",""),IF(N392="","الممول",""),IF(V392="","الموضوع",""),IF(W392="","الملاحظة",""),IF(X392="","مشكلة",""),IF(Y392="","الإجراء",""),IF(Z392="","التنفيذ",""),IF(AA392="","الجودة",""),IF(AB392="","الإغلاق",""),IF(AC392="","الخصم",""),IF(AND(COUNTA($O392:$U392)&gt;0,O392=""),"مدير المشروع",""),IF(AND(COUNTA($O392:$U392)&gt;0,P392=""),"المستفيدين",""),IF(AND(COUNTA($O392:$U392)&gt;0,Q392=""),"المناطق",""),IF(AND(COUNTA($O392:$U392)&gt;0,R392=""),"الميزانية",""),IF(AND(COUNTA($O392:$U392)&gt;0,S392=""),"نسبة الجاهزية",""),IF(AND(COUNTA($O392:$U392)&gt;0,T392=""),"حالة الجاهزية",""),IF(AND(COUNTA($O392:$U392)&gt;0,U392=""),"التوصيات","")),"✓"),"✓"))))))))))</f>
        <v/>
      </c>
      <c r="E392" s="235"/>
      <c r="F392" s="236"/>
      <c r="G392" s="90"/>
      <c r="H392" s="239"/>
      <c r="I392" s="89"/>
      <c r="J392" s="142"/>
      <c r="K392" s="90"/>
      <c r="L392" s="90"/>
      <c r="M392" s="90"/>
      <c r="N392" s="89"/>
      <c r="O392" s="200"/>
      <c r="P392" s="201"/>
      <c r="Q392" s="201"/>
      <c r="R392" s="237"/>
      <c r="S392" s="202"/>
      <c r="T392" s="200"/>
      <c r="U392" s="203"/>
      <c r="V392" s="89"/>
      <c r="W392" s="89"/>
      <c r="X392" s="145"/>
      <c r="Y392" s="89"/>
      <c r="Z392" s="90"/>
      <c r="AA392" s="90"/>
      <c r="AB392" s="90"/>
      <c r="AC392" s="90"/>
      <c r="AD392" s="92"/>
      <c r="AE392" s="149" t="str">
        <f>IFERROR(VLOOKUP(Z392,LISTS!$AL$2:$AM$1000,2,FALSE()),"")</f>
        <v/>
      </c>
      <c r="AF392" s="151" t="str">
        <f>IFERROR(VLOOKUP(AA392,LISTS!$AO$2:$AP$1000,2,FALSE()),"")</f>
        <v/>
      </c>
      <c r="AG392" s="152" t="str">
        <f>IFERROR(VLOOKUP(AB392,LISTS!$AR$2:$AS$1000,2,FALSE()),"")</f>
        <v/>
      </c>
      <c r="AH392" s="154" t="str">
        <f>IFERROR(VLOOKUP(AC392,LISTS!$AU$2:$AV$1000,2,FALSE()),"")</f>
        <v/>
      </c>
      <c r="AI392" s="238" t="str">
        <f t="shared" si="33"/>
        <v>—</v>
      </c>
      <c r="AJ392" s="190" t="str">
        <f t="shared" si="34"/>
        <v>—</v>
      </c>
      <c r="AK392" s="157" t="str">
        <f t="shared" si="30"/>
        <v/>
      </c>
      <c r="AL392" s="160" t="str">
        <f t="shared" si="31"/>
        <v/>
      </c>
      <c r="AM392" s="210"/>
      <c r="AN392" s="209"/>
    </row>
    <row r="393" spans="1:40" ht="27.95" customHeight="1">
      <c r="A393" s="134" t="str">
        <f>IF(I393&lt;&gt;"",COUNTA($I$2:I393),"")</f>
        <v/>
      </c>
      <c r="B393" s="138" t="str">
        <f t="shared" si="32"/>
        <v/>
      </c>
      <c r="C393" s="93" t="str">
        <f t="array" ref="C393">IF(E393="","",IF(M393&lt;&gt;"",
M393&amp;"/"&amp;SUMPRODUCT((M$2:M393=M393)*1)&amp;" - "&amp;(ROW()-2),
"إداري/"&amp;SUMPRODUCT((M$2:M393="")*1)&amp;" - "&amp;(ROW()-2)))</f>
        <v/>
      </c>
      <c r="D393" s="141" t="str">
        <f>IF(AND(G393="",H393="",I393=""),"",IF(COUNTIFS(LISTS!$A$2:$A$67,G393,LISTS!$B$2:$B$67,H393,LISTS!$C$2:$C$67,I393)=0,"✗ هرم",IF(NOT(OR(Z393="ممتاز 100%",Z393="جيد 80%",Z393="مقبول 60%",Z393="خطر 40%",Z393="")),"✗ قائمة R",IF(NOT(OR(AA393="ممتاز 100%",AA393="جيد 85%",AA393="مقبول 70%",AA393="ضعيف 50%",AA393="")),"✗ قائمة S",IF(NOT(OR(AB393="مكتمل 100%",AB393="جزئي 60%",AB393="معلق 30%",AB393="مفتوح 0%",AB393="")),"✗ قائمة T",IF(NOT(OR(AC393="لا خصم 0",AC393="تأخير −5",AC393="عجز −10",AC393="جودة −15",AC393="امتثال −20",AC393="مخالفة −25",AC393="")),"✗ قائمة U",IF(AND(X393="لا",AC393&lt;&gt;"",AC393&lt;&gt;"لا خصم 0"),"✗ خصم",IF(AND(X393="نعم",AC393="لا خصم 0"),"✗ خصم",IF(AND(Z393="ممتاز 100%",AA393="ممتاز 100%",AB393&lt;&gt;"",AB393&lt;&gt;"مكتمل 100%"),"✗ إغلاق",IFERROR(IF(LEN(_xlfn.TEXTJOIN("، ",TRUE,IF(E393="","التاريخ",""),IF(F393="","الوقت",""),IF(G393="","المركز",""),IF(H393="","الدائرة",""),IF(I393="","القسم",""),IF(J393="","المسؤول",""),IF(K393="","نوع النشاط",""),IF(L393="","المشروع",""),IF(N393="","الممول",""),IF(V393="","الموضوع",""),IF(W393="","الملاحظة",""),IF(X393="","مشكلة",""),IF(Y393="","الإجراء",""),IF(Z393="","التنفيذ",""),IF(AA393="","الجودة",""),IF(AB393="","الإغلاق",""),IF(AC393="","الخصم",""),IF(AND(COUNTA($O393:$U393)&gt;0,O393=""),"مدير المشروع",""),IF(AND(COUNTA($O393:$U393)&gt;0,P393=""),"المستفيدين",""),IF(AND(COUNTA($O393:$U393)&gt;0,Q393=""),"المناطق",""),IF(AND(COUNTA($O393:$U393)&gt;0,R393=""),"الميزانية",""),IF(AND(COUNTA($O393:$U393)&gt;0,S393=""),"نسبة الجاهزية",""),IF(AND(COUNTA($O393:$U393)&gt;0,T393=""),"حالة الجاهزية",""),IF(AND(COUNTA($O393:$U393)&gt;0,U393=""),"التوصيات","")))&gt;0,"✗ ناقص: "&amp;_xlfn.TEXTJOIN("، ",TRUE,IF(E393="","التاريخ",""),IF(F393="","الوقت",""),IF(G393="","المركز",""),IF(H393="","الدائرة",""),IF(I393="","القسم",""),IF(J393="","المسؤول",""),IF(K393="","نوع النشاط",""),IF(L393="","المشروع",""),IF(N393="","الممول",""),IF(V393="","الموضوع",""),IF(W393="","الملاحظة",""),IF(X393="","مشكلة",""),IF(Y393="","الإجراء",""),IF(Z393="","التنفيذ",""),IF(AA393="","الجودة",""),IF(AB393="","الإغلاق",""),IF(AC393="","الخصم",""),IF(AND(COUNTA($O393:$U393)&gt;0,O393=""),"مدير المشروع",""),IF(AND(COUNTA($O393:$U393)&gt;0,P393=""),"المستفيدين",""),IF(AND(COUNTA($O393:$U393)&gt;0,Q393=""),"المناطق",""),IF(AND(COUNTA($O393:$U393)&gt;0,R393=""),"الميزانية",""),IF(AND(COUNTA($O393:$U393)&gt;0,S393=""),"نسبة الجاهزية",""),IF(AND(COUNTA($O393:$U393)&gt;0,T393=""),"حالة الجاهزية",""),IF(AND(COUNTA($O393:$U393)&gt;0,U393=""),"التوصيات","")),"✓"),"✓"))))))))))</f>
        <v/>
      </c>
      <c r="E393" s="235"/>
      <c r="F393" s="236"/>
      <c r="G393" s="90"/>
      <c r="H393" s="239"/>
      <c r="I393" s="89"/>
      <c r="J393" s="142"/>
      <c r="K393" s="90"/>
      <c r="L393" s="90"/>
      <c r="M393" s="90"/>
      <c r="N393" s="89"/>
      <c r="O393" s="200"/>
      <c r="P393" s="201"/>
      <c r="Q393" s="201"/>
      <c r="R393" s="237"/>
      <c r="S393" s="202"/>
      <c r="T393" s="200"/>
      <c r="U393" s="203"/>
      <c r="V393" s="89"/>
      <c r="W393" s="89"/>
      <c r="X393" s="145"/>
      <c r="Y393" s="89"/>
      <c r="Z393" s="90"/>
      <c r="AA393" s="90"/>
      <c r="AB393" s="90"/>
      <c r="AC393" s="90"/>
      <c r="AD393" s="92"/>
      <c r="AE393" s="149" t="str">
        <f>IFERROR(VLOOKUP(Z393,LISTS!$AL$2:$AM$1000,2,FALSE()),"")</f>
        <v/>
      </c>
      <c r="AF393" s="151" t="str">
        <f>IFERROR(VLOOKUP(AA393,LISTS!$AO$2:$AP$1000,2,FALSE()),"")</f>
        <v/>
      </c>
      <c r="AG393" s="152" t="str">
        <f>IFERROR(VLOOKUP(AB393,LISTS!$AR$2:$AS$1000,2,FALSE()),"")</f>
        <v/>
      </c>
      <c r="AH393" s="154" t="str">
        <f>IFERROR(VLOOKUP(AC393,LISTS!$AU$2:$AV$1000,2,FALSE()),"")</f>
        <v/>
      </c>
      <c r="AI393" s="238" t="str">
        <f t="shared" si="33"/>
        <v>—</v>
      </c>
      <c r="AJ393" s="190" t="str">
        <f t="shared" si="34"/>
        <v>—</v>
      </c>
      <c r="AK393" s="157" t="str">
        <f t="shared" si="30"/>
        <v/>
      </c>
      <c r="AL393" s="160" t="str">
        <f t="shared" si="31"/>
        <v/>
      </c>
      <c r="AM393" s="210"/>
      <c r="AN393" s="209"/>
    </row>
    <row r="394" spans="1:40" ht="27.95" customHeight="1">
      <c r="A394" s="134" t="str">
        <f>IF(I394&lt;&gt;"",COUNTA($I$2:I394),"")</f>
        <v/>
      </c>
      <c r="B394" s="138" t="str">
        <f t="shared" si="32"/>
        <v/>
      </c>
      <c r="C394" s="93" t="str">
        <f t="array" ref="C394">IF(E394="","",IF(M394&lt;&gt;"",
M394&amp;"/"&amp;SUMPRODUCT((M$2:M394=M394)*1)&amp;" - "&amp;(ROW()-2),
"إداري/"&amp;SUMPRODUCT((M$2:M394="")*1)&amp;" - "&amp;(ROW()-2)))</f>
        <v/>
      </c>
      <c r="D394" s="141" t="str">
        <f>IF(AND(G394="",H394="",I394=""),"",IF(COUNTIFS(LISTS!$A$2:$A$67,G394,LISTS!$B$2:$B$67,H394,LISTS!$C$2:$C$67,I394)=0,"✗ هرم",IF(NOT(OR(Z394="ممتاز 100%",Z394="جيد 80%",Z394="مقبول 60%",Z394="خطر 40%",Z394="")),"✗ قائمة R",IF(NOT(OR(AA394="ممتاز 100%",AA394="جيد 85%",AA394="مقبول 70%",AA394="ضعيف 50%",AA394="")),"✗ قائمة S",IF(NOT(OR(AB394="مكتمل 100%",AB394="جزئي 60%",AB394="معلق 30%",AB394="مفتوح 0%",AB394="")),"✗ قائمة T",IF(NOT(OR(AC394="لا خصم 0",AC394="تأخير −5",AC394="عجز −10",AC394="جودة −15",AC394="امتثال −20",AC394="مخالفة −25",AC394="")),"✗ قائمة U",IF(AND(X394="لا",AC394&lt;&gt;"",AC394&lt;&gt;"لا خصم 0"),"✗ خصم",IF(AND(X394="نعم",AC394="لا خصم 0"),"✗ خصم",IF(AND(Z394="ممتاز 100%",AA394="ممتاز 100%",AB394&lt;&gt;"",AB394&lt;&gt;"مكتمل 100%"),"✗ إغلاق",IFERROR(IF(LEN(_xlfn.TEXTJOIN("، ",TRUE,IF(E394="","التاريخ",""),IF(F394="","الوقت",""),IF(G394="","المركز",""),IF(H394="","الدائرة",""),IF(I394="","القسم",""),IF(J394="","المسؤول",""),IF(K394="","نوع النشاط",""),IF(L394="","المشروع",""),IF(N394="","الممول",""),IF(V394="","الموضوع",""),IF(W394="","الملاحظة",""),IF(X394="","مشكلة",""),IF(Y394="","الإجراء",""),IF(Z394="","التنفيذ",""),IF(AA394="","الجودة",""),IF(AB394="","الإغلاق",""),IF(AC394="","الخصم",""),IF(AND(COUNTA($O394:$U394)&gt;0,O394=""),"مدير المشروع",""),IF(AND(COUNTA($O394:$U394)&gt;0,P394=""),"المستفيدين",""),IF(AND(COUNTA($O394:$U394)&gt;0,Q394=""),"المناطق",""),IF(AND(COUNTA($O394:$U394)&gt;0,R394=""),"الميزانية",""),IF(AND(COUNTA($O394:$U394)&gt;0,S394=""),"نسبة الجاهزية",""),IF(AND(COUNTA($O394:$U394)&gt;0,T394=""),"حالة الجاهزية",""),IF(AND(COUNTA($O394:$U394)&gt;0,U394=""),"التوصيات","")))&gt;0,"✗ ناقص: "&amp;_xlfn.TEXTJOIN("، ",TRUE,IF(E394="","التاريخ",""),IF(F394="","الوقت",""),IF(G394="","المركز",""),IF(H394="","الدائرة",""),IF(I394="","القسم",""),IF(J394="","المسؤول",""),IF(K394="","نوع النشاط",""),IF(L394="","المشروع",""),IF(N394="","الممول",""),IF(V394="","الموضوع",""),IF(W394="","الملاحظة",""),IF(X394="","مشكلة",""),IF(Y394="","الإجراء",""),IF(Z394="","التنفيذ",""),IF(AA394="","الجودة",""),IF(AB394="","الإغلاق",""),IF(AC394="","الخصم",""),IF(AND(COUNTA($O394:$U394)&gt;0,O394=""),"مدير المشروع",""),IF(AND(COUNTA($O394:$U394)&gt;0,P394=""),"المستفيدين",""),IF(AND(COUNTA($O394:$U394)&gt;0,Q394=""),"المناطق",""),IF(AND(COUNTA($O394:$U394)&gt;0,R394=""),"الميزانية",""),IF(AND(COUNTA($O394:$U394)&gt;0,S394=""),"نسبة الجاهزية",""),IF(AND(COUNTA($O394:$U394)&gt;0,T394=""),"حالة الجاهزية",""),IF(AND(COUNTA($O394:$U394)&gt;0,U394=""),"التوصيات","")),"✓"),"✓"))))))))))</f>
        <v/>
      </c>
      <c r="E394" s="235"/>
      <c r="F394" s="236"/>
      <c r="G394" s="90"/>
      <c r="H394" s="239"/>
      <c r="I394" s="89"/>
      <c r="J394" s="142"/>
      <c r="K394" s="90"/>
      <c r="L394" s="90"/>
      <c r="M394" s="90"/>
      <c r="N394" s="89"/>
      <c r="O394" s="200"/>
      <c r="P394" s="201"/>
      <c r="Q394" s="201"/>
      <c r="R394" s="237"/>
      <c r="S394" s="202"/>
      <c r="T394" s="200"/>
      <c r="U394" s="203"/>
      <c r="V394" s="89"/>
      <c r="W394" s="89"/>
      <c r="X394" s="145"/>
      <c r="Y394" s="89"/>
      <c r="Z394" s="90"/>
      <c r="AA394" s="90"/>
      <c r="AB394" s="90"/>
      <c r="AC394" s="90"/>
      <c r="AD394" s="92"/>
      <c r="AE394" s="149" t="str">
        <f>IFERROR(VLOOKUP(Z394,LISTS!$AL$2:$AM$1000,2,FALSE()),"")</f>
        <v/>
      </c>
      <c r="AF394" s="151" t="str">
        <f>IFERROR(VLOOKUP(AA394,LISTS!$AO$2:$AP$1000,2,FALSE()),"")</f>
        <v/>
      </c>
      <c r="AG394" s="152" t="str">
        <f>IFERROR(VLOOKUP(AB394,LISTS!$AR$2:$AS$1000,2,FALSE()),"")</f>
        <v/>
      </c>
      <c r="AH394" s="154" t="str">
        <f>IFERROR(VLOOKUP(AC394,LISTS!$AU$2:$AV$1000,2,FALSE()),"")</f>
        <v/>
      </c>
      <c r="AI394" s="238" t="str">
        <f t="shared" si="33"/>
        <v>—</v>
      </c>
      <c r="AJ394" s="190" t="str">
        <f t="shared" si="34"/>
        <v>—</v>
      </c>
      <c r="AK394" s="157" t="str">
        <f t="shared" si="30"/>
        <v/>
      </c>
      <c r="AL394" s="160" t="str">
        <f t="shared" si="31"/>
        <v/>
      </c>
      <c r="AM394" s="210"/>
      <c r="AN394" s="209"/>
    </row>
    <row r="395" spans="1:40" ht="27.95" customHeight="1">
      <c r="A395" s="134" t="str">
        <f>IF(I395&lt;&gt;"",COUNTA($I$2:I395),"")</f>
        <v/>
      </c>
      <c r="B395" s="138" t="str">
        <f t="shared" si="32"/>
        <v/>
      </c>
      <c r="C395" s="93" t="str">
        <f t="array" ref="C395">IF(E395="","",IF(M395&lt;&gt;"",
M395&amp;"/"&amp;SUMPRODUCT((M$2:M395=M395)*1)&amp;" - "&amp;(ROW()-2),
"إداري/"&amp;SUMPRODUCT((M$2:M395="")*1)&amp;" - "&amp;(ROW()-2)))</f>
        <v/>
      </c>
      <c r="D395" s="141" t="str">
        <f>IF(AND(G395="",H395="",I395=""),"",IF(COUNTIFS(LISTS!$A$2:$A$67,G395,LISTS!$B$2:$B$67,H395,LISTS!$C$2:$C$67,I395)=0,"✗ هرم",IF(NOT(OR(Z395="ممتاز 100%",Z395="جيد 80%",Z395="مقبول 60%",Z395="خطر 40%",Z395="")),"✗ قائمة R",IF(NOT(OR(AA395="ممتاز 100%",AA395="جيد 85%",AA395="مقبول 70%",AA395="ضعيف 50%",AA395="")),"✗ قائمة S",IF(NOT(OR(AB395="مكتمل 100%",AB395="جزئي 60%",AB395="معلق 30%",AB395="مفتوح 0%",AB395="")),"✗ قائمة T",IF(NOT(OR(AC395="لا خصم 0",AC395="تأخير −5",AC395="عجز −10",AC395="جودة −15",AC395="امتثال −20",AC395="مخالفة −25",AC395="")),"✗ قائمة U",IF(AND(X395="لا",AC395&lt;&gt;"",AC395&lt;&gt;"لا خصم 0"),"✗ خصم",IF(AND(X395="نعم",AC395="لا خصم 0"),"✗ خصم",IF(AND(Z395="ممتاز 100%",AA395="ممتاز 100%",AB395&lt;&gt;"",AB395&lt;&gt;"مكتمل 100%"),"✗ إغلاق",IFERROR(IF(LEN(_xlfn.TEXTJOIN("، ",TRUE,IF(E395="","التاريخ",""),IF(F395="","الوقت",""),IF(G395="","المركز",""),IF(H395="","الدائرة",""),IF(I395="","القسم",""),IF(J395="","المسؤول",""),IF(K395="","نوع النشاط",""),IF(L395="","المشروع",""),IF(N395="","الممول",""),IF(V395="","الموضوع",""),IF(W395="","الملاحظة",""),IF(X395="","مشكلة",""),IF(Y395="","الإجراء",""),IF(Z395="","التنفيذ",""),IF(AA395="","الجودة",""),IF(AB395="","الإغلاق",""),IF(AC395="","الخصم",""),IF(AND(COUNTA($O395:$U395)&gt;0,O395=""),"مدير المشروع",""),IF(AND(COUNTA($O395:$U395)&gt;0,P395=""),"المستفيدين",""),IF(AND(COUNTA($O395:$U395)&gt;0,Q395=""),"المناطق",""),IF(AND(COUNTA($O395:$U395)&gt;0,R395=""),"الميزانية",""),IF(AND(COUNTA($O395:$U395)&gt;0,S395=""),"نسبة الجاهزية",""),IF(AND(COUNTA($O395:$U395)&gt;0,T395=""),"حالة الجاهزية",""),IF(AND(COUNTA($O395:$U395)&gt;0,U395=""),"التوصيات","")))&gt;0,"✗ ناقص: "&amp;_xlfn.TEXTJOIN("، ",TRUE,IF(E395="","التاريخ",""),IF(F395="","الوقت",""),IF(G395="","المركز",""),IF(H395="","الدائرة",""),IF(I395="","القسم",""),IF(J395="","المسؤول",""),IF(K395="","نوع النشاط",""),IF(L395="","المشروع",""),IF(N395="","الممول",""),IF(V395="","الموضوع",""),IF(W395="","الملاحظة",""),IF(X395="","مشكلة",""),IF(Y395="","الإجراء",""),IF(Z395="","التنفيذ",""),IF(AA395="","الجودة",""),IF(AB395="","الإغلاق",""),IF(AC395="","الخصم",""),IF(AND(COUNTA($O395:$U395)&gt;0,O395=""),"مدير المشروع",""),IF(AND(COUNTA($O395:$U395)&gt;0,P395=""),"المستفيدين",""),IF(AND(COUNTA($O395:$U395)&gt;0,Q395=""),"المناطق",""),IF(AND(COUNTA($O395:$U395)&gt;0,R395=""),"الميزانية",""),IF(AND(COUNTA($O395:$U395)&gt;0,S395=""),"نسبة الجاهزية",""),IF(AND(COUNTA($O395:$U395)&gt;0,T395=""),"حالة الجاهزية",""),IF(AND(COUNTA($O395:$U395)&gt;0,U395=""),"التوصيات","")),"✓"),"✓"))))))))))</f>
        <v/>
      </c>
      <c r="E395" s="235"/>
      <c r="F395" s="236"/>
      <c r="G395" s="90"/>
      <c r="H395" s="239"/>
      <c r="I395" s="89"/>
      <c r="J395" s="142"/>
      <c r="K395" s="90"/>
      <c r="L395" s="90"/>
      <c r="M395" s="90"/>
      <c r="N395" s="89"/>
      <c r="O395" s="200"/>
      <c r="P395" s="201"/>
      <c r="Q395" s="201"/>
      <c r="R395" s="237"/>
      <c r="S395" s="202"/>
      <c r="T395" s="200"/>
      <c r="U395" s="203"/>
      <c r="V395" s="89"/>
      <c r="W395" s="89"/>
      <c r="X395" s="145"/>
      <c r="Y395" s="89"/>
      <c r="Z395" s="90"/>
      <c r="AA395" s="90"/>
      <c r="AB395" s="90"/>
      <c r="AC395" s="90"/>
      <c r="AD395" s="92"/>
      <c r="AE395" s="149" t="str">
        <f>IFERROR(VLOOKUP(Z395,LISTS!$AL$2:$AM$1000,2,FALSE()),"")</f>
        <v/>
      </c>
      <c r="AF395" s="151" t="str">
        <f>IFERROR(VLOOKUP(AA395,LISTS!$AO$2:$AP$1000,2,FALSE()),"")</f>
        <v/>
      </c>
      <c r="AG395" s="152" t="str">
        <f>IFERROR(VLOOKUP(AB395,LISTS!$AR$2:$AS$1000,2,FALSE()),"")</f>
        <v/>
      </c>
      <c r="AH395" s="154" t="str">
        <f>IFERROR(VLOOKUP(AC395,LISTS!$AU$2:$AV$1000,2,FALSE()),"")</f>
        <v/>
      </c>
      <c r="AI395" s="238" t="str">
        <f t="shared" si="33"/>
        <v>—</v>
      </c>
      <c r="AJ395" s="190" t="str">
        <f t="shared" si="34"/>
        <v>—</v>
      </c>
      <c r="AK395" s="157" t="str">
        <f t="shared" si="30"/>
        <v/>
      </c>
      <c r="AL395" s="160" t="str">
        <f t="shared" si="31"/>
        <v/>
      </c>
      <c r="AM395" s="210"/>
      <c r="AN395" s="209"/>
    </row>
    <row r="396" spans="1:40" ht="27.95" customHeight="1">
      <c r="A396" s="134" t="str">
        <f>IF(I396&lt;&gt;"",COUNTA($I$2:I396),"")</f>
        <v/>
      </c>
      <c r="B396" s="138" t="str">
        <f t="shared" si="32"/>
        <v/>
      </c>
      <c r="C396" s="93" t="str">
        <f t="array" ref="C396">IF(E396="","",IF(M396&lt;&gt;"",
M396&amp;"/"&amp;SUMPRODUCT((M$2:M396=M396)*1)&amp;" - "&amp;(ROW()-2),
"إداري/"&amp;SUMPRODUCT((M$2:M396="")*1)&amp;" - "&amp;(ROW()-2)))</f>
        <v/>
      </c>
      <c r="D396" s="141" t="str">
        <f>IF(AND(G396="",H396="",I396=""),"",IF(COUNTIFS(LISTS!$A$2:$A$67,G396,LISTS!$B$2:$B$67,H396,LISTS!$C$2:$C$67,I396)=0,"✗ هرم",IF(NOT(OR(Z396="ممتاز 100%",Z396="جيد 80%",Z396="مقبول 60%",Z396="خطر 40%",Z396="")),"✗ قائمة R",IF(NOT(OR(AA396="ممتاز 100%",AA396="جيد 85%",AA396="مقبول 70%",AA396="ضعيف 50%",AA396="")),"✗ قائمة S",IF(NOT(OR(AB396="مكتمل 100%",AB396="جزئي 60%",AB396="معلق 30%",AB396="مفتوح 0%",AB396="")),"✗ قائمة T",IF(NOT(OR(AC396="لا خصم 0",AC396="تأخير −5",AC396="عجز −10",AC396="جودة −15",AC396="امتثال −20",AC396="مخالفة −25",AC396="")),"✗ قائمة U",IF(AND(X396="لا",AC396&lt;&gt;"",AC396&lt;&gt;"لا خصم 0"),"✗ خصم",IF(AND(X396="نعم",AC396="لا خصم 0"),"✗ خصم",IF(AND(Z396="ممتاز 100%",AA396="ممتاز 100%",AB396&lt;&gt;"",AB396&lt;&gt;"مكتمل 100%"),"✗ إغلاق",IFERROR(IF(LEN(_xlfn.TEXTJOIN("، ",TRUE,IF(E396="","التاريخ",""),IF(F396="","الوقت",""),IF(G396="","المركز",""),IF(H396="","الدائرة",""),IF(I396="","القسم",""),IF(J396="","المسؤول",""),IF(K396="","نوع النشاط",""),IF(L396="","المشروع",""),IF(N396="","الممول",""),IF(V396="","الموضوع",""),IF(W396="","الملاحظة",""),IF(X396="","مشكلة",""),IF(Y396="","الإجراء",""),IF(Z396="","التنفيذ",""),IF(AA396="","الجودة",""),IF(AB396="","الإغلاق",""),IF(AC396="","الخصم",""),IF(AND(COUNTA($O396:$U396)&gt;0,O396=""),"مدير المشروع",""),IF(AND(COUNTA($O396:$U396)&gt;0,P396=""),"المستفيدين",""),IF(AND(COUNTA($O396:$U396)&gt;0,Q396=""),"المناطق",""),IF(AND(COUNTA($O396:$U396)&gt;0,R396=""),"الميزانية",""),IF(AND(COUNTA($O396:$U396)&gt;0,S396=""),"نسبة الجاهزية",""),IF(AND(COUNTA($O396:$U396)&gt;0,T396=""),"حالة الجاهزية",""),IF(AND(COUNTA($O396:$U396)&gt;0,U396=""),"التوصيات","")))&gt;0,"✗ ناقص: "&amp;_xlfn.TEXTJOIN("، ",TRUE,IF(E396="","التاريخ",""),IF(F396="","الوقت",""),IF(G396="","المركز",""),IF(H396="","الدائرة",""),IF(I396="","القسم",""),IF(J396="","المسؤول",""),IF(K396="","نوع النشاط",""),IF(L396="","المشروع",""),IF(N396="","الممول",""),IF(V396="","الموضوع",""),IF(W396="","الملاحظة",""),IF(X396="","مشكلة",""),IF(Y396="","الإجراء",""),IF(Z396="","التنفيذ",""),IF(AA396="","الجودة",""),IF(AB396="","الإغلاق",""),IF(AC396="","الخصم",""),IF(AND(COUNTA($O396:$U396)&gt;0,O396=""),"مدير المشروع",""),IF(AND(COUNTA($O396:$U396)&gt;0,P396=""),"المستفيدين",""),IF(AND(COUNTA($O396:$U396)&gt;0,Q396=""),"المناطق",""),IF(AND(COUNTA($O396:$U396)&gt;0,R396=""),"الميزانية",""),IF(AND(COUNTA($O396:$U396)&gt;0,S396=""),"نسبة الجاهزية",""),IF(AND(COUNTA($O396:$U396)&gt;0,T396=""),"حالة الجاهزية",""),IF(AND(COUNTA($O396:$U396)&gt;0,U396=""),"التوصيات","")),"✓"),"✓"))))))))))</f>
        <v/>
      </c>
      <c r="E396" s="235"/>
      <c r="F396" s="236"/>
      <c r="G396" s="90"/>
      <c r="H396" s="239"/>
      <c r="I396" s="89"/>
      <c r="J396" s="142"/>
      <c r="K396" s="90"/>
      <c r="L396" s="90"/>
      <c r="M396" s="90"/>
      <c r="N396" s="89"/>
      <c r="O396" s="200"/>
      <c r="P396" s="201"/>
      <c r="Q396" s="201"/>
      <c r="R396" s="237"/>
      <c r="S396" s="202"/>
      <c r="T396" s="200"/>
      <c r="U396" s="203"/>
      <c r="V396" s="89"/>
      <c r="W396" s="89"/>
      <c r="X396" s="145"/>
      <c r="Y396" s="89"/>
      <c r="Z396" s="90"/>
      <c r="AA396" s="90"/>
      <c r="AB396" s="90"/>
      <c r="AC396" s="90"/>
      <c r="AD396" s="92"/>
      <c r="AE396" s="149" t="str">
        <f>IFERROR(VLOOKUP(Z396,LISTS!$AL$2:$AM$1000,2,FALSE()),"")</f>
        <v/>
      </c>
      <c r="AF396" s="151" t="str">
        <f>IFERROR(VLOOKUP(AA396,LISTS!$AO$2:$AP$1000,2,FALSE()),"")</f>
        <v/>
      </c>
      <c r="AG396" s="152" t="str">
        <f>IFERROR(VLOOKUP(AB396,LISTS!$AR$2:$AS$1000,2,FALSE()),"")</f>
        <v/>
      </c>
      <c r="AH396" s="154" t="str">
        <f>IFERROR(VLOOKUP(AC396,LISTS!$AU$2:$AV$1000,2,FALSE()),"")</f>
        <v/>
      </c>
      <c r="AI396" s="238" t="str">
        <f t="shared" si="33"/>
        <v>—</v>
      </c>
      <c r="AJ396" s="190" t="str">
        <f t="shared" si="34"/>
        <v>—</v>
      </c>
      <c r="AK396" s="157" t="str">
        <f t="shared" si="30"/>
        <v/>
      </c>
      <c r="AL396" s="160" t="str">
        <f t="shared" si="31"/>
        <v/>
      </c>
      <c r="AM396" s="210"/>
      <c r="AN396" s="209"/>
    </row>
    <row r="397" spans="1:40" ht="27.95" customHeight="1">
      <c r="A397" s="134" t="str">
        <f>IF(I397&lt;&gt;"",COUNTA($I$2:I397),"")</f>
        <v/>
      </c>
      <c r="B397" s="138" t="str">
        <f t="shared" si="32"/>
        <v/>
      </c>
      <c r="C397" s="93" t="str">
        <f t="array" ref="C397">IF(E397="","",IF(M397&lt;&gt;"",
M397&amp;"/"&amp;SUMPRODUCT((M$2:M397=M397)*1)&amp;" - "&amp;(ROW()-2),
"إداري/"&amp;SUMPRODUCT((M$2:M397="")*1)&amp;" - "&amp;(ROW()-2)))</f>
        <v/>
      </c>
      <c r="D397" s="141" t="str">
        <f>IF(AND(G397="",H397="",I397=""),"",IF(COUNTIFS(LISTS!$A$2:$A$67,G397,LISTS!$B$2:$B$67,H397,LISTS!$C$2:$C$67,I397)=0,"✗ هرم",IF(NOT(OR(Z397="ممتاز 100%",Z397="جيد 80%",Z397="مقبول 60%",Z397="خطر 40%",Z397="")),"✗ قائمة R",IF(NOT(OR(AA397="ممتاز 100%",AA397="جيد 85%",AA397="مقبول 70%",AA397="ضعيف 50%",AA397="")),"✗ قائمة S",IF(NOT(OR(AB397="مكتمل 100%",AB397="جزئي 60%",AB397="معلق 30%",AB397="مفتوح 0%",AB397="")),"✗ قائمة T",IF(NOT(OR(AC397="لا خصم 0",AC397="تأخير −5",AC397="عجز −10",AC397="جودة −15",AC397="امتثال −20",AC397="مخالفة −25",AC397="")),"✗ قائمة U",IF(AND(X397="لا",AC397&lt;&gt;"",AC397&lt;&gt;"لا خصم 0"),"✗ خصم",IF(AND(X397="نعم",AC397="لا خصم 0"),"✗ خصم",IF(AND(Z397="ممتاز 100%",AA397="ممتاز 100%",AB397&lt;&gt;"",AB397&lt;&gt;"مكتمل 100%"),"✗ إغلاق",IFERROR(IF(LEN(_xlfn.TEXTJOIN("، ",TRUE,IF(E397="","التاريخ",""),IF(F397="","الوقت",""),IF(G397="","المركز",""),IF(H397="","الدائرة",""),IF(I397="","القسم",""),IF(J397="","المسؤول",""),IF(K397="","نوع النشاط",""),IF(L397="","المشروع",""),IF(N397="","الممول",""),IF(V397="","الموضوع",""),IF(W397="","الملاحظة",""),IF(X397="","مشكلة",""),IF(Y397="","الإجراء",""),IF(Z397="","التنفيذ",""),IF(AA397="","الجودة",""),IF(AB397="","الإغلاق",""),IF(AC397="","الخصم",""),IF(AND(COUNTA($O397:$U397)&gt;0,O397=""),"مدير المشروع",""),IF(AND(COUNTA($O397:$U397)&gt;0,P397=""),"المستفيدين",""),IF(AND(COUNTA($O397:$U397)&gt;0,Q397=""),"المناطق",""),IF(AND(COUNTA($O397:$U397)&gt;0,R397=""),"الميزانية",""),IF(AND(COUNTA($O397:$U397)&gt;0,S397=""),"نسبة الجاهزية",""),IF(AND(COUNTA($O397:$U397)&gt;0,T397=""),"حالة الجاهزية",""),IF(AND(COUNTA($O397:$U397)&gt;0,U397=""),"التوصيات","")))&gt;0,"✗ ناقص: "&amp;_xlfn.TEXTJOIN("، ",TRUE,IF(E397="","التاريخ",""),IF(F397="","الوقت",""),IF(G397="","المركز",""),IF(H397="","الدائرة",""),IF(I397="","القسم",""),IF(J397="","المسؤول",""),IF(K397="","نوع النشاط",""),IF(L397="","المشروع",""),IF(N397="","الممول",""),IF(V397="","الموضوع",""),IF(W397="","الملاحظة",""),IF(X397="","مشكلة",""),IF(Y397="","الإجراء",""),IF(Z397="","التنفيذ",""),IF(AA397="","الجودة",""),IF(AB397="","الإغلاق",""),IF(AC397="","الخصم",""),IF(AND(COUNTA($O397:$U397)&gt;0,O397=""),"مدير المشروع",""),IF(AND(COUNTA($O397:$U397)&gt;0,P397=""),"المستفيدين",""),IF(AND(COUNTA($O397:$U397)&gt;0,Q397=""),"المناطق",""),IF(AND(COUNTA($O397:$U397)&gt;0,R397=""),"الميزانية",""),IF(AND(COUNTA($O397:$U397)&gt;0,S397=""),"نسبة الجاهزية",""),IF(AND(COUNTA($O397:$U397)&gt;0,T397=""),"حالة الجاهزية",""),IF(AND(COUNTA($O397:$U397)&gt;0,U397=""),"التوصيات","")),"✓"),"✓"))))))))))</f>
        <v/>
      </c>
      <c r="E397" s="235"/>
      <c r="F397" s="236"/>
      <c r="G397" s="90"/>
      <c r="H397" s="239"/>
      <c r="I397" s="89"/>
      <c r="J397" s="142"/>
      <c r="K397" s="90"/>
      <c r="L397" s="90"/>
      <c r="M397" s="90"/>
      <c r="N397" s="89"/>
      <c r="O397" s="200"/>
      <c r="P397" s="201"/>
      <c r="Q397" s="201"/>
      <c r="R397" s="237"/>
      <c r="S397" s="202"/>
      <c r="T397" s="200"/>
      <c r="U397" s="203"/>
      <c r="V397" s="89"/>
      <c r="W397" s="89"/>
      <c r="X397" s="145"/>
      <c r="Y397" s="89"/>
      <c r="Z397" s="90"/>
      <c r="AA397" s="90"/>
      <c r="AB397" s="90"/>
      <c r="AC397" s="90"/>
      <c r="AD397" s="92"/>
      <c r="AE397" s="149" t="str">
        <f>IFERROR(VLOOKUP(Z397,LISTS!$AL$2:$AM$1000,2,FALSE()),"")</f>
        <v/>
      </c>
      <c r="AF397" s="151" t="str">
        <f>IFERROR(VLOOKUP(AA397,LISTS!$AO$2:$AP$1000,2,FALSE()),"")</f>
        <v/>
      </c>
      <c r="AG397" s="152" t="str">
        <f>IFERROR(VLOOKUP(AB397,LISTS!$AR$2:$AS$1000,2,FALSE()),"")</f>
        <v/>
      </c>
      <c r="AH397" s="154" t="str">
        <f>IFERROR(VLOOKUP(AC397,LISTS!$AU$2:$AV$1000,2,FALSE()),"")</f>
        <v/>
      </c>
      <c r="AI397" s="238" t="str">
        <f t="shared" si="33"/>
        <v>—</v>
      </c>
      <c r="AJ397" s="190" t="str">
        <f t="shared" si="34"/>
        <v>—</v>
      </c>
      <c r="AK397" s="157" t="str">
        <f t="shared" si="30"/>
        <v/>
      </c>
      <c r="AL397" s="160" t="str">
        <f t="shared" si="31"/>
        <v/>
      </c>
      <c r="AM397" s="210"/>
      <c r="AN397" s="209"/>
    </row>
    <row r="398" spans="1:40" ht="27.95" customHeight="1">
      <c r="A398" s="134" t="str">
        <f>IF(I398&lt;&gt;"",COUNTA($I$2:I398),"")</f>
        <v/>
      </c>
      <c r="B398" s="138" t="str">
        <f t="shared" si="32"/>
        <v/>
      </c>
      <c r="C398" s="93" t="str">
        <f t="array" ref="C398">IF(E398="","",IF(M398&lt;&gt;"",
M398&amp;"/"&amp;SUMPRODUCT((M$2:M398=M398)*1)&amp;" - "&amp;(ROW()-2),
"إداري/"&amp;SUMPRODUCT((M$2:M398="")*1)&amp;" - "&amp;(ROW()-2)))</f>
        <v/>
      </c>
      <c r="D398" s="141" t="str">
        <f>IF(AND(G398="",H398="",I398=""),"",IF(COUNTIFS(LISTS!$A$2:$A$67,G398,LISTS!$B$2:$B$67,H398,LISTS!$C$2:$C$67,I398)=0,"✗ هرم",IF(NOT(OR(Z398="ممتاز 100%",Z398="جيد 80%",Z398="مقبول 60%",Z398="خطر 40%",Z398="")),"✗ قائمة R",IF(NOT(OR(AA398="ممتاز 100%",AA398="جيد 85%",AA398="مقبول 70%",AA398="ضعيف 50%",AA398="")),"✗ قائمة S",IF(NOT(OR(AB398="مكتمل 100%",AB398="جزئي 60%",AB398="معلق 30%",AB398="مفتوح 0%",AB398="")),"✗ قائمة T",IF(NOT(OR(AC398="لا خصم 0",AC398="تأخير −5",AC398="عجز −10",AC398="جودة −15",AC398="امتثال −20",AC398="مخالفة −25",AC398="")),"✗ قائمة U",IF(AND(X398="لا",AC398&lt;&gt;"",AC398&lt;&gt;"لا خصم 0"),"✗ خصم",IF(AND(X398="نعم",AC398="لا خصم 0"),"✗ خصم",IF(AND(Z398="ممتاز 100%",AA398="ممتاز 100%",AB398&lt;&gt;"",AB398&lt;&gt;"مكتمل 100%"),"✗ إغلاق",IFERROR(IF(LEN(_xlfn.TEXTJOIN("، ",TRUE,IF(E398="","التاريخ",""),IF(F398="","الوقت",""),IF(G398="","المركز",""),IF(H398="","الدائرة",""),IF(I398="","القسم",""),IF(J398="","المسؤول",""),IF(K398="","نوع النشاط",""),IF(L398="","المشروع",""),IF(N398="","الممول",""),IF(V398="","الموضوع",""),IF(W398="","الملاحظة",""),IF(X398="","مشكلة",""),IF(Y398="","الإجراء",""),IF(Z398="","التنفيذ",""),IF(AA398="","الجودة",""),IF(AB398="","الإغلاق",""),IF(AC398="","الخصم",""),IF(AND(COUNTA($O398:$U398)&gt;0,O398=""),"مدير المشروع",""),IF(AND(COUNTA($O398:$U398)&gt;0,P398=""),"المستفيدين",""),IF(AND(COUNTA($O398:$U398)&gt;0,Q398=""),"المناطق",""),IF(AND(COUNTA($O398:$U398)&gt;0,R398=""),"الميزانية",""),IF(AND(COUNTA($O398:$U398)&gt;0,S398=""),"نسبة الجاهزية",""),IF(AND(COUNTA($O398:$U398)&gt;0,T398=""),"حالة الجاهزية",""),IF(AND(COUNTA($O398:$U398)&gt;0,U398=""),"التوصيات","")))&gt;0,"✗ ناقص: "&amp;_xlfn.TEXTJOIN("، ",TRUE,IF(E398="","التاريخ",""),IF(F398="","الوقت",""),IF(G398="","المركز",""),IF(H398="","الدائرة",""),IF(I398="","القسم",""),IF(J398="","المسؤول",""),IF(K398="","نوع النشاط",""),IF(L398="","المشروع",""),IF(N398="","الممول",""),IF(V398="","الموضوع",""),IF(W398="","الملاحظة",""),IF(X398="","مشكلة",""),IF(Y398="","الإجراء",""),IF(Z398="","التنفيذ",""),IF(AA398="","الجودة",""),IF(AB398="","الإغلاق",""),IF(AC398="","الخصم",""),IF(AND(COUNTA($O398:$U398)&gt;0,O398=""),"مدير المشروع",""),IF(AND(COUNTA($O398:$U398)&gt;0,P398=""),"المستفيدين",""),IF(AND(COUNTA($O398:$U398)&gt;0,Q398=""),"المناطق",""),IF(AND(COUNTA($O398:$U398)&gt;0,R398=""),"الميزانية",""),IF(AND(COUNTA($O398:$U398)&gt;0,S398=""),"نسبة الجاهزية",""),IF(AND(COUNTA($O398:$U398)&gt;0,T398=""),"حالة الجاهزية",""),IF(AND(COUNTA($O398:$U398)&gt;0,U398=""),"التوصيات","")),"✓"),"✓"))))))))))</f>
        <v/>
      </c>
      <c r="E398" s="235"/>
      <c r="F398" s="236"/>
      <c r="G398" s="90"/>
      <c r="H398" s="239"/>
      <c r="I398" s="89"/>
      <c r="J398" s="142"/>
      <c r="K398" s="90"/>
      <c r="L398" s="90"/>
      <c r="M398" s="90"/>
      <c r="N398" s="89"/>
      <c r="O398" s="200"/>
      <c r="P398" s="201"/>
      <c r="Q398" s="201"/>
      <c r="R398" s="237"/>
      <c r="S398" s="202"/>
      <c r="T398" s="200"/>
      <c r="U398" s="203"/>
      <c r="V398" s="89"/>
      <c r="W398" s="89"/>
      <c r="X398" s="145"/>
      <c r="Y398" s="89"/>
      <c r="Z398" s="90"/>
      <c r="AA398" s="90"/>
      <c r="AB398" s="90"/>
      <c r="AC398" s="90"/>
      <c r="AD398" s="92"/>
      <c r="AE398" s="149" t="str">
        <f>IFERROR(VLOOKUP(Z398,LISTS!$AL$2:$AM$1000,2,FALSE()),"")</f>
        <v/>
      </c>
      <c r="AF398" s="151" t="str">
        <f>IFERROR(VLOOKUP(AA398,LISTS!$AO$2:$AP$1000,2,FALSE()),"")</f>
        <v/>
      </c>
      <c r="AG398" s="152" t="str">
        <f>IFERROR(VLOOKUP(AB398,LISTS!$AR$2:$AS$1000,2,FALSE()),"")</f>
        <v/>
      </c>
      <c r="AH398" s="154" t="str">
        <f>IFERROR(VLOOKUP(AC398,LISTS!$AU$2:$AV$1000,2,FALSE()),"")</f>
        <v/>
      </c>
      <c r="AI398" s="238" t="str">
        <f t="shared" si="33"/>
        <v>—</v>
      </c>
      <c r="AJ398" s="190" t="str">
        <f t="shared" si="34"/>
        <v>—</v>
      </c>
      <c r="AK398" s="157" t="str">
        <f t="shared" si="30"/>
        <v/>
      </c>
      <c r="AL398" s="160" t="str">
        <f t="shared" si="31"/>
        <v/>
      </c>
      <c r="AM398" s="210"/>
      <c r="AN398" s="209"/>
    </row>
    <row r="399" spans="1:40" ht="27.95" customHeight="1">
      <c r="A399" s="134" t="str">
        <f>IF(I399&lt;&gt;"",COUNTA($I$2:I399),"")</f>
        <v/>
      </c>
      <c r="B399" s="138" t="str">
        <f t="shared" si="32"/>
        <v/>
      </c>
      <c r="C399" s="93" t="str">
        <f t="array" ref="C399">IF(E399="","",IF(M399&lt;&gt;"",
M399&amp;"/"&amp;SUMPRODUCT((M$2:M399=M399)*1)&amp;" - "&amp;(ROW()-2),
"إداري/"&amp;SUMPRODUCT((M$2:M399="")*1)&amp;" - "&amp;(ROW()-2)))</f>
        <v/>
      </c>
      <c r="D399" s="141" t="str">
        <f>IF(AND(G399="",H399="",I399=""),"",IF(COUNTIFS(LISTS!$A$2:$A$67,G399,LISTS!$B$2:$B$67,H399,LISTS!$C$2:$C$67,I399)=0,"✗ هرم",IF(NOT(OR(Z399="ممتاز 100%",Z399="جيد 80%",Z399="مقبول 60%",Z399="خطر 40%",Z399="")),"✗ قائمة R",IF(NOT(OR(AA399="ممتاز 100%",AA399="جيد 85%",AA399="مقبول 70%",AA399="ضعيف 50%",AA399="")),"✗ قائمة S",IF(NOT(OR(AB399="مكتمل 100%",AB399="جزئي 60%",AB399="معلق 30%",AB399="مفتوح 0%",AB399="")),"✗ قائمة T",IF(NOT(OR(AC399="لا خصم 0",AC399="تأخير −5",AC399="عجز −10",AC399="جودة −15",AC399="امتثال −20",AC399="مخالفة −25",AC399="")),"✗ قائمة U",IF(AND(X399="لا",AC399&lt;&gt;"",AC399&lt;&gt;"لا خصم 0"),"✗ خصم",IF(AND(X399="نعم",AC399="لا خصم 0"),"✗ خصم",IF(AND(Z399="ممتاز 100%",AA399="ممتاز 100%",AB399&lt;&gt;"",AB399&lt;&gt;"مكتمل 100%"),"✗ إغلاق",IFERROR(IF(LEN(_xlfn.TEXTJOIN("، ",TRUE,IF(E399="","التاريخ",""),IF(F399="","الوقت",""),IF(G399="","المركز",""),IF(H399="","الدائرة",""),IF(I399="","القسم",""),IF(J399="","المسؤول",""),IF(K399="","نوع النشاط",""),IF(L399="","المشروع",""),IF(N399="","الممول",""),IF(V399="","الموضوع",""),IF(W399="","الملاحظة",""),IF(X399="","مشكلة",""),IF(Y399="","الإجراء",""),IF(Z399="","التنفيذ",""),IF(AA399="","الجودة",""),IF(AB399="","الإغلاق",""),IF(AC399="","الخصم",""),IF(AND(COUNTA($O399:$U399)&gt;0,O399=""),"مدير المشروع",""),IF(AND(COUNTA($O399:$U399)&gt;0,P399=""),"المستفيدين",""),IF(AND(COUNTA($O399:$U399)&gt;0,Q399=""),"المناطق",""),IF(AND(COUNTA($O399:$U399)&gt;0,R399=""),"الميزانية",""),IF(AND(COUNTA($O399:$U399)&gt;0,S399=""),"نسبة الجاهزية",""),IF(AND(COUNTA($O399:$U399)&gt;0,T399=""),"حالة الجاهزية",""),IF(AND(COUNTA($O399:$U399)&gt;0,U399=""),"التوصيات","")))&gt;0,"✗ ناقص: "&amp;_xlfn.TEXTJOIN("، ",TRUE,IF(E399="","التاريخ",""),IF(F399="","الوقت",""),IF(G399="","المركز",""),IF(H399="","الدائرة",""),IF(I399="","القسم",""),IF(J399="","المسؤول",""),IF(K399="","نوع النشاط",""),IF(L399="","المشروع",""),IF(N399="","الممول",""),IF(V399="","الموضوع",""),IF(W399="","الملاحظة",""),IF(X399="","مشكلة",""),IF(Y399="","الإجراء",""),IF(Z399="","التنفيذ",""),IF(AA399="","الجودة",""),IF(AB399="","الإغلاق",""),IF(AC399="","الخصم",""),IF(AND(COUNTA($O399:$U399)&gt;0,O399=""),"مدير المشروع",""),IF(AND(COUNTA($O399:$U399)&gt;0,P399=""),"المستفيدين",""),IF(AND(COUNTA($O399:$U399)&gt;0,Q399=""),"المناطق",""),IF(AND(COUNTA($O399:$U399)&gt;0,R399=""),"الميزانية",""),IF(AND(COUNTA($O399:$U399)&gt;0,S399=""),"نسبة الجاهزية",""),IF(AND(COUNTA($O399:$U399)&gt;0,T399=""),"حالة الجاهزية",""),IF(AND(COUNTA($O399:$U399)&gt;0,U399=""),"التوصيات","")),"✓"),"✓"))))))))))</f>
        <v/>
      </c>
      <c r="E399" s="235"/>
      <c r="F399" s="236"/>
      <c r="G399" s="90"/>
      <c r="H399" s="239"/>
      <c r="I399" s="89"/>
      <c r="J399" s="142"/>
      <c r="K399" s="90"/>
      <c r="L399" s="90"/>
      <c r="M399" s="90"/>
      <c r="N399" s="89"/>
      <c r="O399" s="200"/>
      <c r="P399" s="201"/>
      <c r="Q399" s="201"/>
      <c r="R399" s="237"/>
      <c r="S399" s="202"/>
      <c r="T399" s="200"/>
      <c r="U399" s="203"/>
      <c r="V399" s="89"/>
      <c r="W399" s="89"/>
      <c r="X399" s="145"/>
      <c r="Y399" s="89"/>
      <c r="Z399" s="90"/>
      <c r="AA399" s="90"/>
      <c r="AB399" s="90"/>
      <c r="AC399" s="90"/>
      <c r="AD399" s="92"/>
      <c r="AE399" s="149" t="str">
        <f>IFERROR(VLOOKUP(Z399,LISTS!$AL$2:$AM$1000,2,FALSE()),"")</f>
        <v/>
      </c>
      <c r="AF399" s="151" t="str">
        <f>IFERROR(VLOOKUP(AA399,LISTS!$AO$2:$AP$1000,2,FALSE()),"")</f>
        <v/>
      </c>
      <c r="AG399" s="152" t="str">
        <f>IFERROR(VLOOKUP(AB399,LISTS!$AR$2:$AS$1000,2,FALSE()),"")</f>
        <v/>
      </c>
      <c r="AH399" s="154" t="str">
        <f>IFERROR(VLOOKUP(AC399,LISTS!$AU$2:$AV$1000,2,FALSE()),"")</f>
        <v/>
      </c>
      <c r="AI399" s="238" t="str">
        <f t="shared" si="33"/>
        <v>—</v>
      </c>
      <c r="AJ399" s="190" t="str">
        <f t="shared" si="34"/>
        <v>—</v>
      </c>
      <c r="AK399" s="157" t="str">
        <f t="shared" si="30"/>
        <v/>
      </c>
      <c r="AL399" s="160" t="str">
        <f t="shared" si="31"/>
        <v/>
      </c>
      <c r="AM399" s="210"/>
      <c r="AN399" s="209"/>
    </row>
    <row r="400" spans="1:40" ht="27.95" customHeight="1">
      <c r="A400" s="134" t="str">
        <f>IF(I400&lt;&gt;"",COUNTA($I$2:I400),"")</f>
        <v/>
      </c>
      <c r="B400" s="138" t="str">
        <f t="shared" si="32"/>
        <v/>
      </c>
      <c r="C400" s="93" t="str">
        <f t="array" ref="C400">IF(E400="","",IF(M400&lt;&gt;"",
M400&amp;"/"&amp;SUMPRODUCT((M$2:M400=M400)*1)&amp;" - "&amp;(ROW()-2),
"إداري/"&amp;SUMPRODUCT((M$2:M400="")*1)&amp;" - "&amp;(ROW()-2)))</f>
        <v/>
      </c>
      <c r="D400" s="141" t="str">
        <f>IF(AND(G400="",H400="",I400=""),"",IF(COUNTIFS(LISTS!$A$2:$A$67,G400,LISTS!$B$2:$B$67,H400,LISTS!$C$2:$C$67,I400)=0,"✗ هرم",IF(NOT(OR(Z400="ممتاز 100%",Z400="جيد 80%",Z400="مقبول 60%",Z400="خطر 40%",Z400="")),"✗ قائمة R",IF(NOT(OR(AA400="ممتاز 100%",AA400="جيد 85%",AA400="مقبول 70%",AA400="ضعيف 50%",AA400="")),"✗ قائمة S",IF(NOT(OR(AB400="مكتمل 100%",AB400="جزئي 60%",AB400="معلق 30%",AB400="مفتوح 0%",AB400="")),"✗ قائمة T",IF(NOT(OR(AC400="لا خصم 0",AC400="تأخير −5",AC400="عجز −10",AC400="جودة −15",AC400="امتثال −20",AC400="مخالفة −25",AC400="")),"✗ قائمة U",IF(AND(X400="لا",AC400&lt;&gt;"",AC400&lt;&gt;"لا خصم 0"),"✗ خصم",IF(AND(X400="نعم",AC400="لا خصم 0"),"✗ خصم",IF(AND(Z400="ممتاز 100%",AA400="ممتاز 100%",AB400&lt;&gt;"",AB400&lt;&gt;"مكتمل 100%"),"✗ إغلاق",IFERROR(IF(LEN(_xlfn.TEXTJOIN("، ",TRUE,IF(E400="","التاريخ",""),IF(F400="","الوقت",""),IF(G400="","المركز",""),IF(H400="","الدائرة",""),IF(I400="","القسم",""),IF(J400="","المسؤول",""),IF(K400="","نوع النشاط",""),IF(L400="","المشروع",""),IF(N400="","الممول",""),IF(V400="","الموضوع",""),IF(W400="","الملاحظة",""),IF(X400="","مشكلة",""),IF(Y400="","الإجراء",""),IF(Z400="","التنفيذ",""),IF(AA400="","الجودة",""),IF(AB400="","الإغلاق",""),IF(AC400="","الخصم",""),IF(AND(COUNTA($O400:$U400)&gt;0,O400=""),"مدير المشروع",""),IF(AND(COUNTA($O400:$U400)&gt;0,P400=""),"المستفيدين",""),IF(AND(COUNTA($O400:$U400)&gt;0,Q400=""),"المناطق",""),IF(AND(COUNTA($O400:$U400)&gt;0,R400=""),"الميزانية",""),IF(AND(COUNTA($O400:$U400)&gt;0,S400=""),"نسبة الجاهزية",""),IF(AND(COUNTA($O400:$U400)&gt;0,T400=""),"حالة الجاهزية",""),IF(AND(COUNTA($O400:$U400)&gt;0,U400=""),"التوصيات","")))&gt;0,"✗ ناقص: "&amp;_xlfn.TEXTJOIN("، ",TRUE,IF(E400="","التاريخ",""),IF(F400="","الوقت",""),IF(G400="","المركز",""),IF(H400="","الدائرة",""),IF(I400="","القسم",""),IF(J400="","المسؤول",""),IF(K400="","نوع النشاط",""),IF(L400="","المشروع",""),IF(N400="","الممول",""),IF(V400="","الموضوع",""),IF(W400="","الملاحظة",""),IF(X400="","مشكلة",""),IF(Y400="","الإجراء",""),IF(Z400="","التنفيذ",""),IF(AA400="","الجودة",""),IF(AB400="","الإغلاق",""),IF(AC400="","الخصم",""),IF(AND(COUNTA($O400:$U400)&gt;0,O400=""),"مدير المشروع",""),IF(AND(COUNTA($O400:$U400)&gt;0,P400=""),"المستفيدين",""),IF(AND(COUNTA($O400:$U400)&gt;0,Q400=""),"المناطق",""),IF(AND(COUNTA($O400:$U400)&gt;0,R400=""),"الميزانية",""),IF(AND(COUNTA($O400:$U400)&gt;0,S400=""),"نسبة الجاهزية",""),IF(AND(COUNTA($O400:$U400)&gt;0,T400=""),"حالة الجاهزية",""),IF(AND(COUNTA($O400:$U400)&gt;0,U400=""),"التوصيات","")),"✓"),"✓"))))))))))</f>
        <v/>
      </c>
      <c r="E400" s="235"/>
      <c r="F400" s="236"/>
      <c r="G400" s="90"/>
      <c r="H400" s="239"/>
      <c r="I400" s="89"/>
      <c r="J400" s="142"/>
      <c r="K400" s="90"/>
      <c r="L400" s="90"/>
      <c r="M400" s="90"/>
      <c r="N400" s="89"/>
      <c r="O400" s="200"/>
      <c r="P400" s="201"/>
      <c r="Q400" s="201"/>
      <c r="R400" s="237"/>
      <c r="S400" s="202"/>
      <c r="T400" s="200"/>
      <c r="U400" s="203"/>
      <c r="V400" s="89"/>
      <c r="W400" s="89"/>
      <c r="X400" s="145"/>
      <c r="Y400" s="89"/>
      <c r="Z400" s="90"/>
      <c r="AA400" s="90"/>
      <c r="AB400" s="90"/>
      <c r="AC400" s="90"/>
      <c r="AD400" s="92"/>
      <c r="AE400" s="149" t="str">
        <f>IFERROR(VLOOKUP(Z400,LISTS!$AL$2:$AM$1000,2,FALSE()),"")</f>
        <v/>
      </c>
      <c r="AF400" s="151" t="str">
        <f>IFERROR(VLOOKUP(AA400,LISTS!$AO$2:$AP$1000,2,FALSE()),"")</f>
        <v/>
      </c>
      <c r="AG400" s="152" t="str">
        <f>IFERROR(VLOOKUP(AB400,LISTS!$AR$2:$AS$1000,2,FALSE()),"")</f>
        <v/>
      </c>
      <c r="AH400" s="154" t="str">
        <f>IFERROR(VLOOKUP(AC400,LISTS!$AU$2:$AV$1000,2,FALSE()),"")</f>
        <v/>
      </c>
      <c r="AI400" s="238" t="str">
        <f t="shared" si="33"/>
        <v>—</v>
      </c>
      <c r="AJ400" s="190" t="str">
        <f t="shared" si="34"/>
        <v>—</v>
      </c>
      <c r="AK400" s="157" t="str">
        <f t="shared" si="30"/>
        <v/>
      </c>
      <c r="AL400" s="160" t="str">
        <f t="shared" si="31"/>
        <v/>
      </c>
      <c r="AM400" s="210"/>
      <c r="AN400" s="209"/>
    </row>
    <row r="401" spans="1:40" ht="27.95" customHeight="1">
      <c r="A401" s="134" t="str">
        <f>IF(I401&lt;&gt;"",COUNTA($I$2:I401),"")</f>
        <v/>
      </c>
      <c r="B401" s="138" t="str">
        <f t="shared" si="32"/>
        <v/>
      </c>
      <c r="C401" s="93" t="str">
        <f t="array" ref="C401">IF(E401="","",IF(M401&lt;&gt;"",
M401&amp;"/"&amp;SUMPRODUCT((M$2:M401=M401)*1)&amp;" - "&amp;(ROW()-2),
"إداري/"&amp;SUMPRODUCT((M$2:M401="")*1)&amp;" - "&amp;(ROW()-2)))</f>
        <v/>
      </c>
      <c r="D401" s="141" t="str">
        <f>IF(AND(G401="",H401="",I401=""),"",IF(COUNTIFS(LISTS!$A$2:$A$67,G401,LISTS!$B$2:$B$67,H401,LISTS!$C$2:$C$67,I401)=0,"✗ هرم",IF(NOT(OR(Z401="ممتاز 100%",Z401="جيد 80%",Z401="مقبول 60%",Z401="خطر 40%",Z401="")),"✗ قائمة R",IF(NOT(OR(AA401="ممتاز 100%",AA401="جيد 85%",AA401="مقبول 70%",AA401="ضعيف 50%",AA401="")),"✗ قائمة S",IF(NOT(OR(AB401="مكتمل 100%",AB401="جزئي 60%",AB401="معلق 30%",AB401="مفتوح 0%",AB401="")),"✗ قائمة T",IF(NOT(OR(AC401="لا خصم 0",AC401="تأخير −5",AC401="عجز −10",AC401="جودة −15",AC401="امتثال −20",AC401="مخالفة −25",AC401="")),"✗ قائمة U",IF(AND(X401="لا",AC401&lt;&gt;"",AC401&lt;&gt;"لا خصم 0"),"✗ خصم",IF(AND(X401="نعم",AC401="لا خصم 0"),"✗ خصم",IF(AND(Z401="ممتاز 100%",AA401="ممتاز 100%",AB401&lt;&gt;"",AB401&lt;&gt;"مكتمل 100%"),"✗ إغلاق",IFERROR(IF(LEN(_xlfn.TEXTJOIN("، ",TRUE,IF(E401="","التاريخ",""),IF(F401="","الوقت",""),IF(G401="","المركز",""),IF(H401="","الدائرة",""),IF(I401="","القسم",""),IF(J401="","المسؤول",""),IF(K401="","نوع النشاط",""),IF(L401="","المشروع",""),IF(N401="","الممول",""),IF(V401="","الموضوع",""),IF(W401="","الملاحظة",""),IF(X401="","مشكلة",""),IF(Y401="","الإجراء",""),IF(Z401="","التنفيذ",""),IF(AA401="","الجودة",""),IF(AB401="","الإغلاق",""),IF(AC401="","الخصم",""),IF(AND(COUNTA($O401:$U401)&gt;0,O401=""),"مدير المشروع",""),IF(AND(COUNTA($O401:$U401)&gt;0,P401=""),"المستفيدين",""),IF(AND(COUNTA($O401:$U401)&gt;0,Q401=""),"المناطق",""),IF(AND(COUNTA($O401:$U401)&gt;0,R401=""),"الميزانية",""),IF(AND(COUNTA($O401:$U401)&gt;0,S401=""),"نسبة الجاهزية",""),IF(AND(COUNTA($O401:$U401)&gt;0,T401=""),"حالة الجاهزية",""),IF(AND(COUNTA($O401:$U401)&gt;0,U401=""),"التوصيات","")))&gt;0,"✗ ناقص: "&amp;_xlfn.TEXTJOIN("، ",TRUE,IF(E401="","التاريخ",""),IF(F401="","الوقت",""),IF(G401="","المركز",""),IF(H401="","الدائرة",""),IF(I401="","القسم",""),IF(J401="","المسؤول",""),IF(K401="","نوع النشاط",""),IF(L401="","المشروع",""),IF(N401="","الممول",""),IF(V401="","الموضوع",""),IF(W401="","الملاحظة",""),IF(X401="","مشكلة",""),IF(Y401="","الإجراء",""),IF(Z401="","التنفيذ",""),IF(AA401="","الجودة",""),IF(AB401="","الإغلاق",""),IF(AC401="","الخصم",""),IF(AND(COUNTA($O401:$U401)&gt;0,O401=""),"مدير المشروع",""),IF(AND(COUNTA($O401:$U401)&gt;0,P401=""),"المستفيدين",""),IF(AND(COUNTA($O401:$U401)&gt;0,Q401=""),"المناطق",""),IF(AND(COUNTA($O401:$U401)&gt;0,R401=""),"الميزانية",""),IF(AND(COUNTA($O401:$U401)&gt;0,S401=""),"نسبة الجاهزية",""),IF(AND(COUNTA($O401:$U401)&gt;0,T401=""),"حالة الجاهزية",""),IF(AND(COUNTA($O401:$U401)&gt;0,U401=""),"التوصيات","")),"✓"),"✓"))))))))))</f>
        <v/>
      </c>
      <c r="E401" s="235"/>
      <c r="F401" s="236"/>
      <c r="G401" s="90"/>
      <c r="H401" s="239"/>
      <c r="I401" s="89"/>
      <c r="J401" s="142"/>
      <c r="K401" s="90"/>
      <c r="L401" s="90"/>
      <c r="M401" s="90"/>
      <c r="N401" s="89"/>
      <c r="O401" s="200"/>
      <c r="P401" s="201"/>
      <c r="Q401" s="201"/>
      <c r="R401" s="237"/>
      <c r="S401" s="202"/>
      <c r="T401" s="200"/>
      <c r="U401" s="203"/>
      <c r="V401" s="89"/>
      <c r="W401" s="89"/>
      <c r="X401" s="145"/>
      <c r="Y401" s="89"/>
      <c r="Z401" s="90"/>
      <c r="AA401" s="90"/>
      <c r="AB401" s="90"/>
      <c r="AC401" s="90"/>
      <c r="AD401" s="92"/>
      <c r="AE401" s="149" t="str">
        <f>IFERROR(VLOOKUP(Z401,LISTS!$AL$2:$AM$1000,2,FALSE()),"")</f>
        <v/>
      </c>
      <c r="AF401" s="151" t="str">
        <f>IFERROR(VLOOKUP(AA401,LISTS!$AO$2:$AP$1000,2,FALSE()),"")</f>
        <v/>
      </c>
      <c r="AG401" s="152" t="str">
        <f>IFERROR(VLOOKUP(AB401,LISTS!$AR$2:$AS$1000,2,FALSE()),"")</f>
        <v/>
      </c>
      <c r="AH401" s="154" t="str">
        <f>IFERROR(VLOOKUP(AC401,LISTS!$AU$2:$AV$1000,2,FALSE()),"")</f>
        <v/>
      </c>
      <c r="AI401" s="238" t="str">
        <f t="shared" si="33"/>
        <v>—</v>
      </c>
      <c r="AJ401" s="190" t="str">
        <f t="shared" si="34"/>
        <v>—</v>
      </c>
      <c r="AK401" s="157" t="str">
        <f t="shared" si="30"/>
        <v/>
      </c>
      <c r="AL401" s="160" t="str">
        <f t="shared" si="31"/>
        <v/>
      </c>
      <c r="AM401" s="210"/>
      <c r="AN401" s="209"/>
    </row>
    <row r="402" spans="1:40" ht="27.95" customHeight="1">
      <c r="A402" s="134" t="str">
        <f>IF(I402&lt;&gt;"",COUNTA($I$2:I402),"")</f>
        <v/>
      </c>
      <c r="B402" s="138" t="str">
        <f t="shared" si="32"/>
        <v/>
      </c>
      <c r="C402" s="93" t="str">
        <f t="array" ref="C402">IF(E402="","",IF(M402&lt;&gt;"",
M402&amp;"/"&amp;SUMPRODUCT((M$2:M402=M402)*1)&amp;" - "&amp;(ROW()-2),
"إداري/"&amp;SUMPRODUCT((M$2:M402="")*1)&amp;" - "&amp;(ROW()-2)))</f>
        <v/>
      </c>
      <c r="D402" s="141" t="str">
        <f>IF(AND(G402="",H402="",I402=""),"",IF(COUNTIFS(LISTS!$A$2:$A$67,G402,LISTS!$B$2:$B$67,H402,LISTS!$C$2:$C$67,I402)=0,"✗ هرم",IF(NOT(OR(Z402="ممتاز 100%",Z402="جيد 80%",Z402="مقبول 60%",Z402="خطر 40%",Z402="")),"✗ قائمة R",IF(NOT(OR(AA402="ممتاز 100%",AA402="جيد 85%",AA402="مقبول 70%",AA402="ضعيف 50%",AA402="")),"✗ قائمة S",IF(NOT(OR(AB402="مكتمل 100%",AB402="جزئي 60%",AB402="معلق 30%",AB402="مفتوح 0%",AB402="")),"✗ قائمة T",IF(NOT(OR(AC402="لا خصم 0",AC402="تأخير −5",AC402="عجز −10",AC402="جودة −15",AC402="امتثال −20",AC402="مخالفة −25",AC402="")),"✗ قائمة U",IF(AND(X402="لا",AC402&lt;&gt;"",AC402&lt;&gt;"لا خصم 0"),"✗ خصم",IF(AND(X402="نعم",AC402="لا خصم 0"),"✗ خصم",IF(AND(Z402="ممتاز 100%",AA402="ممتاز 100%",AB402&lt;&gt;"",AB402&lt;&gt;"مكتمل 100%"),"✗ إغلاق",IFERROR(IF(LEN(_xlfn.TEXTJOIN("، ",TRUE,IF(E402="","التاريخ",""),IF(F402="","الوقت",""),IF(G402="","المركز",""),IF(H402="","الدائرة",""),IF(I402="","القسم",""),IF(J402="","المسؤول",""),IF(K402="","نوع النشاط",""),IF(L402="","المشروع",""),IF(N402="","الممول",""),IF(V402="","الموضوع",""),IF(W402="","الملاحظة",""),IF(X402="","مشكلة",""),IF(Y402="","الإجراء",""),IF(Z402="","التنفيذ",""),IF(AA402="","الجودة",""),IF(AB402="","الإغلاق",""),IF(AC402="","الخصم",""),IF(AND(COUNTA($O402:$U402)&gt;0,O402=""),"مدير المشروع",""),IF(AND(COUNTA($O402:$U402)&gt;0,P402=""),"المستفيدين",""),IF(AND(COUNTA($O402:$U402)&gt;0,Q402=""),"المناطق",""),IF(AND(COUNTA($O402:$U402)&gt;0,R402=""),"الميزانية",""),IF(AND(COUNTA($O402:$U402)&gt;0,S402=""),"نسبة الجاهزية",""),IF(AND(COUNTA($O402:$U402)&gt;0,T402=""),"حالة الجاهزية",""),IF(AND(COUNTA($O402:$U402)&gt;0,U402=""),"التوصيات","")))&gt;0,"✗ ناقص: "&amp;_xlfn.TEXTJOIN("، ",TRUE,IF(E402="","التاريخ",""),IF(F402="","الوقت",""),IF(G402="","المركز",""),IF(H402="","الدائرة",""),IF(I402="","القسم",""),IF(J402="","المسؤول",""),IF(K402="","نوع النشاط",""),IF(L402="","المشروع",""),IF(N402="","الممول",""),IF(V402="","الموضوع",""),IF(W402="","الملاحظة",""),IF(X402="","مشكلة",""),IF(Y402="","الإجراء",""),IF(Z402="","التنفيذ",""),IF(AA402="","الجودة",""),IF(AB402="","الإغلاق",""),IF(AC402="","الخصم",""),IF(AND(COUNTA($O402:$U402)&gt;0,O402=""),"مدير المشروع",""),IF(AND(COUNTA($O402:$U402)&gt;0,P402=""),"المستفيدين",""),IF(AND(COUNTA($O402:$U402)&gt;0,Q402=""),"المناطق",""),IF(AND(COUNTA($O402:$U402)&gt;0,R402=""),"الميزانية",""),IF(AND(COUNTA($O402:$U402)&gt;0,S402=""),"نسبة الجاهزية",""),IF(AND(COUNTA($O402:$U402)&gt;0,T402=""),"حالة الجاهزية",""),IF(AND(COUNTA($O402:$U402)&gt;0,U402=""),"التوصيات","")),"✓"),"✓"))))))))))</f>
        <v/>
      </c>
      <c r="E402" s="235"/>
      <c r="F402" s="236"/>
      <c r="G402" s="90"/>
      <c r="H402" s="239"/>
      <c r="I402" s="89"/>
      <c r="J402" s="142"/>
      <c r="K402" s="90"/>
      <c r="L402" s="90"/>
      <c r="M402" s="90"/>
      <c r="N402" s="89"/>
      <c r="O402" s="200"/>
      <c r="P402" s="201"/>
      <c r="Q402" s="201"/>
      <c r="R402" s="237"/>
      <c r="S402" s="202"/>
      <c r="T402" s="200"/>
      <c r="U402" s="203"/>
      <c r="V402" s="89"/>
      <c r="W402" s="89"/>
      <c r="X402" s="145"/>
      <c r="Y402" s="89"/>
      <c r="Z402" s="90"/>
      <c r="AA402" s="90"/>
      <c r="AB402" s="90"/>
      <c r="AC402" s="90"/>
      <c r="AD402" s="92"/>
      <c r="AE402" s="149" t="str">
        <f>IFERROR(VLOOKUP(Z402,LISTS!$AL$2:$AM$1000,2,FALSE()),"")</f>
        <v/>
      </c>
      <c r="AF402" s="151" t="str">
        <f>IFERROR(VLOOKUP(AA402,LISTS!$AO$2:$AP$1000,2,FALSE()),"")</f>
        <v/>
      </c>
      <c r="AG402" s="152" t="str">
        <f>IFERROR(VLOOKUP(AB402,LISTS!$AR$2:$AS$1000,2,FALSE()),"")</f>
        <v/>
      </c>
      <c r="AH402" s="154" t="str">
        <f>IFERROR(VLOOKUP(AC402,LISTS!$AU$2:$AV$1000,2,FALSE()),"")</f>
        <v/>
      </c>
      <c r="AI402" s="238" t="str">
        <f t="shared" si="33"/>
        <v>—</v>
      </c>
      <c r="AJ402" s="190" t="str">
        <f t="shared" si="34"/>
        <v>—</v>
      </c>
      <c r="AK402" s="157" t="str">
        <f t="shared" si="30"/>
        <v/>
      </c>
      <c r="AL402" s="160" t="str">
        <f t="shared" si="31"/>
        <v/>
      </c>
      <c r="AM402" s="210"/>
      <c r="AN402" s="209"/>
    </row>
    <row r="403" spans="1:40" ht="27.95" customHeight="1">
      <c r="A403" s="134" t="str">
        <f>IF(I403&lt;&gt;"",COUNTA($I$2:I403),"")</f>
        <v/>
      </c>
      <c r="B403" s="138" t="str">
        <f t="shared" si="32"/>
        <v/>
      </c>
      <c r="C403" s="93" t="str">
        <f t="array" ref="C403">IF(E403="","",IF(M403&lt;&gt;"",
M403&amp;"/"&amp;SUMPRODUCT((M$2:M403=M403)*1)&amp;" - "&amp;(ROW()-2),
"إداري/"&amp;SUMPRODUCT((M$2:M403="")*1)&amp;" - "&amp;(ROW()-2)))</f>
        <v/>
      </c>
      <c r="D403" s="141" t="str">
        <f>IF(AND(G403="",H403="",I403=""),"",IF(COUNTIFS(LISTS!$A$2:$A$67,G403,LISTS!$B$2:$B$67,H403,LISTS!$C$2:$C$67,I403)=0,"✗ هرم",IF(NOT(OR(Z403="ممتاز 100%",Z403="جيد 80%",Z403="مقبول 60%",Z403="خطر 40%",Z403="")),"✗ قائمة R",IF(NOT(OR(AA403="ممتاز 100%",AA403="جيد 85%",AA403="مقبول 70%",AA403="ضعيف 50%",AA403="")),"✗ قائمة S",IF(NOT(OR(AB403="مكتمل 100%",AB403="جزئي 60%",AB403="معلق 30%",AB403="مفتوح 0%",AB403="")),"✗ قائمة T",IF(NOT(OR(AC403="لا خصم 0",AC403="تأخير −5",AC403="عجز −10",AC403="جودة −15",AC403="امتثال −20",AC403="مخالفة −25",AC403="")),"✗ قائمة U",IF(AND(X403="لا",AC403&lt;&gt;"",AC403&lt;&gt;"لا خصم 0"),"✗ خصم",IF(AND(X403="نعم",AC403="لا خصم 0"),"✗ خصم",IF(AND(Z403="ممتاز 100%",AA403="ممتاز 100%",AB403&lt;&gt;"",AB403&lt;&gt;"مكتمل 100%"),"✗ إغلاق",IFERROR(IF(LEN(_xlfn.TEXTJOIN("، ",TRUE,IF(E403="","التاريخ",""),IF(F403="","الوقت",""),IF(G403="","المركز",""),IF(H403="","الدائرة",""),IF(I403="","القسم",""),IF(J403="","المسؤول",""),IF(K403="","نوع النشاط",""),IF(L403="","المشروع",""),IF(N403="","الممول",""),IF(V403="","الموضوع",""),IF(W403="","الملاحظة",""),IF(X403="","مشكلة",""),IF(Y403="","الإجراء",""),IF(Z403="","التنفيذ",""),IF(AA403="","الجودة",""),IF(AB403="","الإغلاق",""),IF(AC403="","الخصم",""),IF(AND(COUNTA($O403:$U403)&gt;0,O403=""),"مدير المشروع",""),IF(AND(COUNTA($O403:$U403)&gt;0,P403=""),"المستفيدين",""),IF(AND(COUNTA($O403:$U403)&gt;0,Q403=""),"المناطق",""),IF(AND(COUNTA($O403:$U403)&gt;0,R403=""),"الميزانية",""),IF(AND(COUNTA($O403:$U403)&gt;0,S403=""),"نسبة الجاهزية",""),IF(AND(COUNTA($O403:$U403)&gt;0,T403=""),"حالة الجاهزية",""),IF(AND(COUNTA($O403:$U403)&gt;0,U403=""),"التوصيات","")))&gt;0,"✗ ناقص: "&amp;_xlfn.TEXTJOIN("، ",TRUE,IF(E403="","التاريخ",""),IF(F403="","الوقت",""),IF(G403="","المركز",""),IF(H403="","الدائرة",""),IF(I403="","القسم",""),IF(J403="","المسؤول",""),IF(K403="","نوع النشاط",""),IF(L403="","المشروع",""),IF(N403="","الممول",""),IF(V403="","الموضوع",""),IF(W403="","الملاحظة",""),IF(X403="","مشكلة",""),IF(Y403="","الإجراء",""),IF(Z403="","التنفيذ",""),IF(AA403="","الجودة",""),IF(AB403="","الإغلاق",""),IF(AC403="","الخصم",""),IF(AND(COUNTA($O403:$U403)&gt;0,O403=""),"مدير المشروع",""),IF(AND(COUNTA($O403:$U403)&gt;0,P403=""),"المستفيدين",""),IF(AND(COUNTA($O403:$U403)&gt;0,Q403=""),"المناطق",""),IF(AND(COUNTA($O403:$U403)&gt;0,R403=""),"الميزانية",""),IF(AND(COUNTA($O403:$U403)&gt;0,S403=""),"نسبة الجاهزية",""),IF(AND(COUNTA($O403:$U403)&gt;0,T403=""),"حالة الجاهزية",""),IF(AND(COUNTA($O403:$U403)&gt;0,U403=""),"التوصيات","")),"✓"),"✓"))))))))))</f>
        <v/>
      </c>
      <c r="E403" s="235"/>
      <c r="F403" s="236"/>
      <c r="G403" s="90"/>
      <c r="H403" s="239"/>
      <c r="I403" s="89"/>
      <c r="J403" s="142"/>
      <c r="K403" s="90"/>
      <c r="L403" s="90"/>
      <c r="M403" s="90"/>
      <c r="N403" s="89"/>
      <c r="O403" s="200"/>
      <c r="P403" s="201"/>
      <c r="Q403" s="201"/>
      <c r="R403" s="237"/>
      <c r="S403" s="202"/>
      <c r="T403" s="200"/>
      <c r="U403" s="203"/>
      <c r="V403" s="89"/>
      <c r="W403" s="89"/>
      <c r="X403" s="145"/>
      <c r="Y403" s="89"/>
      <c r="Z403" s="90"/>
      <c r="AA403" s="90"/>
      <c r="AB403" s="90"/>
      <c r="AC403" s="90"/>
      <c r="AD403" s="92"/>
      <c r="AE403" s="149" t="str">
        <f>IFERROR(VLOOKUP(Z403,LISTS!$AL$2:$AM$1000,2,FALSE()),"")</f>
        <v/>
      </c>
      <c r="AF403" s="151" t="str">
        <f>IFERROR(VLOOKUP(AA403,LISTS!$AO$2:$AP$1000,2,FALSE()),"")</f>
        <v/>
      </c>
      <c r="AG403" s="152" t="str">
        <f>IFERROR(VLOOKUP(AB403,LISTS!$AR$2:$AS$1000,2,FALSE()),"")</f>
        <v/>
      </c>
      <c r="AH403" s="154" t="str">
        <f>IFERROR(VLOOKUP(AC403,LISTS!$AU$2:$AV$1000,2,FALSE()),"")</f>
        <v/>
      </c>
      <c r="AI403" s="238" t="str">
        <f t="shared" si="33"/>
        <v>—</v>
      </c>
      <c r="AJ403" s="190" t="str">
        <f t="shared" si="34"/>
        <v>—</v>
      </c>
      <c r="AK403" s="157" t="str">
        <f t="shared" si="30"/>
        <v/>
      </c>
      <c r="AL403" s="160" t="str">
        <f t="shared" si="31"/>
        <v/>
      </c>
      <c r="AM403" s="210"/>
      <c r="AN403" s="209"/>
    </row>
    <row r="404" spans="1:40" ht="27.95" customHeight="1">
      <c r="A404" s="134" t="str">
        <f>IF(I404&lt;&gt;"",COUNTA($I$2:I404),"")</f>
        <v/>
      </c>
      <c r="B404" s="138" t="str">
        <f t="shared" si="32"/>
        <v/>
      </c>
      <c r="C404" s="93" t="str">
        <f t="array" ref="C404">IF(E404="","",IF(M404&lt;&gt;"",
M404&amp;"/"&amp;SUMPRODUCT((M$2:M404=M404)*1)&amp;" - "&amp;(ROW()-2),
"إداري/"&amp;SUMPRODUCT((M$2:M404="")*1)&amp;" - "&amp;(ROW()-2)))</f>
        <v/>
      </c>
      <c r="D404" s="141" t="str">
        <f>IF(AND(G404="",H404="",I404=""),"",IF(COUNTIFS(LISTS!$A$2:$A$67,G404,LISTS!$B$2:$B$67,H404,LISTS!$C$2:$C$67,I404)=0,"✗ هرم",IF(NOT(OR(Z404="ممتاز 100%",Z404="جيد 80%",Z404="مقبول 60%",Z404="خطر 40%",Z404="")),"✗ قائمة R",IF(NOT(OR(AA404="ممتاز 100%",AA404="جيد 85%",AA404="مقبول 70%",AA404="ضعيف 50%",AA404="")),"✗ قائمة S",IF(NOT(OR(AB404="مكتمل 100%",AB404="جزئي 60%",AB404="معلق 30%",AB404="مفتوح 0%",AB404="")),"✗ قائمة T",IF(NOT(OR(AC404="لا خصم 0",AC404="تأخير −5",AC404="عجز −10",AC404="جودة −15",AC404="امتثال −20",AC404="مخالفة −25",AC404="")),"✗ قائمة U",IF(AND(X404="لا",AC404&lt;&gt;"",AC404&lt;&gt;"لا خصم 0"),"✗ خصم",IF(AND(X404="نعم",AC404="لا خصم 0"),"✗ خصم",IF(AND(Z404="ممتاز 100%",AA404="ممتاز 100%",AB404&lt;&gt;"",AB404&lt;&gt;"مكتمل 100%"),"✗ إغلاق",IFERROR(IF(LEN(_xlfn.TEXTJOIN("، ",TRUE,IF(E404="","التاريخ",""),IF(F404="","الوقت",""),IF(G404="","المركز",""),IF(H404="","الدائرة",""),IF(I404="","القسم",""),IF(J404="","المسؤول",""),IF(K404="","نوع النشاط",""),IF(L404="","المشروع",""),IF(N404="","الممول",""),IF(V404="","الموضوع",""),IF(W404="","الملاحظة",""),IF(X404="","مشكلة",""),IF(Y404="","الإجراء",""),IF(Z404="","التنفيذ",""),IF(AA404="","الجودة",""),IF(AB404="","الإغلاق",""),IF(AC404="","الخصم",""),IF(AND(COUNTA($O404:$U404)&gt;0,O404=""),"مدير المشروع",""),IF(AND(COUNTA($O404:$U404)&gt;0,P404=""),"المستفيدين",""),IF(AND(COUNTA($O404:$U404)&gt;0,Q404=""),"المناطق",""),IF(AND(COUNTA($O404:$U404)&gt;0,R404=""),"الميزانية",""),IF(AND(COUNTA($O404:$U404)&gt;0,S404=""),"نسبة الجاهزية",""),IF(AND(COUNTA($O404:$U404)&gt;0,T404=""),"حالة الجاهزية",""),IF(AND(COUNTA($O404:$U404)&gt;0,U404=""),"التوصيات","")))&gt;0,"✗ ناقص: "&amp;_xlfn.TEXTJOIN("، ",TRUE,IF(E404="","التاريخ",""),IF(F404="","الوقت",""),IF(G404="","المركز",""),IF(H404="","الدائرة",""),IF(I404="","القسم",""),IF(J404="","المسؤول",""),IF(K404="","نوع النشاط",""),IF(L404="","المشروع",""),IF(N404="","الممول",""),IF(V404="","الموضوع",""),IF(W404="","الملاحظة",""),IF(X404="","مشكلة",""),IF(Y404="","الإجراء",""),IF(Z404="","التنفيذ",""),IF(AA404="","الجودة",""),IF(AB404="","الإغلاق",""),IF(AC404="","الخصم",""),IF(AND(COUNTA($O404:$U404)&gt;0,O404=""),"مدير المشروع",""),IF(AND(COUNTA($O404:$U404)&gt;0,P404=""),"المستفيدين",""),IF(AND(COUNTA($O404:$U404)&gt;0,Q404=""),"المناطق",""),IF(AND(COUNTA($O404:$U404)&gt;0,R404=""),"الميزانية",""),IF(AND(COUNTA($O404:$U404)&gt;0,S404=""),"نسبة الجاهزية",""),IF(AND(COUNTA($O404:$U404)&gt;0,T404=""),"حالة الجاهزية",""),IF(AND(COUNTA($O404:$U404)&gt;0,U404=""),"التوصيات","")),"✓"),"✓"))))))))))</f>
        <v/>
      </c>
      <c r="E404" s="235"/>
      <c r="F404" s="236"/>
      <c r="G404" s="90"/>
      <c r="H404" s="239"/>
      <c r="I404" s="89"/>
      <c r="J404" s="142"/>
      <c r="K404" s="90"/>
      <c r="L404" s="90"/>
      <c r="M404" s="90"/>
      <c r="N404" s="89"/>
      <c r="O404" s="200"/>
      <c r="P404" s="201"/>
      <c r="Q404" s="201"/>
      <c r="R404" s="237"/>
      <c r="S404" s="202"/>
      <c r="T404" s="200"/>
      <c r="U404" s="203"/>
      <c r="V404" s="89"/>
      <c r="W404" s="89"/>
      <c r="X404" s="145"/>
      <c r="Y404" s="89"/>
      <c r="Z404" s="90"/>
      <c r="AA404" s="90"/>
      <c r="AB404" s="90"/>
      <c r="AC404" s="90"/>
      <c r="AD404" s="92"/>
      <c r="AE404" s="149" t="str">
        <f>IFERROR(VLOOKUP(Z404,LISTS!$AL$2:$AM$1000,2,FALSE()),"")</f>
        <v/>
      </c>
      <c r="AF404" s="151" t="str">
        <f>IFERROR(VLOOKUP(AA404,LISTS!$AO$2:$AP$1000,2,FALSE()),"")</f>
        <v/>
      </c>
      <c r="AG404" s="152" t="str">
        <f>IFERROR(VLOOKUP(AB404,LISTS!$AR$2:$AS$1000,2,FALSE()),"")</f>
        <v/>
      </c>
      <c r="AH404" s="154" t="str">
        <f>IFERROR(VLOOKUP(AC404,LISTS!$AU$2:$AV$1000,2,FALSE()),"")</f>
        <v/>
      </c>
      <c r="AI404" s="238" t="str">
        <f t="shared" si="33"/>
        <v>—</v>
      </c>
      <c r="AJ404" s="190" t="str">
        <f t="shared" si="34"/>
        <v>—</v>
      </c>
      <c r="AK404" s="157" t="str">
        <f t="shared" si="30"/>
        <v/>
      </c>
      <c r="AL404" s="160" t="str">
        <f t="shared" si="31"/>
        <v/>
      </c>
      <c r="AM404" s="210"/>
      <c r="AN404" s="209"/>
    </row>
    <row r="405" spans="1:40" ht="27.95" customHeight="1">
      <c r="A405" s="134" t="str">
        <f>IF(I405&lt;&gt;"",COUNTA($I$2:I405),"")</f>
        <v/>
      </c>
      <c r="B405" s="138" t="str">
        <f t="shared" si="32"/>
        <v/>
      </c>
      <c r="C405" s="93" t="str">
        <f t="array" ref="C405">IF(E405="","",IF(M405&lt;&gt;"",
M405&amp;"/"&amp;SUMPRODUCT((M$2:M405=M405)*1)&amp;" - "&amp;(ROW()-2),
"إداري/"&amp;SUMPRODUCT((M$2:M405="")*1)&amp;" - "&amp;(ROW()-2)))</f>
        <v/>
      </c>
      <c r="D405" s="141" t="str">
        <f>IF(AND(G405="",H405="",I405=""),"",IF(COUNTIFS(LISTS!$A$2:$A$67,G405,LISTS!$B$2:$B$67,H405,LISTS!$C$2:$C$67,I405)=0,"✗ هرم",IF(NOT(OR(Z405="ممتاز 100%",Z405="جيد 80%",Z405="مقبول 60%",Z405="خطر 40%",Z405="")),"✗ قائمة R",IF(NOT(OR(AA405="ممتاز 100%",AA405="جيد 85%",AA405="مقبول 70%",AA405="ضعيف 50%",AA405="")),"✗ قائمة S",IF(NOT(OR(AB405="مكتمل 100%",AB405="جزئي 60%",AB405="معلق 30%",AB405="مفتوح 0%",AB405="")),"✗ قائمة T",IF(NOT(OR(AC405="لا خصم 0",AC405="تأخير −5",AC405="عجز −10",AC405="جودة −15",AC405="امتثال −20",AC405="مخالفة −25",AC405="")),"✗ قائمة U",IF(AND(X405="لا",AC405&lt;&gt;"",AC405&lt;&gt;"لا خصم 0"),"✗ خصم",IF(AND(X405="نعم",AC405="لا خصم 0"),"✗ خصم",IF(AND(Z405="ممتاز 100%",AA405="ممتاز 100%",AB405&lt;&gt;"",AB405&lt;&gt;"مكتمل 100%"),"✗ إغلاق",IFERROR(IF(LEN(_xlfn.TEXTJOIN("، ",TRUE,IF(E405="","التاريخ",""),IF(F405="","الوقت",""),IF(G405="","المركز",""),IF(H405="","الدائرة",""),IF(I405="","القسم",""),IF(J405="","المسؤول",""),IF(K405="","نوع النشاط",""),IF(L405="","المشروع",""),IF(N405="","الممول",""),IF(V405="","الموضوع",""),IF(W405="","الملاحظة",""),IF(X405="","مشكلة",""),IF(Y405="","الإجراء",""),IF(Z405="","التنفيذ",""),IF(AA405="","الجودة",""),IF(AB405="","الإغلاق",""),IF(AC405="","الخصم",""),IF(AND(COUNTA($O405:$U405)&gt;0,O405=""),"مدير المشروع",""),IF(AND(COUNTA($O405:$U405)&gt;0,P405=""),"المستفيدين",""),IF(AND(COUNTA($O405:$U405)&gt;0,Q405=""),"المناطق",""),IF(AND(COUNTA($O405:$U405)&gt;0,R405=""),"الميزانية",""),IF(AND(COUNTA($O405:$U405)&gt;0,S405=""),"نسبة الجاهزية",""),IF(AND(COUNTA($O405:$U405)&gt;0,T405=""),"حالة الجاهزية",""),IF(AND(COUNTA($O405:$U405)&gt;0,U405=""),"التوصيات","")))&gt;0,"✗ ناقص: "&amp;_xlfn.TEXTJOIN("، ",TRUE,IF(E405="","التاريخ",""),IF(F405="","الوقت",""),IF(G405="","المركز",""),IF(H405="","الدائرة",""),IF(I405="","القسم",""),IF(J405="","المسؤول",""),IF(K405="","نوع النشاط",""),IF(L405="","المشروع",""),IF(N405="","الممول",""),IF(V405="","الموضوع",""),IF(W405="","الملاحظة",""),IF(X405="","مشكلة",""),IF(Y405="","الإجراء",""),IF(Z405="","التنفيذ",""),IF(AA405="","الجودة",""),IF(AB405="","الإغلاق",""),IF(AC405="","الخصم",""),IF(AND(COUNTA($O405:$U405)&gt;0,O405=""),"مدير المشروع",""),IF(AND(COUNTA($O405:$U405)&gt;0,P405=""),"المستفيدين",""),IF(AND(COUNTA($O405:$U405)&gt;0,Q405=""),"المناطق",""),IF(AND(COUNTA($O405:$U405)&gt;0,R405=""),"الميزانية",""),IF(AND(COUNTA($O405:$U405)&gt;0,S405=""),"نسبة الجاهزية",""),IF(AND(COUNTA($O405:$U405)&gt;0,T405=""),"حالة الجاهزية",""),IF(AND(COUNTA($O405:$U405)&gt;0,U405=""),"التوصيات","")),"✓"),"✓"))))))))))</f>
        <v/>
      </c>
      <c r="E405" s="235"/>
      <c r="F405" s="236"/>
      <c r="G405" s="90"/>
      <c r="H405" s="239"/>
      <c r="I405" s="89"/>
      <c r="J405" s="142"/>
      <c r="K405" s="90"/>
      <c r="L405" s="90"/>
      <c r="M405" s="90"/>
      <c r="N405" s="89"/>
      <c r="O405" s="200"/>
      <c r="P405" s="201"/>
      <c r="Q405" s="201"/>
      <c r="R405" s="237"/>
      <c r="S405" s="202"/>
      <c r="T405" s="200"/>
      <c r="U405" s="203"/>
      <c r="V405" s="89"/>
      <c r="W405" s="89"/>
      <c r="X405" s="145"/>
      <c r="Y405" s="89"/>
      <c r="Z405" s="90"/>
      <c r="AA405" s="90"/>
      <c r="AB405" s="90"/>
      <c r="AC405" s="90"/>
      <c r="AD405" s="92"/>
      <c r="AE405" s="149" t="str">
        <f>IFERROR(VLOOKUP(Z405,LISTS!$AL$2:$AM$1000,2,FALSE()),"")</f>
        <v/>
      </c>
      <c r="AF405" s="151" t="str">
        <f>IFERROR(VLOOKUP(AA405,LISTS!$AO$2:$AP$1000,2,FALSE()),"")</f>
        <v/>
      </c>
      <c r="AG405" s="152" t="str">
        <f>IFERROR(VLOOKUP(AB405,LISTS!$AR$2:$AS$1000,2,FALSE()),"")</f>
        <v/>
      </c>
      <c r="AH405" s="154" t="str">
        <f>IFERROR(VLOOKUP(AC405,LISTS!$AU$2:$AV$1000,2,FALSE()),"")</f>
        <v/>
      </c>
      <c r="AI405" s="238" t="str">
        <f t="shared" si="33"/>
        <v>—</v>
      </c>
      <c r="AJ405" s="190" t="str">
        <f t="shared" si="34"/>
        <v>—</v>
      </c>
      <c r="AK405" s="157" t="str">
        <f t="shared" si="30"/>
        <v/>
      </c>
      <c r="AL405" s="160" t="str">
        <f t="shared" si="31"/>
        <v/>
      </c>
      <c r="AM405" s="210"/>
      <c r="AN405" s="209"/>
    </row>
    <row r="406" spans="1:40" ht="27.95" customHeight="1">
      <c r="A406" s="134" t="str">
        <f>IF(I406&lt;&gt;"",COUNTA($I$2:I406),"")</f>
        <v/>
      </c>
      <c r="B406" s="138" t="str">
        <f t="shared" si="32"/>
        <v/>
      </c>
      <c r="C406" s="93" t="str">
        <f t="array" ref="C406">IF(E406="","",IF(M406&lt;&gt;"",
M406&amp;"/"&amp;SUMPRODUCT((M$2:M406=M406)*1)&amp;" - "&amp;(ROW()-2),
"إداري/"&amp;SUMPRODUCT((M$2:M406="")*1)&amp;" - "&amp;(ROW()-2)))</f>
        <v/>
      </c>
      <c r="D406" s="141" t="str">
        <f>IF(AND(G406="",H406="",I406=""),"",IF(COUNTIFS(LISTS!$A$2:$A$67,G406,LISTS!$B$2:$B$67,H406,LISTS!$C$2:$C$67,I406)=0,"✗ هرم",IF(NOT(OR(Z406="ممتاز 100%",Z406="جيد 80%",Z406="مقبول 60%",Z406="خطر 40%",Z406="")),"✗ قائمة R",IF(NOT(OR(AA406="ممتاز 100%",AA406="جيد 85%",AA406="مقبول 70%",AA406="ضعيف 50%",AA406="")),"✗ قائمة S",IF(NOT(OR(AB406="مكتمل 100%",AB406="جزئي 60%",AB406="معلق 30%",AB406="مفتوح 0%",AB406="")),"✗ قائمة T",IF(NOT(OR(AC406="لا خصم 0",AC406="تأخير −5",AC406="عجز −10",AC406="جودة −15",AC406="امتثال −20",AC406="مخالفة −25",AC406="")),"✗ قائمة U",IF(AND(X406="لا",AC406&lt;&gt;"",AC406&lt;&gt;"لا خصم 0"),"✗ خصم",IF(AND(X406="نعم",AC406="لا خصم 0"),"✗ خصم",IF(AND(Z406="ممتاز 100%",AA406="ممتاز 100%",AB406&lt;&gt;"",AB406&lt;&gt;"مكتمل 100%"),"✗ إغلاق",IFERROR(IF(LEN(_xlfn.TEXTJOIN("، ",TRUE,IF(E406="","التاريخ",""),IF(F406="","الوقت",""),IF(G406="","المركز",""),IF(H406="","الدائرة",""),IF(I406="","القسم",""),IF(J406="","المسؤول",""),IF(K406="","نوع النشاط",""),IF(L406="","المشروع",""),IF(N406="","الممول",""),IF(V406="","الموضوع",""),IF(W406="","الملاحظة",""),IF(X406="","مشكلة",""),IF(Y406="","الإجراء",""),IF(Z406="","التنفيذ",""),IF(AA406="","الجودة",""),IF(AB406="","الإغلاق",""),IF(AC406="","الخصم",""),IF(AND(COUNTA($O406:$U406)&gt;0,O406=""),"مدير المشروع",""),IF(AND(COUNTA($O406:$U406)&gt;0,P406=""),"المستفيدين",""),IF(AND(COUNTA($O406:$U406)&gt;0,Q406=""),"المناطق",""),IF(AND(COUNTA($O406:$U406)&gt;0,R406=""),"الميزانية",""),IF(AND(COUNTA($O406:$U406)&gt;0,S406=""),"نسبة الجاهزية",""),IF(AND(COUNTA($O406:$U406)&gt;0,T406=""),"حالة الجاهزية",""),IF(AND(COUNTA($O406:$U406)&gt;0,U406=""),"التوصيات","")))&gt;0,"✗ ناقص: "&amp;_xlfn.TEXTJOIN("، ",TRUE,IF(E406="","التاريخ",""),IF(F406="","الوقت",""),IF(G406="","المركز",""),IF(H406="","الدائرة",""),IF(I406="","القسم",""),IF(J406="","المسؤول",""),IF(K406="","نوع النشاط",""),IF(L406="","المشروع",""),IF(N406="","الممول",""),IF(V406="","الموضوع",""),IF(W406="","الملاحظة",""),IF(X406="","مشكلة",""),IF(Y406="","الإجراء",""),IF(Z406="","التنفيذ",""),IF(AA406="","الجودة",""),IF(AB406="","الإغلاق",""),IF(AC406="","الخصم",""),IF(AND(COUNTA($O406:$U406)&gt;0,O406=""),"مدير المشروع",""),IF(AND(COUNTA($O406:$U406)&gt;0,P406=""),"المستفيدين",""),IF(AND(COUNTA($O406:$U406)&gt;0,Q406=""),"المناطق",""),IF(AND(COUNTA($O406:$U406)&gt;0,R406=""),"الميزانية",""),IF(AND(COUNTA($O406:$U406)&gt;0,S406=""),"نسبة الجاهزية",""),IF(AND(COUNTA($O406:$U406)&gt;0,T406=""),"حالة الجاهزية",""),IF(AND(COUNTA($O406:$U406)&gt;0,U406=""),"التوصيات","")),"✓"),"✓"))))))))))</f>
        <v/>
      </c>
      <c r="E406" s="235"/>
      <c r="F406" s="236"/>
      <c r="G406" s="90"/>
      <c r="H406" s="239"/>
      <c r="I406" s="89"/>
      <c r="J406" s="142"/>
      <c r="K406" s="90"/>
      <c r="L406" s="90"/>
      <c r="M406" s="90"/>
      <c r="N406" s="89"/>
      <c r="O406" s="200"/>
      <c r="P406" s="201"/>
      <c r="Q406" s="201"/>
      <c r="R406" s="237"/>
      <c r="S406" s="202"/>
      <c r="T406" s="200"/>
      <c r="U406" s="203"/>
      <c r="V406" s="89"/>
      <c r="W406" s="89"/>
      <c r="X406" s="145"/>
      <c r="Y406" s="89"/>
      <c r="Z406" s="90"/>
      <c r="AA406" s="90"/>
      <c r="AB406" s="90"/>
      <c r="AC406" s="90"/>
      <c r="AD406" s="92"/>
      <c r="AE406" s="149" t="str">
        <f>IFERROR(VLOOKUP(Z406,LISTS!$AL$2:$AM$1000,2,FALSE()),"")</f>
        <v/>
      </c>
      <c r="AF406" s="151" t="str">
        <f>IFERROR(VLOOKUP(AA406,LISTS!$AO$2:$AP$1000,2,FALSE()),"")</f>
        <v/>
      </c>
      <c r="AG406" s="152" t="str">
        <f>IFERROR(VLOOKUP(AB406,LISTS!$AR$2:$AS$1000,2,FALSE()),"")</f>
        <v/>
      </c>
      <c r="AH406" s="154" t="str">
        <f>IFERROR(VLOOKUP(AC406,LISTS!$AU$2:$AV$1000,2,FALSE()),"")</f>
        <v/>
      </c>
      <c r="AI406" s="238" t="str">
        <f t="shared" si="33"/>
        <v>—</v>
      </c>
      <c r="AJ406" s="190" t="str">
        <f t="shared" si="34"/>
        <v>—</v>
      </c>
      <c r="AK406" s="157" t="str">
        <f t="shared" si="30"/>
        <v/>
      </c>
      <c r="AL406" s="160" t="str">
        <f t="shared" si="31"/>
        <v/>
      </c>
      <c r="AM406" s="210"/>
      <c r="AN406" s="209"/>
    </row>
    <row r="407" spans="1:40" ht="27.95" customHeight="1">
      <c r="A407" s="134" t="str">
        <f>IF(I407&lt;&gt;"",COUNTA($I$2:I407),"")</f>
        <v/>
      </c>
      <c r="B407" s="138" t="str">
        <f t="shared" si="32"/>
        <v/>
      </c>
      <c r="C407" s="93" t="str">
        <f t="array" ref="C407">IF(E407="","",IF(M407&lt;&gt;"",
M407&amp;"/"&amp;SUMPRODUCT((M$2:M407=M407)*1)&amp;" - "&amp;(ROW()-2),
"إداري/"&amp;SUMPRODUCT((M$2:M407="")*1)&amp;" - "&amp;(ROW()-2)))</f>
        <v/>
      </c>
      <c r="D407" s="141" t="str">
        <f>IF(AND(G407="",H407="",I407=""),"",IF(COUNTIFS(LISTS!$A$2:$A$67,G407,LISTS!$B$2:$B$67,H407,LISTS!$C$2:$C$67,I407)=0,"✗ هرم",IF(NOT(OR(Z407="ممتاز 100%",Z407="جيد 80%",Z407="مقبول 60%",Z407="خطر 40%",Z407="")),"✗ قائمة R",IF(NOT(OR(AA407="ممتاز 100%",AA407="جيد 85%",AA407="مقبول 70%",AA407="ضعيف 50%",AA407="")),"✗ قائمة S",IF(NOT(OR(AB407="مكتمل 100%",AB407="جزئي 60%",AB407="معلق 30%",AB407="مفتوح 0%",AB407="")),"✗ قائمة T",IF(NOT(OR(AC407="لا خصم 0",AC407="تأخير −5",AC407="عجز −10",AC407="جودة −15",AC407="امتثال −20",AC407="مخالفة −25",AC407="")),"✗ قائمة U",IF(AND(X407="لا",AC407&lt;&gt;"",AC407&lt;&gt;"لا خصم 0"),"✗ خصم",IF(AND(X407="نعم",AC407="لا خصم 0"),"✗ خصم",IF(AND(Z407="ممتاز 100%",AA407="ممتاز 100%",AB407&lt;&gt;"",AB407&lt;&gt;"مكتمل 100%"),"✗ إغلاق",IFERROR(IF(LEN(_xlfn.TEXTJOIN("، ",TRUE,IF(E407="","التاريخ",""),IF(F407="","الوقت",""),IF(G407="","المركز",""),IF(H407="","الدائرة",""),IF(I407="","القسم",""),IF(J407="","المسؤول",""),IF(K407="","نوع النشاط",""),IF(L407="","المشروع",""),IF(N407="","الممول",""),IF(V407="","الموضوع",""),IF(W407="","الملاحظة",""),IF(X407="","مشكلة",""),IF(Y407="","الإجراء",""),IF(Z407="","التنفيذ",""),IF(AA407="","الجودة",""),IF(AB407="","الإغلاق",""),IF(AC407="","الخصم",""),IF(AND(COUNTA($O407:$U407)&gt;0,O407=""),"مدير المشروع",""),IF(AND(COUNTA($O407:$U407)&gt;0,P407=""),"المستفيدين",""),IF(AND(COUNTA($O407:$U407)&gt;0,Q407=""),"المناطق",""),IF(AND(COUNTA($O407:$U407)&gt;0,R407=""),"الميزانية",""),IF(AND(COUNTA($O407:$U407)&gt;0,S407=""),"نسبة الجاهزية",""),IF(AND(COUNTA($O407:$U407)&gt;0,T407=""),"حالة الجاهزية",""),IF(AND(COUNTA($O407:$U407)&gt;0,U407=""),"التوصيات","")))&gt;0,"✗ ناقص: "&amp;_xlfn.TEXTJOIN("، ",TRUE,IF(E407="","التاريخ",""),IF(F407="","الوقت",""),IF(G407="","المركز",""),IF(H407="","الدائرة",""),IF(I407="","القسم",""),IF(J407="","المسؤول",""),IF(K407="","نوع النشاط",""),IF(L407="","المشروع",""),IF(N407="","الممول",""),IF(V407="","الموضوع",""),IF(W407="","الملاحظة",""),IF(X407="","مشكلة",""),IF(Y407="","الإجراء",""),IF(Z407="","التنفيذ",""),IF(AA407="","الجودة",""),IF(AB407="","الإغلاق",""),IF(AC407="","الخصم",""),IF(AND(COUNTA($O407:$U407)&gt;0,O407=""),"مدير المشروع",""),IF(AND(COUNTA($O407:$U407)&gt;0,P407=""),"المستفيدين",""),IF(AND(COUNTA($O407:$U407)&gt;0,Q407=""),"المناطق",""),IF(AND(COUNTA($O407:$U407)&gt;0,R407=""),"الميزانية",""),IF(AND(COUNTA($O407:$U407)&gt;0,S407=""),"نسبة الجاهزية",""),IF(AND(COUNTA($O407:$U407)&gt;0,T407=""),"حالة الجاهزية",""),IF(AND(COUNTA($O407:$U407)&gt;0,U407=""),"التوصيات","")),"✓"),"✓"))))))))))</f>
        <v/>
      </c>
      <c r="E407" s="235"/>
      <c r="F407" s="236"/>
      <c r="G407" s="90"/>
      <c r="H407" s="239"/>
      <c r="I407" s="89"/>
      <c r="J407" s="142"/>
      <c r="K407" s="90"/>
      <c r="L407" s="90"/>
      <c r="M407" s="90"/>
      <c r="N407" s="89"/>
      <c r="O407" s="200"/>
      <c r="P407" s="201"/>
      <c r="Q407" s="201"/>
      <c r="R407" s="237"/>
      <c r="S407" s="202"/>
      <c r="T407" s="200"/>
      <c r="U407" s="203"/>
      <c r="V407" s="89"/>
      <c r="W407" s="89"/>
      <c r="X407" s="145"/>
      <c r="Y407" s="89"/>
      <c r="Z407" s="90"/>
      <c r="AA407" s="90"/>
      <c r="AB407" s="90"/>
      <c r="AC407" s="90"/>
      <c r="AD407" s="92"/>
      <c r="AE407" s="149" t="str">
        <f>IFERROR(VLOOKUP(Z407,LISTS!$AL$2:$AM$1000,2,FALSE()),"")</f>
        <v/>
      </c>
      <c r="AF407" s="151" t="str">
        <f>IFERROR(VLOOKUP(AA407,LISTS!$AO$2:$AP$1000,2,FALSE()),"")</f>
        <v/>
      </c>
      <c r="AG407" s="152" t="str">
        <f>IFERROR(VLOOKUP(AB407,LISTS!$AR$2:$AS$1000,2,FALSE()),"")</f>
        <v/>
      </c>
      <c r="AH407" s="154" t="str">
        <f>IFERROR(VLOOKUP(AC407,LISTS!$AU$2:$AV$1000,2,FALSE()),"")</f>
        <v/>
      </c>
      <c r="AI407" s="238" t="str">
        <f t="shared" si="33"/>
        <v>—</v>
      </c>
      <c r="AJ407" s="190" t="str">
        <f t="shared" si="34"/>
        <v>—</v>
      </c>
      <c r="AK407" s="157" t="str">
        <f t="shared" si="30"/>
        <v/>
      </c>
      <c r="AL407" s="160" t="str">
        <f t="shared" si="31"/>
        <v/>
      </c>
      <c r="AM407" s="210"/>
      <c r="AN407" s="209"/>
    </row>
    <row r="408" spans="1:40" ht="27.95" customHeight="1">
      <c r="A408" s="134" t="str">
        <f>IF(I408&lt;&gt;"",COUNTA($I$2:I408),"")</f>
        <v/>
      </c>
      <c r="B408" s="138" t="str">
        <f t="shared" si="32"/>
        <v/>
      </c>
      <c r="C408" s="93" t="str">
        <f t="array" ref="C408">IF(E408="","",IF(M408&lt;&gt;"",
M408&amp;"/"&amp;SUMPRODUCT((M$2:M408=M408)*1)&amp;" - "&amp;(ROW()-2),
"إداري/"&amp;SUMPRODUCT((M$2:M408="")*1)&amp;" - "&amp;(ROW()-2)))</f>
        <v/>
      </c>
      <c r="D408" s="141" t="str">
        <f>IF(AND(G408="",H408="",I408=""),"",IF(COUNTIFS(LISTS!$A$2:$A$67,G408,LISTS!$B$2:$B$67,H408,LISTS!$C$2:$C$67,I408)=0,"✗ هرم",IF(NOT(OR(Z408="ممتاز 100%",Z408="جيد 80%",Z408="مقبول 60%",Z408="خطر 40%",Z408="")),"✗ قائمة R",IF(NOT(OR(AA408="ممتاز 100%",AA408="جيد 85%",AA408="مقبول 70%",AA408="ضعيف 50%",AA408="")),"✗ قائمة S",IF(NOT(OR(AB408="مكتمل 100%",AB408="جزئي 60%",AB408="معلق 30%",AB408="مفتوح 0%",AB408="")),"✗ قائمة T",IF(NOT(OR(AC408="لا خصم 0",AC408="تأخير −5",AC408="عجز −10",AC408="جودة −15",AC408="امتثال −20",AC408="مخالفة −25",AC408="")),"✗ قائمة U",IF(AND(X408="لا",AC408&lt;&gt;"",AC408&lt;&gt;"لا خصم 0"),"✗ خصم",IF(AND(X408="نعم",AC408="لا خصم 0"),"✗ خصم",IF(AND(Z408="ممتاز 100%",AA408="ممتاز 100%",AB408&lt;&gt;"",AB408&lt;&gt;"مكتمل 100%"),"✗ إغلاق",IFERROR(IF(LEN(_xlfn.TEXTJOIN("، ",TRUE,IF(E408="","التاريخ",""),IF(F408="","الوقت",""),IF(G408="","المركز",""),IF(H408="","الدائرة",""),IF(I408="","القسم",""),IF(J408="","المسؤول",""),IF(K408="","نوع النشاط",""),IF(L408="","المشروع",""),IF(N408="","الممول",""),IF(V408="","الموضوع",""),IF(W408="","الملاحظة",""),IF(X408="","مشكلة",""),IF(Y408="","الإجراء",""),IF(Z408="","التنفيذ",""),IF(AA408="","الجودة",""),IF(AB408="","الإغلاق",""),IF(AC408="","الخصم",""),IF(AND(COUNTA($O408:$U408)&gt;0,O408=""),"مدير المشروع",""),IF(AND(COUNTA($O408:$U408)&gt;0,P408=""),"المستفيدين",""),IF(AND(COUNTA($O408:$U408)&gt;0,Q408=""),"المناطق",""),IF(AND(COUNTA($O408:$U408)&gt;0,R408=""),"الميزانية",""),IF(AND(COUNTA($O408:$U408)&gt;0,S408=""),"نسبة الجاهزية",""),IF(AND(COUNTA($O408:$U408)&gt;0,T408=""),"حالة الجاهزية",""),IF(AND(COUNTA($O408:$U408)&gt;0,U408=""),"التوصيات","")))&gt;0,"✗ ناقص: "&amp;_xlfn.TEXTJOIN("، ",TRUE,IF(E408="","التاريخ",""),IF(F408="","الوقت",""),IF(G408="","المركز",""),IF(H408="","الدائرة",""),IF(I408="","القسم",""),IF(J408="","المسؤول",""),IF(K408="","نوع النشاط",""),IF(L408="","المشروع",""),IF(N408="","الممول",""),IF(V408="","الموضوع",""),IF(W408="","الملاحظة",""),IF(X408="","مشكلة",""),IF(Y408="","الإجراء",""),IF(Z408="","التنفيذ",""),IF(AA408="","الجودة",""),IF(AB408="","الإغلاق",""),IF(AC408="","الخصم",""),IF(AND(COUNTA($O408:$U408)&gt;0,O408=""),"مدير المشروع",""),IF(AND(COUNTA($O408:$U408)&gt;0,P408=""),"المستفيدين",""),IF(AND(COUNTA($O408:$U408)&gt;0,Q408=""),"المناطق",""),IF(AND(COUNTA($O408:$U408)&gt;0,R408=""),"الميزانية",""),IF(AND(COUNTA($O408:$U408)&gt;0,S408=""),"نسبة الجاهزية",""),IF(AND(COUNTA($O408:$U408)&gt;0,T408=""),"حالة الجاهزية",""),IF(AND(COUNTA($O408:$U408)&gt;0,U408=""),"التوصيات","")),"✓"),"✓"))))))))))</f>
        <v/>
      </c>
      <c r="E408" s="235"/>
      <c r="F408" s="236"/>
      <c r="G408" s="90"/>
      <c r="H408" s="239"/>
      <c r="I408" s="89"/>
      <c r="J408" s="142"/>
      <c r="K408" s="90"/>
      <c r="L408" s="90"/>
      <c r="M408" s="90"/>
      <c r="N408" s="89"/>
      <c r="O408" s="200"/>
      <c r="P408" s="201"/>
      <c r="Q408" s="201"/>
      <c r="R408" s="237"/>
      <c r="S408" s="202"/>
      <c r="T408" s="200"/>
      <c r="U408" s="203"/>
      <c r="V408" s="89"/>
      <c r="W408" s="89"/>
      <c r="X408" s="145"/>
      <c r="Y408" s="89"/>
      <c r="Z408" s="90"/>
      <c r="AA408" s="90"/>
      <c r="AB408" s="90"/>
      <c r="AC408" s="90"/>
      <c r="AD408" s="92"/>
      <c r="AE408" s="149" t="str">
        <f>IFERROR(VLOOKUP(Z408,LISTS!$AL$2:$AM$1000,2,FALSE()),"")</f>
        <v/>
      </c>
      <c r="AF408" s="151" t="str">
        <f>IFERROR(VLOOKUP(AA408,LISTS!$AO$2:$AP$1000,2,FALSE()),"")</f>
        <v/>
      </c>
      <c r="AG408" s="152" t="str">
        <f>IFERROR(VLOOKUP(AB408,LISTS!$AR$2:$AS$1000,2,FALSE()),"")</f>
        <v/>
      </c>
      <c r="AH408" s="154" t="str">
        <f>IFERROR(VLOOKUP(AC408,LISTS!$AU$2:$AV$1000,2,FALSE()),"")</f>
        <v/>
      </c>
      <c r="AI408" s="238" t="str">
        <f t="shared" si="33"/>
        <v>—</v>
      </c>
      <c r="AJ408" s="190" t="str">
        <f t="shared" si="34"/>
        <v>—</v>
      </c>
      <c r="AK408" s="157" t="str">
        <f t="shared" si="30"/>
        <v/>
      </c>
      <c r="AL408" s="160" t="str">
        <f t="shared" si="31"/>
        <v/>
      </c>
      <c r="AM408" s="210"/>
      <c r="AN408" s="209"/>
    </row>
    <row r="409" spans="1:40" ht="27.95" customHeight="1">
      <c r="A409" s="134" t="str">
        <f>IF(I409&lt;&gt;"",COUNTA($I$2:I409),"")</f>
        <v/>
      </c>
      <c r="B409" s="138" t="str">
        <f t="shared" si="32"/>
        <v/>
      </c>
      <c r="C409" s="93" t="str">
        <f t="array" ref="C409">IF(E409="","",IF(M409&lt;&gt;"",
M409&amp;"/"&amp;SUMPRODUCT((M$2:M409=M409)*1)&amp;" - "&amp;(ROW()-2),
"إداري/"&amp;SUMPRODUCT((M$2:M409="")*1)&amp;" - "&amp;(ROW()-2)))</f>
        <v/>
      </c>
      <c r="D409" s="141" t="str">
        <f>IF(AND(G409="",H409="",I409=""),"",IF(COUNTIFS(LISTS!$A$2:$A$67,G409,LISTS!$B$2:$B$67,H409,LISTS!$C$2:$C$67,I409)=0,"✗ هرم",IF(NOT(OR(Z409="ممتاز 100%",Z409="جيد 80%",Z409="مقبول 60%",Z409="خطر 40%",Z409="")),"✗ قائمة R",IF(NOT(OR(AA409="ممتاز 100%",AA409="جيد 85%",AA409="مقبول 70%",AA409="ضعيف 50%",AA409="")),"✗ قائمة S",IF(NOT(OR(AB409="مكتمل 100%",AB409="جزئي 60%",AB409="معلق 30%",AB409="مفتوح 0%",AB409="")),"✗ قائمة T",IF(NOT(OR(AC409="لا خصم 0",AC409="تأخير −5",AC409="عجز −10",AC409="جودة −15",AC409="امتثال −20",AC409="مخالفة −25",AC409="")),"✗ قائمة U",IF(AND(X409="لا",AC409&lt;&gt;"",AC409&lt;&gt;"لا خصم 0"),"✗ خصم",IF(AND(X409="نعم",AC409="لا خصم 0"),"✗ خصم",IF(AND(Z409="ممتاز 100%",AA409="ممتاز 100%",AB409&lt;&gt;"",AB409&lt;&gt;"مكتمل 100%"),"✗ إغلاق",IFERROR(IF(LEN(_xlfn.TEXTJOIN("، ",TRUE,IF(E409="","التاريخ",""),IF(F409="","الوقت",""),IF(G409="","المركز",""),IF(H409="","الدائرة",""),IF(I409="","القسم",""),IF(J409="","المسؤول",""),IF(K409="","نوع النشاط",""),IF(L409="","المشروع",""),IF(N409="","الممول",""),IF(V409="","الموضوع",""),IF(W409="","الملاحظة",""),IF(X409="","مشكلة",""),IF(Y409="","الإجراء",""),IF(Z409="","التنفيذ",""),IF(AA409="","الجودة",""),IF(AB409="","الإغلاق",""),IF(AC409="","الخصم",""),IF(AND(COUNTA($O409:$U409)&gt;0,O409=""),"مدير المشروع",""),IF(AND(COUNTA($O409:$U409)&gt;0,P409=""),"المستفيدين",""),IF(AND(COUNTA($O409:$U409)&gt;0,Q409=""),"المناطق",""),IF(AND(COUNTA($O409:$U409)&gt;0,R409=""),"الميزانية",""),IF(AND(COUNTA($O409:$U409)&gt;0,S409=""),"نسبة الجاهزية",""),IF(AND(COUNTA($O409:$U409)&gt;0,T409=""),"حالة الجاهزية",""),IF(AND(COUNTA($O409:$U409)&gt;0,U409=""),"التوصيات","")))&gt;0,"✗ ناقص: "&amp;_xlfn.TEXTJOIN("، ",TRUE,IF(E409="","التاريخ",""),IF(F409="","الوقت",""),IF(G409="","المركز",""),IF(H409="","الدائرة",""),IF(I409="","القسم",""),IF(J409="","المسؤول",""),IF(K409="","نوع النشاط",""),IF(L409="","المشروع",""),IF(N409="","الممول",""),IF(V409="","الموضوع",""),IF(W409="","الملاحظة",""),IF(X409="","مشكلة",""),IF(Y409="","الإجراء",""),IF(Z409="","التنفيذ",""),IF(AA409="","الجودة",""),IF(AB409="","الإغلاق",""),IF(AC409="","الخصم",""),IF(AND(COUNTA($O409:$U409)&gt;0,O409=""),"مدير المشروع",""),IF(AND(COUNTA($O409:$U409)&gt;0,P409=""),"المستفيدين",""),IF(AND(COUNTA($O409:$U409)&gt;0,Q409=""),"المناطق",""),IF(AND(COUNTA($O409:$U409)&gt;0,R409=""),"الميزانية",""),IF(AND(COUNTA($O409:$U409)&gt;0,S409=""),"نسبة الجاهزية",""),IF(AND(COUNTA($O409:$U409)&gt;0,T409=""),"حالة الجاهزية",""),IF(AND(COUNTA($O409:$U409)&gt;0,U409=""),"التوصيات","")),"✓"),"✓"))))))))))</f>
        <v/>
      </c>
      <c r="E409" s="235"/>
      <c r="F409" s="236"/>
      <c r="G409" s="90"/>
      <c r="H409" s="239"/>
      <c r="I409" s="89"/>
      <c r="J409" s="142"/>
      <c r="K409" s="90"/>
      <c r="L409" s="90"/>
      <c r="M409" s="90"/>
      <c r="N409" s="89"/>
      <c r="O409" s="200"/>
      <c r="P409" s="201"/>
      <c r="Q409" s="201"/>
      <c r="R409" s="237"/>
      <c r="S409" s="202"/>
      <c r="T409" s="200"/>
      <c r="U409" s="203"/>
      <c r="V409" s="89"/>
      <c r="W409" s="89"/>
      <c r="X409" s="145"/>
      <c r="Y409" s="89"/>
      <c r="Z409" s="90"/>
      <c r="AA409" s="90"/>
      <c r="AB409" s="90"/>
      <c r="AC409" s="90"/>
      <c r="AD409" s="92"/>
      <c r="AE409" s="149" t="str">
        <f>IFERROR(VLOOKUP(Z409,LISTS!$AL$2:$AM$1000,2,FALSE()),"")</f>
        <v/>
      </c>
      <c r="AF409" s="151" t="str">
        <f>IFERROR(VLOOKUP(AA409,LISTS!$AO$2:$AP$1000,2,FALSE()),"")</f>
        <v/>
      </c>
      <c r="AG409" s="152" t="str">
        <f>IFERROR(VLOOKUP(AB409,LISTS!$AR$2:$AS$1000,2,FALSE()),"")</f>
        <v/>
      </c>
      <c r="AH409" s="154" t="str">
        <f>IFERROR(VLOOKUP(AC409,LISTS!$AU$2:$AV$1000,2,FALSE()),"")</f>
        <v/>
      </c>
      <c r="AI409" s="238" t="str">
        <f t="shared" si="33"/>
        <v>—</v>
      </c>
      <c r="AJ409" s="190" t="str">
        <f t="shared" si="34"/>
        <v>—</v>
      </c>
      <c r="AK409" s="157" t="str">
        <f t="shared" si="30"/>
        <v/>
      </c>
      <c r="AL409" s="160" t="str">
        <f t="shared" si="31"/>
        <v/>
      </c>
      <c r="AM409" s="210"/>
      <c r="AN409" s="209"/>
    </row>
    <row r="410" spans="1:40" ht="27.95" customHeight="1">
      <c r="A410" s="134" t="str">
        <f>IF(I410&lt;&gt;"",COUNTA($I$2:I410),"")</f>
        <v/>
      </c>
      <c r="B410" s="138" t="str">
        <f t="shared" si="32"/>
        <v/>
      </c>
      <c r="C410" s="93" t="str">
        <f t="array" ref="C410">IF(E410="","",IF(M410&lt;&gt;"",
M410&amp;"/"&amp;SUMPRODUCT((M$2:M410=M410)*1)&amp;" - "&amp;(ROW()-2),
"إداري/"&amp;SUMPRODUCT((M$2:M410="")*1)&amp;" - "&amp;(ROW()-2)))</f>
        <v/>
      </c>
      <c r="D410" s="141" t="str">
        <f>IF(AND(G410="",H410="",I410=""),"",IF(COUNTIFS(LISTS!$A$2:$A$67,G410,LISTS!$B$2:$B$67,H410,LISTS!$C$2:$C$67,I410)=0,"✗ هرم",IF(NOT(OR(Z410="ممتاز 100%",Z410="جيد 80%",Z410="مقبول 60%",Z410="خطر 40%",Z410="")),"✗ قائمة R",IF(NOT(OR(AA410="ممتاز 100%",AA410="جيد 85%",AA410="مقبول 70%",AA410="ضعيف 50%",AA410="")),"✗ قائمة S",IF(NOT(OR(AB410="مكتمل 100%",AB410="جزئي 60%",AB410="معلق 30%",AB410="مفتوح 0%",AB410="")),"✗ قائمة T",IF(NOT(OR(AC410="لا خصم 0",AC410="تأخير −5",AC410="عجز −10",AC410="جودة −15",AC410="امتثال −20",AC410="مخالفة −25",AC410="")),"✗ قائمة U",IF(AND(X410="لا",AC410&lt;&gt;"",AC410&lt;&gt;"لا خصم 0"),"✗ خصم",IF(AND(X410="نعم",AC410="لا خصم 0"),"✗ خصم",IF(AND(Z410="ممتاز 100%",AA410="ممتاز 100%",AB410&lt;&gt;"",AB410&lt;&gt;"مكتمل 100%"),"✗ إغلاق",IFERROR(IF(LEN(_xlfn.TEXTJOIN("، ",TRUE,IF(E410="","التاريخ",""),IF(F410="","الوقت",""),IF(G410="","المركز",""),IF(H410="","الدائرة",""),IF(I410="","القسم",""),IF(J410="","المسؤول",""),IF(K410="","نوع النشاط",""),IF(L410="","المشروع",""),IF(N410="","الممول",""),IF(V410="","الموضوع",""),IF(W410="","الملاحظة",""),IF(X410="","مشكلة",""),IF(Y410="","الإجراء",""),IF(Z410="","التنفيذ",""),IF(AA410="","الجودة",""),IF(AB410="","الإغلاق",""),IF(AC410="","الخصم",""),IF(AND(COUNTA($O410:$U410)&gt;0,O410=""),"مدير المشروع",""),IF(AND(COUNTA($O410:$U410)&gt;0,P410=""),"المستفيدين",""),IF(AND(COUNTA($O410:$U410)&gt;0,Q410=""),"المناطق",""),IF(AND(COUNTA($O410:$U410)&gt;0,R410=""),"الميزانية",""),IF(AND(COUNTA($O410:$U410)&gt;0,S410=""),"نسبة الجاهزية",""),IF(AND(COUNTA($O410:$U410)&gt;0,T410=""),"حالة الجاهزية",""),IF(AND(COUNTA($O410:$U410)&gt;0,U410=""),"التوصيات","")))&gt;0,"✗ ناقص: "&amp;_xlfn.TEXTJOIN("، ",TRUE,IF(E410="","التاريخ",""),IF(F410="","الوقت",""),IF(G410="","المركز",""),IF(H410="","الدائرة",""),IF(I410="","القسم",""),IF(J410="","المسؤول",""),IF(K410="","نوع النشاط",""),IF(L410="","المشروع",""),IF(N410="","الممول",""),IF(V410="","الموضوع",""),IF(W410="","الملاحظة",""),IF(X410="","مشكلة",""),IF(Y410="","الإجراء",""),IF(Z410="","التنفيذ",""),IF(AA410="","الجودة",""),IF(AB410="","الإغلاق",""),IF(AC410="","الخصم",""),IF(AND(COUNTA($O410:$U410)&gt;0,O410=""),"مدير المشروع",""),IF(AND(COUNTA($O410:$U410)&gt;0,P410=""),"المستفيدين",""),IF(AND(COUNTA($O410:$U410)&gt;0,Q410=""),"المناطق",""),IF(AND(COUNTA($O410:$U410)&gt;0,R410=""),"الميزانية",""),IF(AND(COUNTA($O410:$U410)&gt;0,S410=""),"نسبة الجاهزية",""),IF(AND(COUNTA($O410:$U410)&gt;0,T410=""),"حالة الجاهزية",""),IF(AND(COUNTA($O410:$U410)&gt;0,U410=""),"التوصيات","")),"✓"),"✓"))))))))))</f>
        <v/>
      </c>
      <c r="E410" s="235"/>
      <c r="F410" s="236"/>
      <c r="G410" s="90"/>
      <c r="H410" s="239"/>
      <c r="I410" s="89"/>
      <c r="J410" s="142"/>
      <c r="K410" s="90"/>
      <c r="L410" s="90"/>
      <c r="M410" s="90"/>
      <c r="N410" s="89"/>
      <c r="O410" s="200"/>
      <c r="P410" s="201"/>
      <c r="Q410" s="201"/>
      <c r="R410" s="237"/>
      <c r="S410" s="202"/>
      <c r="T410" s="200"/>
      <c r="U410" s="203"/>
      <c r="V410" s="89"/>
      <c r="W410" s="89"/>
      <c r="X410" s="145"/>
      <c r="Y410" s="89"/>
      <c r="Z410" s="90"/>
      <c r="AA410" s="90"/>
      <c r="AB410" s="90"/>
      <c r="AC410" s="90"/>
      <c r="AD410" s="92"/>
      <c r="AE410" s="149" t="str">
        <f>IFERROR(VLOOKUP(Z410,LISTS!$AL$2:$AM$1000,2,FALSE()),"")</f>
        <v/>
      </c>
      <c r="AF410" s="151" t="str">
        <f>IFERROR(VLOOKUP(AA410,LISTS!$AO$2:$AP$1000,2,FALSE()),"")</f>
        <v/>
      </c>
      <c r="AG410" s="152" t="str">
        <f>IFERROR(VLOOKUP(AB410,LISTS!$AR$2:$AS$1000,2,FALSE()),"")</f>
        <v/>
      </c>
      <c r="AH410" s="154" t="str">
        <f>IFERROR(VLOOKUP(AC410,LISTS!$AU$2:$AV$1000,2,FALSE()),"")</f>
        <v/>
      </c>
      <c r="AI410" s="238" t="str">
        <f t="shared" si="33"/>
        <v>—</v>
      </c>
      <c r="AJ410" s="190" t="str">
        <f t="shared" si="34"/>
        <v>—</v>
      </c>
      <c r="AK410" s="157" t="str">
        <f t="shared" si="30"/>
        <v/>
      </c>
      <c r="AL410" s="160" t="str">
        <f t="shared" si="31"/>
        <v/>
      </c>
      <c r="AM410" s="210"/>
      <c r="AN410" s="209"/>
    </row>
    <row r="411" spans="1:40" ht="27.95" customHeight="1">
      <c r="A411" s="134" t="str">
        <f>IF(I411&lt;&gt;"",COUNTA($I$2:I411),"")</f>
        <v/>
      </c>
      <c r="B411" s="138" t="str">
        <f t="shared" si="32"/>
        <v/>
      </c>
      <c r="C411" s="93" t="str">
        <f t="array" ref="C411">IF(E411="","",IF(M411&lt;&gt;"",
M411&amp;"/"&amp;SUMPRODUCT((M$2:M411=M411)*1)&amp;" - "&amp;(ROW()-2),
"إداري/"&amp;SUMPRODUCT((M$2:M411="")*1)&amp;" - "&amp;(ROW()-2)))</f>
        <v/>
      </c>
      <c r="D411" s="141" t="str">
        <f>IF(AND(G411="",H411="",I411=""),"",IF(COUNTIFS(LISTS!$A$2:$A$67,G411,LISTS!$B$2:$B$67,H411,LISTS!$C$2:$C$67,I411)=0,"✗ هرم",IF(NOT(OR(Z411="ممتاز 100%",Z411="جيد 80%",Z411="مقبول 60%",Z411="خطر 40%",Z411="")),"✗ قائمة R",IF(NOT(OR(AA411="ممتاز 100%",AA411="جيد 85%",AA411="مقبول 70%",AA411="ضعيف 50%",AA411="")),"✗ قائمة S",IF(NOT(OR(AB411="مكتمل 100%",AB411="جزئي 60%",AB411="معلق 30%",AB411="مفتوح 0%",AB411="")),"✗ قائمة T",IF(NOT(OR(AC411="لا خصم 0",AC411="تأخير −5",AC411="عجز −10",AC411="جودة −15",AC411="امتثال −20",AC411="مخالفة −25",AC411="")),"✗ قائمة U",IF(AND(X411="لا",AC411&lt;&gt;"",AC411&lt;&gt;"لا خصم 0"),"✗ خصم",IF(AND(X411="نعم",AC411="لا خصم 0"),"✗ خصم",IF(AND(Z411="ممتاز 100%",AA411="ممتاز 100%",AB411&lt;&gt;"",AB411&lt;&gt;"مكتمل 100%"),"✗ إغلاق",IFERROR(IF(LEN(_xlfn.TEXTJOIN("، ",TRUE,IF(E411="","التاريخ",""),IF(F411="","الوقت",""),IF(G411="","المركز",""),IF(H411="","الدائرة",""),IF(I411="","القسم",""),IF(J411="","المسؤول",""),IF(K411="","نوع النشاط",""),IF(L411="","المشروع",""),IF(N411="","الممول",""),IF(V411="","الموضوع",""),IF(W411="","الملاحظة",""),IF(X411="","مشكلة",""),IF(Y411="","الإجراء",""),IF(Z411="","التنفيذ",""),IF(AA411="","الجودة",""),IF(AB411="","الإغلاق",""),IF(AC411="","الخصم",""),IF(AND(COUNTA($O411:$U411)&gt;0,O411=""),"مدير المشروع",""),IF(AND(COUNTA($O411:$U411)&gt;0,P411=""),"المستفيدين",""),IF(AND(COUNTA($O411:$U411)&gt;0,Q411=""),"المناطق",""),IF(AND(COUNTA($O411:$U411)&gt;0,R411=""),"الميزانية",""),IF(AND(COUNTA($O411:$U411)&gt;0,S411=""),"نسبة الجاهزية",""),IF(AND(COUNTA($O411:$U411)&gt;0,T411=""),"حالة الجاهزية",""),IF(AND(COUNTA($O411:$U411)&gt;0,U411=""),"التوصيات","")))&gt;0,"✗ ناقص: "&amp;_xlfn.TEXTJOIN("، ",TRUE,IF(E411="","التاريخ",""),IF(F411="","الوقت",""),IF(G411="","المركز",""),IF(H411="","الدائرة",""),IF(I411="","القسم",""),IF(J411="","المسؤول",""),IF(K411="","نوع النشاط",""),IF(L411="","المشروع",""),IF(N411="","الممول",""),IF(V411="","الموضوع",""),IF(W411="","الملاحظة",""),IF(X411="","مشكلة",""),IF(Y411="","الإجراء",""),IF(Z411="","التنفيذ",""),IF(AA411="","الجودة",""),IF(AB411="","الإغلاق",""),IF(AC411="","الخصم",""),IF(AND(COUNTA($O411:$U411)&gt;0,O411=""),"مدير المشروع",""),IF(AND(COUNTA($O411:$U411)&gt;0,P411=""),"المستفيدين",""),IF(AND(COUNTA($O411:$U411)&gt;0,Q411=""),"المناطق",""),IF(AND(COUNTA($O411:$U411)&gt;0,R411=""),"الميزانية",""),IF(AND(COUNTA($O411:$U411)&gt;0,S411=""),"نسبة الجاهزية",""),IF(AND(COUNTA($O411:$U411)&gt;0,T411=""),"حالة الجاهزية",""),IF(AND(COUNTA($O411:$U411)&gt;0,U411=""),"التوصيات","")),"✓"),"✓"))))))))))</f>
        <v/>
      </c>
      <c r="E411" s="235"/>
      <c r="F411" s="236"/>
      <c r="G411" s="90"/>
      <c r="H411" s="239"/>
      <c r="I411" s="89"/>
      <c r="J411" s="142"/>
      <c r="K411" s="90"/>
      <c r="L411" s="90"/>
      <c r="M411" s="90"/>
      <c r="N411" s="89"/>
      <c r="O411" s="200"/>
      <c r="P411" s="201"/>
      <c r="Q411" s="201"/>
      <c r="R411" s="237"/>
      <c r="S411" s="202"/>
      <c r="T411" s="200"/>
      <c r="U411" s="203"/>
      <c r="V411" s="89"/>
      <c r="W411" s="89"/>
      <c r="X411" s="145"/>
      <c r="Y411" s="89"/>
      <c r="Z411" s="90"/>
      <c r="AA411" s="90"/>
      <c r="AB411" s="90"/>
      <c r="AC411" s="90"/>
      <c r="AD411" s="92"/>
      <c r="AE411" s="149" t="str">
        <f>IFERROR(VLOOKUP(Z411,LISTS!$AL$2:$AM$1000,2,FALSE()),"")</f>
        <v/>
      </c>
      <c r="AF411" s="151" t="str">
        <f>IFERROR(VLOOKUP(AA411,LISTS!$AO$2:$AP$1000,2,FALSE()),"")</f>
        <v/>
      </c>
      <c r="AG411" s="152" t="str">
        <f>IFERROR(VLOOKUP(AB411,LISTS!$AR$2:$AS$1000,2,FALSE()),"")</f>
        <v/>
      </c>
      <c r="AH411" s="154" t="str">
        <f>IFERROR(VLOOKUP(AC411,LISTS!$AU$2:$AV$1000,2,FALSE()),"")</f>
        <v/>
      </c>
      <c r="AI411" s="238" t="str">
        <f t="shared" si="33"/>
        <v>—</v>
      </c>
      <c r="AJ411" s="190" t="str">
        <f t="shared" si="34"/>
        <v>—</v>
      </c>
      <c r="AK411" s="157" t="str">
        <f t="shared" si="30"/>
        <v/>
      </c>
      <c r="AL411" s="160" t="str">
        <f t="shared" si="31"/>
        <v/>
      </c>
      <c r="AM411" s="210"/>
      <c r="AN411" s="209"/>
    </row>
    <row r="412" spans="1:40" ht="27.95" customHeight="1">
      <c r="A412" s="134" t="str">
        <f>IF(I412&lt;&gt;"",COUNTA($I$2:I412),"")</f>
        <v/>
      </c>
      <c r="B412" s="138" t="str">
        <f t="shared" si="32"/>
        <v/>
      </c>
      <c r="C412" s="93" t="str">
        <f t="array" ref="C412">IF(E412="","",IF(M412&lt;&gt;"",
M412&amp;"/"&amp;SUMPRODUCT((M$2:M412=M412)*1)&amp;" - "&amp;(ROW()-2),
"إداري/"&amp;SUMPRODUCT((M$2:M412="")*1)&amp;" - "&amp;(ROW()-2)))</f>
        <v/>
      </c>
      <c r="D412" s="141" t="str">
        <f>IF(AND(G412="",H412="",I412=""),"",IF(COUNTIFS(LISTS!$A$2:$A$67,G412,LISTS!$B$2:$B$67,H412,LISTS!$C$2:$C$67,I412)=0,"✗ هرم",IF(NOT(OR(Z412="ممتاز 100%",Z412="جيد 80%",Z412="مقبول 60%",Z412="خطر 40%",Z412="")),"✗ قائمة R",IF(NOT(OR(AA412="ممتاز 100%",AA412="جيد 85%",AA412="مقبول 70%",AA412="ضعيف 50%",AA412="")),"✗ قائمة S",IF(NOT(OR(AB412="مكتمل 100%",AB412="جزئي 60%",AB412="معلق 30%",AB412="مفتوح 0%",AB412="")),"✗ قائمة T",IF(NOT(OR(AC412="لا خصم 0",AC412="تأخير −5",AC412="عجز −10",AC412="جودة −15",AC412="امتثال −20",AC412="مخالفة −25",AC412="")),"✗ قائمة U",IF(AND(X412="لا",AC412&lt;&gt;"",AC412&lt;&gt;"لا خصم 0"),"✗ خصم",IF(AND(X412="نعم",AC412="لا خصم 0"),"✗ خصم",IF(AND(Z412="ممتاز 100%",AA412="ممتاز 100%",AB412&lt;&gt;"",AB412&lt;&gt;"مكتمل 100%"),"✗ إغلاق",IFERROR(IF(LEN(_xlfn.TEXTJOIN("، ",TRUE,IF(E412="","التاريخ",""),IF(F412="","الوقت",""),IF(G412="","المركز",""),IF(H412="","الدائرة",""),IF(I412="","القسم",""),IF(J412="","المسؤول",""),IF(K412="","نوع النشاط",""),IF(L412="","المشروع",""),IF(N412="","الممول",""),IF(V412="","الموضوع",""),IF(W412="","الملاحظة",""),IF(X412="","مشكلة",""),IF(Y412="","الإجراء",""),IF(Z412="","التنفيذ",""),IF(AA412="","الجودة",""),IF(AB412="","الإغلاق",""),IF(AC412="","الخصم",""),IF(AND(COUNTA($O412:$U412)&gt;0,O412=""),"مدير المشروع",""),IF(AND(COUNTA($O412:$U412)&gt;0,P412=""),"المستفيدين",""),IF(AND(COUNTA($O412:$U412)&gt;0,Q412=""),"المناطق",""),IF(AND(COUNTA($O412:$U412)&gt;0,R412=""),"الميزانية",""),IF(AND(COUNTA($O412:$U412)&gt;0,S412=""),"نسبة الجاهزية",""),IF(AND(COUNTA($O412:$U412)&gt;0,T412=""),"حالة الجاهزية",""),IF(AND(COUNTA($O412:$U412)&gt;0,U412=""),"التوصيات","")))&gt;0,"✗ ناقص: "&amp;_xlfn.TEXTJOIN("، ",TRUE,IF(E412="","التاريخ",""),IF(F412="","الوقت",""),IF(G412="","المركز",""),IF(H412="","الدائرة",""),IF(I412="","القسم",""),IF(J412="","المسؤول",""),IF(K412="","نوع النشاط",""),IF(L412="","المشروع",""),IF(N412="","الممول",""),IF(V412="","الموضوع",""),IF(W412="","الملاحظة",""),IF(X412="","مشكلة",""),IF(Y412="","الإجراء",""),IF(Z412="","التنفيذ",""),IF(AA412="","الجودة",""),IF(AB412="","الإغلاق",""),IF(AC412="","الخصم",""),IF(AND(COUNTA($O412:$U412)&gt;0,O412=""),"مدير المشروع",""),IF(AND(COUNTA($O412:$U412)&gt;0,P412=""),"المستفيدين",""),IF(AND(COUNTA($O412:$U412)&gt;0,Q412=""),"المناطق",""),IF(AND(COUNTA($O412:$U412)&gt;0,R412=""),"الميزانية",""),IF(AND(COUNTA($O412:$U412)&gt;0,S412=""),"نسبة الجاهزية",""),IF(AND(COUNTA($O412:$U412)&gt;0,T412=""),"حالة الجاهزية",""),IF(AND(COUNTA($O412:$U412)&gt;0,U412=""),"التوصيات","")),"✓"),"✓"))))))))))</f>
        <v/>
      </c>
      <c r="E412" s="235"/>
      <c r="F412" s="236"/>
      <c r="G412" s="90"/>
      <c r="H412" s="239"/>
      <c r="I412" s="89"/>
      <c r="J412" s="142"/>
      <c r="K412" s="90"/>
      <c r="L412" s="90"/>
      <c r="M412" s="90"/>
      <c r="N412" s="89"/>
      <c r="O412" s="200"/>
      <c r="P412" s="201"/>
      <c r="Q412" s="201"/>
      <c r="R412" s="237"/>
      <c r="S412" s="202"/>
      <c r="T412" s="200"/>
      <c r="U412" s="203"/>
      <c r="V412" s="89"/>
      <c r="W412" s="89"/>
      <c r="X412" s="145"/>
      <c r="Y412" s="89"/>
      <c r="Z412" s="90"/>
      <c r="AA412" s="90"/>
      <c r="AB412" s="90"/>
      <c r="AC412" s="90"/>
      <c r="AD412" s="92"/>
      <c r="AE412" s="149" t="str">
        <f>IFERROR(VLOOKUP(Z412,LISTS!$AL$2:$AM$1000,2,FALSE()),"")</f>
        <v/>
      </c>
      <c r="AF412" s="151" t="str">
        <f>IFERROR(VLOOKUP(AA412,LISTS!$AO$2:$AP$1000,2,FALSE()),"")</f>
        <v/>
      </c>
      <c r="AG412" s="152" t="str">
        <f>IFERROR(VLOOKUP(AB412,LISTS!$AR$2:$AS$1000,2,FALSE()),"")</f>
        <v/>
      </c>
      <c r="AH412" s="154" t="str">
        <f>IFERROR(VLOOKUP(AC412,LISTS!$AU$2:$AV$1000,2,FALSE()),"")</f>
        <v/>
      </c>
      <c r="AI412" s="238" t="str">
        <f t="shared" si="33"/>
        <v>—</v>
      </c>
      <c r="AJ412" s="190" t="str">
        <f t="shared" si="34"/>
        <v>—</v>
      </c>
      <c r="AK412" s="157" t="str">
        <f t="shared" si="30"/>
        <v/>
      </c>
      <c r="AL412" s="160" t="str">
        <f t="shared" si="31"/>
        <v/>
      </c>
      <c r="AM412" s="210"/>
      <c r="AN412" s="209"/>
    </row>
    <row r="413" spans="1:40" ht="27.95" customHeight="1">
      <c r="A413" s="134" t="str">
        <f>IF(I413&lt;&gt;"",COUNTA($I$2:I413),"")</f>
        <v/>
      </c>
      <c r="B413" s="138" t="str">
        <f t="shared" si="32"/>
        <v/>
      </c>
      <c r="C413" s="93" t="str">
        <f t="array" ref="C413">IF(E413="","",IF(M413&lt;&gt;"",
M413&amp;"/"&amp;SUMPRODUCT((M$2:M413=M413)*1)&amp;" - "&amp;(ROW()-2),
"إداري/"&amp;SUMPRODUCT((M$2:M413="")*1)&amp;" - "&amp;(ROW()-2)))</f>
        <v/>
      </c>
      <c r="D413" s="141" t="str">
        <f>IF(AND(G413="",H413="",I413=""),"",IF(COUNTIFS(LISTS!$A$2:$A$67,G413,LISTS!$B$2:$B$67,H413,LISTS!$C$2:$C$67,I413)=0,"✗ هرم",IF(NOT(OR(Z413="ممتاز 100%",Z413="جيد 80%",Z413="مقبول 60%",Z413="خطر 40%",Z413="")),"✗ قائمة R",IF(NOT(OR(AA413="ممتاز 100%",AA413="جيد 85%",AA413="مقبول 70%",AA413="ضعيف 50%",AA413="")),"✗ قائمة S",IF(NOT(OR(AB413="مكتمل 100%",AB413="جزئي 60%",AB413="معلق 30%",AB413="مفتوح 0%",AB413="")),"✗ قائمة T",IF(NOT(OR(AC413="لا خصم 0",AC413="تأخير −5",AC413="عجز −10",AC413="جودة −15",AC413="امتثال −20",AC413="مخالفة −25",AC413="")),"✗ قائمة U",IF(AND(X413="لا",AC413&lt;&gt;"",AC413&lt;&gt;"لا خصم 0"),"✗ خصم",IF(AND(X413="نعم",AC413="لا خصم 0"),"✗ خصم",IF(AND(Z413="ممتاز 100%",AA413="ممتاز 100%",AB413&lt;&gt;"",AB413&lt;&gt;"مكتمل 100%"),"✗ إغلاق",IFERROR(IF(LEN(_xlfn.TEXTJOIN("، ",TRUE,IF(E413="","التاريخ",""),IF(F413="","الوقت",""),IF(G413="","المركز",""),IF(H413="","الدائرة",""),IF(I413="","القسم",""),IF(J413="","المسؤول",""),IF(K413="","نوع النشاط",""),IF(L413="","المشروع",""),IF(N413="","الممول",""),IF(V413="","الموضوع",""),IF(W413="","الملاحظة",""),IF(X413="","مشكلة",""),IF(Y413="","الإجراء",""),IF(Z413="","التنفيذ",""),IF(AA413="","الجودة",""),IF(AB413="","الإغلاق",""),IF(AC413="","الخصم",""),IF(AND(COUNTA($O413:$U413)&gt;0,O413=""),"مدير المشروع",""),IF(AND(COUNTA($O413:$U413)&gt;0,P413=""),"المستفيدين",""),IF(AND(COUNTA($O413:$U413)&gt;0,Q413=""),"المناطق",""),IF(AND(COUNTA($O413:$U413)&gt;0,R413=""),"الميزانية",""),IF(AND(COUNTA($O413:$U413)&gt;0,S413=""),"نسبة الجاهزية",""),IF(AND(COUNTA($O413:$U413)&gt;0,T413=""),"حالة الجاهزية",""),IF(AND(COUNTA($O413:$U413)&gt;0,U413=""),"التوصيات","")))&gt;0,"✗ ناقص: "&amp;_xlfn.TEXTJOIN("، ",TRUE,IF(E413="","التاريخ",""),IF(F413="","الوقت",""),IF(G413="","المركز",""),IF(H413="","الدائرة",""),IF(I413="","القسم",""),IF(J413="","المسؤول",""),IF(K413="","نوع النشاط",""),IF(L413="","المشروع",""),IF(N413="","الممول",""),IF(V413="","الموضوع",""),IF(W413="","الملاحظة",""),IF(X413="","مشكلة",""),IF(Y413="","الإجراء",""),IF(Z413="","التنفيذ",""),IF(AA413="","الجودة",""),IF(AB413="","الإغلاق",""),IF(AC413="","الخصم",""),IF(AND(COUNTA($O413:$U413)&gt;0,O413=""),"مدير المشروع",""),IF(AND(COUNTA($O413:$U413)&gt;0,P413=""),"المستفيدين",""),IF(AND(COUNTA($O413:$U413)&gt;0,Q413=""),"المناطق",""),IF(AND(COUNTA($O413:$U413)&gt;0,R413=""),"الميزانية",""),IF(AND(COUNTA($O413:$U413)&gt;0,S413=""),"نسبة الجاهزية",""),IF(AND(COUNTA($O413:$U413)&gt;0,T413=""),"حالة الجاهزية",""),IF(AND(COUNTA($O413:$U413)&gt;0,U413=""),"التوصيات","")),"✓"),"✓"))))))))))</f>
        <v/>
      </c>
      <c r="E413" s="235"/>
      <c r="F413" s="236"/>
      <c r="G413" s="90"/>
      <c r="H413" s="239"/>
      <c r="I413" s="89"/>
      <c r="J413" s="142"/>
      <c r="K413" s="90"/>
      <c r="L413" s="90"/>
      <c r="M413" s="90"/>
      <c r="N413" s="89"/>
      <c r="O413" s="200"/>
      <c r="P413" s="201"/>
      <c r="Q413" s="201"/>
      <c r="R413" s="237"/>
      <c r="S413" s="202"/>
      <c r="T413" s="200"/>
      <c r="U413" s="203"/>
      <c r="V413" s="89"/>
      <c r="W413" s="89"/>
      <c r="X413" s="145"/>
      <c r="Y413" s="89"/>
      <c r="Z413" s="90"/>
      <c r="AA413" s="90"/>
      <c r="AB413" s="90"/>
      <c r="AC413" s="90"/>
      <c r="AD413" s="92"/>
      <c r="AE413" s="149" t="str">
        <f>IFERROR(VLOOKUP(Z413,LISTS!$AL$2:$AM$1000,2,FALSE()),"")</f>
        <v/>
      </c>
      <c r="AF413" s="151" t="str">
        <f>IFERROR(VLOOKUP(AA413,LISTS!$AO$2:$AP$1000,2,FALSE()),"")</f>
        <v/>
      </c>
      <c r="AG413" s="152" t="str">
        <f>IFERROR(VLOOKUP(AB413,LISTS!$AR$2:$AS$1000,2,FALSE()),"")</f>
        <v/>
      </c>
      <c r="AH413" s="154" t="str">
        <f>IFERROR(VLOOKUP(AC413,LISTS!$AU$2:$AV$1000,2,FALSE()),"")</f>
        <v/>
      </c>
      <c r="AI413" s="238" t="str">
        <f t="shared" si="33"/>
        <v>—</v>
      </c>
      <c r="AJ413" s="190" t="str">
        <f t="shared" si="34"/>
        <v>—</v>
      </c>
      <c r="AK413" s="157" t="str">
        <f t="shared" si="30"/>
        <v/>
      </c>
      <c r="AL413" s="160" t="str">
        <f t="shared" si="31"/>
        <v/>
      </c>
      <c r="AM413" s="210"/>
      <c r="AN413" s="209"/>
    </row>
    <row r="414" spans="1:40" ht="27.95" customHeight="1">
      <c r="A414" s="134" t="str">
        <f>IF(I414&lt;&gt;"",COUNTA($I$2:I414),"")</f>
        <v/>
      </c>
      <c r="B414" s="138" t="str">
        <f t="shared" si="32"/>
        <v/>
      </c>
      <c r="C414" s="93" t="str">
        <f t="array" ref="C414">IF(E414="","",IF(M414&lt;&gt;"",
M414&amp;"/"&amp;SUMPRODUCT((M$2:M414=M414)*1)&amp;" - "&amp;(ROW()-2),
"إداري/"&amp;SUMPRODUCT((M$2:M414="")*1)&amp;" - "&amp;(ROW()-2)))</f>
        <v/>
      </c>
      <c r="D414" s="141" t="str">
        <f>IF(AND(G414="",H414="",I414=""),"",IF(COUNTIFS(LISTS!$A$2:$A$67,G414,LISTS!$B$2:$B$67,H414,LISTS!$C$2:$C$67,I414)=0,"✗ هرم",IF(NOT(OR(Z414="ممتاز 100%",Z414="جيد 80%",Z414="مقبول 60%",Z414="خطر 40%",Z414="")),"✗ قائمة R",IF(NOT(OR(AA414="ممتاز 100%",AA414="جيد 85%",AA414="مقبول 70%",AA414="ضعيف 50%",AA414="")),"✗ قائمة S",IF(NOT(OR(AB414="مكتمل 100%",AB414="جزئي 60%",AB414="معلق 30%",AB414="مفتوح 0%",AB414="")),"✗ قائمة T",IF(NOT(OR(AC414="لا خصم 0",AC414="تأخير −5",AC414="عجز −10",AC414="جودة −15",AC414="امتثال −20",AC414="مخالفة −25",AC414="")),"✗ قائمة U",IF(AND(X414="لا",AC414&lt;&gt;"",AC414&lt;&gt;"لا خصم 0"),"✗ خصم",IF(AND(X414="نعم",AC414="لا خصم 0"),"✗ خصم",IF(AND(Z414="ممتاز 100%",AA414="ممتاز 100%",AB414&lt;&gt;"",AB414&lt;&gt;"مكتمل 100%"),"✗ إغلاق",IFERROR(IF(LEN(_xlfn.TEXTJOIN("، ",TRUE,IF(E414="","التاريخ",""),IF(F414="","الوقت",""),IF(G414="","المركز",""),IF(H414="","الدائرة",""),IF(I414="","القسم",""),IF(J414="","المسؤول",""),IF(K414="","نوع النشاط",""),IF(L414="","المشروع",""),IF(N414="","الممول",""),IF(V414="","الموضوع",""),IF(W414="","الملاحظة",""),IF(X414="","مشكلة",""),IF(Y414="","الإجراء",""),IF(Z414="","التنفيذ",""),IF(AA414="","الجودة",""),IF(AB414="","الإغلاق",""),IF(AC414="","الخصم",""),IF(AND(COUNTA($O414:$U414)&gt;0,O414=""),"مدير المشروع",""),IF(AND(COUNTA($O414:$U414)&gt;0,P414=""),"المستفيدين",""),IF(AND(COUNTA($O414:$U414)&gt;0,Q414=""),"المناطق",""),IF(AND(COUNTA($O414:$U414)&gt;0,R414=""),"الميزانية",""),IF(AND(COUNTA($O414:$U414)&gt;0,S414=""),"نسبة الجاهزية",""),IF(AND(COUNTA($O414:$U414)&gt;0,T414=""),"حالة الجاهزية",""),IF(AND(COUNTA($O414:$U414)&gt;0,U414=""),"التوصيات","")))&gt;0,"✗ ناقص: "&amp;_xlfn.TEXTJOIN("، ",TRUE,IF(E414="","التاريخ",""),IF(F414="","الوقت",""),IF(G414="","المركز",""),IF(H414="","الدائرة",""),IF(I414="","القسم",""),IF(J414="","المسؤول",""),IF(K414="","نوع النشاط",""),IF(L414="","المشروع",""),IF(N414="","الممول",""),IF(V414="","الموضوع",""),IF(W414="","الملاحظة",""),IF(X414="","مشكلة",""),IF(Y414="","الإجراء",""),IF(Z414="","التنفيذ",""),IF(AA414="","الجودة",""),IF(AB414="","الإغلاق",""),IF(AC414="","الخصم",""),IF(AND(COUNTA($O414:$U414)&gt;0,O414=""),"مدير المشروع",""),IF(AND(COUNTA($O414:$U414)&gt;0,P414=""),"المستفيدين",""),IF(AND(COUNTA($O414:$U414)&gt;0,Q414=""),"المناطق",""),IF(AND(COUNTA($O414:$U414)&gt;0,R414=""),"الميزانية",""),IF(AND(COUNTA($O414:$U414)&gt;0,S414=""),"نسبة الجاهزية",""),IF(AND(COUNTA($O414:$U414)&gt;0,T414=""),"حالة الجاهزية",""),IF(AND(COUNTA($O414:$U414)&gt;0,U414=""),"التوصيات","")),"✓"),"✓"))))))))))</f>
        <v/>
      </c>
      <c r="E414" s="235"/>
      <c r="F414" s="236"/>
      <c r="G414" s="90"/>
      <c r="H414" s="239"/>
      <c r="I414" s="89"/>
      <c r="J414" s="142"/>
      <c r="K414" s="90"/>
      <c r="L414" s="90"/>
      <c r="M414" s="90"/>
      <c r="N414" s="89"/>
      <c r="O414" s="200"/>
      <c r="P414" s="201"/>
      <c r="Q414" s="201"/>
      <c r="R414" s="237"/>
      <c r="S414" s="202"/>
      <c r="T414" s="200"/>
      <c r="U414" s="203"/>
      <c r="V414" s="89"/>
      <c r="W414" s="89"/>
      <c r="X414" s="145"/>
      <c r="Y414" s="89"/>
      <c r="Z414" s="90"/>
      <c r="AA414" s="90"/>
      <c r="AB414" s="90"/>
      <c r="AC414" s="90"/>
      <c r="AD414" s="92"/>
      <c r="AE414" s="149" t="str">
        <f>IFERROR(VLOOKUP(Z414,LISTS!$AL$2:$AM$1000,2,FALSE()),"")</f>
        <v/>
      </c>
      <c r="AF414" s="151" t="str">
        <f>IFERROR(VLOOKUP(AA414,LISTS!$AO$2:$AP$1000,2,FALSE()),"")</f>
        <v/>
      </c>
      <c r="AG414" s="152" t="str">
        <f>IFERROR(VLOOKUP(AB414,LISTS!$AR$2:$AS$1000,2,FALSE()),"")</f>
        <v/>
      </c>
      <c r="AH414" s="154" t="str">
        <f>IFERROR(VLOOKUP(AC414,LISTS!$AU$2:$AV$1000,2,FALSE()),"")</f>
        <v/>
      </c>
      <c r="AI414" s="238" t="str">
        <f t="shared" si="33"/>
        <v>—</v>
      </c>
      <c r="AJ414" s="190" t="str">
        <f t="shared" si="34"/>
        <v>—</v>
      </c>
      <c r="AK414" s="157" t="str">
        <f t="shared" ref="AK414:AK477" si="35">IF(E414="","",MONTH(E414))</f>
        <v/>
      </c>
      <c r="AL414" s="160" t="str">
        <f t="shared" ref="AL414:AL477" si="36">IF(E414="","",YEAR(E414))</f>
        <v/>
      </c>
      <c r="AM414" s="210"/>
      <c r="AN414" s="209"/>
    </row>
    <row r="415" spans="1:40" ht="27.95" customHeight="1">
      <c r="A415" s="134" t="str">
        <f>IF(I415&lt;&gt;"",COUNTA($I$2:I415),"")</f>
        <v/>
      </c>
      <c r="B415" s="138" t="str">
        <f t="shared" ref="B415:B478" si="37">IF(E415="","",CHOOSE(WEEKDAY(E415,2),"الاثنين","الثلاثاء","الأربعاء","الخميس","الجمعة","السبت","الأحد"))</f>
        <v/>
      </c>
      <c r="C415" s="93" t="str">
        <f t="array" ref="C415">IF(E415="","",IF(M415&lt;&gt;"",
M415&amp;"/"&amp;SUMPRODUCT((M$2:M415=M415)*1)&amp;" - "&amp;(ROW()-2),
"إداري/"&amp;SUMPRODUCT((M$2:M415="")*1)&amp;" - "&amp;(ROW()-2)))</f>
        <v/>
      </c>
      <c r="D415" s="141" t="str">
        <f>IF(AND(G415="",H415="",I415=""),"",IF(COUNTIFS(LISTS!$A$2:$A$67,G415,LISTS!$B$2:$B$67,H415,LISTS!$C$2:$C$67,I415)=0,"✗ هرم",IF(NOT(OR(Z415="ممتاز 100%",Z415="جيد 80%",Z415="مقبول 60%",Z415="خطر 40%",Z415="")),"✗ قائمة R",IF(NOT(OR(AA415="ممتاز 100%",AA415="جيد 85%",AA415="مقبول 70%",AA415="ضعيف 50%",AA415="")),"✗ قائمة S",IF(NOT(OR(AB415="مكتمل 100%",AB415="جزئي 60%",AB415="معلق 30%",AB415="مفتوح 0%",AB415="")),"✗ قائمة T",IF(NOT(OR(AC415="لا خصم 0",AC415="تأخير −5",AC415="عجز −10",AC415="جودة −15",AC415="امتثال −20",AC415="مخالفة −25",AC415="")),"✗ قائمة U",IF(AND(X415="لا",AC415&lt;&gt;"",AC415&lt;&gt;"لا خصم 0"),"✗ خصم",IF(AND(X415="نعم",AC415="لا خصم 0"),"✗ خصم",IF(AND(Z415="ممتاز 100%",AA415="ممتاز 100%",AB415&lt;&gt;"",AB415&lt;&gt;"مكتمل 100%"),"✗ إغلاق",IFERROR(IF(LEN(_xlfn.TEXTJOIN("، ",TRUE,IF(E415="","التاريخ",""),IF(F415="","الوقت",""),IF(G415="","المركز",""),IF(H415="","الدائرة",""),IF(I415="","القسم",""),IF(J415="","المسؤول",""),IF(K415="","نوع النشاط",""),IF(L415="","المشروع",""),IF(N415="","الممول",""),IF(V415="","الموضوع",""),IF(W415="","الملاحظة",""),IF(X415="","مشكلة",""),IF(Y415="","الإجراء",""),IF(Z415="","التنفيذ",""),IF(AA415="","الجودة",""),IF(AB415="","الإغلاق",""),IF(AC415="","الخصم",""),IF(AND(COUNTA($O415:$U415)&gt;0,O415=""),"مدير المشروع",""),IF(AND(COUNTA($O415:$U415)&gt;0,P415=""),"المستفيدين",""),IF(AND(COUNTA($O415:$U415)&gt;0,Q415=""),"المناطق",""),IF(AND(COUNTA($O415:$U415)&gt;0,R415=""),"الميزانية",""),IF(AND(COUNTA($O415:$U415)&gt;0,S415=""),"نسبة الجاهزية",""),IF(AND(COUNTA($O415:$U415)&gt;0,T415=""),"حالة الجاهزية",""),IF(AND(COUNTA($O415:$U415)&gt;0,U415=""),"التوصيات","")))&gt;0,"✗ ناقص: "&amp;_xlfn.TEXTJOIN("، ",TRUE,IF(E415="","التاريخ",""),IF(F415="","الوقت",""),IF(G415="","المركز",""),IF(H415="","الدائرة",""),IF(I415="","القسم",""),IF(J415="","المسؤول",""),IF(K415="","نوع النشاط",""),IF(L415="","المشروع",""),IF(N415="","الممول",""),IF(V415="","الموضوع",""),IF(W415="","الملاحظة",""),IF(X415="","مشكلة",""),IF(Y415="","الإجراء",""),IF(Z415="","التنفيذ",""),IF(AA415="","الجودة",""),IF(AB415="","الإغلاق",""),IF(AC415="","الخصم",""),IF(AND(COUNTA($O415:$U415)&gt;0,O415=""),"مدير المشروع",""),IF(AND(COUNTA($O415:$U415)&gt;0,P415=""),"المستفيدين",""),IF(AND(COUNTA($O415:$U415)&gt;0,Q415=""),"المناطق",""),IF(AND(COUNTA($O415:$U415)&gt;0,R415=""),"الميزانية",""),IF(AND(COUNTA($O415:$U415)&gt;0,S415=""),"نسبة الجاهزية",""),IF(AND(COUNTA($O415:$U415)&gt;0,T415=""),"حالة الجاهزية",""),IF(AND(COUNTA($O415:$U415)&gt;0,U415=""),"التوصيات","")),"✓"),"✓"))))))))))</f>
        <v/>
      </c>
      <c r="E415" s="235"/>
      <c r="F415" s="236"/>
      <c r="G415" s="90"/>
      <c r="H415" s="239"/>
      <c r="I415" s="89"/>
      <c r="J415" s="142"/>
      <c r="K415" s="90"/>
      <c r="L415" s="90"/>
      <c r="M415" s="90"/>
      <c r="N415" s="89"/>
      <c r="O415" s="200"/>
      <c r="P415" s="201"/>
      <c r="Q415" s="201"/>
      <c r="R415" s="237"/>
      <c r="S415" s="202"/>
      <c r="T415" s="200"/>
      <c r="U415" s="203"/>
      <c r="V415" s="89"/>
      <c r="W415" s="89"/>
      <c r="X415" s="145"/>
      <c r="Y415" s="89"/>
      <c r="Z415" s="90"/>
      <c r="AA415" s="90"/>
      <c r="AB415" s="90"/>
      <c r="AC415" s="90"/>
      <c r="AD415" s="92"/>
      <c r="AE415" s="149" t="str">
        <f>IFERROR(VLOOKUP(Z415,LISTS!$AL$2:$AM$1000,2,FALSE()),"")</f>
        <v/>
      </c>
      <c r="AF415" s="151" t="str">
        <f>IFERROR(VLOOKUP(AA415,LISTS!$AO$2:$AP$1000,2,FALSE()),"")</f>
        <v/>
      </c>
      <c r="AG415" s="152" t="str">
        <f>IFERROR(VLOOKUP(AB415,LISTS!$AR$2:$AS$1000,2,FALSE()),"")</f>
        <v/>
      </c>
      <c r="AH415" s="154" t="str">
        <f>IFERROR(VLOOKUP(AC415,LISTS!$AU$2:$AV$1000,2,FALSE()),"")</f>
        <v/>
      </c>
      <c r="AI415" s="238" t="str">
        <f t="shared" si="33"/>
        <v>—</v>
      </c>
      <c r="AJ415" s="190" t="str">
        <f t="shared" si="34"/>
        <v>—</v>
      </c>
      <c r="AK415" s="157" t="str">
        <f t="shared" si="35"/>
        <v/>
      </c>
      <c r="AL415" s="160" t="str">
        <f t="shared" si="36"/>
        <v/>
      </c>
      <c r="AM415" s="210"/>
      <c r="AN415" s="209"/>
    </row>
    <row r="416" spans="1:40" ht="27.95" customHeight="1">
      <c r="A416" s="134" t="str">
        <f>IF(I416&lt;&gt;"",COUNTA($I$2:I416),"")</f>
        <v/>
      </c>
      <c r="B416" s="138" t="str">
        <f t="shared" si="37"/>
        <v/>
      </c>
      <c r="C416" s="93" t="str">
        <f t="array" ref="C416">IF(E416="","",IF(M416&lt;&gt;"",
M416&amp;"/"&amp;SUMPRODUCT((M$2:M416=M416)*1)&amp;" - "&amp;(ROW()-2),
"إداري/"&amp;SUMPRODUCT((M$2:M416="")*1)&amp;" - "&amp;(ROW()-2)))</f>
        <v/>
      </c>
      <c r="D416" s="141" t="str">
        <f>IF(AND(G416="",H416="",I416=""),"",IF(COUNTIFS(LISTS!$A$2:$A$67,G416,LISTS!$B$2:$B$67,H416,LISTS!$C$2:$C$67,I416)=0,"✗ هرم",IF(NOT(OR(Z416="ممتاز 100%",Z416="جيد 80%",Z416="مقبول 60%",Z416="خطر 40%",Z416="")),"✗ قائمة R",IF(NOT(OR(AA416="ممتاز 100%",AA416="جيد 85%",AA416="مقبول 70%",AA416="ضعيف 50%",AA416="")),"✗ قائمة S",IF(NOT(OR(AB416="مكتمل 100%",AB416="جزئي 60%",AB416="معلق 30%",AB416="مفتوح 0%",AB416="")),"✗ قائمة T",IF(NOT(OR(AC416="لا خصم 0",AC416="تأخير −5",AC416="عجز −10",AC416="جودة −15",AC416="امتثال −20",AC416="مخالفة −25",AC416="")),"✗ قائمة U",IF(AND(X416="لا",AC416&lt;&gt;"",AC416&lt;&gt;"لا خصم 0"),"✗ خصم",IF(AND(X416="نعم",AC416="لا خصم 0"),"✗ خصم",IF(AND(Z416="ممتاز 100%",AA416="ممتاز 100%",AB416&lt;&gt;"",AB416&lt;&gt;"مكتمل 100%"),"✗ إغلاق",IFERROR(IF(LEN(_xlfn.TEXTJOIN("، ",TRUE,IF(E416="","التاريخ",""),IF(F416="","الوقت",""),IF(G416="","المركز",""),IF(H416="","الدائرة",""),IF(I416="","القسم",""),IF(J416="","المسؤول",""),IF(K416="","نوع النشاط",""),IF(L416="","المشروع",""),IF(N416="","الممول",""),IF(V416="","الموضوع",""),IF(W416="","الملاحظة",""),IF(X416="","مشكلة",""),IF(Y416="","الإجراء",""),IF(Z416="","التنفيذ",""),IF(AA416="","الجودة",""),IF(AB416="","الإغلاق",""),IF(AC416="","الخصم",""),IF(AND(COUNTA($O416:$U416)&gt;0,O416=""),"مدير المشروع",""),IF(AND(COUNTA($O416:$U416)&gt;0,P416=""),"المستفيدين",""),IF(AND(COUNTA($O416:$U416)&gt;0,Q416=""),"المناطق",""),IF(AND(COUNTA($O416:$U416)&gt;0,R416=""),"الميزانية",""),IF(AND(COUNTA($O416:$U416)&gt;0,S416=""),"نسبة الجاهزية",""),IF(AND(COUNTA($O416:$U416)&gt;0,T416=""),"حالة الجاهزية",""),IF(AND(COUNTA($O416:$U416)&gt;0,U416=""),"التوصيات","")))&gt;0,"✗ ناقص: "&amp;_xlfn.TEXTJOIN("، ",TRUE,IF(E416="","التاريخ",""),IF(F416="","الوقت",""),IF(G416="","المركز",""),IF(H416="","الدائرة",""),IF(I416="","القسم",""),IF(J416="","المسؤول",""),IF(K416="","نوع النشاط",""),IF(L416="","المشروع",""),IF(N416="","الممول",""),IF(V416="","الموضوع",""),IF(W416="","الملاحظة",""),IF(X416="","مشكلة",""),IF(Y416="","الإجراء",""),IF(Z416="","التنفيذ",""),IF(AA416="","الجودة",""),IF(AB416="","الإغلاق",""),IF(AC416="","الخصم",""),IF(AND(COUNTA($O416:$U416)&gt;0,O416=""),"مدير المشروع",""),IF(AND(COUNTA($O416:$U416)&gt;0,P416=""),"المستفيدين",""),IF(AND(COUNTA($O416:$U416)&gt;0,Q416=""),"المناطق",""),IF(AND(COUNTA($O416:$U416)&gt;0,R416=""),"الميزانية",""),IF(AND(COUNTA($O416:$U416)&gt;0,S416=""),"نسبة الجاهزية",""),IF(AND(COUNTA($O416:$U416)&gt;0,T416=""),"حالة الجاهزية",""),IF(AND(COUNTA($O416:$U416)&gt;0,U416=""),"التوصيات","")),"✓"),"✓"))))))))))</f>
        <v/>
      </c>
      <c r="E416" s="235"/>
      <c r="F416" s="236"/>
      <c r="G416" s="90"/>
      <c r="H416" s="239"/>
      <c r="I416" s="89"/>
      <c r="J416" s="142"/>
      <c r="K416" s="90"/>
      <c r="L416" s="90"/>
      <c r="M416" s="90"/>
      <c r="N416" s="89"/>
      <c r="O416" s="200"/>
      <c r="P416" s="201"/>
      <c r="Q416" s="201"/>
      <c r="R416" s="237"/>
      <c r="S416" s="202"/>
      <c r="T416" s="200"/>
      <c r="U416" s="203"/>
      <c r="V416" s="89"/>
      <c r="W416" s="89"/>
      <c r="X416" s="145"/>
      <c r="Y416" s="89"/>
      <c r="Z416" s="90"/>
      <c r="AA416" s="90"/>
      <c r="AB416" s="90"/>
      <c r="AC416" s="90"/>
      <c r="AD416" s="92"/>
      <c r="AE416" s="149" t="str">
        <f>IFERROR(VLOOKUP(Z416,LISTS!$AL$2:$AM$1000,2,FALSE()),"")</f>
        <v/>
      </c>
      <c r="AF416" s="151" t="str">
        <f>IFERROR(VLOOKUP(AA416,LISTS!$AO$2:$AP$1000,2,FALSE()),"")</f>
        <v/>
      </c>
      <c r="AG416" s="152" t="str">
        <f>IFERROR(VLOOKUP(AB416,LISTS!$AR$2:$AS$1000,2,FALSE()),"")</f>
        <v/>
      </c>
      <c r="AH416" s="154" t="str">
        <f>IFERROR(VLOOKUP(AC416,LISTS!$AU$2:$AV$1000,2,FALSE()),"")</f>
        <v/>
      </c>
      <c r="AI416" s="238" t="str">
        <f t="shared" si="33"/>
        <v>—</v>
      </c>
      <c r="AJ416" s="190" t="str">
        <f t="shared" si="34"/>
        <v>—</v>
      </c>
      <c r="AK416" s="157" t="str">
        <f t="shared" si="35"/>
        <v/>
      </c>
      <c r="AL416" s="160" t="str">
        <f t="shared" si="36"/>
        <v/>
      </c>
      <c r="AM416" s="210"/>
      <c r="AN416" s="209"/>
    </row>
    <row r="417" spans="1:40" ht="27.95" customHeight="1">
      <c r="A417" s="134" t="str">
        <f>IF(I417&lt;&gt;"",COUNTA($I$2:I417),"")</f>
        <v/>
      </c>
      <c r="B417" s="138" t="str">
        <f t="shared" si="37"/>
        <v/>
      </c>
      <c r="C417" s="93" t="str">
        <f t="array" ref="C417">IF(E417="","",IF(M417&lt;&gt;"",
M417&amp;"/"&amp;SUMPRODUCT((M$2:M417=M417)*1)&amp;" - "&amp;(ROW()-2),
"إداري/"&amp;SUMPRODUCT((M$2:M417="")*1)&amp;" - "&amp;(ROW()-2)))</f>
        <v/>
      </c>
      <c r="D417" s="141" t="str">
        <f>IF(AND(G417="",H417="",I417=""),"",IF(COUNTIFS(LISTS!$A$2:$A$67,G417,LISTS!$B$2:$B$67,H417,LISTS!$C$2:$C$67,I417)=0,"✗ هرم",IF(NOT(OR(Z417="ممتاز 100%",Z417="جيد 80%",Z417="مقبول 60%",Z417="خطر 40%",Z417="")),"✗ قائمة R",IF(NOT(OR(AA417="ممتاز 100%",AA417="جيد 85%",AA417="مقبول 70%",AA417="ضعيف 50%",AA417="")),"✗ قائمة S",IF(NOT(OR(AB417="مكتمل 100%",AB417="جزئي 60%",AB417="معلق 30%",AB417="مفتوح 0%",AB417="")),"✗ قائمة T",IF(NOT(OR(AC417="لا خصم 0",AC417="تأخير −5",AC417="عجز −10",AC417="جودة −15",AC417="امتثال −20",AC417="مخالفة −25",AC417="")),"✗ قائمة U",IF(AND(X417="لا",AC417&lt;&gt;"",AC417&lt;&gt;"لا خصم 0"),"✗ خصم",IF(AND(X417="نعم",AC417="لا خصم 0"),"✗ خصم",IF(AND(Z417="ممتاز 100%",AA417="ممتاز 100%",AB417&lt;&gt;"",AB417&lt;&gt;"مكتمل 100%"),"✗ إغلاق",IFERROR(IF(LEN(_xlfn.TEXTJOIN("، ",TRUE,IF(E417="","التاريخ",""),IF(F417="","الوقت",""),IF(G417="","المركز",""),IF(H417="","الدائرة",""),IF(I417="","القسم",""),IF(J417="","المسؤول",""),IF(K417="","نوع النشاط",""),IF(L417="","المشروع",""),IF(N417="","الممول",""),IF(V417="","الموضوع",""),IF(W417="","الملاحظة",""),IF(X417="","مشكلة",""),IF(Y417="","الإجراء",""),IF(Z417="","التنفيذ",""),IF(AA417="","الجودة",""),IF(AB417="","الإغلاق",""),IF(AC417="","الخصم",""),IF(AND(COUNTA($O417:$U417)&gt;0,O417=""),"مدير المشروع",""),IF(AND(COUNTA($O417:$U417)&gt;0,P417=""),"المستفيدين",""),IF(AND(COUNTA($O417:$U417)&gt;0,Q417=""),"المناطق",""),IF(AND(COUNTA($O417:$U417)&gt;0,R417=""),"الميزانية",""),IF(AND(COUNTA($O417:$U417)&gt;0,S417=""),"نسبة الجاهزية",""),IF(AND(COUNTA($O417:$U417)&gt;0,T417=""),"حالة الجاهزية",""),IF(AND(COUNTA($O417:$U417)&gt;0,U417=""),"التوصيات","")))&gt;0,"✗ ناقص: "&amp;_xlfn.TEXTJOIN("، ",TRUE,IF(E417="","التاريخ",""),IF(F417="","الوقت",""),IF(G417="","المركز",""),IF(H417="","الدائرة",""),IF(I417="","القسم",""),IF(J417="","المسؤول",""),IF(K417="","نوع النشاط",""),IF(L417="","المشروع",""),IF(N417="","الممول",""),IF(V417="","الموضوع",""),IF(W417="","الملاحظة",""),IF(X417="","مشكلة",""),IF(Y417="","الإجراء",""),IF(Z417="","التنفيذ",""),IF(AA417="","الجودة",""),IF(AB417="","الإغلاق",""),IF(AC417="","الخصم",""),IF(AND(COUNTA($O417:$U417)&gt;0,O417=""),"مدير المشروع",""),IF(AND(COUNTA($O417:$U417)&gt;0,P417=""),"المستفيدين",""),IF(AND(COUNTA($O417:$U417)&gt;0,Q417=""),"المناطق",""),IF(AND(COUNTA($O417:$U417)&gt;0,R417=""),"الميزانية",""),IF(AND(COUNTA($O417:$U417)&gt;0,S417=""),"نسبة الجاهزية",""),IF(AND(COUNTA($O417:$U417)&gt;0,T417=""),"حالة الجاهزية",""),IF(AND(COUNTA($O417:$U417)&gt;0,U417=""),"التوصيات","")),"✓"),"✓"))))))))))</f>
        <v/>
      </c>
      <c r="E417" s="235"/>
      <c r="F417" s="236"/>
      <c r="G417" s="90"/>
      <c r="H417" s="239"/>
      <c r="I417" s="89"/>
      <c r="J417" s="142"/>
      <c r="K417" s="90"/>
      <c r="L417" s="90"/>
      <c r="M417" s="90"/>
      <c r="N417" s="89"/>
      <c r="O417" s="200"/>
      <c r="P417" s="201"/>
      <c r="Q417" s="201"/>
      <c r="R417" s="237"/>
      <c r="S417" s="202"/>
      <c r="T417" s="200"/>
      <c r="U417" s="203"/>
      <c r="V417" s="89"/>
      <c r="W417" s="89"/>
      <c r="X417" s="145"/>
      <c r="Y417" s="89"/>
      <c r="Z417" s="90"/>
      <c r="AA417" s="90"/>
      <c r="AB417" s="90"/>
      <c r="AC417" s="90"/>
      <c r="AD417" s="92"/>
      <c r="AE417" s="149" t="str">
        <f>IFERROR(VLOOKUP(Z417,LISTS!$AL$2:$AM$1000,2,FALSE()),"")</f>
        <v/>
      </c>
      <c r="AF417" s="151" t="str">
        <f>IFERROR(VLOOKUP(AA417,LISTS!$AO$2:$AP$1000,2,FALSE()),"")</f>
        <v/>
      </c>
      <c r="AG417" s="152" t="str">
        <f>IFERROR(VLOOKUP(AB417,LISTS!$AR$2:$AS$1000,2,FALSE()),"")</f>
        <v/>
      </c>
      <c r="AH417" s="154" t="str">
        <f>IFERROR(VLOOKUP(AC417,LISTS!$AU$2:$AV$1000,2,FALSE()),"")</f>
        <v/>
      </c>
      <c r="AI417" s="238" t="str">
        <f t="shared" si="33"/>
        <v>—</v>
      </c>
      <c r="AJ417" s="190" t="str">
        <f t="shared" si="34"/>
        <v>—</v>
      </c>
      <c r="AK417" s="157" t="str">
        <f t="shared" si="35"/>
        <v/>
      </c>
      <c r="AL417" s="160" t="str">
        <f t="shared" si="36"/>
        <v/>
      </c>
      <c r="AM417" s="210"/>
      <c r="AN417" s="209"/>
    </row>
    <row r="418" spans="1:40" ht="27.95" customHeight="1">
      <c r="A418" s="134" t="str">
        <f>IF(I418&lt;&gt;"",COUNTA($I$2:I418),"")</f>
        <v/>
      </c>
      <c r="B418" s="138" t="str">
        <f t="shared" si="37"/>
        <v/>
      </c>
      <c r="C418" s="93" t="str">
        <f t="array" ref="C418">IF(E418="","",IF(M418&lt;&gt;"",
M418&amp;"/"&amp;SUMPRODUCT((M$2:M418=M418)*1)&amp;" - "&amp;(ROW()-2),
"إداري/"&amp;SUMPRODUCT((M$2:M418="")*1)&amp;" - "&amp;(ROW()-2)))</f>
        <v/>
      </c>
      <c r="D418" s="141" t="str">
        <f>IF(AND(G418="",H418="",I418=""),"",IF(COUNTIFS(LISTS!$A$2:$A$67,G418,LISTS!$B$2:$B$67,H418,LISTS!$C$2:$C$67,I418)=0,"✗ هرم",IF(NOT(OR(Z418="ممتاز 100%",Z418="جيد 80%",Z418="مقبول 60%",Z418="خطر 40%",Z418="")),"✗ قائمة R",IF(NOT(OR(AA418="ممتاز 100%",AA418="جيد 85%",AA418="مقبول 70%",AA418="ضعيف 50%",AA418="")),"✗ قائمة S",IF(NOT(OR(AB418="مكتمل 100%",AB418="جزئي 60%",AB418="معلق 30%",AB418="مفتوح 0%",AB418="")),"✗ قائمة T",IF(NOT(OR(AC418="لا خصم 0",AC418="تأخير −5",AC418="عجز −10",AC418="جودة −15",AC418="امتثال −20",AC418="مخالفة −25",AC418="")),"✗ قائمة U",IF(AND(X418="لا",AC418&lt;&gt;"",AC418&lt;&gt;"لا خصم 0"),"✗ خصم",IF(AND(X418="نعم",AC418="لا خصم 0"),"✗ خصم",IF(AND(Z418="ممتاز 100%",AA418="ممتاز 100%",AB418&lt;&gt;"",AB418&lt;&gt;"مكتمل 100%"),"✗ إغلاق",IFERROR(IF(LEN(_xlfn.TEXTJOIN("، ",TRUE,IF(E418="","التاريخ",""),IF(F418="","الوقت",""),IF(G418="","المركز",""),IF(H418="","الدائرة",""),IF(I418="","القسم",""),IF(J418="","المسؤول",""),IF(K418="","نوع النشاط",""),IF(L418="","المشروع",""),IF(N418="","الممول",""),IF(V418="","الموضوع",""),IF(W418="","الملاحظة",""),IF(X418="","مشكلة",""),IF(Y418="","الإجراء",""),IF(Z418="","التنفيذ",""),IF(AA418="","الجودة",""),IF(AB418="","الإغلاق",""),IF(AC418="","الخصم",""),IF(AND(COUNTA($O418:$U418)&gt;0,O418=""),"مدير المشروع",""),IF(AND(COUNTA($O418:$U418)&gt;0,P418=""),"المستفيدين",""),IF(AND(COUNTA($O418:$U418)&gt;0,Q418=""),"المناطق",""),IF(AND(COUNTA($O418:$U418)&gt;0,R418=""),"الميزانية",""),IF(AND(COUNTA($O418:$U418)&gt;0,S418=""),"نسبة الجاهزية",""),IF(AND(COUNTA($O418:$U418)&gt;0,T418=""),"حالة الجاهزية",""),IF(AND(COUNTA($O418:$U418)&gt;0,U418=""),"التوصيات","")))&gt;0,"✗ ناقص: "&amp;_xlfn.TEXTJOIN("، ",TRUE,IF(E418="","التاريخ",""),IF(F418="","الوقت",""),IF(G418="","المركز",""),IF(H418="","الدائرة",""),IF(I418="","القسم",""),IF(J418="","المسؤول",""),IF(K418="","نوع النشاط",""),IF(L418="","المشروع",""),IF(N418="","الممول",""),IF(V418="","الموضوع",""),IF(W418="","الملاحظة",""),IF(X418="","مشكلة",""),IF(Y418="","الإجراء",""),IF(Z418="","التنفيذ",""),IF(AA418="","الجودة",""),IF(AB418="","الإغلاق",""),IF(AC418="","الخصم",""),IF(AND(COUNTA($O418:$U418)&gt;0,O418=""),"مدير المشروع",""),IF(AND(COUNTA($O418:$U418)&gt;0,P418=""),"المستفيدين",""),IF(AND(COUNTA($O418:$U418)&gt;0,Q418=""),"المناطق",""),IF(AND(COUNTA($O418:$U418)&gt;0,R418=""),"الميزانية",""),IF(AND(COUNTA($O418:$U418)&gt;0,S418=""),"نسبة الجاهزية",""),IF(AND(COUNTA($O418:$U418)&gt;0,T418=""),"حالة الجاهزية",""),IF(AND(COUNTA($O418:$U418)&gt;0,U418=""),"التوصيات","")),"✓"),"✓"))))))))))</f>
        <v/>
      </c>
      <c r="E418" s="235"/>
      <c r="F418" s="236"/>
      <c r="G418" s="90"/>
      <c r="H418" s="239"/>
      <c r="I418" s="89"/>
      <c r="J418" s="142"/>
      <c r="K418" s="90"/>
      <c r="L418" s="90"/>
      <c r="M418" s="90"/>
      <c r="N418" s="89"/>
      <c r="O418" s="200"/>
      <c r="P418" s="201"/>
      <c r="Q418" s="201"/>
      <c r="R418" s="237"/>
      <c r="S418" s="202"/>
      <c r="T418" s="200"/>
      <c r="U418" s="203"/>
      <c r="V418" s="89"/>
      <c r="W418" s="89"/>
      <c r="X418" s="145"/>
      <c r="Y418" s="89"/>
      <c r="Z418" s="90"/>
      <c r="AA418" s="90"/>
      <c r="AB418" s="90"/>
      <c r="AC418" s="90"/>
      <c r="AD418" s="92"/>
      <c r="AE418" s="149" t="str">
        <f>IFERROR(VLOOKUP(Z418,LISTS!$AL$2:$AM$1000,2,FALSE()),"")</f>
        <v/>
      </c>
      <c r="AF418" s="151" t="str">
        <f>IFERROR(VLOOKUP(AA418,LISTS!$AO$2:$AP$1000,2,FALSE()),"")</f>
        <v/>
      </c>
      <c r="AG418" s="152" t="str">
        <f>IFERROR(VLOOKUP(AB418,LISTS!$AR$2:$AS$1000,2,FALSE()),"")</f>
        <v/>
      </c>
      <c r="AH418" s="154" t="str">
        <f>IFERROR(VLOOKUP(AC418,LISTS!$AU$2:$AV$1000,2,FALSE()),"")</f>
        <v/>
      </c>
      <c r="AI418" s="238" t="str">
        <f t="shared" si="33"/>
        <v>—</v>
      </c>
      <c r="AJ418" s="190" t="str">
        <f t="shared" si="34"/>
        <v>—</v>
      </c>
      <c r="AK418" s="157" t="str">
        <f t="shared" si="35"/>
        <v/>
      </c>
      <c r="AL418" s="160" t="str">
        <f t="shared" si="36"/>
        <v/>
      </c>
      <c r="AM418" s="210"/>
      <c r="AN418" s="209"/>
    </row>
    <row r="419" spans="1:40" ht="27.95" customHeight="1">
      <c r="A419" s="134" t="str">
        <f>IF(I419&lt;&gt;"",COUNTA($I$2:I419),"")</f>
        <v/>
      </c>
      <c r="B419" s="138" t="str">
        <f t="shared" si="37"/>
        <v/>
      </c>
      <c r="C419" s="93" t="str">
        <f t="array" ref="C419">IF(E419="","",IF(M419&lt;&gt;"",
M419&amp;"/"&amp;SUMPRODUCT((M$2:M419=M419)*1)&amp;" - "&amp;(ROW()-2),
"إداري/"&amp;SUMPRODUCT((M$2:M419="")*1)&amp;" - "&amp;(ROW()-2)))</f>
        <v/>
      </c>
      <c r="D419" s="141" t="str">
        <f>IF(AND(G419="",H419="",I419=""),"",IF(COUNTIFS(LISTS!$A$2:$A$67,G419,LISTS!$B$2:$B$67,H419,LISTS!$C$2:$C$67,I419)=0,"✗ هرم",IF(NOT(OR(Z419="ممتاز 100%",Z419="جيد 80%",Z419="مقبول 60%",Z419="خطر 40%",Z419="")),"✗ قائمة R",IF(NOT(OR(AA419="ممتاز 100%",AA419="جيد 85%",AA419="مقبول 70%",AA419="ضعيف 50%",AA419="")),"✗ قائمة S",IF(NOT(OR(AB419="مكتمل 100%",AB419="جزئي 60%",AB419="معلق 30%",AB419="مفتوح 0%",AB419="")),"✗ قائمة T",IF(NOT(OR(AC419="لا خصم 0",AC419="تأخير −5",AC419="عجز −10",AC419="جودة −15",AC419="امتثال −20",AC419="مخالفة −25",AC419="")),"✗ قائمة U",IF(AND(X419="لا",AC419&lt;&gt;"",AC419&lt;&gt;"لا خصم 0"),"✗ خصم",IF(AND(X419="نعم",AC419="لا خصم 0"),"✗ خصم",IF(AND(Z419="ممتاز 100%",AA419="ممتاز 100%",AB419&lt;&gt;"",AB419&lt;&gt;"مكتمل 100%"),"✗ إغلاق",IFERROR(IF(LEN(_xlfn.TEXTJOIN("، ",TRUE,IF(E419="","التاريخ",""),IF(F419="","الوقت",""),IF(G419="","المركز",""),IF(H419="","الدائرة",""),IF(I419="","القسم",""),IF(J419="","المسؤول",""),IF(K419="","نوع النشاط",""),IF(L419="","المشروع",""),IF(N419="","الممول",""),IF(V419="","الموضوع",""),IF(W419="","الملاحظة",""),IF(X419="","مشكلة",""),IF(Y419="","الإجراء",""),IF(Z419="","التنفيذ",""),IF(AA419="","الجودة",""),IF(AB419="","الإغلاق",""),IF(AC419="","الخصم",""),IF(AND(COUNTA($O419:$U419)&gt;0,O419=""),"مدير المشروع",""),IF(AND(COUNTA($O419:$U419)&gt;0,P419=""),"المستفيدين",""),IF(AND(COUNTA($O419:$U419)&gt;0,Q419=""),"المناطق",""),IF(AND(COUNTA($O419:$U419)&gt;0,R419=""),"الميزانية",""),IF(AND(COUNTA($O419:$U419)&gt;0,S419=""),"نسبة الجاهزية",""),IF(AND(COUNTA($O419:$U419)&gt;0,T419=""),"حالة الجاهزية",""),IF(AND(COUNTA($O419:$U419)&gt;0,U419=""),"التوصيات","")))&gt;0,"✗ ناقص: "&amp;_xlfn.TEXTJOIN("، ",TRUE,IF(E419="","التاريخ",""),IF(F419="","الوقت",""),IF(G419="","المركز",""),IF(H419="","الدائرة",""),IF(I419="","القسم",""),IF(J419="","المسؤول",""),IF(K419="","نوع النشاط",""),IF(L419="","المشروع",""),IF(N419="","الممول",""),IF(V419="","الموضوع",""),IF(W419="","الملاحظة",""),IF(X419="","مشكلة",""),IF(Y419="","الإجراء",""),IF(Z419="","التنفيذ",""),IF(AA419="","الجودة",""),IF(AB419="","الإغلاق",""),IF(AC419="","الخصم",""),IF(AND(COUNTA($O419:$U419)&gt;0,O419=""),"مدير المشروع",""),IF(AND(COUNTA($O419:$U419)&gt;0,P419=""),"المستفيدين",""),IF(AND(COUNTA($O419:$U419)&gt;0,Q419=""),"المناطق",""),IF(AND(COUNTA($O419:$U419)&gt;0,R419=""),"الميزانية",""),IF(AND(COUNTA($O419:$U419)&gt;0,S419=""),"نسبة الجاهزية",""),IF(AND(COUNTA($O419:$U419)&gt;0,T419=""),"حالة الجاهزية",""),IF(AND(COUNTA($O419:$U419)&gt;0,U419=""),"التوصيات","")),"✓"),"✓"))))))))))</f>
        <v/>
      </c>
      <c r="E419" s="235"/>
      <c r="F419" s="236"/>
      <c r="G419" s="90"/>
      <c r="H419" s="239"/>
      <c r="I419" s="89"/>
      <c r="J419" s="142"/>
      <c r="K419" s="90"/>
      <c r="L419" s="90"/>
      <c r="M419" s="90"/>
      <c r="N419" s="89"/>
      <c r="O419" s="200"/>
      <c r="P419" s="201"/>
      <c r="Q419" s="201"/>
      <c r="R419" s="237"/>
      <c r="S419" s="202"/>
      <c r="T419" s="200"/>
      <c r="U419" s="203"/>
      <c r="V419" s="89"/>
      <c r="W419" s="89"/>
      <c r="X419" s="145"/>
      <c r="Y419" s="89"/>
      <c r="Z419" s="90"/>
      <c r="AA419" s="90"/>
      <c r="AB419" s="90"/>
      <c r="AC419" s="90"/>
      <c r="AD419" s="92"/>
      <c r="AE419" s="149" t="str">
        <f>IFERROR(VLOOKUP(Z419,LISTS!$AL$2:$AM$1000,2,FALSE()),"")</f>
        <v/>
      </c>
      <c r="AF419" s="151" t="str">
        <f>IFERROR(VLOOKUP(AA419,LISTS!$AO$2:$AP$1000,2,FALSE()),"")</f>
        <v/>
      </c>
      <c r="AG419" s="152" t="str">
        <f>IFERROR(VLOOKUP(AB419,LISTS!$AR$2:$AS$1000,2,FALSE()),"")</f>
        <v/>
      </c>
      <c r="AH419" s="154" t="str">
        <f>IFERROR(VLOOKUP(AC419,LISTS!$AU$2:$AV$1000,2,FALSE()),"")</f>
        <v/>
      </c>
      <c r="AI419" s="238" t="str">
        <f t="shared" si="33"/>
        <v>—</v>
      </c>
      <c r="AJ419" s="190" t="str">
        <f t="shared" si="34"/>
        <v>—</v>
      </c>
      <c r="AK419" s="157" t="str">
        <f t="shared" si="35"/>
        <v/>
      </c>
      <c r="AL419" s="160" t="str">
        <f t="shared" si="36"/>
        <v/>
      </c>
      <c r="AM419" s="210"/>
      <c r="AN419" s="209"/>
    </row>
    <row r="420" spans="1:40" ht="27.95" customHeight="1">
      <c r="A420" s="134" t="str">
        <f>IF(I420&lt;&gt;"",COUNTA($I$2:I420),"")</f>
        <v/>
      </c>
      <c r="B420" s="138" t="str">
        <f t="shared" si="37"/>
        <v/>
      </c>
      <c r="C420" s="93" t="str">
        <f t="array" ref="C420">IF(E420="","",IF(M420&lt;&gt;"",
M420&amp;"/"&amp;SUMPRODUCT((M$2:M420=M420)*1)&amp;" - "&amp;(ROW()-2),
"إداري/"&amp;SUMPRODUCT((M$2:M420="")*1)&amp;" - "&amp;(ROW()-2)))</f>
        <v/>
      </c>
      <c r="D420" s="141" t="str">
        <f>IF(AND(G420="",H420="",I420=""),"",IF(COUNTIFS(LISTS!$A$2:$A$67,G420,LISTS!$B$2:$B$67,H420,LISTS!$C$2:$C$67,I420)=0,"✗ هرم",IF(NOT(OR(Z420="ممتاز 100%",Z420="جيد 80%",Z420="مقبول 60%",Z420="خطر 40%",Z420="")),"✗ قائمة R",IF(NOT(OR(AA420="ممتاز 100%",AA420="جيد 85%",AA420="مقبول 70%",AA420="ضعيف 50%",AA420="")),"✗ قائمة S",IF(NOT(OR(AB420="مكتمل 100%",AB420="جزئي 60%",AB420="معلق 30%",AB420="مفتوح 0%",AB420="")),"✗ قائمة T",IF(NOT(OR(AC420="لا خصم 0",AC420="تأخير −5",AC420="عجز −10",AC420="جودة −15",AC420="امتثال −20",AC420="مخالفة −25",AC420="")),"✗ قائمة U",IF(AND(X420="لا",AC420&lt;&gt;"",AC420&lt;&gt;"لا خصم 0"),"✗ خصم",IF(AND(X420="نعم",AC420="لا خصم 0"),"✗ خصم",IF(AND(Z420="ممتاز 100%",AA420="ممتاز 100%",AB420&lt;&gt;"",AB420&lt;&gt;"مكتمل 100%"),"✗ إغلاق",IFERROR(IF(LEN(_xlfn.TEXTJOIN("، ",TRUE,IF(E420="","التاريخ",""),IF(F420="","الوقت",""),IF(G420="","المركز",""),IF(H420="","الدائرة",""),IF(I420="","القسم",""),IF(J420="","المسؤول",""),IF(K420="","نوع النشاط",""),IF(L420="","المشروع",""),IF(N420="","الممول",""),IF(V420="","الموضوع",""),IF(W420="","الملاحظة",""),IF(X420="","مشكلة",""),IF(Y420="","الإجراء",""),IF(Z420="","التنفيذ",""),IF(AA420="","الجودة",""),IF(AB420="","الإغلاق",""),IF(AC420="","الخصم",""),IF(AND(COUNTA($O420:$U420)&gt;0,O420=""),"مدير المشروع",""),IF(AND(COUNTA($O420:$U420)&gt;0,P420=""),"المستفيدين",""),IF(AND(COUNTA($O420:$U420)&gt;0,Q420=""),"المناطق",""),IF(AND(COUNTA($O420:$U420)&gt;0,R420=""),"الميزانية",""),IF(AND(COUNTA($O420:$U420)&gt;0,S420=""),"نسبة الجاهزية",""),IF(AND(COUNTA($O420:$U420)&gt;0,T420=""),"حالة الجاهزية",""),IF(AND(COUNTA($O420:$U420)&gt;0,U420=""),"التوصيات","")))&gt;0,"✗ ناقص: "&amp;_xlfn.TEXTJOIN("، ",TRUE,IF(E420="","التاريخ",""),IF(F420="","الوقت",""),IF(G420="","المركز",""),IF(H420="","الدائرة",""),IF(I420="","القسم",""),IF(J420="","المسؤول",""),IF(K420="","نوع النشاط",""),IF(L420="","المشروع",""),IF(N420="","الممول",""),IF(V420="","الموضوع",""),IF(W420="","الملاحظة",""),IF(X420="","مشكلة",""),IF(Y420="","الإجراء",""),IF(Z420="","التنفيذ",""),IF(AA420="","الجودة",""),IF(AB420="","الإغلاق",""),IF(AC420="","الخصم",""),IF(AND(COUNTA($O420:$U420)&gt;0,O420=""),"مدير المشروع",""),IF(AND(COUNTA($O420:$U420)&gt;0,P420=""),"المستفيدين",""),IF(AND(COUNTA($O420:$U420)&gt;0,Q420=""),"المناطق",""),IF(AND(COUNTA($O420:$U420)&gt;0,R420=""),"الميزانية",""),IF(AND(COUNTA($O420:$U420)&gt;0,S420=""),"نسبة الجاهزية",""),IF(AND(COUNTA($O420:$U420)&gt;0,T420=""),"حالة الجاهزية",""),IF(AND(COUNTA($O420:$U420)&gt;0,U420=""),"التوصيات","")),"✓"),"✓"))))))))))</f>
        <v/>
      </c>
      <c r="E420" s="235"/>
      <c r="F420" s="236"/>
      <c r="G420" s="90"/>
      <c r="H420" s="239"/>
      <c r="I420" s="89"/>
      <c r="J420" s="142"/>
      <c r="K420" s="90"/>
      <c r="L420" s="90"/>
      <c r="M420" s="90"/>
      <c r="N420" s="89"/>
      <c r="O420" s="200"/>
      <c r="P420" s="201"/>
      <c r="Q420" s="201"/>
      <c r="R420" s="237"/>
      <c r="S420" s="202"/>
      <c r="T420" s="200"/>
      <c r="U420" s="203"/>
      <c r="V420" s="89"/>
      <c r="W420" s="89"/>
      <c r="X420" s="145"/>
      <c r="Y420" s="89"/>
      <c r="Z420" s="90"/>
      <c r="AA420" s="90"/>
      <c r="AB420" s="90"/>
      <c r="AC420" s="90"/>
      <c r="AD420" s="92"/>
      <c r="AE420" s="149" t="str">
        <f>IFERROR(VLOOKUP(Z420,LISTS!$AL$2:$AM$1000,2,FALSE()),"")</f>
        <v/>
      </c>
      <c r="AF420" s="151" t="str">
        <f>IFERROR(VLOOKUP(AA420,LISTS!$AO$2:$AP$1000,2,FALSE()),"")</f>
        <v/>
      </c>
      <c r="AG420" s="152" t="str">
        <f>IFERROR(VLOOKUP(AB420,LISTS!$AR$2:$AS$1000,2,FALSE()),"")</f>
        <v/>
      </c>
      <c r="AH420" s="154" t="str">
        <f>IFERROR(VLOOKUP(AC420,LISTS!$AU$2:$AV$1000,2,FALSE()),"")</f>
        <v/>
      </c>
      <c r="AI420" s="238" t="str">
        <f t="shared" si="33"/>
        <v>—</v>
      </c>
      <c r="AJ420" s="190" t="str">
        <f t="shared" si="34"/>
        <v>—</v>
      </c>
      <c r="AK420" s="157" t="str">
        <f t="shared" si="35"/>
        <v/>
      </c>
      <c r="AL420" s="160" t="str">
        <f t="shared" si="36"/>
        <v/>
      </c>
      <c r="AM420" s="210"/>
      <c r="AN420" s="209"/>
    </row>
    <row r="421" spans="1:40" ht="27.95" customHeight="1">
      <c r="A421" s="134" t="str">
        <f>IF(I421&lt;&gt;"",COUNTA($I$2:I421),"")</f>
        <v/>
      </c>
      <c r="B421" s="138" t="str">
        <f t="shared" si="37"/>
        <v/>
      </c>
      <c r="C421" s="93" t="str">
        <f t="array" ref="C421">IF(E421="","",IF(M421&lt;&gt;"",
M421&amp;"/"&amp;SUMPRODUCT((M$2:M421=M421)*1)&amp;" - "&amp;(ROW()-2),
"إداري/"&amp;SUMPRODUCT((M$2:M421="")*1)&amp;" - "&amp;(ROW()-2)))</f>
        <v/>
      </c>
      <c r="D421" s="141" t="str">
        <f>IF(AND(G421="",H421="",I421=""),"",IF(COUNTIFS(LISTS!$A$2:$A$67,G421,LISTS!$B$2:$B$67,H421,LISTS!$C$2:$C$67,I421)=0,"✗ هرم",IF(NOT(OR(Z421="ممتاز 100%",Z421="جيد 80%",Z421="مقبول 60%",Z421="خطر 40%",Z421="")),"✗ قائمة R",IF(NOT(OR(AA421="ممتاز 100%",AA421="جيد 85%",AA421="مقبول 70%",AA421="ضعيف 50%",AA421="")),"✗ قائمة S",IF(NOT(OR(AB421="مكتمل 100%",AB421="جزئي 60%",AB421="معلق 30%",AB421="مفتوح 0%",AB421="")),"✗ قائمة T",IF(NOT(OR(AC421="لا خصم 0",AC421="تأخير −5",AC421="عجز −10",AC421="جودة −15",AC421="امتثال −20",AC421="مخالفة −25",AC421="")),"✗ قائمة U",IF(AND(X421="لا",AC421&lt;&gt;"",AC421&lt;&gt;"لا خصم 0"),"✗ خصم",IF(AND(X421="نعم",AC421="لا خصم 0"),"✗ خصم",IF(AND(Z421="ممتاز 100%",AA421="ممتاز 100%",AB421&lt;&gt;"",AB421&lt;&gt;"مكتمل 100%"),"✗ إغلاق",IFERROR(IF(LEN(_xlfn.TEXTJOIN("، ",TRUE,IF(E421="","التاريخ",""),IF(F421="","الوقت",""),IF(G421="","المركز",""),IF(H421="","الدائرة",""),IF(I421="","القسم",""),IF(J421="","المسؤول",""),IF(K421="","نوع النشاط",""),IF(L421="","المشروع",""),IF(N421="","الممول",""),IF(V421="","الموضوع",""),IF(W421="","الملاحظة",""),IF(X421="","مشكلة",""),IF(Y421="","الإجراء",""),IF(Z421="","التنفيذ",""),IF(AA421="","الجودة",""),IF(AB421="","الإغلاق",""),IF(AC421="","الخصم",""),IF(AND(COUNTA($O421:$U421)&gt;0,O421=""),"مدير المشروع",""),IF(AND(COUNTA($O421:$U421)&gt;0,P421=""),"المستفيدين",""),IF(AND(COUNTA($O421:$U421)&gt;0,Q421=""),"المناطق",""),IF(AND(COUNTA($O421:$U421)&gt;0,R421=""),"الميزانية",""),IF(AND(COUNTA($O421:$U421)&gt;0,S421=""),"نسبة الجاهزية",""),IF(AND(COUNTA($O421:$U421)&gt;0,T421=""),"حالة الجاهزية",""),IF(AND(COUNTA($O421:$U421)&gt;0,U421=""),"التوصيات","")))&gt;0,"✗ ناقص: "&amp;_xlfn.TEXTJOIN("، ",TRUE,IF(E421="","التاريخ",""),IF(F421="","الوقت",""),IF(G421="","المركز",""),IF(H421="","الدائرة",""),IF(I421="","القسم",""),IF(J421="","المسؤول",""),IF(K421="","نوع النشاط",""),IF(L421="","المشروع",""),IF(N421="","الممول",""),IF(V421="","الموضوع",""),IF(W421="","الملاحظة",""),IF(X421="","مشكلة",""),IF(Y421="","الإجراء",""),IF(Z421="","التنفيذ",""),IF(AA421="","الجودة",""),IF(AB421="","الإغلاق",""),IF(AC421="","الخصم",""),IF(AND(COUNTA($O421:$U421)&gt;0,O421=""),"مدير المشروع",""),IF(AND(COUNTA($O421:$U421)&gt;0,P421=""),"المستفيدين",""),IF(AND(COUNTA($O421:$U421)&gt;0,Q421=""),"المناطق",""),IF(AND(COUNTA($O421:$U421)&gt;0,R421=""),"الميزانية",""),IF(AND(COUNTA($O421:$U421)&gt;0,S421=""),"نسبة الجاهزية",""),IF(AND(COUNTA($O421:$U421)&gt;0,T421=""),"حالة الجاهزية",""),IF(AND(COUNTA($O421:$U421)&gt;0,U421=""),"التوصيات","")),"✓"),"✓"))))))))))</f>
        <v/>
      </c>
      <c r="E421" s="235"/>
      <c r="F421" s="236"/>
      <c r="G421" s="90"/>
      <c r="H421" s="239"/>
      <c r="I421" s="89"/>
      <c r="J421" s="142"/>
      <c r="K421" s="90"/>
      <c r="L421" s="90"/>
      <c r="M421" s="90"/>
      <c r="N421" s="89"/>
      <c r="O421" s="200"/>
      <c r="P421" s="201"/>
      <c r="Q421" s="201"/>
      <c r="R421" s="237"/>
      <c r="S421" s="202"/>
      <c r="T421" s="200"/>
      <c r="U421" s="203"/>
      <c r="V421" s="89"/>
      <c r="W421" s="89"/>
      <c r="X421" s="145"/>
      <c r="Y421" s="89"/>
      <c r="Z421" s="90"/>
      <c r="AA421" s="90"/>
      <c r="AB421" s="90"/>
      <c r="AC421" s="90"/>
      <c r="AD421" s="92"/>
      <c r="AE421" s="149" t="str">
        <f>IFERROR(VLOOKUP(Z421,LISTS!$AL$2:$AM$1000,2,FALSE()),"")</f>
        <v/>
      </c>
      <c r="AF421" s="151" t="str">
        <f>IFERROR(VLOOKUP(AA421,LISTS!$AO$2:$AP$1000,2,FALSE()),"")</f>
        <v/>
      </c>
      <c r="AG421" s="152" t="str">
        <f>IFERROR(VLOOKUP(AB421,LISTS!$AR$2:$AS$1000,2,FALSE()),"")</f>
        <v/>
      </c>
      <c r="AH421" s="154" t="str">
        <f>IFERROR(VLOOKUP(AC421,LISTS!$AU$2:$AV$1000,2,FALSE()),"")</f>
        <v/>
      </c>
      <c r="AI421" s="238" t="str">
        <f t="shared" si="33"/>
        <v>—</v>
      </c>
      <c r="AJ421" s="190" t="str">
        <f t="shared" si="34"/>
        <v>—</v>
      </c>
      <c r="AK421" s="157" t="str">
        <f t="shared" si="35"/>
        <v/>
      </c>
      <c r="AL421" s="160" t="str">
        <f t="shared" si="36"/>
        <v/>
      </c>
      <c r="AM421" s="210"/>
      <c r="AN421" s="209"/>
    </row>
    <row r="422" spans="1:40" ht="27.95" customHeight="1">
      <c r="A422" s="134" t="str">
        <f>IF(I422&lt;&gt;"",COUNTA($I$2:I422),"")</f>
        <v/>
      </c>
      <c r="B422" s="138" t="str">
        <f t="shared" si="37"/>
        <v/>
      </c>
      <c r="C422" s="93" t="str">
        <f t="array" ref="C422">IF(E422="","",IF(M422&lt;&gt;"",
M422&amp;"/"&amp;SUMPRODUCT((M$2:M422=M422)*1)&amp;" - "&amp;(ROW()-2),
"إداري/"&amp;SUMPRODUCT((M$2:M422="")*1)&amp;" - "&amp;(ROW()-2)))</f>
        <v/>
      </c>
      <c r="D422" s="141" t="str">
        <f>IF(AND(G422="",H422="",I422=""),"",IF(COUNTIFS(LISTS!$A$2:$A$67,G422,LISTS!$B$2:$B$67,H422,LISTS!$C$2:$C$67,I422)=0,"✗ هرم",IF(NOT(OR(Z422="ممتاز 100%",Z422="جيد 80%",Z422="مقبول 60%",Z422="خطر 40%",Z422="")),"✗ قائمة R",IF(NOT(OR(AA422="ممتاز 100%",AA422="جيد 85%",AA422="مقبول 70%",AA422="ضعيف 50%",AA422="")),"✗ قائمة S",IF(NOT(OR(AB422="مكتمل 100%",AB422="جزئي 60%",AB422="معلق 30%",AB422="مفتوح 0%",AB422="")),"✗ قائمة T",IF(NOT(OR(AC422="لا خصم 0",AC422="تأخير −5",AC422="عجز −10",AC422="جودة −15",AC422="امتثال −20",AC422="مخالفة −25",AC422="")),"✗ قائمة U",IF(AND(X422="لا",AC422&lt;&gt;"",AC422&lt;&gt;"لا خصم 0"),"✗ خصم",IF(AND(X422="نعم",AC422="لا خصم 0"),"✗ خصم",IF(AND(Z422="ممتاز 100%",AA422="ممتاز 100%",AB422&lt;&gt;"",AB422&lt;&gt;"مكتمل 100%"),"✗ إغلاق",IFERROR(IF(LEN(_xlfn.TEXTJOIN("، ",TRUE,IF(E422="","التاريخ",""),IF(F422="","الوقت",""),IF(G422="","المركز",""),IF(H422="","الدائرة",""),IF(I422="","القسم",""),IF(J422="","المسؤول",""),IF(K422="","نوع النشاط",""),IF(L422="","المشروع",""),IF(N422="","الممول",""),IF(V422="","الموضوع",""),IF(W422="","الملاحظة",""),IF(X422="","مشكلة",""),IF(Y422="","الإجراء",""),IF(Z422="","التنفيذ",""),IF(AA422="","الجودة",""),IF(AB422="","الإغلاق",""),IF(AC422="","الخصم",""),IF(AND(COUNTA($O422:$U422)&gt;0,O422=""),"مدير المشروع",""),IF(AND(COUNTA($O422:$U422)&gt;0,P422=""),"المستفيدين",""),IF(AND(COUNTA($O422:$U422)&gt;0,Q422=""),"المناطق",""),IF(AND(COUNTA($O422:$U422)&gt;0,R422=""),"الميزانية",""),IF(AND(COUNTA($O422:$U422)&gt;0,S422=""),"نسبة الجاهزية",""),IF(AND(COUNTA($O422:$U422)&gt;0,T422=""),"حالة الجاهزية",""),IF(AND(COUNTA($O422:$U422)&gt;0,U422=""),"التوصيات","")))&gt;0,"✗ ناقص: "&amp;_xlfn.TEXTJOIN("، ",TRUE,IF(E422="","التاريخ",""),IF(F422="","الوقت",""),IF(G422="","المركز",""),IF(H422="","الدائرة",""),IF(I422="","القسم",""),IF(J422="","المسؤول",""),IF(K422="","نوع النشاط",""),IF(L422="","المشروع",""),IF(N422="","الممول",""),IF(V422="","الموضوع",""),IF(W422="","الملاحظة",""),IF(X422="","مشكلة",""),IF(Y422="","الإجراء",""),IF(Z422="","التنفيذ",""),IF(AA422="","الجودة",""),IF(AB422="","الإغلاق",""),IF(AC422="","الخصم",""),IF(AND(COUNTA($O422:$U422)&gt;0,O422=""),"مدير المشروع",""),IF(AND(COUNTA($O422:$U422)&gt;0,P422=""),"المستفيدين",""),IF(AND(COUNTA($O422:$U422)&gt;0,Q422=""),"المناطق",""),IF(AND(COUNTA($O422:$U422)&gt;0,R422=""),"الميزانية",""),IF(AND(COUNTA($O422:$U422)&gt;0,S422=""),"نسبة الجاهزية",""),IF(AND(COUNTA($O422:$U422)&gt;0,T422=""),"حالة الجاهزية",""),IF(AND(COUNTA($O422:$U422)&gt;0,U422=""),"التوصيات","")),"✓"),"✓"))))))))))</f>
        <v/>
      </c>
      <c r="E422" s="235"/>
      <c r="F422" s="236"/>
      <c r="G422" s="90"/>
      <c r="H422" s="239"/>
      <c r="I422" s="89"/>
      <c r="J422" s="142"/>
      <c r="K422" s="90"/>
      <c r="L422" s="90"/>
      <c r="M422" s="90"/>
      <c r="N422" s="89"/>
      <c r="O422" s="200"/>
      <c r="P422" s="201"/>
      <c r="Q422" s="201"/>
      <c r="R422" s="237"/>
      <c r="S422" s="202"/>
      <c r="T422" s="200"/>
      <c r="U422" s="203"/>
      <c r="V422" s="89"/>
      <c r="W422" s="89"/>
      <c r="X422" s="145"/>
      <c r="Y422" s="89"/>
      <c r="Z422" s="90"/>
      <c r="AA422" s="90"/>
      <c r="AB422" s="90"/>
      <c r="AC422" s="90"/>
      <c r="AD422" s="92"/>
      <c r="AE422" s="149" t="str">
        <f>IFERROR(VLOOKUP(Z422,LISTS!$AL$2:$AM$1000,2,FALSE()),"")</f>
        <v/>
      </c>
      <c r="AF422" s="151" t="str">
        <f>IFERROR(VLOOKUP(AA422,LISTS!$AO$2:$AP$1000,2,FALSE()),"")</f>
        <v/>
      </c>
      <c r="AG422" s="152" t="str">
        <f>IFERROR(VLOOKUP(AB422,LISTS!$AR$2:$AS$1000,2,FALSE()),"")</f>
        <v/>
      </c>
      <c r="AH422" s="154" t="str">
        <f>IFERROR(VLOOKUP(AC422,LISTS!$AU$2:$AV$1000,2,FALSE()),"")</f>
        <v/>
      </c>
      <c r="AI422" s="238" t="str">
        <f t="shared" si="33"/>
        <v>—</v>
      </c>
      <c r="AJ422" s="190" t="str">
        <f t="shared" si="34"/>
        <v>—</v>
      </c>
      <c r="AK422" s="157" t="str">
        <f t="shared" si="35"/>
        <v/>
      </c>
      <c r="AL422" s="160" t="str">
        <f t="shared" si="36"/>
        <v/>
      </c>
      <c r="AM422" s="210"/>
      <c r="AN422" s="209"/>
    </row>
    <row r="423" spans="1:40" ht="27.95" customHeight="1">
      <c r="A423" s="134" t="str">
        <f>IF(I423&lt;&gt;"",COUNTA($I$2:I423),"")</f>
        <v/>
      </c>
      <c r="B423" s="138" t="str">
        <f t="shared" si="37"/>
        <v/>
      </c>
      <c r="C423" s="93" t="str">
        <f t="array" ref="C423">IF(E423="","",IF(M423&lt;&gt;"",
M423&amp;"/"&amp;SUMPRODUCT((M$2:M423=M423)*1)&amp;" - "&amp;(ROW()-2),
"إداري/"&amp;SUMPRODUCT((M$2:M423="")*1)&amp;" - "&amp;(ROW()-2)))</f>
        <v/>
      </c>
      <c r="D423" s="141" t="str">
        <f>IF(AND(G423="",H423="",I423=""),"",IF(COUNTIFS(LISTS!$A$2:$A$67,G423,LISTS!$B$2:$B$67,H423,LISTS!$C$2:$C$67,I423)=0,"✗ هرم",IF(NOT(OR(Z423="ممتاز 100%",Z423="جيد 80%",Z423="مقبول 60%",Z423="خطر 40%",Z423="")),"✗ قائمة R",IF(NOT(OR(AA423="ممتاز 100%",AA423="جيد 85%",AA423="مقبول 70%",AA423="ضعيف 50%",AA423="")),"✗ قائمة S",IF(NOT(OR(AB423="مكتمل 100%",AB423="جزئي 60%",AB423="معلق 30%",AB423="مفتوح 0%",AB423="")),"✗ قائمة T",IF(NOT(OR(AC423="لا خصم 0",AC423="تأخير −5",AC423="عجز −10",AC423="جودة −15",AC423="امتثال −20",AC423="مخالفة −25",AC423="")),"✗ قائمة U",IF(AND(X423="لا",AC423&lt;&gt;"",AC423&lt;&gt;"لا خصم 0"),"✗ خصم",IF(AND(X423="نعم",AC423="لا خصم 0"),"✗ خصم",IF(AND(Z423="ممتاز 100%",AA423="ممتاز 100%",AB423&lt;&gt;"",AB423&lt;&gt;"مكتمل 100%"),"✗ إغلاق",IFERROR(IF(LEN(_xlfn.TEXTJOIN("، ",TRUE,IF(E423="","التاريخ",""),IF(F423="","الوقت",""),IF(G423="","المركز",""),IF(H423="","الدائرة",""),IF(I423="","القسم",""),IF(J423="","المسؤول",""),IF(K423="","نوع النشاط",""),IF(L423="","المشروع",""),IF(N423="","الممول",""),IF(V423="","الموضوع",""),IF(W423="","الملاحظة",""),IF(X423="","مشكلة",""),IF(Y423="","الإجراء",""),IF(Z423="","التنفيذ",""),IF(AA423="","الجودة",""),IF(AB423="","الإغلاق",""),IF(AC423="","الخصم",""),IF(AND(COUNTA($O423:$U423)&gt;0,O423=""),"مدير المشروع",""),IF(AND(COUNTA($O423:$U423)&gt;0,P423=""),"المستفيدين",""),IF(AND(COUNTA($O423:$U423)&gt;0,Q423=""),"المناطق",""),IF(AND(COUNTA($O423:$U423)&gt;0,R423=""),"الميزانية",""),IF(AND(COUNTA($O423:$U423)&gt;0,S423=""),"نسبة الجاهزية",""),IF(AND(COUNTA($O423:$U423)&gt;0,T423=""),"حالة الجاهزية",""),IF(AND(COUNTA($O423:$U423)&gt;0,U423=""),"التوصيات","")))&gt;0,"✗ ناقص: "&amp;_xlfn.TEXTJOIN("، ",TRUE,IF(E423="","التاريخ",""),IF(F423="","الوقت",""),IF(G423="","المركز",""),IF(H423="","الدائرة",""),IF(I423="","القسم",""),IF(J423="","المسؤول",""),IF(K423="","نوع النشاط",""),IF(L423="","المشروع",""),IF(N423="","الممول",""),IF(V423="","الموضوع",""),IF(W423="","الملاحظة",""),IF(X423="","مشكلة",""),IF(Y423="","الإجراء",""),IF(Z423="","التنفيذ",""),IF(AA423="","الجودة",""),IF(AB423="","الإغلاق",""),IF(AC423="","الخصم",""),IF(AND(COUNTA($O423:$U423)&gt;0,O423=""),"مدير المشروع",""),IF(AND(COUNTA($O423:$U423)&gt;0,P423=""),"المستفيدين",""),IF(AND(COUNTA($O423:$U423)&gt;0,Q423=""),"المناطق",""),IF(AND(COUNTA($O423:$U423)&gt;0,R423=""),"الميزانية",""),IF(AND(COUNTA($O423:$U423)&gt;0,S423=""),"نسبة الجاهزية",""),IF(AND(COUNTA($O423:$U423)&gt;0,T423=""),"حالة الجاهزية",""),IF(AND(COUNTA($O423:$U423)&gt;0,U423=""),"التوصيات","")),"✓"),"✓"))))))))))</f>
        <v/>
      </c>
      <c r="E423" s="235"/>
      <c r="F423" s="236"/>
      <c r="G423" s="90"/>
      <c r="H423" s="239"/>
      <c r="I423" s="89"/>
      <c r="J423" s="142"/>
      <c r="K423" s="90"/>
      <c r="L423" s="90"/>
      <c r="M423" s="90"/>
      <c r="N423" s="89"/>
      <c r="O423" s="200"/>
      <c r="P423" s="201"/>
      <c r="Q423" s="201"/>
      <c r="R423" s="237"/>
      <c r="S423" s="202"/>
      <c r="T423" s="200"/>
      <c r="U423" s="203"/>
      <c r="V423" s="89"/>
      <c r="W423" s="89"/>
      <c r="X423" s="145"/>
      <c r="Y423" s="89"/>
      <c r="Z423" s="90"/>
      <c r="AA423" s="90"/>
      <c r="AB423" s="90"/>
      <c r="AC423" s="90"/>
      <c r="AD423" s="92"/>
      <c r="AE423" s="149" t="str">
        <f>IFERROR(VLOOKUP(Z423,LISTS!$AL$2:$AM$1000,2,FALSE()),"")</f>
        <v/>
      </c>
      <c r="AF423" s="151" t="str">
        <f>IFERROR(VLOOKUP(AA423,LISTS!$AO$2:$AP$1000,2,FALSE()),"")</f>
        <v/>
      </c>
      <c r="AG423" s="152" t="str">
        <f>IFERROR(VLOOKUP(AB423,LISTS!$AR$2:$AS$1000,2,FALSE()),"")</f>
        <v/>
      </c>
      <c r="AH423" s="154" t="str">
        <f>IFERROR(VLOOKUP(AC423,LISTS!$AU$2:$AV$1000,2,FALSE()),"")</f>
        <v/>
      </c>
      <c r="AI423" s="238" t="str">
        <f t="shared" si="33"/>
        <v>—</v>
      </c>
      <c r="AJ423" s="190" t="str">
        <f t="shared" si="34"/>
        <v>—</v>
      </c>
      <c r="AK423" s="157" t="str">
        <f t="shared" si="35"/>
        <v/>
      </c>
      <c r="AL423" s="160" t="str">
        <f t="shared" si="36"/>
        <v/>
      </c>
      <c r="AM423" s="210"/>
      <c r="AN423" s="209"/>
    </row>
    <row r="424" spans="1:40" ht="27.95" customHeight="1">
      <c r="A424" s="134" t="str">
        <f>IF(I424&lt;&gt;"",COUNTA($I$2:I424),"")</f>
        <v/>
      </c>
      <c r="B424" s="138" t="str">
        <f t="shared" si="37"/>
        <v/>
      </c>
      <c r="C424" s="93" t="str">
        <f t="array" ref="C424">IF(E424="","",IF(M424&lt;&gt;"",
M424&amp;"/"&amp;SUMPRODUCT((M$2:M424=M424)*1)&amp;" - "&amp;(ROW()-2),
"إداري/"&amp;SUMPRODUCT((M$2:M424="")*1)&amp;" - "&amp;(ROW()-2)))</f>
        <v/>
      </c>
      <c r="D424" s="141" t="str">
        <f>IF(AND(G424="",H424="",I424=""),"",IF(COUNTIFS(LISTS!$A$2:$A$67,G424,LISTS!$B$2:$B$67,H424,LISTS!$C$2:$C$67,I424)=0,"✗ هرم",IF(NOT(OR(Z424="ممتاز 100%",Z424="جيد 80%",Z424="مقبول 60%",Z424="خطر 40%",Z424="")),"✗ قائمة R",IF(NOT(OR(AA424="ممتاز 100%",AA424="جيد 85%",AA424="مقبول 70%",AA424="ضعيف 50%",AA424="")),"✗ قائمة S",IF(NOT(OR(AB424="مكتمل 100%",AB424="جزئي 60%",AB424="معلق 30%",AB424="مفتوح 0%",AB424="")),"✗ قائمة T",IF(NOT(OR(AC424="لا خصم 0",AC424="تأخير −5",AC424="عجز −10",AC424="جودة −15",AC424="امتثال −20",AC424="مخالفة −25",AC424="")),"✗ قائمة U",IF(AND(X424="لا",AC424&lt;&gt;"",AC424&lt;&gt;"لا خصم 0"),"✗ خصم",IF(AND(X424="نعم",AC424="لا خصم 0"),"✗ خصم",IF(AND(Z424="ممتاز 100%",AA424="ممتاز 100%",AB424&lt;&gt;"",AB424&lt;&gt;"مكتمل 100%"),"✗ إغلاق",IFERROR(IF(LEN(_xlfn.TEXTJOIN("، ",TRUE,IF(E424="","التاريخ",""),IF(F424="","الوقت",""),IF(G424="","المركز",""),IF(H424="","الدائرة",""),IF(I424="","القسم",""),IF(J424="","المسؤول",""),IF(K424="","نوع النشاط",""),IF(L424="","المشروع",""),IF(N424="","الممول",""),IF(V424="","الموضوع",""),IF(W424="","الملاحظة",""),IF(X424="","مشكلة",""),IF(Y424="","الإجراء",""),IF(Z424="","التنفيذ",""),IF(AA424="","الجودة",""),IF(AB424="","الإغلاق",""),IF(AC424="","الخصم",""),IF(AND(COUNTA($O424:$U424)&gt;0,O424=""),"مدير المشروع",""),IF(AND(COUNTA($O424:$U424)&gt;0,P424=""),"المستفيدين",""),IF(AND(COUNTA($O424:$U424)&gt;0,Q424=""),"المناطق",""),IF(AND(COUNTA($O424:$U424)&gt;0,R424=""),"الميزانية",""),IF(AND(COUNTA($O424:$U424)&gt;0,S424=""),"نسبة الجاهزية",""),IF(AND(COUNTA($O424:$U424)&gt;0,T424=""),"حالة الجاهزية",""),IF(AND(COUNTA($O424:$U424)&gt;0,U424=""),"التوصيات","")))&gt;0,"✗ ناقص: "&amp;_xlfn.TEXTJOIN("، ",TRUE,IF(E424="","التاريخ",""),IF(F424="","الوقت",""),IF(G424="","المركز",""),IF(H424="","الدائرة",""),IF(I424="","القسم",""),IF(J424="","المسؤول",""),IF(K424="","نوع النشاط",""),IF(L424="","المشروع",""),IF(N424="","الممول",""),IF(V424="","الموضوع",""),IF(W424="","الملاحظة",""),IF(X424="","مشكلة",""),IF(Y424="","الإجراء",""),IF(Z424="","التنفيذ",""),IF(AA424="","الجودة",""),IF(AB424="","الإغلاق",""),IF(AC424="","الخصم",""),IF(AND(COUNTA($O424:$U424)&gt;0,O424=""),"مدير المشروع",""),IF(AND(COUNTA($O424:$U424)&gt;0,P424=""),"المستفيدين",""),IF(AND(COUNTA($O424:$U424)&gt;0,Q424=""),"المناطق",""),IF(AND(COUNTA($O424:$U424)&gt;0,R424=""),"الميزانية",""),IF(AND(COUNTA($O424:$U424)&gt;0,S424=""),"نسبة الجاهزية",""),IF(AND(COUNTA($O424:$U424)&gt;0,T424=""),"حالة الجاهزية",""),IF(AND(COUNTA($O424:$U424)&gt;0,U424=""),"التوصيات","")),"✓"),"✓"))))))))))</f>
        <v/>
      </c>
      <c r="E424" s="235"/>
      <c r="F424" s="236"/>
      <c r="G424" s="90"/>
      <c r="H424" s="239"/>
      <c r="I424" s="89"/>
      <c r="J424" s="142"/>
      <c r="K424" s="90"/>
      <c r="L424" s="90"/>
      <c r="M424" s="90"/>
      <c r="N424" s="89"/>
      <c r="O424" s="200"/>
      <c r="P424" s="201"/>
      <c r="Q424" s="201"/>
      <c r="R424" s="237"/>
      <c r="S424" s="202"/>
      <c r="T424" s="200"/>
      <c r="U424" s="203"/>
      <c r="V424" s="89"/>
      <c r="W424" s="89"/>
      <c r="X424" s="145"/>
      <c r="Y424" s="89"/>
      <c r="Z424" s="90"/>
      <c r="AA424" s="90"/>
      <c r="AB424" s="90"/>
      <c r="AC424" s="90"/>
      <c r="AD424" s="92"/>
      <c r="AE424" s="149" t="str">
        <f>IFERROR(VLOOKUP(Z424,LISTS!$AL$2:$AM$1000,2,FALSE()),"")</f>
        <v/>
      </c>
      <c r="AF424" s="151" t="str">
        <f>IFERROR(VLOOKUP(AA424,LISTS!$AO$2:$AP$1000,2,FALSE()),"")</f>
        <v/>
      </c>
      <c r="AG424" s="152" t="str">
        <f>IFERROR(VLOOKUP(AB424,LISTS!$AR$2:$AS$1000,2,FALSE()),"")</f>
        <v/>
      </c>
      <c r="AH424" s="154" t="str">
        <f>IFERROR(VLOOKUP(AC424,LISTS!$AU$2:$AV$1000,2,FALSE()),"")</f>
        <v/>
      </c>
      <c r="AI424" s="238" t="str">
        <f t="shared" si="33"/>
        <v>—</v>
      </c>
      <c r="AJ424" s="190" t="str">
        <f t="shared" si="34"/>
        <v>—</v>
      </c>
      <c r="AK424" s="157" t="str">
        <f t="shared" si="35"/>
        <v/>
      </c>
      <c r="AL424" s="160" t="str">
        <f t="shared" si="36"/>
        <v/>
      </c>
      <c r="AM424" s="210"/>
      <c r="AN424" s="209"/>
    </row>
    <row r="425" spans="1:40" ht="27.95" customHeight="1">
      <c r="A425" s="134" t="str">
        <f>IF(I425&lt;&gt;"",COUNTA($I$2:I425),"")</f>
        <v/>
      </c>
      <c r="B425" s="138" t="str">
        <f t="shared" si="37"/>
        <v/>
      </c>
      <c r="C425" s="93" t="str">
        <f t="array" ref="C425">IF(E425="","",IF(M425&lt;&gt;"",
M425&amp;"/"&amp;SUMPRODUCT((M$2:M425=M425)*1)&amp;" - "&amp;(ROW()-2),
"إداري/"&amp;SUMPRODUCT((M$2:M425="")*1)&amp;" - "&amp;(ROW()-2)))</f>
        <v/>
      </c>
      <c r="D425" s="141" t="str">
        <f>IF(AND(G425="",H425="",I425=""),"",IF(COUNTIFS(LISTS!$A$2:$A$67,G425,LISTS!$B$2:$B$67,H425,LISTS!$C$2:$C$67,I425)=0,"✗ هرم",IF(NOT(OR(Z425="ممتاز 100%",Z425="جيد 80%",Z425="مقبول 60%",Z425="خطر 40%",Z425="")),"✗ قائمة R",IF(NOT(OR(AA425="ممتاز 100%",AA425="جيد 85%",AA425="مقبول 70%",AA425="ضعيف 50%",AA425="")),"✗ قائمة S",IF(NOT(OR(AB425="مكتمل 100%",AB425="جزئي 60%",AB425="معلق 30%",AB425="مفتوح 0%",AB425="")),"✗ قائمة T",IF(NOT(OR(AC425="لا خصم 0",AC425="تأخير −5",AC425="عجز −10",AC425="جودة −15",AC425="امتثال −20",AC425="مخالفة −25",AC425="")),"✗ قائمة U",IF(AND(X425="لا",AC425&lt;&gt;"",AC425&lt;&gt;"لا خصم 0"),"✗ خصم",IF(AND(X425="نعم",AC425="لا خصم 0"),"✗ خصم",IF(AND(Z425="ممتاز 100%",AA425="ممتاز 100%",AB425&lt;&gt;"",AB425&lt;&gt;"مكتمل 100%"),"✗ إغلاق",IFERROR(IF(LEN(_xlfn.TEXTJOIN("، ",TRUE,IF(E425="","التاريخ",""),IF(F425="","الوقت",""),IF(G425="","المركز",""),IF(H425="","الدائرة",""),IF(I425="","القسم",""),IF(J425="","المسؤول",""),IF(K425="","نوع النشاط",""),IF(L425="","المشروع",""),IF(N425="","الممول",""),IF(V425="","الموضوع",""),IF(W425="","الملاحظة",""),IF(X425="","مشكلة",""),IF(Y425="","الإجراء",""),IF(Z425="","التنفيذ",""),IF(AA425="","الجودة",""),IF(AB425="","الإغلاق",""),IF(AC425="","الخصم",""),IF(AND(COUNTA($O425:$U425)&gt;0,O425=""),"مدير المشروع",""),IF(AND(COUNTA($O425:$U425)&gt;0,P425=""),"المستفيدين",""),IF(AND(COUNTA($O425:$U425)&gt;0,Q425=""),"المناطق",""),IF(AND(COUNTA($O425:$U425)&gt;0,R425=""),"الميزانية",""),IF(AND(COUNTA($O425:$U425)&gt;0,S425=""),"نسبة الجاهزية",""),IF(AND(COUNTA($O425:$U425)&gt;0,T425=""),"حالة الجاهزية",""),IF(AND(COUNTA($O425:$U425)&gt;0,U425=""),"التوصيات","")))&gt;0,"✗ ناقص: "&amp;_xlfn.TEXTJOIN("، ",TRUE,IF(E425="","التاريخ",""),IF(F425="","الوقت",""),IF(G425="","المركز",""),IF(H425="","الدائرة",""),IF(I425="","القسم",""),IF(J425="","المسؤول",""),IF(K425="","نوع النشاط",""),IF(L425="","المشروع",""),IF(N425="","الممول",""),IF(V425="","الموضوع",""),IF(W425="","الملاحظة",""),IF(X425="","مشكلة",""),IF(Y425="","الإجراء",""),IF(Z425="","التنفيذ",""),IF(AA425="","الجودة",""),IF(AB425="","الإغلاق",""),IF(AC425="","الخصم",""),IF(AND(COUNTA($O425:$U425)&gt;0,O425=""),"مدير المشروع",""),IF(AND(COUNTA($O425:$U425)&gt;0,P425=""),"المستفيدين",""),IF(AND(COUNTA($O425:$U425)&gt;0,Q425=""),"المناطق",""),IF(AND(COUNTA($O425:$U425)&gt;0,R425=""),"الميزانية",""),IF(AND(COUNTA($O425:$U425)&gt;0,S425=""),"نسبة الجاهزية",""),IF(AND(COUNTA($O425:$U425)&gt;0,T425=""),"حالة الجاهزية",""),IF(AND(COUNTA($O425:$U425)&gt;0,U425=""),"التوصيات","")),"✓"),"✓"))))))))))</f>
        <v/>
      </c>
      <c r="E425" s="235"/>
      <c r="F425" s="236"/>
      <c r="G425" s="90"/>
      <c r="H425" s="239"/>
      <c r="I425" s="89"/>
      <c r="J425" s="142"/>
      <c r="K425" s="90"/>
      <c r="L425" s="90"/>
      <c r="M425" s="90"/>
      <c r="N425" s="89"/>
      <c r="O425" s="200"/>
      <c r="P425" s="201"/>
      <c r="Q425" s="201"/>
      <c r="R425" s="237"/>
      <c r="S425" s="202"/>
      <c r="T425" s="200"/>
      <c r="U425" s="203"/>
      <c r="V425" s="89"/>
      <c r="W425" s="89"/>
      <c r="X425" s="145"/>
      <c r="Y425" s="89"/>
      <c r="Z425" s="90"/>
      <c r="AA425" s="90"/>
      <c r="AB425" s="90"/>
      <c r="AC425" s="90"/>
      <c r="AD425" s="92"/>
      <c r="AE425" s="149" t="str">
        <f>IFERROR(VLOOKUP(Z425,LISTS!$AL$2:$AM$1000,2,FALSE()),"")</f>
        <v/>
      </c>
      <c r="AF425" s="151" t="str">
        <f>IFERROR(VLOOKUP(AA425,LISTS!$AO$2:$AP$1000,2,FALSE()),"")</f>
        <v/>
      </c>
      <c r="AG425" s="152" t="str">
        <f>IFERROR(VLOOKUP(AB425,LISTS!$AR$2:$AS$1000,2,FALSE()),"")</f>
        <v/>
      </c>
      <c r="AH425" s="154" t="str">
        <f>IFERROR(VLOOKUP(AC425,LISTS!$AU$2:$AV$1000,2,FALSE()),"")</f>
        <v/>
      </c>
      <c r="AI425" s="238" t="str">
        <f t="shared" si="33"/>
        <v>—</v>
      </c>
      <c r="AJ425" s="190" t="str">
        <f t="shared" si="34"/>
        <v>—</v>
      </c>
      <c r="AK425" s="157" t="str">
        <f t="shared" si="35"/>
        <v/>
      </c>
      <c r="AL425" s="160" t="str">
        <f t="shared" si="36"/>
        <v/>
      </c>
      <c r="AM425" s="210"/>
      <c r="AN425" s="209"/>
    </row>
    <row r="426" spans="1:40" ht="27.95" customHeight="1">
      <c r="A426" s="134" t="str">
        <f>IF(I426&lt;&gt;"",COUNTA($I$2:I426),"")</f>
        <v/>
      </c>
      <c r="B426" s="138" t="str">
        <f t="shared" si="37"/>
        <v/>
      </c>
      <c r="C426" s="93" t="str">
        <f t="array" ref="C426">IF(E426="","",IF(M426&lt;&gt;"",
M426&amp;"/"&amp;SUMPRODUCT((M$2:M426=M426)*1)&amp;" - "&amp;(ROW()-2),
"إداري/"&amp;SUMPRODUCT((M$2:M426="")*1)&amp;" - "&amp;(ROW()-2)))</f>
        <v/>
      </c>
      <c r="D426" s="141" t="str">
        <f>IF(AND(G426="",H426="",I426=""),"",IF(COUNTIFS(LISTS!$A$2:$A$67,G426,LISTS!$B$2:$B$67,H426,LISTS!$C$2:$C$67,I426)=0,"✗ هرم",IF(NOT(OR(Z426="ممتاز 100%",Z426="جيد 80%",Z426="مقبول 60%",Z426="خطر 40%",Z426="")),"✗ قائمة R",IF(NOT(OR(AA426="ممتاز 100%",AA426="جيد 85%",AA426="مقبول 70%",AA426="ضعيف 50%",AA426="")),"✗ قائمة S",IF(NOT(OR(AB426="مكتمل 100%",AB426="جزئي 60%",AB426="معلق 30%",AB426="مفتوح 0%",AB426="")),"✗ قائمة T",IF(NOT(OR(AC426="لا خصم 0",AC426="تأخير −5",AC426="عجز −10",AC426="جودة −15",AC426="امتثال −20",AC426="مخالفة −25",AC426="")),"✗ قائمة U",IF(AND(X426="لا",AC426&lt;&gt;"",AC426&lt;&gt;"لا خصم 0"),"✗ خصم",IF(AND(X426="نعم",AC426="لا خصم 0"),"✗ خصم",IF(AND(Z426="ممتاز 100%",AA426="ممتاز 100%",AB426&lt;&gt;"",AB426&lt;&gt;"مكتمل 100%"),"✗ إغلاق",IFERROR(IF(LEN(_xlfn.TEXTJOIN("، ",TRUE,IF(E426="","التاريخ",""),IF(F426="","الوقت",""),IF(G426="","المركز",""),IF(H426="","الدائرة",""),IF(I426="","القسم",""),IF(J426="","المسؤول",""),IF(K426="","نوع النشاط",""),IF(L426="","المشروع",""),IF(N426="","الممول",""),IF(V426="","الموضوع",""),IF(W426="","الملاحظة",""),IF(X426="","مشكلة",""),IF(Y426="","الإجراء",""),IF(Z426="","التنفيذ",""),IF(AA426="","الجودة",""),IF(AB426="","الإغلاق",""),IF(AC426="","الخصم",""),IF(AND(COUNTA($O426:$U426)&gt;0,O426=""),"مدير المشروع",""),IF(AND(COUNTA($O426:$U426)&gt;0,P426=""),"المستفيدين",""),IF(AND(COUNTA($O426:$U426)&gt;0,Q426=""),"المناطق",""),IF(AND(COUNTA($O426:$U426)&gt;0,R426=""),"الميزانية",""),IF(AND(COUNTA($O426:$U426)&gt;0,S426=""),"نسبة الجاهزية",""),IF(AND(COUNTA($O426:$U426)&gt;0,T426=""),"حالة الجاهزية",""),IF(AND(COUNTA($O426:$U426)&gt;0,U426=""),"التوصيات","")))&gt;0,"✗ ناقص: "&amp;_xlfn.TEXTJOIN("، ",TRUE,IF(E426="","التاريخ",""),IF(F426="","الوقت",""),IF(G426="","المركز",""),IF(H426="","الدائرة",""),IF(I426="","القسم",""),IF(J426="","المسؤول",""),IF(K426="","نوع النشاط",""),IF(L426="","المشروع",""),IF(N426="","الممول",""),IF(V426="","الموضوع",""),IF(W426="","الملاحظة",""),IF(X426="","مشكلة",""),IF(Y426="","الإجراء",""),IF(Z426="","التنفيذ",""),IF(AA426="","الجودة",""),IF(AB426="","الإغلاق",""),IF(AC426="","الخصم",""),IF(AND(COUNTA($O426:$U426)&gt;0,O426=""),"مدير المشروع",""),IF(AND(COUNTA($O426:$U426)&gt;0,P426=""),"المستفيدين",""),IF(AND(COUNTA($O426:$U426)&gt;0,Q426=""),"المناطق",""),IF(AND(COUNTA($O426:$U426)&gt;0,R426=""),"الميزانية",""),IF(AND(COUNTA($O426:$U426)&gt;0,S426=""),"نسبة الجاهزية",""),IF(AND(COUNTA($O426:$U426)&gt;0,T426=""),"حالة الجاهزية",""),IF(AND(COUNTA($O426:$U426)&gt;0,U426=""),"التوصيات","")),"✓"),"✓"))))))))))</f>
        <v/>
      </c>
      <c r="E426" s="235"/>
      <c r="F426" s="236"/>
      <c r="G426" s="90"/>
      <c r="H426" s="239"/>
      <c r="I426" s="89"/>
      <c r="J426" s="142"/>
      <c r="K426" s="90"/>
      <c r="L426" s="90"/>
      <c r="M426" s="90"/>
      <c r="N426" s="89"/>
      <c r="O426" s="200"/>
      <c r="P426" s="201"/>
      <c r="Q426" s="201"/>
      <c r="R426" s="237"/>
      <c r="S426" s="202"/>
      <c r="T426" s="200"/>
      <c r="U426" s="203"/>
      <c r="V426" s="89"/>
      <c r="W426" s="89"/>
      <c r="X426" s="145"/>
      <c r="Y426" s="89"/>
      <c r="Z426" s="90"/>
      <c r="AA426" s="90"/>
      <c r="AB426" s="90"/>
      <c r="AC426" s="90"/>
      <c r="AD426" s="92"/>
      <c r="AE426" s="149" t="str">
        <f>IFERROR(VLOOKUP(Z426,LISTS!$AL$2:$AM$1000,2,FALSE()),"")</f>
        <v/>
      </c>
      <c r="AF426" s="151" t="str">
        <f>IFERROR(VLOOKUP(AA426,LISTS!$AO$2:$AP$1000,2,FALSE()),"")</f>
        <v/>
      </c>
      <c r="AG426" s="152" t="str">
        <f>IFERROR(VLOOKUP(AB426,LISTS!$AR$2:$AS$1000,2,FALSE()),"")</f>
        <v/>
      </c>
      <c r="AH426" s="154" t="str">
        <f>IFERROR(VLOOKUP(AC426,LISTS!$AU$2:$AV$1000,2,FALSE()),"")</f>
        <v/>
      </c>
      <c r="AI426" s="238" t="str">
        <f t="shared" si="33"/>
        <v>—</v>
      </c>
      <c r="AJ426" s="190" t="str">
        <f t="shared" si="34"/>
        <v>—</v>
      </c>
      <c r="AK426" s="157" t="str">
        <f t="shared" si="35"/>
        <v/>
      </c>
      <c r="AL426" s="160" t="str">
        <f t="shared" si="36"/>
        <v/>
      </c>
      <c r="AM426" s="210"/>
      <c r="AN426" s="209"/>
    </row>
    <row r="427" spans="1:40" ht="27.95" customHeight="1">
      <c r="A427" s="134" t="str">
        <f>IF(I427&lt;&gt;"",COUNTA($I$2:I427),"")</f>
        <v/>
      </c>
      <c r="B427" s="138" t="str">
        <f t="shared" si="37"/>
        <v/>
      </c>
      <c r="C427" s="93" t="str">
        <f t="array" ref="C427">IF(E427="","",IF(M427&lt;&gt;"",
M427&amp;"/"&amp;SUMPRODUCT((M$2:M427=M427)*1)&amp;" - "&amp;(ROW()-2),
"إداري/"&amp;SUMPRODUCT((M$2:M427="")*1)&amp;" - "&amp;(ROW()-2)))</f>
        <v/>
      </c>
      <c r="D427" s="141" t="str">
        <f>IF(AND(G427="",H427="",I427=""),"",IF(COUNTIFS(LISTS!$A$2:$A$67,G427,LISTS!$B$2:$B$67,H427,LISTS!$C$2:$C$67,I427)=0,"✗ هرم",IF(NOT(OR(Z427="ممتاز 100%",Z427="جيد 80%",Z427="مقبول 60%",Z427="خطر 40%",Z427="")),"✗ قائمة R",IF(NOT(OR(AA427="ممتاز 100%",AA427="جيد 85%",AA427="مقبول 70%",AA427="ضعيف 50%",AA427="")),"✗ قائمة S",IF(NOT(OR(AB427="مكتمل 100%",AB427="جزئي 60%",AB427="معلق 30%",AB427="مفتوح 0%",AB427="")),"✗ قائمة T",IF(NOT(OR(AC427="لا خصم 0",AC427="تأخير −5",AC427="عجز −10",AC427="جودة −15",AC427="امتثال −20",AC427="مخالفة −25",AC427="")),"✗ قائمة U",IF(AND(X427="لا",AC427&lt;&gt;"",AC427&lt;&gt;"لا خصم 0"),"✗ خصم",IF(AND(X427="نعم",AC427="لا خصم 0"),"✗ خصم",IF(AND(Z427="ممتاز 100%",AA427="ممتاز 100%",AB427&lt;&gt;"",AB427&lt;&gt;"مكتمل 100%"),"✗ إغلاق",IFERROR(IF(LEN(_xlfn.TEXTJOIN("، ",TRUE,IF(E427="","التاريخ",""),IF(F427="","الوقت",""),IF(G427="","المركز",""),IF(H427="","الدائرة",""),IF(I427="","القسم",""),IF(J427="","المسؤول",""),IF(K427="","نوع النشاط",""),IF(L427="","المشروع",""),IF(N427="","الممول",""),IF(V427="","الموضوع",""),IF(W427="","الملاحظة",""),IF(X427="","مشكلة",""),IF(Y427="","الإجراء",""),IF(Z427="","التنفيذ",""),IF(AA427="","الجودة",""),IF(AB427="","الإغلاق",""),IF(AC427="","الخصم",""),IF(AND(COUNTA($O427:$U427)&gt;0,O427=""),"مدير المشروع",""),IF(AND(COUNTA($O427:$U427)&gt;0,P427=""),"المستفيدين",""),IF(AND(COUNTA($O427:$U427)&gt;0,Q427=""),"المناطق",""),IF(AND(COUNTA($O427:$U427)&gt;0,R427=""),"الميزانية",""),IF(AND(COUNTA($O427:$U427)&gt;0,S427=""),"نسبة الجاهزية",""),IF(AND(COUNTA($O427:$U427)&gt;0,T427=""),"حالة الجاهزية",""),IF(AND(COUNTA($O427:$U427)&gt;0,U427=""),"التوصيات","")))&gt;0,"✗ ناقص: "&amp;_xlfn.TEXTJOIN("، ",TRUE,IF(E427="","التاريخ",""),IF(F427="","الوقت",""),IF(G427="","المركز",""),IF(H427="","الدائرة",""),IF(I427="","القسم",""),IF(J427="","المسؤول",""),IF(K427="","نوع النشاط",""),IF(L427="","المشروع",""),IF(N427="","الممول",""),IF(V427="","الموضوع",""),IF(W427="","الملاحظة",""),IF(X427="","مشكلة",""),IF(Y427="","الإجراء",""),IF(Z427="","التنفيذ",""),IF(AA427="","الجودة",""),IF(AB427="","الإغلاق",""),IF(AC427="","الخصم",""),IF(AND(COUNTA($O427:$U427)&gt;0,O427=""),"مدير المشروع",""),IF(AND(COUNTA($O427:$U427)&gt;0,P427=""),"المستفيدين",""),IF(AND(COUNTA($O427:$U427)&gt;0,Q427=""),"المناطق",""),IF(AND(COUNTA($O427:$U427)&gt;0,R427=""),"الميزانية",""),IF(AND(COUNTA($O427:$U427)&gt;0,S427=""),"نسبة الجاهزية",""),IF(AND(COUNTA($O427:$U427)&gt;0,T427=""),"حالة الجاهزية",""),IF(AND(COUNTA($O427:$U427)&gt;0,U427=""),"التوصيات","")),"✓"),"✓"))))))))))</f>
        <v/>
      </c>
      <c r="E427" s="235"/>
      <c r="F427" s="236"/>
      <c r="G427" s="90"/>
      <c r="H427" s="239"/>
      <c r="I427" s="89"/>
      <c r="J427" s="142"/>
      <c r="K427" s="90"/>
      <c r="L427" s="90"/>
      <c r="M427" s="90"/>
      <c r="N427" s="89"/>
      <c r="O427" s="200"/>
      <c r="P427" s="201"/>
      <c r="Q427" s="201"/>
      <c r="R427" s="237"/>
      <c r="S427" s="202"/>
      <c r="T427" s="200"/>
      <c r="U427" s="203"/>
      <c r="V427" s="89"/>
      <c r="W427" s="89"/>
      <c r="X427" s="145"/>
      <c r="Y427" s="89"/>
      <c r="Z427" s="90"/>
      <c r="AA427" s="90"/>
      <c r="AB427" s="90"/>
      <c r="AC427" s="90"/>
      <c r="AD427" s="92"/>
      <c r="AE427" s="149" t="str">
        <f>IFERROR(VLOOKUP(Z427,LISTS!$AL$2:$AM$1000,2,FALSE()),"")</f>
        <v/>
      </c>
      <c r="AF427" s="151" t="str">
        <f>IFERROR(VLOOKUP(AA427,LISTS!$AO$2:$AP$1000,2,FALSE()),"")</f>
        <v/>
      </c>
      <c r="AG427" s="152" t="str">
        <f>IFERROR(VLOOKUP(AB427,LISTS!$AR$2:$AS$1000,2,FALSE()),"")</f>
        <v/>
      </c>
      <c r="AH427" s="154" t="str">
        <f>IFERROR(VLOOKUP(AC427,LISTS!$AU$2:$AV$1000,2,FALSE()),"")</f>
        <v/>
      </c>
      <c r="AI427" s="238" t="str">
        <f t="shared" si="33"/>
        <v>—</v>
      </c>
      <c r="AJ427" s="190" t="str">
        <f t="shared" si="34"/>
        <v>—</v>
      </c>
      <c r="AK427" s="157" t="str">
        <f t="shared" si="35"/>
        <v/>
      </c>
      <c r="AL427" s="160" t="str">
        <f t="shared" si="36"/>
        <v/>
      </c>
      <c r="AM427" s="210"/>
      <c r="AN427" s="209"/>
    </row>
    <row r="428" spans="1:40" ht="27.95" customHeight="1">
      <c r="A428" s="134" t="str">
        <f>IF(I428&lt;&gt;"",COUNTA($I$2:I428),"")</f>
        <v/>
      </c>
      <c r="B428" s="138" t="str">
        <f t="shared" si="37"/>
        <v/>
      </c>
      <c r="C428" s="93" t="str">
        <f t="array" ref="C428">IF(E428="","",IF(M428&lt;&gt;"",
M428&amp;"/"&amp;SUMPRODUCT((M$2:M428=M428)*1)&amp;" - "&amp;(ROW()-2),
"إداري/"&amp;SUMPRODUCT((M$2:M428="")*1)&amp;" - "&amp;(ROW()-2)))</f>
        <v/>
      </c>
      <c r="D428" s="141" t="str">
        <f>IF(AND(G428="",H428="",I428=""),"",IF(COUNTIFS(LISTS!$A$2:$A$67,G428,LISTS!$B$2:$B$67,H428,LISTS!$C$2:$C$67,I428)=0,"✗ هرم",IF(NOT(OR(Z428="ممتاز 100%",Z428="جيد 80%",Z428="مقبول 60%",Z428="خطر 40%",Z428="")),"✗ قائمة R",IF(NOT(OR(AA428="ممتاز 100%",AA428="جيد 85%",AA428="مقبول 70%",AA428="ضعيف 50%",AA428="")),"✗ قائمة S",IF(NOT(OR(AB428="مكتمل 100%",AB428="جزئي 60%",AB428="معلق 30%",AB428="مفتوح 0%",AB428="")),"✗ قائمة T",IF(NOT(OR(AC428="لا خصم 0",AC428="تأخير −5",AC428="عجز −10",AC428="جودة −15",AC428="امتثال −20",AC428="مخالفة −25",AC428="")),"✗ قائمة U",IF(AND(X428="لا",AC428&lt;&gt;"",AC428&lt;&gt;"لا خصم 0"),"✗ خصم",IF(AND(X428="نعم",AC428="لا خصم 0"),"✗ خصم",IF(AND(Z428="ممتاز 100%",AA428="ممتاز 100%",AB428&lt;&gt;"",AB428&lt;&gt;"مكتمل 100%"),"✗ إغلاق",IFERROR(IF(LEN(_xlfn.TEXTJOIN("، ",TRUE,IF(E428="","التاريخ",""),IF(F428="","الوقت",""),IF(G428="","المركز",""),IF(H428="","الدائرة",""),IF(I428="","القسم",""),IF(J428="","المسؤول",""),IF(K428="","نوع النشاط",""),IF(L428="","المشروع",""),IF(N428="","الممول",""),IF(V428="","الموضوع",""),IF(W428="","الملاحظة",""),IF(X428="","مشكلة",""),IF(Y428="","الإجراء",""),IF(Z428="","التنفيذ",""),IF(AA428="","الجودة",""),IF(AB428="","الإغلاق",""),IF(AC428="","الخصم",""),IF(AND(COUNTA($O428:$U428)&gt;0,O428=""),"مدير المشروع",""),IF(AND(COUNTA($O428:$U428)&gt;0,P428=""),"المستفيدين",""),IF(AND(COUNTA($O428:$U428)&gt;0,Q428=""),"المناطق",""),IF(AND(COUNTA($O428:$U428)&gt;0,R428=""),"الميزانية",""),IF(AND(COUNTA($O428:$U428)&gt;0,S428=""),"نسبة الجاهزية",""),IF(AND(COUNTA($O428:$U428)&gt;0,T428=""),"حالة الجاهزية",""),IF(AND(COUNTA($O428:$U428)&gt;0,U428=""),"التوصيات","")))&gt;0,"✗ ناقص: "&amp;_xlfn.TEXTJOIN("، ",TRUE,IF(E428="","التاريخ",""),IF(F428="","الوقت",""),IF(G428="","المركز",""),IF(H428="","الدائرة",""),IF(I428="","القسم",""),IF(J428="","المسؤول",""),IF(K428="","نوع النشاط",""),IF(L428="","المشروع",""),IF(N428="","الممول",""),IF(V428="","الموضوع",""),IF(W428="","الملاحظة",""),IF(X428="","مشكلة",""),IF(Y428="","الإجراء",""),IF(Z428="","التنفيذ",""),IF(AA428="","الجودة",""),IF(AB428="","الإغلاق",""),IF(AC428="","الخصم",""),IF(AND(COUNTA($O428:$U428)&gt;0,O428=""),"مدير المشروع",""),IF(AND(COUNTA($O428:$U428)&gt;0,P428=""),"المستفيدين",""),IF(AND(COUNTA($O428:$U428)&gt;0,Q428=""),"المناطق",""),IF(AND(COUNTA($O428:$U428)&gt;0,R428=""),"الميزانية",""),IF(AND(COUNTA($O428:$U428)&gt;0,S428=""),"نسبة الجاهزية",""),IF(AND(COUNTA($O428:$U428)&gt;0,T428=""),"حالة الجاهزية",""),IF(AND(COUNTA($O428:$U428)&gt;0,U428=""),"التوصيات","")),"✓"),"✓"))))))))))</f>
        <v/>
      </c>
      <c r="E428" s="235"/>
      <c r="F428" s="236"/>
      <c r="G428" s="90"/>
      <c r="H428" s="239"/>
      <c r="I428" s="89"/>
      <c r="J428" s="142"/>
      <c r="K428" s="90"/>
      <c r="L428" s="90"/>
      <c r="M428" s="90"/>
      <c r="N428" s="89"/>
      <c r="O428" s="200"/>
      <c r="P428" s="201"/>
      <c r="Q428" s="201"/>
      <c r="R428" s="237"/>
      <c r="S428" s="202"/>
      <c r="T428" s="200"/>
      <c r="U428" s="203"/>
      <c r="V428" s="89"/>
      <c r="W428" s="89"/>
      <c r="X428" s="145"/>
      <c r="Y428" s="89"/>
      <c r="Z428" s="90"/>
      <c r="AA428" s="90"/>
      <c r="AB428" s="90"/>
      <c r="AC428" s="90"/>
      <c r="AD428" s="92"/>
      <c r="AE428" s="149" t="str">
        <f>IFERROR(VLOOKUP(Z428,LISTS!$AL$2:$AM$1000,2,FALSE()),"")</f>
        <v/>
      </c>
      <c r="AF428" s="151" t="str">
        <f>IFERROR(VLOOKUP(AA428,LISTS!$AO$2:$AP$1000,2,FALSE()),"")</f>
        <v/>
      </c>
      <c r="AG428" s="152" t="str">
        <f>IFERROR(VLOOKUP(AB428,LISTS!$AR$2:$AS$1000,2,FALSE()),"")</f>
        <v/>
      </c>
      <c r="AH428" s="154" t="str">
        <f>IFERROR(VLOOKUP(AC428,LISTS!$AU$2:$AV$1000,2,FALSE()),"")</f>
        <v/>
      </c>
      <c r="AI428" s="238" t="str">
        <f t="shared" si="33"/>
        <v>—</v>
      </c>
      <c r="AJ428" s="190" t="str">
        <f t="shared" si="34"/>
        <v>—</v>
      </c>
      <c r="AK428" s="157" t="str">
        <f t="shared" si="35"/>
        <v/>
      </c>
      <c r="AL428" s="160" t="str">
        <f t="shared" si="36"/>
        <v/>
      </c>
      <c r="AM428" s="210"/>
      <c r="AN428" s="209"/>
    </row>
    <row r="429" spans="1:40" ht="27.95" customHeight="1">
      <c r="A429" s="134" t="str">
        <f>IF(I429&lt;&gt;"",COUNTA($I$2:I429),"")</f>
        <v/>
      </c>
      <c r="B429" s="138" t="str">
        <f t="shared" si="37"/>
        <v/>
      </c>
      <c r="C429" s="93" t="str">
        <f t="array" ref="C429">IF(E429="","",IF(M429&lt;&gt;"",
M429&amp;"/"&amp;SUMPRODUCT((M$2:M429=M429)*1)&amp;" - "&amp;(ROW()-2),
"إداري/"&amp;SUMPRODUCT((M$2:M429="")*1)&amp;" - "&amp;(ROW()-2)))</f>
        <v/>
      </c>
      <c r="D429" s="141" t="str">
        <f>IF(AND(G429="",H429="",I429=""),"",IF(COUNTIFS(LISTS!$A$2:$A$67,G429,LISTS!$B$2:$B$67,H429,LISTS!$C$2:$C$67,I429)=0,"✗ هرم",IF(NOT(OR(Z429="ممتاز 100%",Z429="جيد 80%",Z429="مقبول 60%",Z429="خطر 40%",Z429="")),"✗ قائمة R",IF(NOT(OR(AA429="ممتاز 100%",AA429="جيد 85%",AA429="مقبول 70%",AA429="ضعيف 50%",AA429="")),"✗ قائمة S",IF(NOT(OR(AB429="مكتمل 100%",AB429="جزئي 60%",AB429="معلق 30%",AB429="مفتوح 0%",AB429="")),"✗ قائمة T",IF(NOT(OR(AC429="لا خصم 0",AC429="تأخير −5",AC429="عجز −10",AC429="جودة −15",AC429="امتثال −20",AC429="مخالفة −25",AC429="")),"✗ قائمة U",IF(AND(X429="لا",AC429&lt;&gt;"",AC429&lt;&gt;"لا خصم 0"),"✗ خصم",IF(AND(X429="نعم",AC429="لا خصم 0"),"✗ خصم",IF(AND(Z429="ممتاز 100%",AA429="ممتاز 100%",AB429&lt;&gt;"",AB429&lt;&gt;"مكتمل 100%"),"✗ إغلاق",IFERROR(IF(LEN(_xlfn.TEXTJOIN("، ",TRUE,IF(E429="","التاريخ",""),IF(F429="","الوقت",""),IF(G429="","المركز",""),IF(H429="","الدائرة",""),IF(I429="","القسم",""),IF(J429="","المسؤول",""),IF(K429="","نوع النشاط",""),IF(L429="","المشروع",""),IF(N429="","الممول",""),IF(V429="","الموضوع",""),IF(W429="","الملاحظة",""),IF(X429="","مشكلة",""),IF(Y429="","الإجراء",""),IF(Z429="","التنفيذ",""),IF(AA429="","الجودة",""),IF(AB429="","الإغلاق",""),IF(AC429="","الخصم",""),IF(AND(COUNTA($O429:$U429)&gt;0,O429=""),"مدير المشروع",""),IF(AND(COUNTA($O429:$U429)&gt;0,P429=""),"المستفيدين",""),IF(AND(COUNTA($O429:$U429)&gt;0,Q429=""),"المناطق",""),IF(AND(COUNTA($O429:$U429)&gt;0,R429=""),"الميزانية",""),IF(AND(COUNTA($O429:$U429)&gt;0,S429=""),"نسبة الجاهزية",""),IF(AND(COUNTA($O429:$U429)&gt;0,T429=""),"حالة الجاهزية",""),IF(AND(COUNTA($O429:$U429)&gt;0,U429=""),"التوصيات","")))&gt;0,"✗ ناقص: "&amp;_xlfn.TEXTJOIN("، ",TRUE,IF(E429="","التاريخ",""),IF(F429="","الوقت",""),IF(G429="","المركز",""),IF(H429="","الدائرة",""),IF(I429="","القسم",""),IF(J429="","المسؤول",""),IF(K429="","نوع النشاط",""),IF(L429="","المشروع",""),IF(N429="","الممول",""),IF(V429="","الموضوع",""),IF(W429="","الملاحظة",""),IF(X429="","مشكلة",""),IF(Y429="","الإجراء",""),IF(Z429="","التنفيذ",""),IF(AA429="","الجودة",""),IF(AB429="","الإغلاق",""),IF(AC429="","الخصم",""),IF(AND(COUNTA($O429:$U429)&gt;0,O429=""),"مدير المشروع",""),IF(AND(COUNTA($O429:$U429)&gt;0,P429=""),"المستفيدين",""),IF(AND(COUNTA($O429:$U429)&gt;0,Q429=""),"المناطق",""),IF(AND(COUNTA($O429:$U429)&gt;0,R429=""),"الميزانية",""),IF(AND(COUNTA($O429:$U429)&gt;0,S429=""),"نسبة الجاهزية",""),IF(AND(COUNTA($O429:$U429)&gt;0,T429=""),"حالة الجاهزية",""),IF(AND(COUNTA($O429:$U429)&gt;0,U429=""),"التوصيات","")),"✓"),"✓"))))))))))</f>
        <v/>
      </c>
      <c r="E429" s="235"/>
      <c r="F429" s="236"/>
      <c r="G429" s="90"/>
      <c r="H429" s="239"/>
      <c r="I429" s="89"/>
      <c r="J429" s="142"/>
      <c r="K429" s="90"/>
      <c r="L429" s="90"/>
      <c r="M429" s="90"/>
      <c r="N429" s="89"/>
      <c r="O429" s="200"/>
      <c r="P429" s="201"/>
      <c r="Q429" s="201"/>
      <c r="R429" s="237"/>
      <c r="S429" s="202"/>
      <c r="T429" s="200"/>
      <c r="U429" s="203"/>
      <c r="V429" s="89"/>
      <c r="W429" s="89"/>
      <c r="X429" s="145"/>
      <c r="Y429" s="89"/>
      <c r="Z429" s="90"/>
      <c r="AA429" s="90"/>
      <c r="AB429" s="90"/>
      <c r="AC429" s="90"/>
      <c r="AD429" s="92"/>
      <c r="AE429" s="149" t="str">
        <f>IFERROR(VLOOKUP(Z429,LISTS!$AL$2:$AM$1000,2,FALSE()),"")</f>
        <v/>
      </c>
      <c r="AF429" s="151" t="str">
        <f>IFERROR(VLOOKUP(AA429,LISTS!$AO$2:$AP$1000,2,FALSE()),"")</f>
        <v/>
      </c>
      <c r="AG429" s="152" t="str">
        <f>IFERROR(VLOOKUP(AB429,LISTS!$AR$2:$AS$1000,2,FALSE()),"")</f>
        <v/>
      </c>
      <c r="AH429" s="154" t="str">
        <f>IFERROR(VLOOKUP(AC429,LISTS!$AU$2:$AV$1000,2,FALSE()),"")</f>
        <v/>
      </c>
      <c r="AI429" s="238" t="str">
        <f t="shared" si="33"/>
        <v>—</v>
      </c>
      <c r="AJ429" s="190" t="str">
        <f t="shared" si="34"/>
        <v>—</v>
      </c>
      <c r="AK429" s="157" t="str">
        <f t="shared" si="35"/>
        <v/>
      </c>
      <c r="AL429" s="160" t="str">
        <f t="shared" si="36"/>
        <v/>
      </c>
      <c r="AM429" s="210"/>
      <c r="AN429" s="209"/>
    </row>
    <row r="430" spans="1:40" ht="27.95" customHeight="1">
      <c r="A430" s="134" t="str">
        <f>IF(I430&lt;&gt;"",COUNTA($I$2:I430),"")</f>
        <v/>
      </c>
      <c r="B430" s="138" t="str">
        <f t="shared" si="37"/>
        <v/>
      </c>
      <c r="C430" s="93" t="str">
        <f t="array" ref="C430">IF(E430="","",IF(M430&lt;&gt;"",
M430&amp;"/"&amp;SUMPRODUCT((M$2:M430=M430)*1)&amp;" - "&amp;(ROW()-2),
"إداري/"&amp;SUMPRODUCT((M$2:M430="")*1)&amp;" - "&amp;(ROW()-2)))</f>
        <v/>
      </c>
      <c r="D430" s="141" t="str">
        <f>IF(AND(G430="",H430="",I430=""),"",IF(COUNTIFS(LISTS!$A$2:$A$67,G430,LISTS!$B$2:$B$67,H430,LISTS!$C$2:$C$67,I430)=0,"✗ هرم",IF(NOT(OR(Z430="ممتاز 100%",Z430="جيد 80%",Z430="مقبول 60%",Z430="خطر 40%",Z430="")),"✗ قائمة R",IF(NOT(OR(AA430="ممتاز 100%",AA430="جيد 85%",AA430="مقبول 70%",AA430="ضعيف 50%",AA430="")),"✗ قائمة S",IF(NOT(OR(AB430="مكتمل 100%",AB430="جزئي 60%",AB430="معلق 30%",AB430="مفتوح 0%",AB430="")),"✗ قائمة T",IF(NOT(OR(AC430="لا خصم 0",AC430="تأخير −5",AC430="عجز −10",AC430="جودة −15",AC430="امتثال −20",AC430="مخالفة −25",AC430="")),"✗ قائمة U",IF(AND(X430="لا",AC430&lt;&gt;"",AC430&lt;&gt;"لا خصم 0"),"✗ خصم",IF(AND(X430="نعم",AC430="لا خصم 0"),"✗ خصم",IF(AND(Z430="ممتاز 100%",AA430="ممتاز 100%",AB430&lt;&gt;"",AB430&lt;&gt;"مكتمل 100%"),"✗ إغلاق",IFERROR(IF(LEN(_xlfn.TEXTJOIN("، ",TRUE,IF(E430="","التاريخ",""),IF(F430="","الوقت",""),IF(G430="","المركز",""),IF(H430="","الدائرة",""),IF(I430="","القسم",""),IF(J430="","المسؤول",""),IF(K430="","نوع النشاط",""),IF(L430="","المشروع",""),IF(N430="","الممول",""),IF(V430="","الموضوع",""),IF(W430="","الملاحظة",""),IF(X430="","مشكلة",""),IF(Y430="","الإجراء",""),IF(Z430="","التنفيذ",""),IF(AA430="","الجودة",""),IF(AB430="","الإغلاق",""),IF(AC430="","الخصم",""),IF(AND(COUNTA($O430:$U430)&gt;0,O430=""),"مدير المشروع",""),IF(AND(COUNTA($O430:$U430)&gt;0,P430=""),"المستفيدين",""),IF(AND(COUNTA($O430:$U430)&gt;0,Q430=""),"المناطق",""),IF(AND(COUNTA($O430:$U430)&gt;0,R430=""),"الميزانية",""),IF(AND(COUNTA($O430:$U430)&gt;0,S430=""),"نسبة الجاهزية",""),IF(AND(COUNTA($O430:$U430)&gt;0,T430=""),"حالة الجاهزية",""),IF(AND(COUNTA($O430:$U430)&gt;0,U430=""),"التوصيات","")))&gt;0,"✗ ناقص: "&amp;_xlfn.TEXTJOIN("، ",TRUE,IF(E430="","التاريخ",""),IF(F430="","الوقت",""),IF(G430="","المركز",""),IF(H430="","الدائرة",""),IF(I430="","القسم",""),IF(J430="","المسؤول",""),IF(K430="","نوع النشاط",""),IF(L430="","المشروع",""),IF(N430="","الممول",""),IF(V430="","الموضوع",""),IF(W430="","الملاحظة",""),IF(X430="","مشكلة",""),IF(Y430="","الإجراء",""),IF(Z430="","التنفيذ",""),IF(AA430="","الجودة",""),IF(AB430="","الإغلاق",""),IF(AC430="","الخصم",""),IF(AND(COUNTA($O430:$U430)&gt;0,O430=""),"مدير المشروع",""),IF(AND(COUNTA($O430:$U430)&gt;0,P430=""),"المستفيدين",""),IF(AND(COUNTA($O430:$U430)&gt;0,Q430=""),"المناطق",""),IF(AND(COUNTA($O430:$U430)&gt;0,R430=""),"الميزانية",""),IF(AND(COUNTA($O430:$U430)&gt;0,S430=""),"نسبة الجاهزية",""),IF(AND(COUNTA($O430:$U430)&gt;0,T430=""),"حالة الجاهزية",""),IF(AND(COUNTA($O430:$U430)&gt;0,U430=""),"التوصيات","")),"✓"),"✓"))))))))))</f>
        <v/>
      </c>
      <c r="E430" s="235"/>
      <c r="F430" s="236"/>
      <c r="G430" s="90"/>
      <c r="H430" s="239"/>
      <c r="I430" s="89"/>
      <c r="J430" s="142"/>
      <c r="K430" s="90"/>
      <c r="L430" s="90"/>
      <c r="M430" s="90"/>
      <c r="N430" s="89"/>
      <c r="O430" s="200"/>
      <c r="P430" s="201"/>
      <c r="Q430" s="201"/>
      <c r="R430" s="237"/>
      <c r="S430" s="202"/>
      <c r="T430" s="200"/>
      <c r="U430" s="203"/>
      <c r="V430" s="89"/>
      <c r="W430" s="89"/>
      <c r="X430" s="145"/>
      <c r="Y430" s="89"/>
      <c r="Z430" s="90"/>
      <c r="AA430" s="90"/>
      <c r="AB430" s="90"/>
      <c r="AC430" s="90"/>
      <c r="AD430" s="92"/>
      <c r="AE430" s="149" t="str">
        <f>IFERROR(VLOOKUP(Z430,LISTS!$AL$2:$AM$1000,2,FALSE()),"")</f>
        <v/>
      </c>
      <c r="AF430" s="151" t="str">
        <f>IFERROR(VLOOKUP(AA430,LISTS!$AO$2:$AP$1000,2,FALSE()),"")</f>
        <v/>
      </c>
      <c r="AG430" s="152" t="str">
        <f>IFERROR(VLOOKUP(AB430,LISTS!$AR$2:$AS$1000,2,FALSE()),"")</f>
        <v/>
      </c>
      <c r="AH430" s="154" t="str">
        <f>IFERROR(VLOOKUP(AC430,LISTS!$AU$2:$AV$1000,2,FALSE()),"")</f>
        <v/>
      </c>
      <c r="AI430" s="238" t="str">
        <f t="shared" si="33"/>
        <v>—</v>
      </c>
      <c r="AJ430" s="190" t="str">
        <f t="shared" si="34"/>
        <v>—</v>
      </c>
      <c r="AK430" s="157" t="str">
        <f t="shared" si="35"/>
        <v/>
      </c>
      <c r="AL430" s="160" t="str">
        <f t="shared" si="36"/>
        <v/>
      </c>
      <c r="AM430" s="210"/>
      <c r="AN430" s="209"/>
    </row>
    <row r="431" spans="1:40" ht="27.95" customHeight="1">
      <c r="A431" s="134" t="str">
        <f>IF(I431&lt;&gt;"",COUNTA($I$2:I431),"")</f>
        <v/>
      </c>
      <c r="B431" s="138" t="str">
        <f t="shared" si="37"/>
        <v/>
      </c>
      <c r="C431" s="93" t="str">
        <f t="array" ref="C431">IF(E431="","",IF(M431&lt;&gt;"",
M431&amp;"/"&amp;SUMPRODUCT((M$2:M431=M431)*1)&amp;" - "&amp;(ROW()-2),
"إداري/"&amp;SUMPRODUCT((M$2:M431="")*1)&amp;" - "&amp;(ROW()-2)))</f>
        <v/>
      </c>
      <c r="D431" s="141" t="str">
        <f>IF(AND(G431="",H431="",I431=""),"",IF(COUNTIFS(LISTS!$A$2:$A$67,G431,LISTS!$B$2:$B$67,H431,LISTS!$C$2:$C$67,I431)=0,"✗ هرم",IF(NOT(OR(Z431="ممتاز 100%",Z431="جيد 80%",Z431="مقبول 60%",Z431="خطر 40%",Z431="")),"✗ قائمة R",IF(NOT(OR(AA431="ممتاز 100%",AA431="جيد 85%",AA431="مقبول 70%",AA431="ضعيف 50%",AA431="")),"✗ قائمة S",IF(NOT(OR(AB431="مكتمل 100%",AB431="جزئي 60%",AB431="معلق 30%",AB431="مفتوح 0%",AB431="")),"✗ قائمة T",IF(NOT(OR(AC431="لا خصم 0",AC431="تأخير −5",AC431="عجز −10",AC431="جودة −15",AC431="امتثال −20",AC431="مخالفة −25",AC431="")),"✗ قائمة U",IF(AND(X431="لا",AC431&lt;&gt;"",AC431&lt;&gt;"لا خصم 0"),"✗ خصم",IF(AND(X431="نعم",AC431="لا خصم 0"),"✗ خصم",IF(AND(Z431="ممتاز 100%",AA431="ممتاز 100%",AB431&lt;&gt;"",AB431&lt;&gt;"مكتمل 100%"),"✗ إغلاق",IFERROR(IF(LEN(_xlfn.TEXTJOIN("، ",TRUE,IF(E431="","التاريخ",""),IF(F431="","الوقت",""),IF(G431="","المركز",""),IF(H431="","الدائرة",""),IF(I431="","القسم",""),IF(J431="","المسؤول",""),IF(K431="","نوع النشاط",""),IF(L431="","المشروع",""),IF(N431="","الممول",""),IF(V431="","الموضوع",""),IF(W431="","الملاحظة",""),IF(X431="","مشكلة",""),IF(Y431="","الإجراء",""),IF(Z431="","التنفيذ",""),IF(AA431="","الجودة",""),IF(AB431="","الإغلاق",""),IF(AC431="","الخصم",""),IF(AND(COUNTA($O431:$U431)&gt;0,O431=""),"مدير المشروع",""),IF(AND(COUNTA($O431:$U431)&gt;0,P431=""),"المستفيدين",""),IF(AND(COUNTA($O431:$U431)&gt;0,Q431=""),"المناطق",""),IF(AND(COUNTA($O431:$U431)&gt;0,R431=""),"الميزانية",""),IF(AND(COUNTA($O431:$U431)&gt;0,S431=""),"نسبة الجاهزية",""),IF(AND(COUNTA($O431:$U431)&gt;0,T431=""),"حالة الجاهزية",""),IF(AND(COUNTA($O431:$U431)&gt;0,U431=""),"التوصيات","")))&gt;0,"✗ ناقص: "&amp;_xlfn.TEXTJOIN("، ",TRUE,IF(E431="","التاريخ",""),IF(F431="","الوقت",""),IF(G431="","المركز",""),IF(H431="","الدائرة",""),IF(I431="","القسم",""),IF(J431="","المسؤول",""),IF(K431="","نوع النشاط",""),IF(L431="","المشروع",""),IF(N431="","الممول",""),IF(V431="","الموضوع",""),IF(W431="","الملاحظة",""),IF(X431="","مشكلة",""),IF(Y431="","الإجراء",""),IF(Z431="","التنفيذ",""),IF(AA431="","الجودة",""),IF(AB431="","الإغلاق",""),IF(AC431="","الخصم",""),IF(AND(COUNTA($O431:$U431)&gt;0,O431=""),"مدير المشروع",""),IF(AND(COUNTA($O431:$U431)&gt;0,P431=""),"المستفيدين",""),IF(AND(COUNTA($O431:$U431)&gt;0,Q431=""),"المناطق",""),IF(AND(COUNTA($O431:$U431)&gt;0,R431=""),"الميزانية",""),IF(AND(COUNTA($O431:$U431)&gt;0,S431=""),"نسبة الجاهزية",""),IF(AND(COUNTA($O431:$U431)&gt;0,T431=""),"حالة الجاهزية",""),IF(AND(COUNTA($O431:$U431)&gt;0,U431=""),"التوصيات","")),"✓"),"✓"))))))))))</f>
        <v/>
      </c>
      <c r="E431" s="235"/>
      <c r="F431" s="236"/>
      <c r="G431" s="90"/>
      <c r="H431" s="239"/>
      <c r="I431" s="89"/>
      <c r="J431" s="142"/>
      <c r="K431" s="90"/>
      <c r="L431" s="90"/>
      <c r="M431" s="90"/>
      <c r="N431" s="89"/>
      <c r="O431" s="200"/>
      <c r="P431" s="201"/>
      <c r="Q431" s="201"/>
      <c r="R431" s="237"/>
      <c r="S431" s="202"/>
      <c r="T431" s="200"/>
      <c r="U431" s="203"/>
      <c r="V431" s="89"/>
      <c r="W431" s="89"/>
      <c r="X431" s="145"/>
      <c r="Y431" s="89"/>
      <c r="Z431" s="90"/>
      <c r="AA431" s="90"/>
      <c r="AB431" s="90"/>
      <c r="AC431" s="90"/>
      <c r="AD431" s="92"/>
      <c r="AE431" s="149" t="str">
        <f>IFERROR(VLOOKUP(Z431,LISTS!$AL$2:$AM$1000,2,FALSE()),"")</f>
        <v/>
      </c>
      <c r="AF431" s="151" t="str">
        <f>IFERROR(VLOOKUP(AA431,LISTS!$AO$2:$AP$1000,2,FALSE()),"")</f>
        <v/>
      </c>
      <c r="AG431" s="152" t="str">
        <f>IFERROR(VLOOKUP(AB431,LISTS!$AR$2:$AS$1000,2,FALSE()),"")</f>
        <v/>
      </c>
      <c r="AH431" s="154" t="str">
        <f>IFERROR(VLOOKUP(AC431,LISTS!$AU$2:$AV$1000,2,FALSE()),"")</f>
        <v/>
      </c>
      <c r="AI431" s="238" t="str">
        <f t="shared" si="33"/>
        <v>—</v>
      </c>
      <c r="AJ431" s="190" t="str">
        <f t="shared" si="34"/>
        <v>—</v>
      </c>
      <c r="AK431" s="157" t="str">
        <f t="shared" si="35"/>
        <v/>
      </c>
      <c r="AL431" s="160" t="str">
        <f t="shared" si="36"/>
        <v/>
      </c>
      <c r="AM431" s="210"/>
      <c r="AN431" s="209"/>
    </row>
    <row r="432" spans="1:40" ht="27.95" customHeight="1">
      <c r="A432" s="134" t="str">
        <f>IF(I432&lt;&gt;"",COUNTA($I$2:I432),"")</f>
        <v/>
      </c>
      <c r="B432" s="138" t="str">
        <f t="shared" si="37"/>
        <v/>
      </c>
      <c r="C432" s="93" t="str">
        <f t="array" ref="C432">IF(E432="","",IF(M432&lt;&gt;"",
M432&amp;"/"&amp;SUMPRODUCT((M$2:M432=M432)*1)&amp;" - "&amp;(ROW()-2),
"إداري/"&amp;SUMPRODUCT((M$2:M432="")*1)&amp;" - "&amp;(ROW()-2)))</f>
        <v/>
      </c>
      <c r="D432" s="141" t="str">
        <f>IF(AND(G432="",H432="",I432=""),"",IF(COUNTIFS(LISTS!$A$2:$A$67,G432,LISTS!$B$2:$B$67,H432,LISTS!$C$2:$C$67,I432)=0,"✗ هرم",IF(NOT(OR(Z432="ممتاز 100%",Z432="جيد 80%",Z432="مقبول 60%",Z432="خطر 40%",Z432="")),"✗ قائمة R",IF(NOT(OR(AA432="ممتاز 100%",AA432="جيد 85%",AA432="مقبول 70%",AA432="ضعيف 50%",AA432="")),"✗ قائمة S",IF(NOT(OR(AB432="مكتمل 100%",AB432="جزئي 60%",AB432="معلق 30%",AB432="مفتوح 0%",AB432="")),"✗ قائمة T",IF(NOT(OR(AC432="لا خصم 0",AC432="تأخير −5",AC432="عجز −10",AC432="جودة −15",AC432="امتثال −20",AC432="مخالفة −25",AC432="")),"✗ قائمة U",IF(AND(X432="لا",AC432&lt;&gt;"",AC432&lt;&gt;"لا خصم 0"),"✗ خصم",IF(AND(X432="نعم",AC432="لا خصم 0"),"✗ خصم",IF(AND(Z432="ممتاز 100%",AA432="ممتاز 100%",AB432&lt;&gt;"",AB432&lt;&gt;"مكتمل 100%"),"✗ إغلاق",IFERROR(IF(LEN(_xlfn.TEXTJOIN("، ",TRUE,IF(E432="","التاريخ",""),IF(F432="","الوقت",""),IF(G432="","المركز",""),IF(H432="","الدائرة",""),IF(I432="","القسم",""),IF(J432="","المسؤول",""),IF(K432="","نوع النشاط",""),IF(L432="","المشروع",""),IF(N432="","الممول",""),IF(V432="","الموضوع",""),IF(W432="","الملاحظة",""),IF(X432="","مشكلة",""),IF(Y432="","الإجراء",""),IF(Z432="","التنفيذ",""),IF(AA432="","الجودة",""),IF(AB432="","الإغلاق",""),IF(AC432="","الخصم",""),IF(AND(COUNTA($O432:$U432)&gt;0,O432=""),"مدير المشروع",""),IF(AND(COUNTA($O432:$U432)&gt;0,P432=""),"المستفيدين",""),IF(AND(COUNTA($O432:$U432)&gt;0,Q432=""),"المناطق",""),IF(AND(COUNTA($O432:$U432)&gt;0,R432=""),"الميزانية",""),IF(AND(COUNTA($O432:$U432)&gt;0,S432=""),"نسبة الجاهزية",""),IF(AND(COUNTA($O432:$U432)&gt;0,T432=""),"حالة الجاهزية",""),IF(AND(COUNTA($O432:$U432)&gt;0,U432=""),"التوصيات","")))&gt;0,"✗ ناقص: "&amp;_xlfn.TEXTJOIN("، ",TRUE,IF(E432="","التاريخ",""),IF(F432="","الوقت",""),IF(G432="","المركز",""),IF(H432="","الدائرة",""),IF(I432="","القسم",""),IF(J432="","المسؤول",""),IF(K432="","نوع النشاط",""),IF(L432="","المشروع",""),IF(N432="","الممول",""),IF(V432="","الموضوع",""),IF(W432="","الملاحظة",""),IF(X432="","مشكلة",""),IF(Y432="","الإجراء",""),IF(Z432="","التنفيذ",""),IF(AA432="","الجودة",""),IF(AB432="","الإغلاق",""),IF(AC432="","الخصم",""),IF(AND(COUNTA($O432:$U432)&gt;0,O432=""),"مدير المشروع",""),IF(AND(COUNTA($O432:$U432)&gt;0,P432=""),"المستفيدين",""),IF(AND(COUNTA($O432:$U432)&gt;0,Q432=""),"المناطق",""),IF(AND(COUNTA($O432:$U432)&gt;0,R432=""),"الميزانية",""),IF(AND(COUNTA($O432:$U432)&gt;0,S432=""),"نسبة الجاهزية",""),IF(AND(COUNTA($O432:$U432)&gt;0,T432=""),"حالة الجاهزية",""),IF(AND(COUNTA($O432:$U432)&gt;0,U432=""),"التوصيات","")),"✓"),"✓"))))))))))</f>
        <v/>
      </c>
      <c r="E432" s="235"/>
      <c r="F432" s="236"/>
      <c r="G432" s="90"/>
      <c r="H432" s="239"/>
      <c r="I432" s="89"/>
      <c r="J432" s="142"/>
      <c r="K432" s="90"/>
      <c r="L432" s="90"/>
      <c r="M432" s="90"/>
      <c r="N432" s="89"/>
      <c r="O432" s="200"/>
      <c r="P432" s="201"/>
      <c r="Q432" s="201"/>
      <c r="R432" s="237"/>
      <c r="S432" s="202"/>
      <c r="T432" s="200"/>
      <c r="U432" s="203"/>
      <c r="V432" s="89"/>
      <c r="W432" s="89"/>
      <c r="X432" s="145"/>
      <c r="Y432" s="89"/>
      <c r="Z432" s="90"/>
      <c r="AA432" s="90"/>
      <c r="AB432" s="90"/>
      <c r="AC432" s="90"/>
      <c r="AD432" s="92"/>
      <c r="AE432" s="149" t="str">
        <f>IFERROR(VLOOKUP(Z432,LISTS!$AL$2:$AM$1000,2,FALSE()),"")</f>
        <v/>
      </c>
      <c r="AF432" s="151" t="str">
        <f>IFERROR(VLOOKUP(AA432,LISTS!$AO$2:$AP$1000,2,FALSE()),"")</f>
        <v/>
      </c>
      <c r="AG432" s="152" t="str">
        <f>IFERROR(VLOOKUP(AB432,LISTS!$AR$2:$AS$1000,2,FALSE()),"")</f>
        <v/>
      </c>
      <c r="AH432" s="154" t="str">
        <f>IFERROR(VLOOKUP(AC432,LISTS!$AU$2:$AV$1000,2,FALSE()),"")</f>
        <v/>
      </c>
      <c r="AI432" s="238" t="str">
        <f t="shared" si="33"/>
        <v>—</v>
      </c>
      <c r="AJ432" s="190" t="str">
        <f t="shared" si="34"/>
        <v>—</v>
      </c>
      <c r="AK432" s="157" t="str">
        <f t="shared" si="35"/>
        <v/>
      </c>
      <c r="AL432" s="160" t="str">
        <f t="shared" si="36"/>
        <v/>
      </c>
      <c r="AM432" s="210"/>
      <c r="AN432" s="209"/>
    </row>
    <row r="433" spans="1:40" ht="27.95" customHeight="1">
      <c r="A433" s="134" t="str">
        <f>IF(I433&lt;&gt;"",COUNTA($I$2:I433),"")</f>
        <v/>
      </c>
      <c r="B433" s="138" t="str">
        <f t="shared" si="37"/>
        <v/>
      </c>
      <c r="C433" s="93" t="str">
        <f t="array" ref="C433">IF(E433="","",IF(M433&lt;&gt;"",
M433&amp;"/"&amp;SUMPRODUCT((M$2:M433=M433)*1)&amp;" - "&amp;(ROW()-2),
"إداري/"&amp;SUMPRODUCT((M$2:M433="")*1)&amp;" - "&amp;(ROW()-2)))</f>
        <v/>
      </c>
      <c r="D433" s="141" t="str">
        <f>IF(AND(G433="",H433="",I433=""),"",IF(COUNTIFS(LISTS!$A$2:$A$67,G433,LISTS!$B$2:$B$67,H433,LISTS!$C$2:$C$67,I433)=0,"✗ هرم",IF(NOT(OR(Z433="ممتاز 100%",Z433="جيد 80%",Z433="مقبول 60%",Z433="خطر 40%",Z433="")),"✗ قائمة R",IF(NOT(OR(AA433="ممتاز 100%",AA433="جيد 85%",AA433="مقبول 70%",AA433="ضعيف 50%",AA433="")),"✗ قائمة S",IF(NOT(OR(AB433="مكتمل 100%",AB433="جزئي 60%",AB433="معلق 30%",AB433="مفتوح 0%",AB433="")),"✗ قائمة T",IF(NOT(OR(AC433="لا خصم 0",AC433="تأخير −5",AC433="عجز −10",AC433="جودة −15",AC433="امتثال −20",AC433="مخالفة −25",AC433="")),"✗ قائمة U",IF(AND(X433="لا",AC433&lt;&gt;"",AC433&lt;&gt;"لا خصم 0"),"✗ خصم",IF(AND(X433="نعم",AC433="لا خصم 0"),"✗ خصم",IF(AND(Z433="ممتاز 100%",AA433="ممتاز 100%",AB433&lt;&gt;"",AB433&lt;&gt;"مكتمل 100%"),"✗ إغلاق",IFERROR(IF(LEN(_xlfn.TEXTJOIN("، ",TRUE,IF(E433="","التاريخ",""),IF(F433="","الوقت",""),IF(G433="","المركز",""),IF(H433="","الدائرة",""),IF(I433="","القسم",""),IF(J433="","المسؤول",""),IF(K433="","نوع النشاط",""),IF(L433="","المشروع",""),IF(N433="","الممول",""),IF(V433="","الموضوع",""),IF(W433="","الملاحظة",""),IF(X433="","مشكلة",""),IF(Y433="","الإجراء",""),IF(Z433="","التنفيذ",""),IF(AA433="","الجودة",""),IF(AB433="","الإغلاق",""),IF(AC433="","الخصم",""),IF(AND(COUNTA($O433:$U433)&gt;0,O433=""),"مدير المشروع",""),IF(AND(COUNTA($O433:$U433)&gt;0,P433=""),"المستفيدين",""),IF(AND(COUNTA($O433:$U433)&gt;0,Q433=""),"المناطق",""),IF(AND(COUNTA($O433:$U433)&gt;0,R433=""),"الميزانية",""),IF(AND(COUNTA($O433:$U433)&gt;0,S433=""),"نسبة الجاهزية",""),IF(AND(COUNTA($O433:$U433)&gt;0,T433=""),"حالة الجاهزية",""),IF(AND(COUNTA($O433:$U433)&gt;0,U433=""),"التوصيات","")))&gt;0,"✗ ناقص: "&amp;_xlfn.TEXTJOIN("، ",TRUE,IF(E433="","التاريخ",""),IF(F433="","الوقت",""),IF(G433="","المركز",""),IF(H433="","الدائرة",""),IF(I433="","القسم",""),IF(J433="","المسؤول",""),IF(K433="","نوع النشاط",""),IF(L433="","المشروع",""),IF(N433="","الممول",""),IF(V433="","الموضوع",""),IF(W433="","الملاحظة",""),IF(X433="","مشكلة",""),IF(Y433="","الإجراء",""),IF(Z433="","التنفيذ",""),IF(AA433="","الجودة",""),IF(AB433="","الإغلاق",""),IF(AC433="","الخصم",""),IF(AND(COUNTA($O433:$U433)&gt;0,O433=""),"مدير المشروع",""),IF(AND(COUNTA($O433:$U433)&gt;0,P433=""),"المستفيدين",""),IF(AND(COUNTA($O433:$U433)&gt;0,Q433=""),"المناطق",""),IF(AND(COUNTA($O433:$U433)&gt;0,R433=""),"الميزانية",""),IF(AND(COUNTA($O433:$U433)&gt;0,S433=""),"نسبة الجاهزية",""),IF(AND(COUNTA($O433:$U433)&gt;0,T433=""),"حالة الجاهزية",""),IF(AND(COUNTA($O433:$U433)&gt;0,U433=""),"التوصيات","")),"✓"),"✓"))))))))))</f>
        <v/>
      </c>
      <c r="E433" s="235"/>
      <c r="F433" s="236"/>
      <c r="G433" s="90"/>
      <c r="H433" s="239"/>
      <c r="I433" s="89"/>
      <c r="J433" s="142"/>
      <c r="K433" s="90"/>
      <c r="L433" s="90"/>
      <c r="M433" s="90"/>
      <c r="N433" s="89"/>
      <c r="O433" s="200"/>
      <c r="P433" s="201"/>
      <c r="Q433" s="201"/>
      <c r="R433" s="237"/>
      <c r="S433" s="202"/>
      <c r="T433" s="200"/>
      <c r="U433" s="203"/>
      <c r="V433" s="89"/>
      <c r="W433" s="89"/>
      <c r="X433" s="145"/>
      <c r="Y433" s="89"/>
      <c r="Z433" s="90"/>
      <c r="AA433" s="90"/>
      <c r="AB433" s="90"/>
      <c r="AC433" s="90"/>
      <c r="AD433" s="92"/>
      <c r="AE433" s="149" t="str">
        <f>IFERROR(VLOOKUP(Z433,LISTS!$AL$2:$AM$1000,2,FALSE()),"")</f>
        <v/>
      </c>
      <c r="AF433" s="151" t="str">
        <f>IFERROR(VLOOKUP(AA433,LISTS!$AO$2:$AP$1000,2,FALSE()),"")</f>
        <v/>
      </c>
      <c r="AG433" s="152" t="str">
        <f>IFERROR(VLOOKUP(AB433,LISTS!$AR$2:$AS$1000,2,FALSE()),"")</f>
        <v/>
      </c>
      <c r="AH433" s="154" t="str">
        <f>IFERROR(VLOOKUP(AC433,LISTS!$AU$2:$AV$1000,2,FALSE()),"")</f>
        <v/>
      </c>
      <c r="AI433" s="238" t="str">
        <f t="shared" si="33"/>
        <v>—</v>
      </c>
      <c r="AJ433" s="190" t="str">
        <f t="shared" si="34"/>
        <v>—</v>
      </c>
      <c r="AK433" s="157" t="str">
        <f t="shared" si="35"/>
        <v/>
      </c>
      <c r="AL433" s="160" t="str">
        <f t="shared" si="36"/>
        <v/>
      </c>
      <c r="AM433" s="210"/>
      <c r="AN433" s="209"/>
    </row>
    <row r="434" spans="1:40" ht="27.95" customHeight="1">
      <c r="A434" s="134" t="str">
        <f>IF(I434&lt;&gt;"",COUNTA($I$2:I434),"")</f>
        <v/>
      </c>
      <c r="B434" s="138" t="str">
        <f t="shared" si="37"/>
        <v/>
      </c>
      <c r="C434" s="93" t="str">
        <f t="array" ref="C434">IF(E434="","",IF(M434&lt;&gt;"",
M434&amp;"/"&amp;SUMPRODUCT((M$2:M434=M434)*1)&amp;" - "&amp;(ROW()-2),
"إداري/"&amp;SUMPRODUCT((M$2:M434="")*1)&amp;" - "&amp;(ROW()-2)))</f>
        <v/>
      </c>
      <c r="D434" s="141" t="str">
        <f>IF(AND(G434="",H434="",I434=""),"",IF(COUNTIFS(LISTS!$A$2:$A$67,G434,LISTS!$B$2:$B$67,H434,LISTS!$C$2:$C$67,I434)=0,"✗ هرم",IF(NOT(OR(Z434="ممتاز 100%",Z434="جيد 80%",Z434="مقبول 60%",Z434="خطر 40%",Z434="")),"✗ قائمة R",IF(NOT(OR(AA434="ممتاز 100%",AA434="جيد 85%",AA434="مقبول 70%",AA434="ضعيف 50%",AA434="")),"✗ قائمة S",IF(NOT(OR(AB434="مكتمل 100%",AB434="جزئي 60%",AB434="معلق 30%",AB434="مفتوح 0%",AB434="")),"✗ قائمة T",IF(NOT(OR(AC434="لا خصم 0",AC434="تأخير −5",AC434="عجز −10",AC434="جودة −15",AC434="امتثال −20",AC434="مخالفة −25",AC434="")),"✗ قائمة U",IF(AND(X434="لا",AC434&lt;&gt;"",AC434&lt;&gt;"لا خصم 0"),"✗ خصم",IF(AND(X434="نعم",AC434="لا خصم 0"),"✗ خصم",IF(AND(Z434="ممتاز 100%",AA434="ممتاز 100%",AB434&lt;&gt;"",AB434&lt;&gt;"مكتمل 100%"),"✗ إغلاق",IFERROR(IF(LEN(_xlfn.TEXTJOIN("، ",TRUE,IF(E434="","التاريخ",""),IF(F434="","الوقت",""),IF(G434="","المركز",""),IF(H434="","الدائرة",""),IF(I434="","القسم",""),IF(J434="","المسؤول",""),IF(K434="","نوع النشاط",""),IF(L434="","المشروع",""),IF(N434="","الممول",""),IF(V434="","الموضوع",""),IF(W434="","الملاحظة",""),IF(X434="","مشكلة",""),IF(Y434="","الإجراء",""),IF(Z434="","التنفيذ",""),IF(AA434="","الجودة",""),IF(AB434="","الإغلاق",""),IF(AC434="","الخصم",""),IF(AND(COUNTA($O434:$U434)&gt;0,O434=""),"مدير المشروع",""),IF(AND(COUNTA($O434:$U434)&gt;0,P434=""),"المستفيدين",""),IF(AND(COUNTA($O434:$U434)&gt;0,Q434=""),"المناطق",""),IF(AND(COUNTA($O434:$U434)&gt;0,R434=""),"الميزانية",""),IF(AND(COUNTA($O434:$U434)&gt;0,S434=""),"نسبة الجاهزية",""),IF(AND(COUNTA($O434:$U434)&gt;0,T434=""),"حالة الجاهزية",""),IF(AND(COUNTA($O434:$U434)&gt;0,U434=""),"التوصيات","")))&gt;0,"✗ ناقص: "&amp;_xlfn.TEXTJOIN("، ",TRUE,IF(E434="","التاريخ",""),IF(F434="","الوقت",""),IF(G434="","المركز",""),IF(H434="","الدائرة",""),IF(I434="","القسم",""),IF(J434="","المسؤول",""),IF(K434="","نوع النشاط",""),IF(L434="","المشروع",""),IF(N434="","الممول",""),IF(V434="","الموضوع",""),IF(W434="","الملاحظة",""),IF(X434="","مشكلة",""),IF(Y434="","الإجراء",""),IF(Z434="","التنفيذ",""),IF(AA434="","الجودة",""),IF(AB434="","الإغلاق",""),IF(AC434="","الخصم",""),IF(AND(COUNTA($O434:$U434)&gt;0,O434=""),"مدير المشروع",""),IF(AND(COUNTA($O434:$U434)&gt;0,P434=""),"المستفيدين",""),IF(AND(COUNTA($O434:$U434)&gt;0,Q434=""),"المناطق",""),IF(AND(COUNTA($O434:$U434)&gt;0,R434=""),"الميزانية",""),IF(AND(COUNTA($O434:$U434)&gt;0,S434=""),"نسبة الجاهزية",""),IF(AND(COUNTA($O434:$U434)&gt;0,T434=""),"حالة الجاهزية",""),IF(AND(COUNTA($O434:$U434)&gt;0,U434=""),"التوصيات","")),"✓"),"✓"))))))))))</f>
        <v/>
      </c>
      <c r="E434" s="235"/>
      <c r="F434" s="236"/>
      <c r="G434" s="90"/>
      <c r="H434" s="239"/>
      <c r="I434" s="89"/>
      <c r="J434" s="142"/>
      <c r="K434" s="90"/>
      <c r="L434" s="90"/>
      <c r="M434" s="90"/>
      <c r="N434" s="89"/>
      <c r="O434" s="200"/>
      <c r="P434" s="201"/>
      <c r="Q434" s="201"/>
      <c r="R434" s="237"/>
      <c r="S434" s="202"/>
      <c r="T434" s="200"/>
      <c r="U434" s="203"/>
      <c r="V434" s="89"/>
      <c r="W434" s="89"/>
      <c r="X434" s="145"/>
      <c r="Y434" s="89"/>
      <c r="Z434" s="90"/>
      <c r="AA434" s="90"/>
      <c r="AB434" s="90"/>
      <c r="AC434" s="90"/>
      <c r="AD434" s="92"/>
      <c r="AE434" s="149" t="str">
        <f>IFERROR(VLOOKUP(Z434,LISTS!$AL$2:$AM$1000,2,FALSE()),"")</f>
        <v/>
      </c>
      <c r="AF434" s="151" t="str">
        <f>IFERROR(VLOOKUP(AA434,LISTS!$AO$2:$AP$1000,2,FALSE()),"")</f>
        <v/>
      </c>
      <c r="AG434" s="152" t="str">
        <f>IFERROR(VLOOKUP(AB434,LISTS!$AR$2:$AS$1000,2,FALSE()),"")</f>
        <v/>
      </c>
      <c r="AH434" s="154" t="str">
        <f>IFERROR(VLOOKUP(AC434,LISTS!$AU$2:$AV$1000,2,FALSE()),"")</f>
        <v/>
      </c>
      <c r="AI434" s="238" t="str">
        <f t="shared" si="33"/>
        <v>—</v>
      </c>
      <c r="AJ434" s="190" t="str">
        <f t="shared" si="34"/>
        <v>—</v>
      </c>
      <c r="AK434" s="157" t="str">
        <f t="shared" si="35"/>
        <v/>
      </c>
      <c r="AL434" s="160" t="str">
        <f t="shared" si="36"/>
        <v/>
      </c>
      <c r="AM434" s="210"/>
      <c r="AN434" s="209"/>
    </row>
    <row r="435" spans="1:40" ht="27.95" customHeight="1">
      <c r="A435" s="134" t="str">
        <f>IF(I435&lt;&gt;"",COUNTA($I$2:I435),"")</f>
        <v/>
      </c>
      <c r="B435" s="138" t="str">
        <f t="shared" si="37"/>
        <v/>
      </c>
      <c r="C435" s="93" t="str">
        <f t="array" ref="C435">IF(E435="","",IF(M435&lt;&gt;"",
M435&amp;"/"&amp;SUMPRODUCT((M$2:M435=M435)*1)&amp;" - "&amp;(ROW()-2),
"إداري/"&amp;SUMPRODUCT((M$2:M435="")*1)&amp;" - "&amp;(ROW()-2)))</f>
        <v/>
      </c>
      <c r="D435" s="141" t="str">
        <f>IF(AND(G435="",H435="",I435=""),"",IF(COUNTIFS(LISTS!$A$2:$A$67,G435,LISTS!$B$2:$B$67,H435,LISTS!$C$2:$C$67,I435)=0,"✗ هرم",IF(NOT(OR(Z435="ممتاز 100%",Z435="جيد 80%",Z435="مقبول 60%",Z435="خطر 40%",Z435="")),"✗ قائمة R",IF(NOT(OR(AA435="ممتاز 100%",AA435="جيد 85%",AA435="مقبول 70%",AA435="ضعيف 50%",AA435="")),"✗ قائمة S",IF(NOT(OR(AB435="مكتمل 100%",AB435="جزئي 60%",AB435="معلق 30%",AB435="مفتوح 0%",AB435="")),"✗ قائمة T",IF(NOT(OR(AC435="لا خصم 0",AC435="تأخير −5",AC435="عجز −10",AC435="جودة −15",AC435="امتثال −20",AC435="مخالفة −25",AC435="")),"✗ قائمة U",IF(AND(X435="لا",AC435&lt;&gt;"",AC435&lt;&gt;"لا خصم 0"),"✗ خصم",IF(AND(X435="نعم",AC435="لا خصم 0"),"✗ خصم",IF(AND(Z435="ممتاز 100%",AA435="ممتاز 100%",AB435&lt;&gt;"",AB435&lt;&gt;"مكتمل 100%"),"✗ إغلاق",IFERROR(IF(LEN(_xlfn.TEXTJOIN("، ",TRUE,IF(E435="","التاريخ",""),IF(F435="","الوقت",""),IF(G435="","المركز",""),IF(H435="","الدائرة",""),IF(I435="","القسم",""),IF(J435="","المسؤول",""),IF(K435="","نوع النشاط",""),IF(L435="","المشروع",""),IF(N435="","الممول",""),IF(V435="","الموضوع",""),IF(W435="","الملاحظة",""),IF(X435="","مشكلة",""),IF(Y435="","الإجراء",""),IF(Z435="","التنفيذ",""),IF(AA435="","الجودة",""),IF(AB435="","الإغلاق",""),IF(AC435="","الخصم",""),IF(AND(COUNTA($O435:$U435)&gt;0,O435=""),"مدير المشروع",""),IF(AND(COUNTA($O435:$U435)&gt;0,P435=""),"المستفيدين",""),IF(AND(COUNTA($O435:$U435)&gt;0,Q435=""),"المناطق",""),IF(AND(COUNTA($O435:$U435)&gt;0,R435=""),"الميزانية",""),IF(AND(COUNTA($O435:$U435)&gt;0,S435=""),"نسبة الجاهزية",""),IF(AND(COUNTA($O435:$U435)&gt;0,T435=""),"حالة الجاهزية",""),IF(AND(COUNTA($O435:$U435)&gt;0,U435=""),"التوصيات","")))&gt;0,"✗ ناقص: "&amp;_xlfn.TEXTJOIN("، ",TRUE,IF(E435="","التاريخ",""),IF(F435="","الوقت",""),IF(G435="","المركز",""),IF(H435="","الدائرة",""),IF(I435="","القسم",""),IF(J435="","المسؤول",""),IF(K435="","نوع النشاط",""),IF(L435="","المشروع",""),IF(N435="","الممول",""),IF(V435="","الموضوع",""),IF(W435="","الملاحظة",""),IF(X435="","مشكلة",""),IF(Y435="","الإجراء",""),IF(Z435="","التنفيذ",""),IF(AA435="","الجودة",""),IF(AB435="","الإغلاق",""),IF(AC435="","الخصم",""),IF(AND(COUNTA($O435:$U435)&gt;0,O435=""),"مدير المشروع",""),IF(AND(COUNTA($O435:$U435)&gt;0,P435=""),"المستفيدين",""),IF(AND(COUNTA($O435:$U435)&gt;0,Q435=""),"المناطق",""),IF(AND(COUNTA($O435:$U435)&gt;0,R435=""),"الميزانية",""),IF(AND(COUNTA($O435:$U435)&gt;0,S435=""),"نسبة الجاهزية",""),IF(AND(COUNTA($O435:$U435)&gt;0,T435=""),"حالة الجاهزية",""),IF(AND(COUNTA($O435:$U435)&gt;0,U435=""),"التوصيات","")),"✓"),"✓"))))))))))</f>
        <v/>
      </c>
      <c r="E435" s="235"/>
      <c r="F435" s="236"/>
      <c r="G435" s="90"/>
      <c r="H435" s="239"/>
      <c r="I435" s="89"/>
      <c r="J435" s="142"/>
      <c r="K435" s="90"/>
      <c r="L435" s="90"/>
      <c r="M435" s="90"/>
      <c r="N435" s="89"/>
      <c r="O435" s="200"/>
      <c r="P435" s="201"/>
      <c r="Q435" s="201"/>
      <c r="R435" s="237"/>
      <c r="S435" s="202"/>
      <c r="T435" s="200"/>
      <c r="U435" s="203"/>
      <c r="V435" s="89"/>
      <c r="W435" s="89"/>
      <c r="X435" s="145"/>
      <c r="Y435" s="89"/>
      <c r="Z435" s="90"/>
      <c r="AA435" s="90"/>
      <c r="AB435" s="90"/>
      <c r="AC435" s="90"/>
      <c r="AD435" s="92"/>
      <c r="AE435" s="149" t="str">
        <f>IFERROR(VLOOKUP(Z435,LISTS!$AL$2:$AM$1000,2,FALSE()),"")</f>
        <v/>
      </c>
      <c r="AF435" s="151" t="str">
        <f>IFERROR(VLOOKUP(AA435,LISTS!$AO$2:$AP$1000,2,FALSE()),"")</f>
        <v/>
      </c>
      <c r="AG435" s="152" t="str">
        <f>IFERROR(VLOOKUP(AB435,LISTS!$AR$2:$AS$1000,2,FALSE()),"")</f>
        <v/>
      </c>
      <c r="AH435" s="154" t="str">
        <f>IFERROR(VLOOKUP(AC435,LISTS!$AU$2:$AV$1000,2,FALSE()),"")</f>
        <v/>
      </c>
      <c r="AI435" s="238" t="str">
        <f t="shared" si="33"/>
        <v>—</v>
      </c>
      <c r="AJ435" s="190" t="str">
        <f t="shared" si="34"/>
        <v>—</v>
      </c>
      <c r="AK435" s="157" t="str">
        <f t="shared" si="35"/>
        <v/>
      </c>
      <c r="AL435" s="160" t="str">
        <f t="shared" si="36"/>
        <v/>
      </c>
      <c r="AM435" s="210"/>
      <c r="AN435" s="209"/>
    </row>
    <row r="436" spans="1:40" ht="27.95" customHeight="1">
      <c r="A436" s="134" t="str">
        <f>IF(I436&lt;&gt;"",COUNTA($I$2:I436),"")</f>
        <v/>
      </c>
      <c r="B436" s="138" t="str">
        <f t="shared" si="37"/>
        <v/>
      </c>
      <c r="C436" s="93" t="str">
        <f t="array" ref="C436">IF(E436="","",IF(M436&lt;&gt;"",
M436&amp;"/"&amp;SUMPRODUCT((M$2:M436=M436)*1)&amp;" - "&amp;(ROW()-2),
"إداري/"&amp;SUMPRODUCT((M$2:M436="")*1)&amp;" - "&amp;(ROW()-2)))</f>
        <v/>
      </c>
      <c r="D436" s="141" t="str">
        <f>IF(AND(G436="",H436="",I436=""),"",IF(COUNTIFS(LISTS!$A$2:$A$67,G436,LISTS!$B$2:$B$67,H436,LISTS!$C$2:$C$67,I436)=0,"✗ هرم",IF(NOT(OR(Z436="ممتاز 100%",Z436="جيد 80%",Z436="مقبول 60%",Z436="خطر 40%",Z436="")),"✗ قائمة R",IF(NOT(OR(AA436="ممتاز 100%",AA436="جيد 85%",AA436="مقبول 70%",AA436="ضعيف 50%",AA436="")),"✗ قائمة S",IF(NOT(OR(AB436="مكتمل 100%",AB436="جزئي 60%",AB436="معلق 30%",AB436="مفتوح 0%",AB436="")),"✗ قائمة T",IF(NOT(OR(AC436="لا خصم 0",AC436="تأخير −5",AC436="عجز −10",AC436="جودة −15",AC436="امتثال −20",AC436="مخالفة −25",AC436="")),"✗ قائمة U",IF(AND(X436="لا",AC436&lt;&gt;"",AC436&lt;&gt;"لا خصم 0"),"✗ خصم",IF(AND(X436="نعم",AC436="لا خصم 0"),"✗ خصم",IF(AND(Z436="ممتاز 100%",AA436="ممتاز 100%",AB436&lt;&gt;"",AB436&lt;&gt;"مكتمل 100%"),"✗ إغلاق",IFERROR(IF(LEN(_xlfn.TEXTJOIN("، ",TRUE,IF(E436="","التاريخ",""),IF(F436="","الوقت",""),IF(G436="","المركز",""),IF(H436="","الدائرة",""),IF(I436="","القسم",""),IF(J436="","المسؤول",""),IF(K436="","نوع النشاط",""),IF(L436="","المشروع",""),IF(N436="","الممول",""),IF(V436="","الموضوع",""),IF(W436="","الملاحظة",""),IF(X436="","مشكلة",""),IF(Y436="","الإجراء",""),IF(Z436="","التنفيذ",""),IF(AA436="","الجودة",""),IF(AB436="","الإغلاق",""),IF(AC436="","الخصم",""),IF(AND(COUNTA($O436:$U436)&gt;0,O436=""),"مدير المشروع",""),IF(AND(COUNTA($O436:$U436)&gt;0,P436=""),"المستفيدين",""),IF(AND(COUNTA($O436:$U436)&gt;0,Q436=""),"المناطق",""),IF(AND(COUNTA($O436:$U436)&gt;0,R436=""),"الميزانية",""),IF(AND(COUNTA($O436:$U436)&gt;0,S436=""),"نسبة الجاهزية",""),IF(AND(COUNTA($O436:$U436)&gt;0,T436=""),"حالة الجاهزية",""),IF(AND(COUNTA($O436:$U436)&gt;0,U436=""),"التوصيات","")))&gt;0,"✗ ناقص: "&amp;_xlfn.TEXTJOIN("، ",TRUE,IF(E436="","التاريخ",""),IF(F436="","الوقت",""),IF(G436="","المركز",""),IF(H436="","الدائرة",""),IF(I436="","القسم",""),IF(J436="","المسؤول",""),IF(K436="","نوع النشاط",""),IF(L436="","المشروع",""),IF(N436="","الممول",""),IF(V436="","الموضوع",""),IF(W436="","الملاحظة",""),IF(X436="","مشكلة",""),IF(Y436="","الإجراء",""),IF(Z436="","التنفيذ",""),IF(AA436="","الجودة",""),IF(AB436="","الإغلاق",""),IF(AC436="","الخصم",""),IF(AND(COUNTA($O436:$U436)&gt;0,O436=""),"مدير المشروع",""),IF(AND(COUNTA($O436:$U436)&gt;0,P436=""),"المستفيدين",""),IF(AND(COUNTA($O436:$U436)&gt;0,Q436=""),"المناطق",""),IF(AND(COUNTA($O436:$U436)&gt;0,R436=""),"الميزانية",""),IF(AND(COUNTA($O436:$U436)&gt;0,S436=""),"نسبة الجاهزية",""),IF(AND(COUNTA($O436:$U436)&gt;0,T436=""),"حالة الجاهزية",""),IF(AND(COUNTA($O436:$U436)&gt;0,U436=""),"التوصيات","")),"✓"),"✓"))))))))))</f>
        <v/>
      </c>
      <c r="E436" s="235"/>
      <c r="F436" s="236"/>
      <c r="G436" s="90"/>
      <c r="H436" s="239"/>
      <c r="I436" s="89"/>
      <c r="J436" s="142"/>
      <c r="K436" s="90"/>
      <c r="L436" s="90"/>
      <c r="M436" s="90"/>
      <c r="N436" s="89"/>
      <c r="O436" s="200"/>
      <c r="P436" s="201"/>
      <c r="Q436" s="201"/>
      <c r="R436" s="237"/>
      <c r="S436" s="202"/>
      <c r="T436" s="200"/>
      <c r="U436" s="203"/>
      <c r="V436" s="89"/>
      <c r="W436" s="89"/>
      <c r="X436" s="145"/>
      <c r="Y436" s="89"/>
      <c r="Z436" s="90"/>
      <c r="AA436" s="90"/>
      <c r="AB436" s="90"/>
      <c r="AC436" s="90"/>
      <c r="AD436" s="92"/>
      <c r="AE436" s="149" t="str">
        <f>IFERROR(VLOOKUP(Z436,LISTS!$AL$2:$AM$1000,2,FALSE()),"")</f>
        <v/>
      </c>
      <c r="AF436" s="151" t="str">
        <f>IFERROR(VLOOKUP(AA436,LISTS!$AO$2:$AP$1000,2,FALSE()),"")</f>
        <v/>
      </c>
      <c r="AG436" s="152" t="str">
        <f>IFERROR(VLOOKUP(AB436,LISTS!$AR$2:$AS$1000,2,FALSE()),"")</f>
        <v/>
      </c>
      <c r="AH436" s="154" t="str">
        <f>IFERROR(VLOOKUP(AC436,LISTS!$AU$2:$AV$1000,2,FALSE()),"")</f>
        <v/>
      </c>
      <c r="AI436" s="238" t="str">
        <f t="shared" si="33"/>
        <v>—</v>
      </c>
      <c r="AJ436" s="190" t="str">
        <f t="shared" si="34"/>
        <v>—</v>
      </c>
      <c r="AK436" s="157" t="str">
        <f t="shared" si="35"/>
        <v/>
      </c>
      <c r="AL436" s="160" t="str">
        <f t="shared" si="36"/>
        <v/>
      </c>
      <c r="AM436" s="210"/>
      <c r="AN436" s="209"/>
    </row>
    <row r="437" spans="1:40" ht="27.95" customHeight="1">
      <c r="A437" s="134" t="str">
        <f>IF(I437&lt;&gt;"",COUNTA($I$2:I437),"")</f>
        <v/>
      </c>
      <c r="B437" s="138" t="str">
        <f t="shared" si="37"/>
        <v/>
      </c>
      <c r="C437" s="93" t="str">
        <f t="array" ref="C437">IF(E437="","",IF(M437&lt;&gt;"",
M437&amp;"/"&amp;SUMPRODUCT((M$2:M437=M437)*1)&amp;" - "&amp;(ROW()-2),
"إداري/"&amp;SUMPRODUCT((M$2:M437="")*1)&amp;" - "&amp;(ROW()-2)))</f>
        <v/>
      </c>
      <c r="D437" s="141" t="str">
        <f>IF(AND(G437="",H437="",I437=""),"",IF(COUNTIFS(LISTS!$A$2:$A$67,G437,LISTS!$B$2:$B$67,H437,LISTS!$C$2:$C$67,I437)=0,"✗ هرم",IF(NOT(OR(Z437="ممتاز 100%",Z437="جيد 80%",Z437="مقبول 60%",Z437="خطر 40%",Z437="")),"✗ قائمة R",IF(NOT(OR(AA437="ممتاز 100%",AA437="جيد 85%",AA437="مقبول 70%",AA437="ضعيف 50%",AA437="")),"✗ قائمة S",IF(NOT(OR(AB437="مكتمل 100%",AB437="جزئي 60%",AB437="معلق 30%",AB437="مفتوح 0%",AB437="")),"✗ قائمة T",IF(NOT(OR(AC437="لا خصم 0",AC437="تأخير −5",AC437="عجز −10",AC437="جودة −15",AC437="امتثال −20",AC437="مخالفة −25",AC437="")),"✗ قائمة U",IF(AND(X437="لا",AC437&lt;&gt;"",AC437&lt;&gt;"لا خصم 0"),"✗ خصم",IF(AND(X437="نعم",AC437="لا خصم 0"),"✗ خصم",IF(AND(Z437="ممتاز 100%",AA437="ممتاز 100%",AB437&lt;&gt;"",AB437&lt;&gt;"مكتمل 100%"),"✗ إغلاق",IFERROR(IF(LEN(_xlfn.TEXTJOIN("، ",TRUE,IF(E437="","التاريخ",""),IF(F437="","الوقت",""),IF(G437="","المركز",""),IF(H437="","الدائرة",""),IF(I437="","القسم",""),IF(J437="","المسؤول",""),IF(K437="","نوع النشاط",""),IF(L437="","المشروع",""),IF(N437="","الممول",""),IF(V437="","الموضوع",""),IF(W437="","الملاحظة",""),IF(X437="","مشكلة",""),IF(Y437="","الإجراء",""),IF(Z437="","التنفيذ",""),IF(AA437="","الجودة",""),IF(AB437="","الإغلاق",""),IF(AC437="","الخصم",""),IF(AND(COUNTA($O437:$U437)&gt;0,O437=""),"مدير المشروع",""),IF(AND(COUNTA($O437:$U437)&gt;0,P437=""),"المستفيدين",""),IF(AND(COUNTA($O437:$U437)&gt;0,Q437=""),"المناطق",""),IF(AND(COUNTA($O437:$U437)&gt;0,R437=""),"الميزانية",""),IF(AND(COUNTA($O437:$U437)&gt;0,S437=""),"نسبة الجاهزية",""),IF(AND(COUNTA($O437:$U437)&gt;0,T437=""),"حالة الجاهزية",""),IF(AND(COUNTA($O437:$U437)&gt;0,U437=""),"التوصيات","")))&gt;0,"✗ ناقص: "&amp;_xlfn.TEXTJOIN("، ",TRUE,IF(E437="","التاريخ",""),IF(F437="","الوقت",""),IF(G437="","المركز",""),IF(H437="","الدائرة",""),IF(I437="","القسم",""),IF(J437="","المسؤول",""),IF(K437="","نوع النشاط",""),IF(L437="","المشروع",""),IF(N437="","الممول",""),IF(V437="","الموضوع",""),IF(W437="","الملاحظة",""),IF(X437="","مشكلة",""),IF(Y437="","الإجراء",""),IF(Z437="","التنفيذ",""),IF(AA437="","الجودة",""),IF(AB437="","الإغلاق",""),IF(AC437="","الخصم",""),IF(AND(COUNTA($O437:$U437)&gt;0,O437=""),"مدير المشروع",""),IF(AND(COUNTA($O437:$U437)&gt;0,P437=""),"المستفيدين",""),IF(AND(COUNTA($O437:$U437)&gt;0,Q437=""),"المناطق",""),IF(AND(COUNTA($O437:$U437)&gt;0,R437=""),"الميزانية",""),IF(AND(COUNTA($O437:$U437)&gt;0,S437=""),"نسبة الجاهزية",""),IF(AND(COUNTA($O437:$U437)&gt;0,T437=""),"حالة الجاهزية",""),IF(AND(COUNTA($O437:$U437)&gt;0,U437=""),"التوصيات","")),"✓"),"✓"))))))))))</f>
        <v/>
      </c>
      <c r="E437" s="235"/>
      <c r="F437" s="236"/>
      <c r="G437" s="90"/>
      <c r="H437" s="239"/>
      <c r="I437" s="89"/>
      <c r="J437" s="142"/>
      <c r="K437" s="90"/>
      <c r="L437" s="90"/>
      <c r="M437" s="90"/>
      <c r="N437" s="89"/>
      <c r="O437" s="200"/>
      <c r="P437" s="201"/>
      <c r="Q437" s="201"/>
      <c r="R437" s="237"/>
      <c r="S437" s="202"/>
      <c r="T437" s="200"/>
      <c r="U437" s="203"/>
      <c r="V437" s="89"/>
      <c r="W437" s="89"/>
      <c r="X437" s="145"/>
      <c r="Y437" s="89"/>
      <c r="Z437" s="90"/>
      <c r="AA437" s="90"/>
      <c r="AB437" s="90"/>
      <c r="AC437" s="90"/>
      <c r="AD437" s="92"/>
      <c r="AE437" s="149" t="str">
        <f>IFERROR(VLOOKUP(Z437,LISTS!$AL$2:$AM$1000,2,FALSE()),"")</f>
        <v/>
      </c>
      <c r="AF437" s="151" t="str">
        <f>IFERROR(VLOOKUP(AA437,LISTS!$AO$2:$AP$1000,2,FALSE()),"")</f>
        <v/>
      </c>
      <c r="AG437" s="152" t="str">
        <f>IFERROR(VLOOKUP(AB437,LISTS!$AR$2:$AS$1000,2,FALSE()),"")</f>
        <v/>
      </c>
      <c r="AH437" s="154" t="str">
        <f>IFERROR(VLOOKUP(AC437,LISTS!$AU$2:$AV$1000,2,FALSE()),"")</f>
        <v/>
      </c>
      <c r="AI437" s="238" t="str">
        <f t="shared" si="33"/>
        <v>—</v>
      </c>
      <c r="AJ437" s="190" t="str">
        <f t="shared" si="34"/>
        <v>—</v>
      </c>
      <c r="AK437" s="157" t="str">
        <f t="shared" si="35"/>
        <v/>
      </c>
      <c r="AL437" s="160" t="str">
        <f t="shared" si="36"/>
        <v/>
      </c>
      <c r="AM437" s="210"/>
      <c r="AN437" s="209"/>
    </row>
    <row r="438" spans="1:40" ht="27.95" customHeight="1">
      <c r="A438" s="134" t="str">
        <f>IF(I438&lt;&gt;"",COUNTA($I$2:I438),"")</f>
        <v/>
      </c>
      <c r="B438" s="138" t="str">
        <f t="shared" si="37"/>
        <v/>
      </c>
      <c r="C438" s="93" t="str">
        <f t="array" ref="C438">IF(E438="","",IF(M438&lt;&gt;"",
M438&amp;"/"&amp;SUMPRODUCT((M$2:M438=M438)*1)&amp;" - "&amp;(ROW()-2),
"إداري/"&amp;SUMPRODUCT((M$2:M438="")*1)&amp;" - "&amp;(ROW()-2)))</f>
        <v/>
      </c>
      <c r="D438" s="141" t="str">
        <f>IF(AND(G438="",H438="",I438=""),"",IF(COUNTIFS(LISTS!$A$2:$A$67,G438,LISTS!$B$2:$B$67,H438,LISTS!$C$2:$C$67,I438)=0,"✗ هرم",IF(NOT(OR(Z438="ممتاز 100%",Z438="جيد 80%",Z438="مقبول 60%",Z438="خطر 40%",Z438="")),"✗ قائمة R",IF(NOT(OR(AA438="ممتاز 100%",AA438="جيد 85%",AA438="مقبول 70%",AA438="ضعيف 50%",AA438="")),"✗ قائمة S",IF(NOT(OR(AB438="مكتمل 100%",AB438="جزئي 60%",AB438="معلق 30%",AB438="مفتوح 0%",AB438="")),"✗ قائمة T",IF(NOT(OR(AC438="لا خصم 0",AC438="تأخير −5",AC438="عجز −10",AC438="جودة −15",AC438="امتثال −20",AC438="مخالفة −25",AC438="")),"✗ قائمة U",IF(AND(X438="لا",AC438&lt;&gt;"",AC438&lt;&gt;"لا خصم 0"),"✗ خصم",IF(AND(X438="نعم",AC438="لا خصم 0"),"✗ خصم",IF(AND(Z438="ممتاز 100%",AA438="ممتاز 100%",AB438&lt;&gt;"",AB438&lt;&gt;"مكتمل 100%"),"✗ إغلاق",IFERROR(IF(LEN(_xlfn.TEXTJOIN("، ",TRUE,IF(E438="","التاريخ",""),IF(F438="","الوقت",""),IF(G438="","المركز",""),IF(H438="","الدائرة",""),IF(I438="","القسم",""),IF(J438="","المسؤول",""),IF(K438="","نوع النشاط",""),IF(L438="","المشروع",""),IF(N438="","الممول",""),IF(V438="","الموضوع",""),IF(W438="","الملاحظة",""),IF(X438="","مشكلة",""),IF(Y438="","الإجراء",""),IF(Z438="","التنفيذ",""),IF(AA438="","الجودة",""),IF(AB438="","الإغلاق",""),IF(AC438="","الخصم",""),IF(AND(COUNTA($O438:$U438)&gt;0,O438=""),"مدير المشروع",""),IF(AND(COUNTA($O438:$U438)&gt;0,P438=""),"المستفيدين",""),IF(AND(COUNTA($O438:$U438)&gt;0,Q438=""),"المناطق",""),IF(AND(COUNTA($O438:$U438)&gt;0,R438=""),"الميزانية",""),IF(AND(COUNTA($O438:$U438)&gt;0,S438=""),"نسبة الجاهزية",""),IF(AND(COUNTA($O438:$U438)&gt;0,T438=""),"حالة الجاهزية",""),IF(AND(COUNTA($O438:$U438)&gt;0,U438=""),"التوصيات","")))&gt;0,"✗ ناقص: "&amp;_xlfn.TEXTJOIN("، ",TRUE,IF(E438="","التاريخ",""),IF(F438="","الوقت",""),IF(G438="","المركز",""),IF(H438="","الدائرة",""),IF(I438="","القسم",""),IF(J438="","المسؤول",""),IF(K438="","نوع النشاط",""),IF(L438="","المشروع",""),IF(N438="","الممول",""),IF(V438="","الموضوع",""),IF(W438="","الملاحظة",""),IF(X438="","مشكلة",""),IF(Y438="","الإجراء",""),IF(Z438="","التنفيذ",""),IF(AA438="","الجودة",""),IF(AB438="","الإغلاق",""),IF(AC438="","الخصم",""),IF(AND(COUNTA($O438:$U438)&gt;0,O438=""),"مدير المشروع",""),IF(AND(COUNTA($O438:$U438)&gt;0,P438=""),"المستفيدين",""),IF(AND(COUNTA($O438:$U438)&gt;0,Q438=""),"المناطق",""),IF(AND(COUNTA($O438:$U438)&gt;0,R438=""),"الميزانية",""),IF(AND(COUNTA($O438:$U438)&gt;0,S438=""),"نسبة الجاهزية",""),IF(AND(COUNTA($O438:$U438)&gt;0,T438=""),"حالة الجاهزية",""),IF(AND(COUNTA($O438:$U438)&gt;0,U438=""),"التوصيات","")),"✓"),"✓"))))))))))</f>
        <v/>
      </c>
      <c r="E438" s="235"/>
      <c r="F438" s="236"/>
      <c r="G438" s="90"/>
      <c r="H438" s="239"/>
      <c r="I438" s="89"/>
      <c r="J438" s="142"/>
      <c r="K438" s="90"/>
      <c r="L438" s="90"/>
      <c r="M438" s="90"/>
      <c r="N438" s="89"/>
      <c r="O438" s="200"/>
      <c r="P438" s="201"/>
      <c r="Q438" s="201"/>
      <c r="R438" s="237"/>
      <c r="S438" s="202"/>
      <c r="T438" s="200"/>
      <c r="U438" s="203"/>
      <c r="V438" s="89"/>
      <c r="W438" s="89"/>
      <c r="X438" s="145"/>
      <c r="Y438" s="89"/>
      <c r="Z438" s="90"/>
      <c r="AA438" s="90"/>
      <c r="AB438" s="90"/>
      <c r="AC438" s="90"/>
      <c r="AD438" s="92"/>
      <c r="AE438" s="149" t="str">
        <f>IFERROR(VLOOKUP(Z438,LISTS!$AL$2:$AM$1000,2,FALSE()),"")</f>
        <v/>
      </c>
      <c r="AF438" s="151" t="str">
        <f>IFERROR(VLOOKUP(AA438,LISTS!$AO$2:$AP$1000,2,FALSE()),"")</f>
        <v/>
      </c>
      <c r="AG438" s="152" t="str">
        <f>IFERROR(VLOOKUP(AB438,LISTS!$AR$2:$AS$1000,2,FALSE()),"")</f>
        <v/>
      </c>
      <c r="AH438" s="154" t="str">
        <f>IFERROR(VLOOKUP(AC438,LISTS!$AU$2:$AV$1000,2,FALSE()),"")</f>
        <v/>
      </c>
      <c r="AI438" s="238" t="str">
        <f t="shared" si="33"/>
        <v>—</v>
      </c>
      <c r="AJ438" s="190" t="str">
        <f t="shared" si="34"/>
        <v>—</v>
      </c>
      <c r="AK438" s="157" t="str">
        <f t="shared" si="35"/>
        <v/>
      </c>
      <c r="AL438" s="160" t="str">
        <f t="shared" si="36"/>
        <v/>
      </c>
      <c r="AM438" s="210"/>
      <c r="AN438" s="209"/>
    </row>
    <row r="439" spans="1:40" ht="27.95" customHeight="1">
      <c r="A439" s="134" t="str">
        <f>IF(I439&lt;&gt;"",COUNTA($I$2:I439),"")</f>
        <v/>
      </c>
      <c r="B439" s="138" t="str">
        <f t="shared" si="37"/>
        <v/>
      </c>
      <c r="C439" s="93" t="str">
        <f t="array" ref="C439">IF(E439="","",IF(M439&lt;&gt;"",
M439&amp;"/"&amp;SUMPRODUCT((M$2:M439=M439)*1)&amp;" - "&amp;(ROW()-2),
"إداري/"&amp;SUMPRODUCT((M$2:M439="")*1)&amp;" - "&amp;(ROW()-2)))</f>
        <v/>
      </c>
      <c r="D439" s="141" t="str">
        <f>IF(AND(G439="",H439="",I439=""),"",IF(COUNTIFS(LISTS!$A$2:$A$67,G439,LISTS!$B$2:$B$67,H439,LISTS!$C$2:$C$67,I439)=0,"✗ هرم",IF(NOT(OR(Z439="ممتاز 100%",Z439="جيد 80%",Z439="مقبول 60%",Z439="خطر 40%",Z439="")),"✗ قائمة R",IF(NOT(OR(AA439="ممتاز 100%",AA439="جيد 85%",AA439="مقبول 70%",AA439="ضعيف 50%",AA439="")),"✗ قائمة S",IF(NOT(OR(AB439="مكتمل 100%",AB439="جزئي 60%",AB439="معلق 30%",AB439="مفتوح 0%",AB439="")),"✗ قائمة T",IF(NOT(OR(AC439="لا خصم 0",AC439="تأخير −5",AC439="عجز −10",AC439="جودة −15",AC439="امتثال −20",AC439="مخالفة −25",AC439="")),"✗ قائمة U",IF(AND(X439="لا",AC439&lt;&gt;"",AC439&lt;&gt;"لا خصم 0"),"✗ خصم",IF(AND(X439="نعم",AC439="لا خصم 0"),"✗ خصم",IF(AND(Z439="ممتاز 100%",AA439="ممتاز 100%",AB439&lt;&gt;"",AB439&lt;&gt;"مكتمل 100%"),"✗ إغلاق",IFERROR(IF(LEN(_xlfn.TEXTJOIN("، ",TRUE,IF(E439="","التاريخ",""),IF(F439="","الوقت",""),IF(G439="","المركز",""),IF(H439="","الدائرة",""),IF(I439="","القسم",""),IF(J439="","المسؤول",""),IF(K439="","نوع النشاط",""),IF(L439="","المشروع",""),IF(N439="","الممول",""),IF(V439="","الموضوع",""),IF(W439="","الملاحظة",""),IF(X439="","مشكلة",""),IF(Y439="","الإجراء",""),IF(Z439="","التنفيذ",""),IF(AA439="","الجودة",""),IF(AB439="","الإغلاق",""),IF(AC439="","الخصم",""),IF(AND(COUNTA($O439:$U439)&gt;0,O439=""),"مدير المشروع",""),IF(AND(COUNTA($O439:$U439)&gt;0,P439=""),"المستفيدين",""),IF(AND(COUNTA($O439:$U439)&gt;0,Q439=""),"المناطق",""),IF(AND(COUNTA($O439:$U439)&gt;0,R439=""),"الميزانية",""),IF(AND(COUNTA($O439:$U439)&gt;0,S439=""),"نسبة الجاهزية",""),IF(AND(COUNTA($O439:$U439)&gt;0,T439=""),"حالة الجاهزية",""),IF(AND(COUNTA($O439:$U439)&gt;0,U439=""),"التوصيات","")))&gt;0,"✗ ناقص: "&amp;_xlfn.TEXTJOIN("، ",TRUE,IF(E439="","التاريخ",""),IF(F439="","الوقت",""),IF(G439="","المركز",""),IF(H439="","الدائرة",""),IF(I439="","القسم",""),IF(J439="","المسؤول",""),IF(K439="","نوع النشاط",""),IF(L439="","المشروع",""),IF(N439="","الممول",""),IF(V439="","الموضوع",""),IF(W439="","الملاحظة",""),IF(X439="","مشكلة",""),IF(Y439="","الإجراء",""),IF(Z439="","التنفيذ",""),IF(AA439="","الجودة",""),IF(AB439="","الإغلاق",""),IF(AC439="","الخصم",""),IF(AND(COUNTA($O439:$U439)&gt;0,O439=""),"مدير المشروع",""),IF(AND(COUNTA($O439:$U439)&gt;0,P439=""),"المستفيدين",""),IF(AND(COUNTA($O439:$U439)&gt;0,Q439=""),"المناطق",""),IF(AND(COUNTA($O439:$U439)&gt;0,R439=""),"الميزانية",""),IF(AND(COUNTA($O439:$U439)&gt;0,S439=""),"نسبة الجاهزية",""),IF(AND(COUNTA($O439:$U439)&gt;0,T439=""),"حالة الجاهزية",""),IF(AND(COUNTA($O439:$U439)&gt;0,U439=""),"التوصيات","")),"✓"),"✓"))))))))))</f>
        <v/>
      </c>
      <c r="E439" s="235"/>
      <c r="F439" s="236"/>
      <c r="G439" s="90"/>
      <c r="H439" s="239"/>
      <c r="I439" s="89"/>
      <c r="J439" s="142"/>
      <c r="K439" s="90"/>
      <c r="L439" s="90"/>
      <c r="M439" s="90"/>
      <c r="N439" s="89"/>
      <c r="O439" s="200"/>
      <c r="P439" s="201"/>
      <c r="Q439" s="201"/>
      <c r="R439" s="237"/>
      <c r="S439" s="202"/>
      <c r="T439" s="200"/>
      <c r="U439" s="203"/>
      <c r="V439" s="89"/>
      <c r="W439" s="89"/>
      <c r="X439" s="145"/>
      <c r="Y439" s="89"/>
      <c r="Z439" s="90"/>
      <c r="AA439" s="90"/>
      <c r="AB439" s="90"/>
      <c r="AC439" s="90"/>
      <c r="AD439" s="92"/>
      <c r="AE439" s="149" t="str">
        <f>IFERROR(VLOOKUP(Z439,LISTS!$AL$2:$AM$1000,2,FALSE()),"")</f>
        <v/>
      </c>
      <c r="AF439" s="151" t="str">
        <f>IFERROR(VLOOKUP(AA439,LISTS!$AO$2:$AP$1000,2,FALSE()),"")</f>
        <v/>
      </c>
      <c r="AG439" s="152" t="str">
        <f>IFERROR(VLOOKUP(AB439,LISTS!$AR$2:$AS$1000,2,FALSE()),"")</f>
        <v/>
      </c>
      <c r="AH439" s="154" t="str">
        <f>IFERROR(VLOOKUP(AC439,LISTS!$AU$2:$AV$1000,2,FALSE()),"")</f>
        <v/>
      </c>
      <c r="AI439" s="238" t="str">
        <f t="shared" si="33"/>
        <v>—</v>
      </c>
      <c r="AJ439" s="190" t="str">
        <f t="shared" si="34"/>
        <v>—</v>
      </c>
      <c r="AK439" s="157" t="str">
        <f t="shared" si="35"/>
        <v/>
      </c>
      <c r="AL439" s="160" t="str">
        <f t="shared" si="36"/>
        <v/>
      </c>
      <c r="AM439" s="210"/>
      <c r="AN439" s="209"/>
    </row>
    <row r="440" spans="1:40" ht="27.95" customHeight="1">
      <c r="A440" s="134" t="str">
        <f>IF(I440&lt;&gt;"",COUNTA($I$2:I440),"")</f>
        <v/>
      </c>
      <c r="B440" s="138" t="str">
        <f t="shared" si="37"/>
        <v/>
      </c>
      <c r="C440" s="93" t="str">
        <f t="array" ref="C440">IF(E440="","",IF(M440&lt;&gt;"",
M440&amp;"/"&amp;SUMPRODUCT((M$2:M440=M440)*1)&amp;" - "&amp;(ROW()-2),
"إداري/"&amp;SUMPRODUCT((M$2:M440="")*1)&amp;" - "&amp;(ROW()-2)))</f>
        <v/>
      </c>
      <c r="D440" s="141" t="str">
        <f>IF(AND(G440="",H440="",I440=""),"",IF(COUNTIFS(LISTS!$A$2:$A$67,G440,LISTS!$B$2:$B$67,H440,LISTS!$C$2:$C$67,I440)=0,"✗ هرم",IF(NOT(OR(Z440="ممتاز 100%",Z440="جيد 80%",Z440="مقبول 60%",Z440="خطر 40%",Z440="")),"✗ قائمة R",IF(NOT(OR(AA440="ممتاز 100%",AA440="جيد 85%",AA440="مقبول 70%",AA440="ضعيف 50%",AA440="")),"✗ قائمة S",IF(NOT(OR(AB440="مكتمل 100%",AB440="جزئي 60%",AB440="معلق 30%",AB440="مفتوح 0%",AB440="")),"✗ قائمة T",IF(NOT(OR(AC440="لا خصم 0",AC440="تأخير −5",AC440="عجز −10",AC440="جودة −15",AC440="امتثال −20",AC440="مخالفة −25",AC440="")),"✗ قائمة U",IF(AND(X440="لا",AC440&lt;&gt;"",AC440&lt;&gt;"لا خصم 0"),"✗ خصم",IF(AND(X440="نعم",AC440="لا خصم 0"),"✗ خصم",IF(AND(Z440="ممتاز 100%",AA440="ممتاز 100%",AB440&lt;&gt;"",AB440&lt;&gt;"مكتمل 100%"),"✗ إغلاق",IFERROR(IF(LEN(_xlfn.TEXTJOIN("، ",TRUE,IF(E440="","التاريخ",""),IF(F440="","الوقت",""),IF(G440="","المركز",""),IF(H440="","الدائرة",""),IF(I440="","القسم",""),IF(J440="","المسؤول",""),IF(K440="","نوع النشاط",""),IF(L440="","المشروع",""),IF(N440="","الممول",""),IF(V440="","الموضوع",""),IF(W440="","الملاحظة",""),IF(X440="","مشكلة",""),IF(Y440="","الإجراء",""),IF(Z440="","التنفيذ",""),IF(AA440="","الجودة",""),IF(AB440="","الإغلاق",""),IF(AC440="","الخصم",""),IF(AND(COUNTA($O440:$U440)&gt;0,O440=""),"مدير المشروع",""),IF(AND(COUNTA($O440:$U440)&gt;0,P440=""),"المستفيدين",""),IF(AND(COUNTA($O440:$U440)&gt;0,Q440=""),"المناطق",""),IF(AND(COUNTA($O440:$U440)&gt;0,R440=""),"الميزانية",""),IF(AND(COUNTA($O440:$U440)&gt;0,S440=""),"نسبة الجاهزية",""),IF(AND(COUNTA($O440:$U440)&gt;0,T440=""),"حالة الجاهزية",""),IF(AND(COUNTA($O440:$U440)&gt;0,U440=""),"التوصيات","")))&gt;0,"✗ ناقص: "&amp;_xlfn.TEXTJOIN("، ",TRUE,IF(E440="","التاريخ",""),IF(F440="","الوقت",""),IF(G440="","المركز",""),IF(H440="","الدائرة",""),IF(I440="","القسم",""),IF(J440="","المسؤول",""),IF(K440="","نوع النشاط",""),IF(L440="","المشروع",""),IF(N440="","الممول",""),IF(V440="","الموضوع",""),IF(W440="","الملاحظة",""),IF(X440="","مشكلة",""),IF(Y440="","الإجراء",""),IF(Z440="","التنفيذ",""),IF(AA440="","الجودة",""),IF(AB440="","الإغلاق",""),IF(AC440="","الخصم",""),IF(AND(COUNTA($O440:$U440)&gt;0,O440=""),"مدير المشروع",""),IF(AND(COUNTA($O440:$U440)&gt;0,P440=""),"المستفيدين",""),IF(AND(COUNTA($O440:$U440)&gt;0,Q440=""),"المناطق",""),IF(AND(COUNTA($O440:$U440)&gt;0,R440=""),"الميزانية",""),IF(AND(COUNTA($O440:$U440)&gt;0,S440=""),"نسبة الجاهزية",""),IF(AND(COUNTA($O440:$U440)&gt;0,T440=""),"حالة الجاهزية",""),IF(AND(COUNTA($O440:$U440)&gt;0,U440=""),"التوصيات","")),"✓"),"✓"))))))))))</f>
        <v/>
      </c>
      <c r="E440" s="235"/>
      <c r="F440" s="236"/>
      <c r="G440" s="90"/>
      <c r="H440" s="239"/>
      <c r="I440" s="89"/>
      <c r="J440" s="142"/>
      <c r="K440" s="90"/>
      <c r="L440" s="90"/>
      <c r="M440" s="90"/>
      <c r="N440" s="89"/>
      <c r="O440" s="200"/>
      <c r="P440" s="201"/>
      <c r="Q440" s="201"/>
      <c r="R440" s="237"/>
      <c r="S440" s="202"/>
      <c r="T440" s="200"/>
      <c r="U440" s="203"/>
      <c r="V440" s="89"/>
      <c r="W440" s="89"/>
      <c r="X440" s="145"/>
      <c r="Y440" s="89"/>
      <c r="Z440" s="90"/>
      <c r="AA440" s="90"/>
      <c r="AB440" s="90"/>
      <c r="AC440" s="90"/>
      <c r="AD440" s="92"/>
      <c r="AE440" s="149" t="str">
        <f>IFERROR(VLOOKUP(Z440,LISTS!$AL$2:$AM$1000,2,FALSE()),"")</f>
        <v/>
      </c>
      <c r="AF440" s="151" t="str">
        <f>IFERROR(VLOOKUP(AA440,LISTS!$AO$2:$AP$1000,2,FALSE()),"")</f>
        <v/>
      </c>
      <c r="AG440" s="152" t="str">
        <f>IFERROR(VLOOKUP(AB440,LISTS!$AR$2:$AS$1000,2,FALSE()),"")</f>
        <v/>
      </c>
      <c r="AH440" s="154" t="str">
        <f>IFERROR(VLOOKUP(AC440,LISTS!$AU$2:$AV$1000,2,FALSE()),"")</f>
        <v/>
      </c>
      <c r="AI440" s="238" t="str">
        <f t="shared" si="33"/>
        <v>—</v>
      </c>
      <c r="AJ440" s="190" t="str">
        <f t="shared" si="34"/>
        <v>—</v>
      </c>
      <c r="AK440" s="157" t="str">
        <f t="shared" si="35"/>
        <v/>
      </c>
      <c r="AL440" s="160" t="str">
        <f t="shared" si="36"/>
        <v/>
      </c>
      <c r="AM440" s="210"/>
      <c r="AN440" s="209"/>
    </row>
    <row r="441" spans="1:40" ht="27.95" customHeight="1">
      <c r="A441" s="134" t="str">
        <f>IF(I441&lt;&gt;"",COUNTA($I$2:I441),"")</f>
        <v/>
      </c>
      <c r="B441" s="138" t="str">
        <f t="shared" si="37"/>
        <v/>
      </c>
      <c r="C441" s="93" t="str">
        <f t="array" ref="C441">IF(E441="","",IF(M441&lt;&gt;"",
M441&amp;"/"&amp;SUMPRODUCT((M$2:M441=M441)*1)&amp;" - "&amp;(ROW()-2),
"إداري/"&amp;SUMPRODUCT((M$2:M441="")*1)&amp;" - "&amp;(ROW()-2)))</f>
        <v/>
      </c>
      <c r="D441" s="141" t="str">
        <f>IF(AND(G441="",H441="",I441=""),"",IF(COUNTIFS(LISTS!$A$2:$A$67,G441,LISTS!$B$2:$B$67,H441,LISTS!$C$2:$C$67,I441)=0,"✗ هرم",IF(NOT(OR(Z441="ممتاز 100%",Z441="جيد 80%",Z441="مقبول 60%",Z441="خطر 40%",Z441="")),"✗ قائمة R",IF(NOT(OR(AA441="ممتاز 100%",AA441="جيد 85%",AA441="مقبول 70%",AA441="ضعيف 50%",AA441="")),"✗ قائمة S",IF(NOT(OR(AB441="مكتمل 100%",AB441="جزئي 60%",AB441="معلق 30%",AB441="مفتوح 0%",AB441="")),"✗ قائمة T",IF(NOT(OR(AC441="لا خصم 0",AC441="تأخير −5",AC441="عجز −10",AC441="جودة −15",AC441="امتثال −20",AC441="مخالفة −25",AC441="")),"✗ قائمة U",IF(AND(X441="لا",AC441&lt;&gt;"",AC441&lt;&gt;"لا خصم 0"),"✗ خصم",IF(AND(X441="نعم",AC441="لا خصم 0"),"✗ خصم",IF(AND(Z441="ممتاز 100%",AA441="ممتاز 100%",AB441&lt;&gt;"",AB441&lt;&gt;"مكتمل 100%"),"✗ إغلاق",IFERROR(IF(LEN(_xlfn.TEXTJOIN("، ",TRUE,IF(E441="","التاريخ",""),IF(F441="","الوقت",""),IF(G441="","المركز",""),IF(H441="","الدائرة",""),IF(I441="","القسم",""),IF(J441="","المسؤول",""),IF(K441="","نوع النشاط",""),IF(L441="","المشروع",""),IF(N441="","الممول",""),IF(V441="","الموضوع",""),IF(W441="","الملاحظة",""),IF(X441="","مشكلة",""),IF(Y441="","الإجراء",""),IF(Z441="","التنفيذ",""),IF(AA441="","الجودة",""),IF(AB441="","الإغلاق",""),IF(AC441="","الخصم",""),IF(AND(COUNTA($O441:$U441)&gt;0,O441=""),"مدير المشروع",""),IF(AND(COUNTA($O441:$U441)&gt;0,P441=""),"المستفيدين",""),IF(AND(COUNTA($O441:$U441)&gt;0,Q441=""),"المناطق",""),IF(AND(COUNTA($O441:$U441)&gt;0,R441=""),"الميزانية",""),IF(AND(COUNTA($O441:$U441)&gt;0,S441=""),"نسبة الجاهزية",""),IF(AND(COUNTA($O441:$U441)&gt;0,T441=""),"حالة الجاهزية",""),IF(AND(COUNTA($O441:$U441)&gt;0,U441=""),"التوصيات","")))&gt;0,"✗ ناقص: "&amp;_xlfn.TEXTJOIN("، ",TRUE,IF(E441="","التاريخ",""),IF(F441="","الوقت",""),IF(G441="","المركز",""),IF(H441="","الدائرة",""),IF(I441="","القسم",""),IF(J441="","المسؤول",""),IF(K441="","نوع النشاط",""),IF(L441="","المشروع",""),IF(N441="","الممول",""),IF(V441="","الموضوع",""),IF(W441="","الملاحظة",""),IF(X441="","مشكلة",""),IF(Y441="","الإجراء",""),IF(Z441="","التنفيذ",""),IF(AA441="","الجودة",""),IF(AB441="","الإغلاق",""),IF(AC441="","الخصم",""),IF(AND(COUNTA($O441:$U441)&gt;0,O441=""),"مدير المشروع",""),IF(AND(COUNTA($O441:$U441)&gt;0,P441=""),"المستفيدين",""),IF(AND(COUNTA($O441:$U441)&gt;0,Q441=""),"المناطق",""),IF(AND(COUNTA($O441:$U441)&gt;0,R441=""),"الميزانية",""),IF(AND(COUNTA($O441:$U441)&gt;0,S441=""),"نسبة الجاهزية",""),IF(AND(COUNTA($O441:$U441)&gt;0,T441=""),"حالة الجاهزية",""),IF(AND(COUNTA($O441:$U441)&gt;0,U441=""),"التوصيات","")),"✓"),"✓"))))))))))</f>
        <v/>
      </c>
      <c r="E441" s="235"/>
      <c r="F441" s="236"/>
      <c r="G441" s="90"/>
      <c r="H441" s="239"/>
      <c r="I441" s="89"/>
      <c r="J441" s="142"/>
      <c r="K441" s="90"/>
      <c r="L441" s="90"/>
      <c r="M441" s="90"/>
      <c r="N441" s="89"/>
      <c r="O441" s="200"/>
      <c r="P441" s="201"/>
      <c r="Q441" s="201"/>
      <c r="R441" s="237"/>
      <c r="S441" s="202"/>
      <c r="T441" s="200"/>
      <c r="U441" s="203"/>
      <c r="V441" s="89"/>
      <c r="W441" s="89"/>
      <c r="X441" s="145"/>
      <c r="Y441" s="89"/>
      <c r="Z441" s="90"/>
      <c r="AA441" s="90"/>
      <c r="AB441" s="90"/>
      <c r="AC441" s="90"/>
      <c r="AD441" s="92"/>
      <c r="AE441" s="149" t="str">
        <f>IFERROR(VLOOKUP(Z441,LISTS!$AL$2:$AM$1000,2,FALSE()),"")</f>
        <v/>
      </c>
      <c r="AF441" s="151" t="str">
        <f>IFERROR(VLOOKUP(AA441,LISTS!$AO$2:$AP$1000,2,FALSE()),"")</f>
        <v/>
      </c>
      <c r="AG441" s="152" t="str">
        <f>IFERROR(VLOOKUP(AB441,LISTS!$AR$2:$AS$1000,2,FALSE()),"")</f>
        <v/>
      </c>
      <c r="AH441" s="154" t="str">
        <f>IFERROR(VLOOKUP(AC441,LISTS!$AU$2:$AV$1000,2,FALSE()),"")</f>
        <v/>
      </c>
      <c r="AI441" s="238" t="str">
        <f t="shared" si="33"/>
        <v>—</v>
      </c>
      <c r="AJ441" s="190" t="str">
        <f t="shared" si="34"/>
        <v>—</v>
      </c>
      <c r="AK441" s="157" t="str">
        <f t="shared" si="35"/>
        <v/>
      </c>
      <c r="AL441" s="160" t="str">
        <f t="shared" si="36"/>
        <v/>
      </c>
      <c r="AM441" s="210"/>
      <c r="AN441" s="209"/>
    </row>
    <row r="442" spans="1:40" ht="27.95" customHeight="1">
      <c r="A442" s="134" t="str">
        <f>IF(I442&lt;&gt;"",COUNTA($I$2:I442),"")</f>
        <v/>
      </c>
      <c r="B442" s="138" t="str">
        <f t="shared" si="37"/>
        <v/>
      </c>
      <c r="C442" s="93" t="str">
        <f t="array" ref="C442">IF(E442="","",IF(M442&lt;&gt;"",
M442&amp;"/"&amp;SUMPRODUCT((M$2:M442=M442)*1)&amp;" - "&amp;(ROW()-2),
"إداري/"&amp;SUMPRODUCT((M$2:M442="")*1)&amp;" - "&amp;(ROW()-2)))</f>
        <v/>
      </c>
      <c r="D442" s="141" t="str">
        <f>IF(AND(G442="",H442="",I442=""),"",IF(COUNTIFS(LISTS!$A$2:$A$67,G442,LISTS!$B$2:$B$67,H442,LISTS!$C$2:$C$67,I442)=0,"✗ هرم",IF(NOT(OR(Z442="ممتاز 100%",Z442="جيد 80%",Z442="مقبول 60%",Z442="خطر 40%",Z442="")),"✗ قائمة R",IF(NOT(OR(AA442="ممتاز 100%",AA442="جيد 85%",AA442="مقبول 70%",AA442="ضعيف 50%",AA442="")),"✗ قائمة S",IF(NOT(OR(AB442="مكتمل 100%",AB442="جزئي 60%",AB442="معلق 30%",AB442="مفتوح 0%",AB442="")),"✗ قائمة T",IF(NOT(OR(AC442="لا خصم 0",AC442="تأخير −5",AC442="عجز −10",AC442="جودة −15",AC442="امتثال −20",AC442="مخالفة −25",AC442="")),"✗ قائمة U",IF(AND(X442="لا",AC442&lt;&gt;"",AC442&lt;&gt;"لا خصم 0"),"✗ خصم",IF(AND(X442="نعم",AC442="لا خصم 0"),"✗ خصم",IF(AND(Z442="ممتاز 100%",AA442="ممتاز 100%",AB442&lt;&gt;"",AB442&lt;&gt;"مكتمل 100%"),"✗ إغلاق",IFERROR(IF(LEN(_xlfn.TEXTJOIN("، ",TRUE,IF(E442="","التاريخ",""),IF(F442="","الوقت",""),IF(G442="","المركز",""),IF(H442="","الدائرة",""),IF(I442="","القسم",""),IF(J442="","المسؤول",""),IF(K442="","نوع النشاط",""),IF(L442="","المشروع",""),IF(N442="","الممول",""),IF(V442="","الموضوع",""),IF(W442="","الملاحظة",""),IF(X442="","مشكلة",""),IF(Y442="","الإجراء",""),IF(Z442="","التنفيذ",""),IF(AA442="","الجودة",""),IF(AB442="","الإغلاق",""),IF(AC442="","الخصم",""),IF(AND(COUNTA($O442:$U442)&gt;0,O442=""),"مدير المشروع",""),IF(AND(COUNTA($O442:$U442)&gt;0,P442=""),"المستفيدين",""),IF(AND(COUNTA($O442:$U442)&gt;0,Q442=""),"المناطق",""),IF(AND(COUNTA($O442:$U442)&gt;0,R442=""),"الميزانية",""),IF(AND(COUNTA($O442:$U442)&gt;0,S442=""),"نسبة الجاهزية",""),IF(AND(COUNTA($O442:$U442)&gt;0,T442=""),"حالة الجاهزية",""),IF(AND(COUNTA($O442:$U442)&gt;0,U442=""),"التوصيات","")))&gt;0,"✗ ناقص: "&amp;_xlfn.TEXTJOIN("، ",TRUE,IF(E442="","التاريخ",""),IF(F442="","الوقت",""),IF(G442="","المركز",""),IF(H442="","الدائرة",""),IF(I442="","القسم",""),IF(J442="","المسؤول",""),IF(K442="","نوع النشاط",""),IF(L442="","المشروع",""),IF(N442="","الممول",""),IF(V442="","الموضوع",""),IF(W442="","الملاحظة",""),IF(X442="","مشكلة",""),IF(Y442="","الإجراء",""),IF(Z442="","التنفيذ",""),IF(AA442="","الجودة",""),IF(AB442="","الإغلاق",""),IF(AC442="","الخصم",""),IF(AND(COUNTA($O442:$U442)&gt;0,O442=""),"مدير المشروع",""),IF(AND(COUNTA($O442:$U442)&gt;0,P442=""),"المستفيدين",""),IF(AND(COUNTA($O442:$U442)&gt;0,Q442=""),"المناطق",""),IF(AND(COUNTA($O442:$U442)&gt;0,R442=""),"الميزانية",""),IF(AND(COUNTA($O442:$U442)&gt;0,S442=""),"نسبة الجاهزية",""),IF(AND(COUNTA($O442:$U442)&gt;0,T442=""),"حالة الجاهزية",""),IF(AND(COUNTA($O442:$U442)&gt;0,U442=""),"التوصيات","")),"✓"),"✓"))))))))))</f>
        <v/>
      </c>
      <c r="E442" s="235"/>
      <c r="F442" s="236"/>
      <c r="G442" s="90"/>
      <c r="H442" s="239"/>
      <c r="I442" s="89"/>
      <c r="J442" s="142"/>
      <c r="K442" s="90"/>
      <c r="L442" s="90"/>
      <c r="M442" s="90"/>
      <c r="N442" s="89"/>
      <c r="O442" s="200"/>
      <c r="P442" s="201"/>
      <c r="Q442" s="201"/>
      <c r="R442" s="237"/>
      <c r="S442" s="202"/>
      <c r="T442" s="200"/>
      <c r="U442" s="203"/>
      <c r="V442" s="89"/>
      <c r="W442" s="89"/>
      <c r="X442" s="145"/>
      <c r="Y442" s="89"/>
      <c r="Z442" s="90"/>
      <c r="AA442" s="90"/>
      <c r="AB442" s="90"/>
      <c r="AC442" s="90"/>
      <c r="AD442" s="92"/>
      <c r="AE442" s="149" t="str">
        <f>IFERROR(VLOOKUP(Z442,LISTS!$AL$2:$AM$1000,2,FALSE()),"")</f>
        <v/>
      </c>
      <c r="AF442" s="151" t="str">
        <f>IFERROR(VLOOKUP(AA442,LISTS!$AO$2:$AP$1000,2,FALSE()),"")</f>
        <v/>
      </c>
      <c r="AG442" s="152" t="str">
        <f>IFERROR(VLOOKUP(AB442,LISTS!$AR$2:$AS$1000,2,FALSE()),"")</f>
        <v/>
      </c>
      <c r="AH442" s="154" t="str">
        <f>IFERROR(VLOOKUP(AC442,LISTS!$AU$2:$AV$1000,2,FALSE()),"")</f>
        <v/>
      </c>
      <c r="AI442" s="238" t="str">
        <f t="shared" si="33"/>
        <v>—</v>
      </c>
      <c r="AJ442" s="190" t="str">
        <f t="shared" si="34"/>
        <v>—</v>
      </c>
      <c r="AK442" s="157" t="str">
        <f t="shared" si="35"/>
        <v/>
      </c>
      <c r="AL442" s="160" t="str">
        <f t="shared" si="36"/>
        <v/>
      </c>
      <c r="AM442" s="210"/>
      <c r="AN442" s="209"/>
    </row>
    <row r="443" spans="1:40" ht="27.95" customHeight="1">
      <c r="A443" s="134" t="str">
        <f>IF(I443&lt;&gt;"",COUNTA($I$2:I443),"")</f>
        <v/>
      </c>
      <c r="B443" s="138" t="str">
        <f t="shared" si="37"/>
        <v/>
      </c>
      <c r="C443" s="93" t="str">
        <f t="array" ref="C443">IF(E443="","",IF(M443&lt;&gt;"",
M443&amp;"/"&amp;SUMPRODUCT((M$2:M443=M443)*1)&amp;" - "&amp;(ROW()-2),
"إداري/"&amp;SUMPRODUCT((M$2:M443="")*1)&amp;" - "&amp;(ROW()-2)))</f>
        <v/>
      </c>
      <c r="D443" s="141" t="str">
        <f>IF(AND(G443="",H443="",I443=""),"",IF(COUNTIFS(LISTS!$A$2:$A$67,G443,LISTS!$B$2:$B$67,H443,LISTS!$C$2:$C$67,I443)=0,"✗ هرم",IF(NOT(OR(Z443="ممتاز 100%",Z443="جيد 80%",Z443="مقبول 60%",Z443="خطر 40%",Z443="")),"✗ قائمة R",IF(NOT(OR(AA443="ممتاز 100%",AA443="جيد 85%",AA443="مقبول 70%",AA443="ضعيف 50%",AA443="")),"✗ قائمة S",IF(NOT(OR(AB443="مكتمل 100%",AB443="جزئي 60%",AB443="معلق 30%",AB443="مفتوح 0%",AB443="")),"✗ قائمة T",IF(NOT(OR(AC443="لا خصم 0",AC443="تأخير −5",AC443="عجز −10",AC443="جودة −15",AC443="امتثال −20",AC443="مخالفة −25",AC443="")),"✗ قائمة U",IF(AND(X443="لا",AC443&lt;&gt;"",AC443&lt;&gt;"لا خصم 0"),"✗ خصم",IF(AND(X443="نعم",AC443="لا خصم 0"),"✗ خصم",IF(AND(Z443="ممتاز 100%",AA443="ممتاز 100%",AB443&lt;&gt;"",AB443&lt;&gt;"مكتمل 100%"),"✗ إغلاق",IFERROR(IF(LEN(_xlfn.TEXTJOIN("، ",TRUE,IF(E443="","التاريخ",""),IF(F443="","الوقت",""),IF(G443="","المركز",""),IF(H443="","الدائرة",""),IF(I443="","القسم",""),IF(J443="","المسؤول",""),IF(K443="","نوع النشاط",""),IF(L443="","المشروع",""),IF(N443="","الممول",""),IF(V443="","الموضوع",""),IF(W443="","الملاحظة",""),IF(X443="","مشكلة",""),IF(Y443="","الإجراء",""),IF(Z443="","التنفيذ",""),IF(AA443="","الجودة",""),IF(AB443="","الإغلاق",""),IF(AC443="","الخصم",""),IF(AND(COUNTA($O443:$U443)&gt;0,O443=""),"مدير المشروع",""),IF(AND(COUNTA($O443:$U443)&gt;0,P443=""),"المستفيدين",""),IF(AND(COUNTA($O443:$U443)&gt;0,Q443=""),"المناطق",""),IF(AND(COUNTA($O443:$U443)&gt;0,R443=""),"الميزانية",""),IF(AND(COUNTA($O443:$U443)&gt;0,S443=""),"نسبة الجاهزية",""),IF(AND(COUNTA($O443:$U443)&gt;0,T443=""),"حالة الجاهزية",""),IF(AND(COUNTA($O443:$U443)&gt;0,U443=""),"التوصيات","")))&gt;0,"✗ ناقص: "&amp;_xlfn.TEXTJOIN("، ",TRUE,IF(E443="","التاريخ",""),IF(F443="","الوقت",""),IF(G443="","المركز",""),IF(H443="","الدائرة",""),IF(I443="","القسم",""),IF(J443="","المسؤول",""),IF(K443="","نوع النشاط",""),IF(L443="","المشروع",""),IF(N443="","الممول",""),IF(V443="","الموضوع",""),IF(W443="","الملاحظة",""),IF(X443="","مشكلة",""),IF(Y443="","الإجراء",""),IF(Z443="","التنفيذ",""),IF(AA443="","الجودة",""),IF(AB443="","الإغلاق",""),IF(AC443="","الخصم",""),IF(AND(COUNTA($O443:$U443)&gt;0,O443=""),"مدير المشروع",""),IF(AND(COUNTA($O443:$U443)&gt;0,P443=""),"المستفيدين",""),IF(AND(COUNTA($O443:$U443)&gt;0,Q443=""),"المناطق",""),IF(AND(COUNTA($O443:$U443)&gt;0,R443=""),"الميزانية",""),IF(AND(COUNTA($O443:$U443)&gt;0,S443=""),"نسبة الجاهزية",""),IF(AND(COUNTA($O443:$U443)&gt;0,T443=""),"حالة الجاهزية",""),IF(AND(COUNTA($O443:$U443)&gt;0,U443=""),"التوصيات","")),"✓"),"✓"))))))))))</f>
        <v/>
      </c>
      <c r="E443" s="235"/>
      <c r="F443" s="236"/>
      <c r="G443" s="90"/>
      <c r="H443" s="239"/>
      <c r="I443" s="89"/>
      <c r="J443" s="142"/>
      <c r="K443" s="90"/>
      <c r="L443" s="90"/>
      <c r="M443" s="90"/>
      <c r="N443" s="89"/>
      <c r="O443" s="200"/>
      <c r="P443" s="201"/>
      <c r="Q443" s="201"/>
      <c r="R443" s="237"/>
      <c r="S443" s="202"/>
      <c r="T443" s="200"/>
      <c r="U443" s="203"/>
      <c r="V443" s="89"/>
      <c r="W443" s="89"/>
      <c r="X443" s="145"/>
      <c r="Y443" s="89"/>
      <c r="Z443" s="90"/>
      <c r="AA443" s="90"/>
      <c r="AB443" s="90"/>
      <c r="AC443" s="90"/>
      <c r="AD443" s="92"/>
      <c r="AE443" s="149" t="str">
        <f>IFERROR(VLOOKUP(Z443,LISTS!$AL$2:$AM$1000,2,FALSE()),"")</f>
        <v/>
      </c>
      <c r="AF443" s="151" t="str">
        <f>IFERROR(VLOOKUP(AA443,LISTS!$AO$2:$AP$1000,2,FALSE()),"")</f>
        <v/>
      </c>
      <c r="AG443" s="152" t="str">
        <f>IFERROR(VLOOKUP(AB443,LISTS!$AR$2:$AS$1000,2,FALSE()),"")</f>
        <v/>
      </c>
      <c r="AH443" s="154" t="str">
        <f>IFERROR(VLOOKUP(AC443,LISTS!$AU$2:$AV$1000,2,FALSE()),"")</f>
        <v/>
      </c>
      <c r="AI443" s="238" t="str">
        <f t="shared" si="33"/>
        <v>—</v>
      </c>
      <c r="AJ443" s="190" t="str">
        <f t="shared" si="34"/>
        <v>—</v>
      </c>
      <c r="AK443" s="157" t="str">
        <f t="shared" si="35"/>
        <v/>
      </c>
      <c r="AL443" s="160" t="str">
        <f t="shared" si="36"/>
        <v/>
      </c>
      <c r="AM443" s="210"/>
      <c r="AN443" s="209"/>
    </row>
    <row r="444" spans="1:40" ht="27.95" customHeight="1">
      <c r="A444" s="134" t="str">
        <f>IF(I444&lt;&gt;"",COUNTA($I$2:I444),"")</f>
        <v/>
      </c>
      <c r="B444" s="138" t="str">
        <f t="shared" si="37"/>
        <v/>
      </c>
      <c r="C444" s="93" t="str">
        <f t="array" ref="C444">IF(E444="","",IF(M444&lt;&gt;"",
M444&amp;"/"&amp;SUMPRODUCT((M$2:M444=M444)*1)&amp;" - "&amp;(ROW()-2),
"إداري/"&amp;SUMPRODUCT((M$2:M444="")*1)&amp;" - "&amp;(ROW()-2)))</f>
        <v/>
      </c>
      <c r="D444" s="141" t="str">
        <f>IF(AND(G444="",H444="",I444=""),"",IF(COUNTIFS(LISTS!$A$2:$A$67,G444,LISTS!$B$2:$B$67,H444,LISTS!$C$2:$C$67,I444)=0,"✗ هرم",IF(NOT(OR(Z444="ممتاز 100%",Z444="جيد 80%",Z444="مقبول 60%",Z444="خطر 40%",Z444="")),"✗ قائمة R",IF(NOT(OR(AA444="ممتاز 100%",AA444="جيد 85%",AA444="مقبول 70%",AA444="ضعيف 50%",AA444="")),"✗ قائمة S",IF(NOT(OR(AB444="مكتمل 100%",AB444="جزئي 60%",AB444="معلق 30%",AB444="مفتوح 0%",AB444="")),"✗ قائمة T",IF(NOT(OR(AC444="لا خصم 0",AC444="تأخير −5",AC444="عجز −10",AC444="جودة −15",AC444="امتثال −20",AC444="مخالفة −25",AC444="")),"✗ قائمة U",IF(AND(X444="لا",AC444&lt;&gt;"",AC444&lt;&gt;"لا خصم 0"),"✗ خصم",IF(AND(X444="نعم",AC444="لا خصم 0"),"✗ خصم",IF(AND(Z444="ممتاز 100%",AA444="ممتاز 100%",AB444&lt;&gt;"",AB444&lt;&gt;"مكتمل 100%"),"✗ إغلاق",IFERROR(IF(LEN(_xlfn.TEXTJOIN("، ",TRUE,IF(E444="","التاريخ",""),IF(F444="","الوقت",""),IF(G444="","المركز",""),IF(H444="","الدائرة",""),IF(I444="","القسم",""),IF(J444="","المسؤول",""),IF(K444="","نوع النشاط",""),IF(L444="","المشروع",""),IF(N444="","الممول",""),IF(V444="","الموضوع",""),IF(W444="","الملاحظة",""),IF(X444="","مشكلة",""),IF(Y444="","الإجراء",""),IF(Z444="","التنفيذ",""),IF(AA444="","الجودة",""),IF(AB444="","الإغلاق",""),IF(AC444="","الخصم",""),IF(AND(COUNTA($O444:$U444)&gt;0,O444=""),"مدير المشروع",""),IF(AND(COUNTA($O444:$U444)&gt;0,P444=""),"المستفيدين",""),IF(AND(COUNTA($O444:$U444)&gt;0,Q444=""),"المناطق",""),IF(AND(COUNTA($O444:$U444)&gt;0,R444=""),"الميزانية",""),IF(AND(COUNTA($O444:$U444)&gt;0,S444=""),"نسبة الجاهزية",""),IF(AND(COUNTA($O444:$U444)&gt;0,T444=""),"حالة الجاهزية",""),IF(AND(COUNTA($O444:$U444)&gt;0,U444=""),"التوصيات","")))&gt;0,"✗ ناقص: "&amp;_xlfn.TEXTJOIN("، ",TRUE,IF(E444="","التاريخ",""),IF(F444="","الوقت",""),IF(G444="","المركز",""),IF(H444="","الدائرة",""),IF(I444="","القسم",""),IF(J444="","المسؤول",""),IF(K444="","نوع النشاط",""),IF(L444="","المشروع",""),IF(N444="","الممول",""),IF(V444="","الموضوع",""),IF(W444="","الملاحظة",""),IF(X444="","مشكلة",""),IF(Y444="","الإجراء",""),IF(Z444="","التنفيذ",""),IF(AA444="","الجودة",""),IF(AB444="","الإغلاق",""),IF(AC444="","الخصم",""),IF(AND(COUNTA($O444:$U444)&gt;0,O444=""),"مدير المشروع",""),IF(AND(COUNTA($O444:$U444)&gt;0,P444=""),"المستفيدين",""),IF(AND(COUNTA($O444:$U444)&gt;0,Q444=""),"المناطق",""),IF(AND(COUNTA($O444:$U444)&gt;0,R444=""),"الميزانية",""),IF(AND(COUNTA($O444:$U444)&gt;0,S444=""),"نسبة الجاهزية",""),IF(AND(COUNTA($O444:$U444)&gt;0,T444=""),"حالة الجاهزية",""),IF(AND(COUNTA($O444:$U444)&gt;0,U444=""),"التوصيات","")),"✓"),"✓"))))))))))</f>
        <v/>
      </c>
      <c r="E444" s="235"/>
      <c r="F444" s="236"/>
      <c r="G444" s="90"/>
      <c r="H444" s="239"/>
      <c r="I444" s="89"/>
      <c r="J444" s="142"/>
      <c r="K444" s="90"/>
      <c r="L444" s="90"/>
      <c r="M444" s="90"/>
      <c r="N444" s="89"/>
      <c r="O444" s="200"/>
      <c r="P444" s="201"/>
      <c r="Q444" s="201"/>
      <c r="R444" s="237"/>
      <c r="S444" s="202"/>
      <c r="T444" s="200"/>
      <c r="U444" s="203"/>
      <c r="V444" s="89"/>
      <c r="W444" s="89"/>
      <c r="X444" s="145"/>
      <c r="Y444" s="89"/>
      <c r="Z444" s="90"/>
      <c r="AA444" s="90"/>
      <c r="AB444" s="90"/>
      <c r="AC444" s="90"/>
      <c r="AD444" s="92"/>
      <c r="AE444" s="149" t="str">
        <f>IFERROR(VLOOKUP(Z444,LISTS!$AL$2:$AM$1000,2,FALSE()),"")</f>
        <v/>
      </c>
      <c r="AF444" s="151" t="str">
        <f>IFERROR(VLOOKUP(AA444,LISTS!$AO$2:$AP$1000,2,FALSE()),"")</f>
        <v/>
      </c>
      <c r="AG444" s="152" t="str">
        <f>IFERROR(VLOOKUP(AB444,LISTS!$AR$2:$AS$1000,2,FALSE()),"")</f>
        <v/>
      </c>
      <c r="AH444" s="154" t="str">
        <f>IFERROR(VLOOKUP(AC444,LISTS!$AU$2:$AV$1000,2,FALSE()),"")</f>
        <v/>
      </c>
      <c r="AI444" s="238" t="str">
        <f t="shared" si="33"/>
        <v>—</v>
      </c>
      <c r="AJ444" s="190" t="str">
        <f t="shared" si="34"/>
        <v>—</v>
      </c>
      <c r="AK444" s="157" t="str">
        <f t="shared" si="35"/>
        <v/>
      </c>
      <c r="AL444" s="160" t="str">
        <f t="shared" si="36"/>
        <v/>
      </c>
      <c r="AM444" s="210"/>
      <c r="AN444" s="209"/>
    </row>
    <row r="445" spans="1:40" ht="27.95" customHeight="1">
      <c r="A445" s="134" t="str">
        <f>IF(I445&lt;&gt;"",COUNTA($I$2:I445),"")</f>
        <v/>
      </c>
      <c r="B445" s="138" t="str">
        <f t="shared" si="37"/>
        <v/>
      </c>
      <c r="C445" s="93" t="str">
        <f t="array" ref="C445">IF(E445="","",IF(M445&lt;&gt;"",
M445&amp;"/"&amp;SUMPRODUCT((M$2:M445=M445)*1)&amp;" - "&amp;(ROW()-2),
"إداري/"&amp;SUMPRODUCT((M$2:M445="")*1)&amp;" - "&amp;(ROW()-2)))</f>
        <v/>
      </c>
      <c r="D445" s="141" t="str">
        <f>IF(AND(G445="",H445="",I445=""),"",IF(COUNTIFS(LISTS!$A$2:$A$67,G445,LISTS!$B$2:$B$67,H445,LISTS!$C$2:$C$67,I445)=0,"✗ هرم",IF(NOT(OR(Z445="ممتاز 100%",Z445="جيد 80%",Z445="مقبول 60%",Z445="خطر 40%",Z445="")),"✗ قائمة R",IF(NOT(OR(AA445="ممتاز 100%",AA445="جيد 85%",AA445="مقبول 70%",AA445="ضعيف 50%",AA445="")),"✗ قائمة S",IF(NOT(OR(AB445="مكتمل 100%",AB445="جزئي 60%",AB445="معلق 30%",AB445="مفتوح 0%",AB445="")),"✗ قائمة T",IF(NOT(OR(AC445="لا خصم 0",AC445="تأخير −5",AC445="عجز −10",AC445="جودة −15",AC445="امتثال −20",AC445="مخالفة −25",AC445="")),"✗ قائمة U",IF(AND(X445="لا",AC445&lt;&gt;"",AC445&lt;&gt;"لا خصم 0"),"✗ خصم",IF(AND(X445="نعم",AC445="لا خصم 0"),"✗ خصم",IF(AND(Z445="ممتاز 100%",AA445="ممتاز 100%",AB445&lt;&gt;"",AB445&lt;&gt;"مكتمل 100%"),"✗ إغلاق",IFERROR(IF(LEN(_xlfn.TEXTJOIN("، ",TRUE,IF(E445="","التاريخ",""),IF(F445="","الوقت",""),IF(G445="","المركز",""),IF(H445="","الدائرة",""),IF(I445="","القسم",""),IF(J445="","المسؤول",""),IF(K445="","نوع النشاط",""),IF(L445="","المشروع",""),IF(N445="","الممول",""),IF(V445="","الموضوع",""),IF(W445="","الملاحظة",""),IF(X445="","مشكلة",""),IF(Y445="","الإجراء",""),IF(Z445="","التنفيذ",""),IF(AA445="","الجودة",""),IF(AB445="","الإغلاق",""),IF(AC445="","الخصم",""),IF(AND(COUNTA($O445:$U445)&gt;0,O445=""),"مدير المشروع",""),IF(AND(COUNTA($O445:$U445)&gt;0,P445=""),"المستفيدين",""),IF(AND(COUNTA($O445:$U445)&gt;0,Q445=""),"المناطق",""),IF(AND(COUNTA($O445:$U445)&gt;0,R445=""),"الميزانية",""),IF(AND(COUNTA($O445:$U445)&gt;0,S445=""),"نسبة الجاهزية",""),IF(AND(COUNTA($O445:$U445)&gt;0,T445=""),"حالة الجاهزية",""),IF(AND(COUNTA($O445:$U445)&gt;0,U445=""),"التوصيات","")))&gt;0,"✗ ناقص: "&amp;_xlfn.TEXTJOIN("، ",TRUE,IF(E445="","التاريخ",""),IF(F445="","الوقت",""),IF(G445="","المركز",""),IF(H445="","الدائرة",""),IF(I445="","القسم",""),IF(J445="","المسؤول",""),IF(K445="","نوع النشاط",""),IF(L445="","المشروع",""),IF(N445="","الممول",""),IF(V445="","الموضوع",""),IF(W445="","الملاحظة",""),IF(X445="","مشكلة",""),IF(Y445="","الإجراء",""),IF(Z445="","التنفيذ",""),IF(AA445="","الجودة",""),IF(AB445="","الإغلاق",""),IF(AC445="","الخصم",""),IF(AND(COUNTA($O445:$U445)&gt;0,O445=""),"مدير المشروع",""),IF(AND(COUNTA($O445:$U445)&gt;0,P445=""),"المستفيدين",""),IF(AND(COUNTA($O445:$U445)&gt;0,Q445=""),"المناطق",""),IF(AND(COUNTA($O445:$U445)&gt;0,R445=""),"الميزانية",""),IF(AND(COUNTA($O445:$U445)&gt;0,S445=""),"نسبة الجاهزية",""),IF(AND(COUNTA($O445:$U445)&gt;0,T445=""),"حالة الجاهزية",""),IF(AND(COUNTA($O445:$U445)&gt;0,U445=""),"التوصيات","")),"✓"),"✓"))))))))))</f>
        <v/>
      </c>
      <c r="E445" s="235"/>
      <c r="F445" s="236"/>
      <c r="G445" s="90"/>
      <c r="H445" s="239"/>
      <c r="I445" s="89"/>
      <c r="J445" s="142"/>
      <c r="K445" s="90"/>
      <c r="L445" s="90"/>
      <c r="M445" s="90"/>
      <c r="N445" s="89"/>
      <c r="O445" s="200"/>
      <c r="P445" s="201"/>
      <c r="Q445" s="201"/>
      <c r="R445" s="237"/>
      <c r="S445" s="202"/>
      <c r="T445" s="200"/>
      <c r="U445" s="203"/>
      <c r="V445" s="89"/>
      <c r="W445" s="89"/>
      <c r="X445" s="145"/>
      <c r="Y445" s="89"/>
      <c r="Z445" s="90"/>
      <c r="AA445" s="90"/>
      <c r="AB445" s="90"/>
      <c r="AC445" s="90"/>
      <c r="AD445" s="92"/>
      <c r="AE445" s="149" t="str">
        <f>IFERROR(VLOOKUP(Z445,LISTS!$AL$2:$AM$1000,2,FALSE()),"")</f>
        <v/>
      </c>
      <c r="AF445" s="151" t="str">
        <f>IFERROR(VLOOKUP(AA445,LISTS!$AO$2:$AP$1000,2,FALSE()),"")</f>
        <v/>
      </c>
      <c r="AG445" s="152" t="str">
        <f>IFERROR(VLOOKUP(AB445,LISTS!$AR$2:$AS$1000,2,FALSE()),"")</f>
        <v/>
      </c>
      <c r="AH445" s="154" t="str">
        <f>IFERROR(VLOOKUP(AC445,LISTS!$AU$2:$AV$1000,2,FALSE()),"")</f>
        <v/>
      </c>
      <c r="AI445" s="238" t="str">
        <f t="shared" si="33"/>
        <v>—</v>
      </c>
      <c r="AJ445" s="190" t="str">
        <f t="shared" si="34"/>
        <v>—</v>
      </c>
      <c r="AK445" s="157" t="str">
        <f t="shared" si="35"/>
        <v/>
      </c>
      <c r="AL445" s="160" t="str">
        <f t="shared" si="36"/>
        <v/>
      </c>
      <c r="AM445" s="210"/>
      <c r="AN445" s="209"/>
    </row>
    <row r="446" spans="1:40" ht="27.95" customHeight="1">
      <c r="A446" s="134" t="str">
        <f>IF(I446&lt;&gt;"",COUNTA($I$2:I446),"")</f>
        <v/>
      </c>
      <c r="B446" s="138" t="str">
        <f t="shared" si="37"/>
        <v/>
      </c>
      <c r="C446" s="93" t="str">
        <f t="array" ref="C446">IF(E446="","",IF(M446&lt;&gt;"",
M446&amp;"/"&amp;SUMPRODUCT((M$2:M446=M446)*1)&amp;" - "&amp;(ROW()-2),
"إداري/"&amp;SUMPRODUCT((M$2:M446="")*1)&amp;" - "&amp;(ROW()-2)))</f>
        <v/>
      </c>
      <c r="D446" s="141" t="str">
        <f>IF(AND(G446="",H446="",I446=""),"",IF(COUNTIFS(LISTS!$A$2:$A$67,G446,LISTS!$B$2:$B$67,H446,LISTS!$C$2:$C$67,I446)=0,"✗ هرم",IF(NOT(OR(Z446="ممتاز 100%",Z446="جيد 80%",Z446="مقبول 60%",Z446="خطر 40%",Z446="")),"✗ قائمة R",IF(NOT(OR(AA446="ممتاز 100%",AA446="جيد 85%",AA446="مقبول 70%",AA446="ضعيف 50%",AA446="")),"✗ قائمة S",IF(NOT(OR(AB446="مكتمل 100%",AB446="جزئي 60%",AB446="معلق 30%",AB446="مفتوح 0%",AB446="")),"✗ قائمة T",IF(NOT(OR(AC446="لا خصم 0",AC446="تأخير −5",AC446="عجز −10",AC446="جودة −15",AC446="امتثال −20",AC446="مخالفة −25",AC446="")),"✗ قائمة U",IF(AND(X446="لا",AC446&lt;&gt;"",AC446&lt;&gt;"لا خصم 0"),"✗ خصم",IF(AND(X446="نعم",AC446="لا خصم 0"),"✗ خصم",IF(AND(Z446="ممتاز 100%",AA446="ممتاز 100%",AB446&lt;&gt;"",AB446&lt;&gt;"مكتمل 100%"),"✗ إغلاق",IFERROR(IF(LEN(_xlfn.TEXTJOIN("، ",TRUE,IF(E446="","التاريخ",""),IF(F446="","الوقت",""),IF(G446="","المركز",""),IF(H446="","الدائرة",""),IF(I446="","القسم",""),IF(J446="","المسؤول",""),IF(K446="","نوع النشاط",""),IF(L446="","المشروع",""),IF(N446="","الممول",""),IF(V446="","الموضوع",""),IF(W446="","الملاحظة",""),IF(X446="","مشكلة",""),IF(Y446="","الإجراء",""),IF(Z446="","التنفيذ",""),IF(AA446="","الجودة",""),IF(AB446="","الإغلاق",""),IF(AC446="","الخصم",""),IF(AND(COUNTA($O446:$U446)&gt;0,O446=""),"مدير المشروع",""),IF(AND(COUNTA($O446:$U446)&gt;0,P446=""),"المستفيدين",""),IF(AND(COUNTA($O446:$U446)&gt;0,Q446=""),"المناطق",""),IF(AND(COUNTA($O446:$U446)&gt;0,R446=""),"الميزانية",""),IF(AND(COUNTA($O446:$U446)&gt;0,S446=""),"نسبة الجاهزية",""),IF(AND(COUNTA($O446:$U446)&gt;0,T446=""),"حالة الجاهزية",""),IF(AND(COUNTA($O446:$U446)&gt;0,U446=""),"التوصيات","")))&gt;0,"✗ ناقص: "&amp;_xlfn.TEXTJOIN("، ",TRUE,IF(E446="","التاريخ",""),IF(F446="","الوقت",""),IF(G446="","المركز",""),IF(H446="","الدائرة",""),IF(I446="","القسم",""),IF(J446="","المسؤول",""),IF(K446="","نوع النشاط",""),IF(L446="","المشروع",""),IF(N446="","الممول",""),IF(V446="","الموضوع",""),IF(W446="","الملاحظة",""),IF(X446="","مشكلة",""),IF(Y446="","الإجراء",""),IF(Z446="","التنفيذ",""),IF(AA446="","الجودة",""),IF(AB446="","الإغلاق",""),IF(AC446="","الخصم",""),IF(AND(COUNTA($O446:$U446)&gt;0,O446=""),"مدير المشروع",""),IF(AND(COUNTA($O446:$U446)&gt;0,P446=""),"المستفيدين",""),IF(AND(COUNTA($O446:$U446)&gt;0,Q446=""),"المناطق",""),IF(AND(COUNTA($O446:$U446)&gt;0,R446=""),"الميزانية",""),IF(AND(COUNTA($O446:$U446)&gt;0,S446=""),"نسبة الجاهزية",""),IF(AND(COUNTA($O446:$U446)&gt;0,T446=""),"حالة الجاهزية",""),IF(AND(COUNTA($O446:$U446)&gt;0,U446=""),"التوصيات","")),"✓"),"✓"))))))))))</f>
        <v/>
      </c>
      <c r="E446" s="235"/>
      <c r="F446" s="236"/>
      <c r="G446" s="90"/>
      <c r="H446" s="239"/>
      <c r="I446" s="89"/>
      <c r="J446" s="142"/>
      <c r="K446" s="90"/>
      <c r="L446" s="90"/>
      <c r="M446" s="90"/>
      <c r="N446" s="89"/>
      <c r="O446" s="200"/>
      <c r="P446" s="201"/>
      <c r="Q446" s="201"/>
      <c r="R446" s="237"/>
      <c r="S446" s="202"/>
      <c r="T446" s="200"/>
      <c r="U446" s="203"/>
      <c r="V446" s="89"/>
      <c r="W446" s="89"/>
      <c r="X446" s="145"/>
      <c r="Y446" s="89"/>
      <c r="Z446" s="90"/>
      <c r="AA446" s="90"/>
      <c r="AB446" s="90"/>
      <c r="AC446" s="90"/>
      <c r="AD446" s="92"/>
      <c r="AE446" s="149" t="str">
        <f>IFERROR(VLOOKUP(Z446,LISTS!$AL$2:$AM$1000,2,FALSE()),"")</f>
        <v/>
      </c>
      <c r="AF446" s="151" t="str">
        <f>IFERROR(VLOOKUP(AA446,LISTS!$AO$2:$AP$1000,2,FALSE()),"")</f>
        <v/>
      </c>
      <c r="AG446" s="152" t="str">
        <f>IFERROR(VLOOKUP(AB446,LISTS!$AR$2:$AS$1000,2,FALSE()),"")</f>
        <v/>
      </c>
      <c r="AH446" s="154" t="str">
        <f>IFERROR(VLOOKUP(AC446,LISTS!$AU$2:$AV$1000,2,FALSE()),"")</f>
        <v/>
      </c>
      <c r="AI446" s="238" t="str">
        <f t="shared" si="33"/>
        <v>—</v>
      </c>
      <c r="AJ446" s="190" t="str">
        <f t="shared" si="34"/>
        <v>—</v>
      </c>
      <c r="AK446" s="157" t="str">
        <f t="shared" si="35"/>
        <v/>
      </c>
      <c r="AL446" s="160" t="str">
        <f t="shared" si="36"/>
        <v/>
      </c>
      <c r="AM446" s="210"/>
      <c r="AN446" s="209"/>
    </row>
    <row r="447" spans="1:40" ht="27.95" customHeight="1">
      <c r="A447" s="134" t="str">
        <f>IF(I447&lt;&gt;"",COUNTA($I$2:I447),"")</f>
        <v/>
      </c>
      <c r="B447" s="138" t="str">
        <f t="shared" si="37"/>
        <v/>
      </c>
      <c r="C447" s="93" t="str">
        <f t="array" ref="C447">IF(E447="","",IF(M447&lt;&gt;"",
M447&amp;"/"&amp;SUMPRODUCT((M$2:M447=M447)*1)&amp;" - "&amp;(ROW()-2),
"إداري/"&amp;SUMPRODUCT((M$2:M447="")*1)&amp;" - "&amp;(ROW()-2)))</f>
        <v/>
      </c>
      <c r="D447" s="141" t="str">
        <f>IF(AND(G447="",H447="",I447=""),"",IF(COUNTIFS(LISTS!$A$2:$A$67,G447,LISTS!$B$2:$B$67,H447,LISTS!$C$2:$C$67,I447)=0,"✗ هرم",IF(NOT(OR(Z447="ممتاز 100%",Z447="جيد 80%",Z447="مقبول 60%",Z447="خطر 40%",Z447="")),"✗ قائمة R",IF(NOT(OR(AA447="ممتاز 100%",AA447="جيد 85%",AA447="مقبول 70%",AA447="ضعيف 50%",AA447="")),"✗ قائمة S",IF(NOT(OR(AB447="مكتمل 100%",AB447="جزئي 60%",AB447="معلق 30%",AB447="مفتوح 0%",AB447="")),"✗ قائمة T",IF(NOT(OR(AC447="لا خصم 0",AC447="تأخير −5",AC447="عجز −10",AC447="جودة −15",AC447="امتثال −20",AC447="مخالفة −25",AC447="")),"✗ قائمة U",IF(AND(X447="لا",AC447&lt;&gt;"",AC447&lt;&gt;"لا خصم 0"),"✗ خصم",IF(AND(X447="نعم",AC447="لا خصم 0"),"✗ خصم",IF(AND(Z447="ممتاز 100%",AA447="ممتاز 100%",AB447&lt;&gt;"",AB447&lt;&gt;"مكتمل 100%"),"✗ إغلاق",IFERROR(IF(LEN(_xlfn.TEXTJOIN("، ",TRUE,IF(E447="","التاريخ",""),IF(F447="","الوقت",""),IF(G447="","المركز",""),IF(H447="","الدائرة",""),IF(I447="","القسم",""),IF(J447="","المسؤول",""),IF(K447="","نوع النشاط",""),IF(L447="","المشروع",""),IF(N447="","الممول",""),IF(V447="","الموضوع",""),IF(W447="","الملاحظة",""),IF(X447="","مشكلة",""),IF(Y447="","الإجراء",""),IF(Z447="","التنفيذ",""),IF(AA447="","الجودة",""),IF(AB447="","الإغلاق",""),IF(AC447="","الخصم",""),IF(AND(COUNTA($O447:$U447)&gt;0,O447=""),"مدير المشروع",""),IF(AND(COUNTA($O447:$U447)&gt;0,P447=""),"المستفيدين",""),IF(AND(COUNTA($O447:$U447)&gt;0,Q447=""),"المناطق",""),IF(AND(COUNTA($O447:$U447)&gt;0,R447=""),"الميزانية",""),IF(AND(COUNTA($O447:$U447)&gt;0,S447=""),"نسبة الجاهزية",""),IF(AND(COUNTA($O447:$U447)&gt;0,T447=""),"حالة الجاهزية",""),IF(AND(COUNTA($O447:$U447)&gt;0,U447=""),"التوصيات","")))&gt;0,"✗ ناقص: "&amp;_xlfn.TEXTJOIN("، ",TRUE,IF(E447="","التاريخ",""),IF(F447="","الوقت",""),IF(G447="","المركز",""),IF(H447="","الدائرة",""),IF(I447="","القسم",""),IF(J447="","المسؤول",""),IF(K447="","نوع النشاط",""),IF(L447="","المشروع",""),IF(N447="","الممول",""),IF(V447="","الموضوع",""),IF(W447="","الملاحظة",""),IF(X447="","مشكلة",""),IF(Y447="","الإجراء",""),IF(Z447="","التنفيذ",""),IF(AA447="","الجودة",""),IF(AB447="","الإغلاق",""),IF(AC447="","الخصم",""),IF(AND(COUNTA($O447:$U447)&gt;0,O447=""),"مدير المشروع",""),IF(AND(COUNTA($O447:$U447)&gt;0,P447=""),"المستفيدين",""),IF(AND(COUNTA($O447:$U447)&gt;0,Q447=""),"المناطق",""),IF(AND(COUNTA($O447:$U447)&gt;0,R447=""),"الميزانية",""),IF(AND(COUNTA($O447:$U447)&gt;0,S447=""),"نسبة الجاهزية",""),IF(AND(COUNTA($O447:$U447)&gt;0,T447=""),"حالة الجاهزية",""),IF(AND(COUNTA($O447:$U447)&gt;0,U447=""),"التوصيات","")),"✓"),"✓"))))))))))</f>
        <v/>
      </c>
      <c r="E447" s="235"/>
      <c r="F447" s="236"/>
      <c r="G447" s="90"/>
      <c r="H447" s="239"/>
      <c r="I447" s="89"/>
      <c r="J447" s="142"/>
      <c r="K447" s="90"/>
      <c r="L447" s="90"/>
      <c r="M447" s="90"/>
      <c r="N447" s="89"/>
      <c r="O447" s="200"/>
      <c r="P447" s="201"/>
      <c r="Q447" s="201"/>
      <c r="R447" s="237"/>
      <c r="S447" s="202"/>
      <c r="T447" s="200"/>
      <c r="U447" s="203"/>
      <c r="V447" s="89"/>
      <c r="W447" s="89"/>
      <c r="X447" s="145"/>
      <c r="Y447" s="89"/>
      <c r="Z447" s="90"/>
      <c r="AA447" s="90"/>
      <c r="AB447" s="90"/>
      <c r="AC447" s="90"/>
      <c r="AD447" s="92"/>
      <c r="AE447" s="149" t="str">
        <f>IFERROR(VLOOKUP(Z447,LISTS!$AL$2:$AM$1000,2,FALSE()),"")</f>
        <v/>
      </c>
      <c r="AF447" s="151" t="str">
        <f>IFERROR(VLOOKUP(AA447,LISTS!$AO$2:$AP$1000,2,FALSE()),"")</f>
        <v/>
      </c>
      <c r="AG447" s="152" t="str">
        <f>IFERROR(VLOOKUP(AB447,LISTS!$AR$2:$AS$1000,2,FALSE()),"")</f>
        <v/>
      </c>
      <c r="AH447" s="154" t="str">
        <f>IFERROR(VLOOKUP(AC447,LISTS!$AU$2:$AV$1000,2,FALSE()),"")</f>
        <v/>
      </c>
      <c r="AI447" s="238" t="str">
        <f t="shared" si="33"/>
        <v>—</v>
      </c>
      <c r="AJ447" s="190" t="str">
        <f t="shared" si="34"/>
        <v>—</v>
      </c>
      <c r="AK447" s="157" t="str">
        <f t="shared" si="35"/>
        <v/>
      </c>
      <c r="AL447" s="160" t="str">
        <f t="shared" si="36"/>
        <v/>
      </c>
      <c r="AM447" s="210"/>
      <c r="AN447" s="209"/>
    </row>
    <row r="448" spans="1:40" ht="27.95" customHeight="1">
      <c r="A448" s="134" t="str">
        <f>IF(I448&lt;&gt;"",COUNTA($I$2:I448),"")</f>
        <v/>
      </c>
      <c r="B448" s="138" t="str">
        <f t="shared" si="37"/>
        <v/>
      </c>
      <c r="C448" s="93" t="str">
        <f t="array" ref="C448">IF(E448="","",IF(M448&lt;&gt;"",
M448&amp;"/"&amp;SUMPRODUCT((M$2:M448=M448)*1)&amp;" - "&amp;(ROW()-2),
"إداري/"&amp;SUMPRODUCT((M$2:M448="")*1)&amp;" - "&amp;(ROW()-2)))</f>
        <v/>
      </c>
      <c r="D448" s="141" t="str">
        <f>IF(AND(G448="",H448="",I448=""),"",IF(COUNTIFS(LISTS!$A$2:$A$67,G448,LISTS!$B$2:$B$67,H448,LISTS!$C$2:$C$67,I448)=0,"✗ هرم",IF(NOT(OR(Z448="ممتاز 100%",Z448="جيد 80%",Z448="مقبول 60%",Z448="خطر 40%",Z448="")),"✗ قائمة R",IF(NOT(OR(AA448="ممتاز 100%",AA448="جيد 85%",AA448="مقبول 70%",AA448="ضعيف 50%",AA448="")),"✗ قائمة S",IF(NOT(OR(AB448="مكتمل 100%",AB448="جزئي 60%",AB448="معلق 30%",AB448="مفتوح 0%",AB448="")),"✗ قائمة T",IF(NOT(OR(AC448="لا خصم 0",AC448="تأخير −5",AC448="عجز −10",AC448="جودة −15",AC448="امتثال −20",AC448="مخالفة −25",AC448="")),"✗ قائمة U",IF(AND(X448="لا",AC448&lt;&gt;"",AC448&lt;&gt;"لا خصم 0"),"✗ خصم",IF(AND(X448="نعم",AC448="لا خصم 0"),"✗ خصم",IF(AND(Z448="ممتاز 100%",AA448="ممتاز 100%",AB448&lt;&gt;"",AB448&lt;&gt;"مكتمل 100%"),"✗ إغلاق",IFERROR(IF(LEN(_xlfn.TEXTJOIN("، ",TRUE,IF(E448="","التاريخ",""),IF(F448="","الوقت",""),IF(G448="","المركز",""),IF(H448="","الدائرة",""),IF(I448="","القسم",""),IF(J448="","المسؤول",""),IF(K448="","نوع النشاط",""),IF(L448="","المشروع",""),IF(N448="","الممول",""),IF(V448="","الموضوع",""),IF(W448="","الملاحظة",""),IF(X448="","مشكلة",""),IF(Y448="","الإجراء",""),IF(Z448="","التنفيذ",""),IF(AA448="","الجودة",""),IF(AB448="","الإغلاق",""),IF(AC448="","الخصم",""),IF(AND(COUNTA($O448:$U448)&gt;0,O448=""),"مدير المشروع",""),IF(AND(COUNTA($O448:$U448)&gt;0,P448=""),"المستفيدين",""),IF(AND(COUNTA($O448:$U448)&gt;0,Q448=""),"المناطق",""),IF(AND(COUNTA($O448:$U448)&gt;0,R448=""),"الميزانية",""),IF(AND(COUNTA($O448:$U448)&gt;0,S448=""),"نسبة الجاهزية",""),IF(AND(COUNTA($O448:$U448)&gt;0,T448=""),"حالة الجاهزية",""),IF(AND(COUNTA($O448:$U448)&gt;0,U448=""),"التوصيات","")))&gt;0,"✗ ناقص: "&amp;_xlfn.TEXTJOIN("، ",TRUE,IF(E448="","التاريخ",""),IF(F448="","الوقت",""),IF(G448="","المركز",""),IF(H448="","الدائرة",""),IF(I448="","القسم",""),IF(J448="","المسؤول",""),IF(K448="","نوع النشاط",""),IF(L448="","المشروع",""),IF(N448="","الممول",""),IF(V448="","الموضوع",""),IF(W448="","الملاحظة",""),IF(X448="","مشكلة",""),IF(Y448="","الإجراء",""),IF(Z448="","التنفيذ",""),IF(AA448="","الجودة",""),IF(AB448="","الإغلاق",""),IF(AC448="","الخصم",""),IF(AND(COUNTA($O448:$U448)&gt;0,O448=""),"مدير المشروع",""),IF(AND(COUNTA($O448:$U448)&gt;0,P448=""),"المستفيدين",""),IF(AND(COUNTA($O448:$U448)&gt;0,Q448=""),"المناطق",""),IF(AND(COUNTA($O448:$U448)&gt;0,R448=""),"الميزانية",""),IF(AND(COUNTA($O448:$U448)&gt;0,S448=""),"نسبة الجاهزية",""),IF(AND(COUNTA($O448:$U448)&gt;0,T448=""),"حالة الجاهزية",""),IF(AND(COUNTA($O448:$U448)&gt;0,U448=""),"التوصيات","")),"✓"),"✓"))))))))))</f>
        <v/>
      </c>
      <c r="E448" s="235"/>
      <c r="F448" s="236"/>
      <c r="G448" s="90"/>
      <c r="H448" s="239"/>
      <c r="I448" s="89"/>
      <c r="J448" s="142"/>
      <c r="K448" s="90"/>
      <c r="L448" s="90"/>
      <c r="M448" s="90"/>
      <c r="N448" s="89"/>
      <c r="O448" s="200"/>
      <c r="P448" s="201"/>
      <c r="Q448" s="201"/>
      <c r="R448" s="237"/>
      <c r="S448" s="202"/>
      <c r="T448" s="200"/>
      <c r="U448" s="203"/>
      <c r="V448" s="89"/>
      <c r="W448" s="89"/>
      <c r="X448" s="145"/>
      <c r="Y448" s="89"/>
      <c r="Z448" s="90"/>
      <c r="AA448" s="90"/>
      <c r="AB448" s="90"/>
      <c r="AC448" s="90"/>
      <c r="AD448" s="92"/>
      <c r="AE448" s="149" t="str">
        <f>IFERROR(VLOOKUP(Z448,LISTS!$AL$2:$AM$1000,2,FALSE()),"")</f>
        <v/>
      </c>
      <c r="AF448" s="151" t="str">
        <f>IFERROR(VLOOKUP(AA448,LISTS!$AO$2:$AP$1000,2,FALSE()),"")</f>
        <v/>
      </c>
      <c r="AG448" s="152" t="str">
        <f>IFERROR(VLOOKUP(AB448,LISTS!$AR$2:$AS$1000,2,FALSE()),"")</f>
        <v/>
      </c>
      <c r="AH448" s="154" t="str">
        <f>IFERROR(VLOOKUP(AC448,LISTS!$AU$2:$AV$1000,2,FALSE()),"")</f>
        <v/>
      </c>
      <c r="AI448" s="238" t="str">
        <f t="shared" si="33"/>
        <v>—</v>
      </c>
      <c r="AJ448" s="190" t="str">
        <f t="shared" si="34"/>
        <v>—</v>
      </c>
      <c r="AK448" s="157" t="str">
        <f t="shared" si="35"/>
        <v/>
      </c>
      <c r="AL448" s="160" t="str">
        <f t="shared" si="36"/>
        <v/>
      </c>
      <c r="AM448" s="210"/>
      <c r="AN448" s="209"/>
    </row>
    <row r="449" spans="1:40" ht="27.95" customHeight="1">
      <c r="A449" s="134" t="str">
        <f>IF(I449&lt;&gt;"",COUNTA($I$2:I449),"")</f>
        <v/>
      </c>
      <c r="B449" s="138" t="str">
        <f t="shared" si="37"/>
        <v/>
      </c>
      <c r="C449" s="93" t="str">
        <f t="array" ref="C449">IF(E449="","",IF(M449&lt;&gt;"",
M449&amp;"/"&amp;SUMPRODUCT((M$2:M449=M449)*1)&amp;" - "&amp;(ROW()-2),
"إداري/"&amp;SUMPRODUCT((M$2:M449="")*1)&amp;" - "&amp;(ROW()-2)))</f>
        <v/>
      </c>
      <c r="D449" s="141" t="str">
        <f>IF(AND(G449="",H449="",I449=""),"",IF(COUNTIFS(LISTS!$A$2:$A$67,G449,LISTS!$B$2:$B$67,H449,LISTS!$C$2:$C$67,I449)=0,"✗ هرم",IF(NOT(OR(Z449="ممتاز 100%",Z449="جيد 80%",Z449="مقبول 60%",Z449="خطر 40%",Z449="")),"✗ قائمة R",IF(NOT(OR(AA449="ممتاز 100%",AA449="جيد 85%",AA449="مقبول 70%",AA449="ضعيف 50%",AA449="")),"✗ قائمة S",IF(NOT(OR(AB449="مكتمل 100%",AB449="جزئي 60%",AB449="معلق 30%",AB449="مفتوح 0%",AB449="")),"✗ قائمة T",IF(NOT(OR(AC449="لا خصم 0",AC449="تأخير −5",AC449="عجز −10",AC449="جودة −15",AC449="امتثال −20",AC449="مخالفة −25",AC449="")),"✗ قائمة U",IF(AND(X449="لا",AC449&lt;&gt;"",AC449&lt;&gt;"لا خصم 0"),"✗ خصم",IF(AND(X449="نعم",AC449="لا خصم 0"),"✗ خصم",IF(AND(Z449="ممتاز 100%",AA449="ممتاز 100%",AB449&lt;&gt;"",AB449&lt;&gt;"مكتمل 100%"),"✗ إغلاق",IFERROR(IF(LEN(_xlfn.TEXTJOIN("، ",TRUE,IF(E449="","التاريخ",""),IF(F449="","الوقت",""),IF(G449="","المركز",""),IF(H449="","الدائرة",""),IF(I449="","القسم",""),IF(J449="","المسؤول",""),IF(K449="","نوع النشاط",""),IF(L449="","المشروع",""),IF(N449="","الممول",""),IF(V449="","الموضوع",""),IF(W449="","الملاحظة",""),IF(X449="","مشكلة",""),IF(Y449="","الإجراء",""),IF(Z449="","التنفيذ",""),IF(AA449="","الجودة",""),IF(AB449="","الإغلاق",""),IF(AC449="","الخصم",""),IF(AND(COUNTA($O449:$U449)&gt;0,O449=""),"مدير المشروع",""),IF(AND(COUNTA($O449:$U449)&gt;0,P449=""),"المستفيدين",""),IF(AND(COUNTA($O449:$U449)&gt;0,Q449=""),"المناطق",""),IF(AND(COUNTA($O449:$U449)&gt;0,R449=""),"الميزانية",""),IF(AND(COUNTA($O449:$U449)&gt;0,S449=""),"نسبة الجاهزية",""),IF(AND(COUNTA($O449:$U449)&gt;0,T449=""),"حالة الجاهزية",""),IF(AND(COUNTA($O449:$U449)&gt;0,U449=""),"التوصيات","")))&gt;0,"✗ ناقص: "&amp;_xlfn.TEXTJOIN("، ",TRUE,IF(E449="","التاريخ",""),IF(F449="","الوقت",""),IF(G449="","المركز",""),IF(H449="","الدائرة",""),IF(I449="","القسم",""),IF(J449="","المسؤول",""),IF(K449="","نوع النشاط",""),IF(L449="","المشروع",""),IF(N449="","الممول",""),IF(V449="","الموضوع",""),IF(W449="","الملاحظة",""),IF(X449="","مشكلة",""),IF(Y449="","الإجراء",""),IF(Z449="","التنفيذ",""),IF(AA449="","الجودة",""),IF(AB449="","الإغلاق",""),IF(AC449="","الخصم",""),IF(AND(COUNTA($O449:$U449)&gt;0,O449=""),"مدير المشروع",""),IF(AND(COUNTA($O449:$U449)&gt;0,P449=""),"المستفيدين",""),IF(AND(COUNTA($O449:$U449)&gt;0,Q449=""),"المناطق",""),IF(AND(COUNTA($O449:$U449)&gt;0,R449=""),"الميزانية",""),IF(AND(COUNTA($O449:$U449)&gt;0,S449=""),"نسبة الجاهزية",""),IF(AND(COUNTA($O449:$U449)&gt;0,T449=""),"حالة الجاهزية",""),IF(AND(COUNTA($O449:$U449)&gt;0,U449=""),"التوصيات","")),"✓"),"✓"))))))))))</f>
        <v/>
      </c>
      <c r="E449" s="235"/>
      <c r="F449" s="236"/>
      <c r="G449" s="90"/>
      <c r="H449" s="239"/>
      <c r="I449" s="89"/>
      <c r="J449" s="142"/>
      <c r="K449" s="90"/>
      <c r="L449" s="90"/>
      <c r="M449" s="90"/>
      <c r="N449" s="89"/>
      <c r="O449" s="200"/>
      <c r="P449" s="201"/>
      <c r="Q449" s="201"/>
      <c r="R449" s="237"/>
      <c r="S449" s="202"/>
      <c r="T449" s="200"/>
      <c r="U449" s="203"/>
      <c r="V449" s="89"/>
      <c r="W449" s="89"/>
      <c r="X449" s="145"/>
      <c r="Y449" s="89"/>
      <c r="Z449" s="90"/>
      <c r="AA449" s="90"/>
      <c r="AB449" s="90"/>
      <c r="AC449" s="90"/>
      <c r="AD449" s="92"/>
      <c r="AE449" s="149" t="str">
        <f>IFERROR(VLOOKUP(Z449,LISTS!$AL$2:$AM$1000,2,FALSE()),"")</f>
        <v/>
      </c>
      <c r="AF449" s="151" t="str">
        <f>IFERROR(VLOOKUP(AA449,LISTS!$AO$2:$AP$1000,2,FALSE()),"")</f>
        <v/>
      </c>
      <c r="AG449" s="152" t="str">
        <f>IFERROR(VLOOKUP(AB449,LISTS!$AR$2:$AS$1000,2,FALSE()),"")</f>
        <v/>
      </c>
      <c r="AH449" s="154" t="str">
        <f>IFERROR(VLOOKUP(AC449,LISTS!$AU$2:$AV$1000,2,FALSE()),"")</f>
        <v/>
      </c>
      <c r="AI449" s="238" t="str">
        <f t="shared" si="33"/>
        <v>—</v>
      </c>
      <c r="AJ449" s="190" t="str">
        <f t="shared" si="34"/>
        <v>—</v>
      </c>
      <c r="AK449" s="157" t="str">
        <f t="shared" si="35"/>
        <v/>
      </c>
      <c r="AL449" s="160" t="str">
        <f t="shared" si="36"/>
        <v/>
      </c>
      <c r="AM449" s="210"/>
      <c r="AN449" s="209"/>
    </row>
    <row r="450" spans="1:40" ht="27.95" customHeight="1">
      <c r="A450" s="134" t="str">
        <f>IF(I450&lt;&gt;"",COUNTA($I$2:I450),"")</f>
        <v/>
      </c>
      <c r="B450" s="138" t="str">
        <f t="shared" si="37"/>
        <v/>
      </c>
      <c r="C450" s="93" t="str">
        <f t="array" ref="C450">IF(E450="","",IF(M450&lt;&gt;"",
M450&amp;"/"&amp;SUMPRODUCT((M$2:M450=M450)*1)&amp;" - "&amp;(ROW()-2),
"إداري/"&amp;SUMPRODUCT((M$2:M450="")*1)&amp;" - "&amp;(ROW()-2)))</f>
        <v/>
      </c>
      <c r="D450" s="141" t="str">
        <f>IF(AND(G450="",H450="",I450=""),"",IF(COUNTIFS(LISTS!$A$2:$A$67,G450,LISTS!$B$2:$B$67,H450,LISTS!$C$2:$C$67,I450)=0,"✗ هرم",IF(NOT(OR(Z450="ممتاز 100%",Z450="جيد 80%",Z450="مقبول 60%",Z450="خطر 40%",Z450="")),"✗ قائمة R",IF(NOT(OR(AA450="ممتاز 100%",AA450="جيد 85%",AA450="مقبول 70%",AA450="ضعيف 50%",AA450="")),"✗ قائمة S",IF(NOT(OR(AB450="مكتمل 100%",AB450="جزئي 60%",AB450="معلق 30%",AB450="مفتوح 0%",AB450="")),"✗ قائمة T",IF(NOT(OR(AC450="لا خصم 0",AC450="تأخير −5",AC450="عجز −10",AC450="جودة −15",AC450="امتثال −20",AC450="مخالفة −25",AC450="")),"✗ قائمة U",IF(AND(X450="لا",AC450&lt;&gt;"",AC450&lt;&gt;"لا خصم 0"),"✗ خصم",IF(AND(X450="نعم",AC450="لا خصم 0"),"✗ خصم",IF(AND(Z450="ممتاز 100%",AA450="ممتاز 100%",AB450&lt;&gt;"",AB450&lt;&gt;"مكتمل 100%"),"✗ إغلاق",IFERROR(IF(LEN(_xlfn.TEXTJOIN("، ",TRUE,IF(E450="","التاريخ",""),IF(F450="","الوقت",""),IF(G450="","المركز",""),IF(H450="","الدائرة",""),IF(I450="","القسم",""),IF(J450="","المسؤول",""),IF(K450="","نوع النشاط",""),IF(L450="","المشروع",""),IF(N450="","الممول",""),IF(V450="","الموضوع",""),IF(W450="","الملاحظة",""),IF(X450="","مشكلة",""),IF(Y450="","الإجراء",""),IF(Z450="","التنفيذ",""),IF(AA450="","الجودة",""),IF(AB450="","الإغلاق",""),IF(AC450="","الخصم",""),IF(AND(COUNTA($O450:$U450)&gt;0,O450=""),"مدير المشروع",""),IF(AND(COUNTA($O450:$U450)&gt;0,P450=""),"المستفيدين",""),IF(AND(COUNTA($O450:$U450)&gt;0,Q450=""),"المناطق",""),IF(AND(COUNTA($O450:$U450)&gt;0,R450=""),"الميزانية",""),IF(AND(COUNTA($O450:$U450)&gt;0,S450=""),"نسبة الجاهزية",""),IF(AND(COUNTA($O450:$U450)&gt;0,T450=""),"حالة الجاهزية",""),IF(AND(COUNTA($O450:$U450)&gt;0,U450=""),"التوصيات","")))&gt;0,"✗ ناقص: "&amp;_xlfn.TEXTJOIN("، ",TRUE,IF(E450="","التاريخ",""),IF(F450="","الوقت",""),IF(G450="","المركز",""),IF(H450="","الدائرة",""),IF(I450="","القسم",""),IF(J450="","المسؤول",""),IF(K450="","نوع النشاط",""),IF(L450="","المشروع",""),IF(N450="","الممول",""),IF(V450="","الموضوع",""),IF(W450="","الملاحظة",""),IF(X450="","مشكلة",""),IF(Y450="","الإجراء",""),IF(Z450="","التنفيذ",""),IF(AA450="","الجودة",""),IF(AB450="","الإغلاق",""),IF(AC450="","الخصم",""),IF(AND(COUNTA($O450:$U450)&gt;0,O450=""),"مدير المشروع",""),IF(AND(COUNTA($O450:$U450)&gt;0,P450=""),"المستفيدين",""),IF(AND(COUNTA($O450:$U450)&gt;0,Q450=""),"المناطق",""),IF(AND(COUNTA($O450:$U450)&gt;0,R450=""),"الميزانية",""),IF(AND(COUNTA($O450:$U450)&gt;0,S450=""),"نسبة الجاهزية",""),IF(AND(COUNTA($O450:$U450)&gt;0,T450=""),"حالة الجاهزية",""),IF(AND(COUNTA($O450:$U450)&gt;0,U450=""),"التوصيات","")),"✓"),"✓"))))))))))</f>
        <v/>
      </c>
      <c r="E450" s="235"/>
      <c r="F450" s="236"/>
      <c r="G450" s="90"/>
      <c r="H450" s="239"/>
      <c r="I450" s="89"/>
      <c r="J450" s="142"/>
      <c r="K450" s="90"/>
      <c r="L450" s="90"/>
      <c r="M450" s="90"/>
      <c r="N450" s="89"/>
      <c r="O450" s="200"/>
      <c r="P450" s="201"/>
      <c r="Q450" s="201"/>
      <c r="R450" s="237"/>
      <c r="S450" s="202"/>
      <c r="T450" s="200"/>
      <c r="U450" s="203"/>
      <c r="V450" s="89"/>
      <c r="W450" s="89"/>
      <c r="X450" s="145"/>
      <c r="Y450" s="89"/>
      <c r="Z450" s="90"/>
      <c r="AA450" s="90"/>
      <c r="AB450" s="90"/>
      <c r="AC450" s="90"/>
      <c r="AD450" s="92"/>
      <c r="AE450" s="149" t="str">
        <f>IFERROR(VLOOKUP(Z450,LISTS!$AL$2:$AM$1000,2,FALSE()),"")</f>
        <v/>
      </c>
      <c r="AF450" s="151" t="str">
        <f>IFERROR(VLOOKUP(AA450,LISTS!$AO$2:$AP$1000,2,FALSE()),"")</f>
        <v/>
      </c>
      <c r="AG450" s="152" t="str">
        <f>IFERROR(VLOOKUP(AB450,LISTS!$AR$2:$AS$1000,2,FALSE()),"")</f>
        <v/>
      </c>
      <c r="AH450" s="154" t="str">
        <f>IFERROR(VLOOKUP(AC450,LISTS!$AU$2:$AV$1000,2,FALSE()),"")</f>
        <v/>
      </c>
      <c r="AI450" s="238" t="str">
        <f t="shared" ref="AI450:AI513" si="38">IF(OR(AE450="",AF450="",AG450=""),"—",IFERROR(ROUND(AE450*0.4+AF450*0.3+AG450*0.3-IF(ISNUMBER(AH450),AH450,0),1),"⚠️"))</f>
        <v>—</v>
      </c>
      <c r="AJ450" s="190" t="str">
        <f t="shared" ref="AJ450:AJ513" si="39">IF(AI450="—","—",IF(NOT(ISNUMBER(AI450)),"⚠️",IF(AI450&gt;=98,"🌟 ممتاز جدًا",IF(AI450&gt;=90,"⭐ ممتاز",IF(AI450&gt;=75,"🟢 جيد",IF(AI450&gt;=60,"🟡 مقبول",IF(AI450&gt;=40,"🔴 ضعيف","🚨 خطر شديد")))))))</f>
        <v>—</v>
      </c>
      <c r="AK450" s="157" t="str">
        <f t="shared" si="35"/>
        <v/>
      </c>
      <c r="AL450" s="160" t="str">
        <f t="shared" si="36"/>
        <v/>
      </c>
      <c r="AM450" s="210"/>
      <c r="AN450" s="209"/>
    </row>
    <row r="451" spans="1:40" ht="27.95" customHeight="1">
      <c r="A451" s="134" t="str">
        <f>IF(I451&lt;&gt;"",COUNTA($I$2:I451),"")</f>
        <v/>
      </c>
      <c r="B451" s="138" t="str">
        <f t="shared" si="37"/>
        <v/>
      </c>
      <c r="C451" s="93" t="str">
        <f t="array" ref="C451">IF(E451="","",IF(M451&lt;&gt;"",
M451&amp;"/"&amp;SUMPRODUCT((M$2:M451=M451)*1)&amp;" - "&amp;(ROW()-2),
"إداري/"&amp;SUMPRODUCT((M$2:M451="")*1)&amp;" - "&amp;(ROW()-2)))</f>
        <v/>
      </c>
      <c r="D451" s="141" t="str">
        <f>IF(AND(G451="",H451="",I451=""),"",IF(COUNTIFS(LISTS!$A$2:$A$67,G451,LISTS!$B$2:$B$67,H451,LISTS!$C$2:$C$67,I451)=0,"✗ هرم",IF(NOT(OR(Z451="ممتاز 100%",Z451="جيد 80%",Z451="مقبول 60%",Z451="خطر 40%",Z451="")),"✗ قائمة R",IF(NOT(OR(AA451="ممتاز 100%",AA451="جيد 85%",AA451="مقبول 70%",AA451="ضعيف 50%",AA451="")),"✗ قائمة S",IF(NOT(OR(AB451="مكتمل 100%",AB451="جزئي 60%",AB451="معلق 30%",AB451="مفتوح 0%",AB451="")),"✗ قائمة T",IF(NOT(OR(AC451="لا خصم 0",AC451="تأخير −5",AC451="عجز −10",AC451="جودة −15",AC451="امتثال −20",AC451="مخالفة −25",AC451="")),"✗ قائمة U",IF(AND(X451="لا",AC451&lt;&gt;"",AC451&lt;&gt;"لا خصم 0"),"✗ خصم",IF(AND(X451="نعم",AC451="لا خصم 0"),"✗ خصم",IF(AND(Z451="ممتاز 100%",AA451="ممتاز 100%",AB451&lt;&gt;"",AB451&lt;&gt;"مكتمل 100%"),"✗ إغلاق",IFERROR(IF(LEN(_xlfn.TEXTJOIN("، ",TRUE,IF(E451="","التاريخ",""),IF(F451="","الوقت",""),IF(G451="","المركز",""),IF(H451="","الدائرة",""),IF(I451="","القسم",""),IF(J451="","المسؤول",""),IF(K451="","نوع النشاط",""),IF(L451="","المشروع",""),IF(N451="","الممول",""),IF(V451="","الموضوع",""),IF(W451="","الملاحظة",""),IF(X451="","مشكلة",""),IF(Y451="","الإجراء",""),IF(Z451="","التنفيذ",""),IF(AA451="","الجودة",""),IF(AB451="","الإغلاق",""),IF(AC451="","الخصم",""),IF(AND(COUNTA($O451:$U451)&gt;0,O451=""),"مدير المشروع",""),IF(AND(COUNTA($O451:$U451)&gt;0,P451=""),"المستفيدين",""),IF(AND(COUNTA($O451:$U451)&gt;0,Q451=""),"المناطق",""),IF(AND(COUNTA($O451:$U451)&gt;0,R451=""),"الميزانية",""),IF(AND(COUNTA($O451:$U451)&gt;0,S451=""),"نسبة الجاهزية",""),IF(AND(COUNTA($O451:$U451)&gt;0,T451=""),"حالة الجاهزية",""),IF(AND(COUNTA($O451:$U451)&gt;0,U451=""),"التوصيات","")))&gt;0,"✗ ناقص: "&amp;_xlfn.TEXTJOIN("، ",TRUE,IF(E451="","التاريخ",""),IF(F451="","الوقت",""),IF(G451="","المركز",""),IF(H451="","الدائرة",""),IF(I451="","القسم",""),IF(J451="","المسؤول",""),IF(K451="","نوع النشاط",""),IF(L451="","المشروع",""),IF(N451="","الممول",""),IF(V451="","الموضوع",""),IF(W451="","الملاحظة",""),IF(X451="","مشكلة",""),IF(Y451="","الإجراء",""),IF(Z451="","التنفيذ",""),IF(AA451="","الجودة",""),IF(AB451="","الإغلاق",""),IF(AC451="","الخصم",""),IF(AND(COUNTA($O451:$U451)&gt;0,O451=""),"مدير المشروع",""),IF(AND(COUNTA($O451:$U451)&gt;0,P451=""),"المستفيدين",""),IF(AND(COUNTA($O451:$U451)&gt;0,Q451=""),"المناطق",""),IF(AND(COUNTA($O451:$U451)&gt;0,R451=""),"الميزانية",""),IF(AND(COUNTA($O451:$U451)&gt;0,S451=""),"نسبة الجاهزية",""),IF(AND(COUNTA($O451:$U451)&gt;0,T451=""),"حالة الجاهزية",""),IF(AND(COUNTA($O451:$U451)&gt;0,U451=""),"التوصيات","")),"✓"),"✓"))))))))))</f>
        <v/>
      </c>
      <c r="E451" s="235"/>
      <c r="F451" s="236"/>
      <c r="G451" s="90"/>
      <c r="H451" s="239"/>
      <c r="I451" s="89"/>
      <c r="J451" s="142"/>
      <c r="K451" s="90"/>
      <c r="L451" s="90"/>
      <c r="M451" s="90"/>
      <c r="N451" s="89"/>
      <c r="O451" s="200"/>
      <c r="P451" s="201"/>
      <c r="Q451" s="201"/>
      <c r="R451" s="237"/>
      <c r="S451" s="202"/>
      <c r="T451" s="200"/>
      <c r="U451" s="203"/>
      <c r="V451" s="89"/>
      <c r="W451" s="89"/>
      <c r="X451" s="145"/>
      <c r="Y451" s="89"/>
      <c r="Z451" s="90"/>
      <c r="AA451" s="90"/>
      <c r="AB451" s="90"/>
      <c r="AC451" s="90"/>
      <c r="AD451" s="92"/>
      <c r="AE451" s="149" t="str">
        <f>IFERROR(VLOOKUP(Z451,LISTS!$AL$2:$AM$1000,2,FALSE()),"")</f>
        <v/>
      </c>
      <c r="AF451" s="151" t="str">
        <f>IFERROR(VLOOKUP(AA451,LISTS!$AO$2:$AP$1000,2,FALSE()),"")</f>
        <v/>
      </c>
      <c r="AG451" s="152" t="str">
        <f>IFERROR(VLOOKUP(AB451,LISTS!$AR$2:$AS$1000,2,FALSE()),"")</f>
        <v/>
      </c>
      <c r="AH451" s="154" t="str">
        <f>IFERROR(VLOOKUP(AC451,LISTS!$AU$2:$AV$1000,2,FALSE()),"")</f>
        <v/>
      </c>
      <c r="AI451" s="238" t="str">
        <f t="shared" si="38"/>
        <v>—</v>
      </c>
      <c r="AJ451" s="190" t="str">
        <f t="shared" si="39"/>
        <v>—</v>
      </c>
      <c r="AK451" s="157" t="str">
        <f t="shared" si="35"/>
        <v/>
      </c>
      <c r="AL451" s="160" t="str">
        <f t="shared" si="36"/>
        <v/>
      </c>
      <c r="AM451" s="210"/>
      <c r="AN451" s="209"/>
    </row>
    <row r="452" spans="1:40" ht="27.95" customHeight="1">
      <c r="A452" s="134" t="str">
        <f>IF(I452&lt;&gt;"",COUNTA($I$2:I452),"")</f>
        <v/>
      </c>
      <c r="B452" s="138" t="str">
        <f t="shared" si="37"/>
        <v/>
      </c>
      <c r="C452" s="93" t="str">
        <f t="array" ref="C452">IF(E452="","",IF(M452&lt;&gt;"",
M452&amp;"/"&amp;SUMPRODUCT((M$2:M452=M452)*1)&amp;" - "&amp;(ROW()-2),
"إداري/"&amp;SUMPRODUCT((M$2:M452="")*1)&amp;" - "&amp;(ROW()-2)))</f>
        <v/>
      </c>
      <c r="D452" s="141" t="str">
        <f>IF(AND(G452="",H452="",I452=""),"",IF(COUNTIFS(LISTS!$A$2:$A$67,G452,LISTS!$B$2:$B$67,H452,LISTS!$C$2:$C$67,I452)=0,"✗ هرم",IF(NOT(OR(Z452="ممتاز 100%",Z452="جيد 80%",Z452="مقبول 60%",Z452="خطر 40%",Z452="")),"✗ قائمة R",IF(NOT(OR(AA452="ممتاز 100%",AA452="جيد 85%",AA452="مقبول 70%",AA452="ضعيف 50%",AA452="")),"✗ قائمة S",IF(NOT(OR(AB452="مكتمل 100%",AB452="جزئي 60%",AB452="معلق 30%",AB452="مفتوح 0%",AB452="")),"✗ قائمة T",IF(NOT(OR(AC452="لا خصم 0",AC452="تأخير −5",AC452="عجز −10",AC452="جودة −15",AC452="امتثال −20",AC452="مخالفة −25",AC452="")),"✗ قائمة U",IF(AND(X452="لا",AC452&lt;&gt;"",AC452&lt;&gt;"لا خصم 0"),"✗ خصم",IF(AND(X452="نعم",AC452="لا خصم 0"),"✗ خصم",IF(AND(Z452="ممتاز 100%",AA452="ممتاز 100%",AB452&lt;&gt;"",AB452&lt;&gt;"مكتمل 100%"),"✗ إغلاق",IFERROR(IF(LEN(_xlfn.TEXTJOIN("، ",TRUE,IF(E452="","التاريخ",""),IF(F452="","الوقت",""),IF(G452="","المركز",""),IF(H452="","الدائرة",""),IF(I452="","القسم",""),IF(J452="","المسؤول",""),IF(K452="","نوع النشاط",""),IF(L452="","المشروع",""),IF(N452="","الممول",""),IF(V452="","الموضوع",""),IF(W452="","الملاحظة",""),IF(X452="","مشكلة",""),IF(Y452="","الإجراء",""),IF(Z452="","التنفيذ",""),IF(AA452="","الجودة",""),IF(AB452="","الإغلاق",""),IF(AC452="","الخصم",""),IF(AND(COUNTA($O452:$U452)&gt;0,O452=""),"مدير المشروع",""),IF(AND(COUNTA($O452:$U452)&gt;0,P452=""),"المستفيدين",""),IF(AND(COUNTA($O452:$U452)&gt;0,Q452=""),"المناطق",""),IF(AND(COUNTA($O452:$U452)&gt;0,R452=""),"الميزانية",""),IF(AND(COUNTA($O452:$U452)&gt;0,S452=""),"نسبة الجاهزية",""),IF(AND(COUNTA($O452:$U452)&gt;0,T452=""),"حالة الجاهزية",""),IF(AND(COUNTA($O452:$U452)&gt;0,U452=""),"التوصيات","")))&gt;0,"✗ ناقص: "&amp;_xlfn.TEXTJOIN("، ",TRUE,IF(E452="","التاريخ",""),IF(F452="","الوقت",""),IF(G452="","المركز",""),IF(H452="","الدائرة",""),IF(I452="","القسم",""),IF(J452="","المسؤول",""),IF(K452="","نوع النشاط",""),IF(L452="","المشروع",""),IF(N452="","الممول",""),IF(V452="","الموضوع",""),IF(W452="","الملاحظة",""),IF(X452="","مشكلة",""),IF(Y452="","الإجراء",""),IF(Z452="","التنفيذ",""),IF(AA452="","الجودة",""),IF(AB452="","الإغلاق",""),IF(AC452="","الخصم",""),IF(AND(COUNTA($O452:$U452)&gt;0,O452=""),"مدير المشروع",""),IF(AND(COUNTA($O452:$U452)&gt;0,P452=""),"المستفيدين",""),IF(AND(COUNTA($O452:$U452)&gt;0,Q452=""),"المناطق",""),IF(AND(COUNTA($O452:$U452)&gt;0,R452=""),"الميزانية",""),IF(AND(COUNTA($O452:$U452)&gt;0,S452=""),"نسبة الجاهزية",""),IF(AND(COUNTA($O452:$U452)&gt;0,T452=""),"حالة الجاهزية",""),IF(AND(COUNTA($O452:$U452)&gt;0,U452=""),"التوصيات","")),"✓"),"✓"))))))))))</f>
        <v/>
      </c>
      <c r="E452" s="235"/>
      <c r="F452" s="236"/>
      <c r="G452" s="90"/>
      <c r="H452" s="239"/>
      <c r="I452" s="89"/>
      <c r="J452" s="142"/>
      <c r="K452" s="90"/>
      <c r="L452" s="90"/>
      <c r="M452" s="90"/>
      <c r="N452" s="89"/>
      <c r="O452" s="200"/>
      <c r="P452" s="201"/>
      <c r="Q452" s="201"/>
      <c r="R452" s="237"/>
      <c r="S452" s="202"/>
      <c r="T452" s="200"/>
      <c r="U452" s="203"/>
      <c r="V452" s="89"/>
      <c r="W452" s="89"/>
      <c r="X452" s="145"/>
      <c r="Y452" s="89"/>
      <c r="Z452" s="90"/>
      <c r="AA452" s="90"/>
      <c r="AB452" s="90"/>
      <c r="AC452" s="90"/>
      <c r="AD452" s="92"/>
      <c r="AE452" s="149" t="str">
        <f>IFERROR(VLOOKUP(Z452,LISTS!$AL$2:$AM$1000,2,FALSE()),"")</f>
        <v/>
      </c>
      <c r="AF452" s="151" t="str">
        <f>IFERROR(VLOOKUP(AA452,LISTS!$AO$2:$AP$1000,2,FALSE()),"")</f>
        <v/>
      </c>
      <c r="AG452" s="152" t="str">
        <f>IFERROR(VLOOKUP(AB452,LISTS!$AR$2:$AS$1000,2,FALSE()),"")</f>
        <v/>
      </c>
      <c r="AH452" s="154" t="str">
        <f>IFERROR(VLOOKUP(AC452,LISTS!$AU$2:$AV$1000,2,FALSE()),"")</f>
        <v/>
      </c>
      <c r="AI452" s="238" t="str">
        <f t="shared" si="38"/>
        <v>—</v>
      </c>
      <c r="AJ452" s="190" t="str">
        <f t="shared" si="39"/>
        <v>—</v>
      </c>
      <c r="AK452" s="157" t="str">
        <f t="shared" si="35"/>
        <v/>
      </c>
      <c r="AL452" s="160" t="str">
        <f t="shared" si="36"/>
        <v/>
      </c>
      <c r="AM452" s="210"/>
      <c r="AN452" s="209"/>
    </row>
    <row r="453" spans="1:40" ht="27.95" customHeight="1">
      <c r="A453" s="134" t="str">
        <f>IF(I453&lt;&gt;"",COUNTA($I$2:I453),"")</f>
        <v/>
      </c>
      <c r="B453" s="138" t="str">
        <f t="shared" si="37"/>
        <v/>
      </c>
      <c r="C453" s="93" t="str">
        <f t="array" ref="C453">IF(E453="","",IF(M453&lt;&gt;"",
M453&amp;"/"&amp;SUMPRODUCT((M$2:M453=M453)*1)&amp;" - "&amp;(ROW()-2),
"إداري/"&amp;SUMPRODUCT((M$2:M453="")*1)&amp;" - "&amp;(ROW()-2)))</f>
        <v/>
      </c>
      <c r="D453" s="141" t="str">
        <f>IF(AND(G453="",H453="",I453=""),"",IF(COUNTIFS(LISTS!$A$2:$A$67,G453,LISTS!$B$2:$B$67,H453,LISTS!$C$2:$C$67,I453)=0,"✗ هرم",IF(NOT(OR(Z453="ممتاز 100%",Z453="جيد 80%",Z453="مقبول 60%",Z453="خطر 40%",Z453="")),"✗ قائمة R",IF(NOT(OR(AA453="ممتاز 100%",AA453="جيد 85%",AA453="مقبول 70%",AA453="ضعيف 50%",AA453="")),"✗ قائمة S",IF(NOT(OR(AB453="مكتمل 100%",AB453="جزئي 60%",AB453="معلق 30%",AB453="مفتوح 0%",AB453="")),"✗ قائمة T",IF(NOT(OR(AC453="لا خصم 0",AC453="تأخير −5",AC453="عجز −10",AC453="جودة −15",AC453="امتثال −20",AC453="مخالفة −25",AC453="")),"✗ قائمة U",IF(AND(X453="لا",AC453&lt;&gt;"",AC453&lt;&gt;"لا خصم 0"),"✗ خصم",IF(AND(X453="نعم",AC453="لا خصم 0"),"✗ خصم",IF(AND(Z453="ممتاز 100%",AA453="ممتاز 100%",AB453&lt;&gt;"",AB453&lt;&gt;"مكتمل 100%"),"✗ إغلاق",IFERROR(IF(LEN(_xlfn.TEXTJOIN("، ",TRUE,IF(E453="","التاريخ",""),IF(F453="","الوقت",""),IF(G453="","المركز",""),IF(H453="","الدائرة",""),IF(I453="","القسم",""),IF(J453="","المسؤول",""),IF(K453="","نوع النشاط",""),IF(L453="","المشروع",""),IF(N453="","الممول",""),IF(V453="","الموضوع",""),IF(W453="","الملاحظة",""),IF(X453="","مشكلة",""),IF(Y453="","الإجراء",""),IF(Z453="","التنفيذ",""),IF(AA453="","الجودة",""),IF(AB453="","الإغلاق",""),IF(AC453="","الخصم",""),IF(AND(COUNTA($O453:$U453)&gt;0,O453=""),"مدير المشروع",""),IF(AND(COUNTA($O453:$U453)&gt;0,P453=""),"المستفيدين",""),IF(AND(COUNTA($O453:$U453)&gt;0,Q453=""),"المناطق",""),IF(AND(COUNTA($O453:$U453)&gt;0,R453=""),"الميزانية",""),IF(AND(COUNTA($O453:$U453)&gt;0,S453=""),"نسبة الجاهزية",""),IF(AND(COUNTA($O453:$U453)&gt;0,T453=""),"حالة الجاهزية",""),IF(AND(COUNTA($O453:$U453)&gt;0,U453=""),"التوصيات","")))&gt;0,"✗ ناقص: "&amp;_xlfn.TEXTJOIN("، ",TRUE,IF(E453="","التاريخ",""),IF(F453="","الوقت",""),IF(G453="","المركز",""),IF(H453="","الدائرة",""),IF(I453="","القسم",""),IF(J453="","المسؤول",""),IF(K453="","نوع النشاط",""),IF(L453="","المشروع",""),IF(N453="","الممول",""),IF(V453="","الموضوع",""),IF(W453="","الملاحظة",""),IF(X453="","مشكلة",""),IF(Y453="","الإجراء",""),IF(Z453="","التنفيذ",""),IF(AA453="","الجودة",""),IF(AB453="","الإغلاق",""),IF(AC453="","الخصم",""),IF(AND(COUNTA($O453:$U453)&gt;0,O453=""),"مدير المشروع",""),IF(AND(COUNTA($O453:$U453)&gt;0,P453=""),"المستفيدين",""),IF(AND(COUNTA($O453:$U453)&gt;0,Q453=""),"المناطق",""),IF(AND(COUNTA($O453:$U453)&gt;0,R453=""),"الميزانية",""),IF(AND(COUNTA($O453:$U453)&gt;0,S453=""),"نسبة الجاهزية",""),IF(AND(COUNTA($O453:$U453)&gt;0,T453=""),"حالة الجاهزية",""),IF(AND(COUNTA($O453:$U453)&gt;0,U453=""),"التوصيات","")),"✓"),"✓"))))))))))</f>
        <v/>
      </c>
      <c r="E453" s="235"/>
      <c r="F453" s="236"/>
      <c r="G453" s="90"/>
      <c r="H453" s="239"/>
      <c r="I453" s="89"/>
      <c r="J453" s="142"/>
      <c r="K453" s="90"/>
      <c r="L453" s="90"/>
      <c r="M453" s="90"/>
      <c r="N453" s="89"/>
      <c r="O453" s="200"/>
      <c r="P453" s="201"/>
      <c r="Q453" s="201"/>
      <c r="R453" s="237"/>
      <c r="S453" s="202"/>
      <c r="T453" s="200"/>
      <c r="U453" s="203"/>
      <c r="V453" s="89"/>
      <c r="W453" s="89"/>
      <c r="X453" s="145"/>
      <c r="Y453" s="89"/>
      <c r="Z453" s="90"/>
      <c r="AA453" s="90"/>
      <c r="AB453" s="90"/>
      <c r="AC453" s="90"/>
      <c r="AD453" s="92"/>
      <c r="AE453" s="149" t="str">
        <f>IFERROR(VLOOKUP(Z453,LISTS!$AL$2:$AM$1000,2,FALSE()),"")</f>
        <v/>
      </c>
      <c r="AF453" s="151" t="str">
        <f>IFERROR(VLOOKUP(AA453,LISTS!$AO$2:$AP$1000,2,FALSE()),"")</f>
        <v/>
      </c>
      <c r="AG453" s="152" t="str">
        <f>IFERROR(VLOOKUP(AB453,LISTS!$AR$2:$AS$1000,2,FALSE()),"")</f>
        <v/>
      </c>
      <c r="AH453" s="154" t="str">
        <f>IFERROR(VLOOKUP(AC453,LISTS!$AU$2:$AV$1000,2,FALSE()),"")</f>
        <v/>
      </c>
      <c r="AI453" s="238" t="str">
        <f t="shared" si="38"/>
        <v>—</v>
      </c>
      <c r="AJ453" s="190" t="str">
        <f t="shared" si="39"/>
        <v>—</v>
      </c>
      <c r="AK453" s="157" t="str">
        <f t="shared" si="35"/>
        <v/>
      </c>
      <c r="AL453" s="160" t="str">
        <f t="shared" si="36"/>
        <v/>
      </c>
      <c r="AM453" s="210"/>
      <c r="AN453" s="209"/>
    </row>
    <row r="454" spans="1:40" ht="27.95" customHeight="1">
      <c r="A454" s="134" t="str">
        <f>IF(I454&lt;&gt;"",COUNTA($I$2:I454),"")</f>
        <v/>
      </c>
      <c r="B454" s="138" t="str">
        <f t="shared" si="37"/>
        <v/>
      </c>
      <c r="C454" s="93" t="str">
        <f t="array" ref="C454">IF(E454="","",IF(M454&lt;&gt;"",
M454&amp;"/"&amp;SUMPRODUCT((M$2:M454=M454)*1)&amp;" - "&amp;(ROW()-2),
"إداري/"&amp;SUMPRODUCT((M$2:M454="")*1)&amp;" - "&amp;(ROW()-2)))</f>
        <v/>
      </c>
      <c r="D454" s="141" t="str">
        <f>IF(AND(G454="",H454="",I454=""),"",IF(COUNTIFS(LISTS!$A$2:$A$67,G454,LISTS!$B$2:$B$67,H454,LISTS!$C$2:$C$67,I454)=0,"✗ هرم",IF(NOT(OR(Z454="ممتاز 100%",Z454="جيد 80%",Z454="مقبول 60%",Z454="خطر 40%",Z454="")),"✗ قائمة R",IF(NOT(OR(AA454="ممتاز 100%",AA454="جيد 85%",AA454="مقبول 70%",AA454="ضعيف 50%",AA454="")),"✗ قائمة S",IF(NOT(OR(AB454="مكتمل 100%",AB454="جزئي 60%",AB454="معلق 30%",AB454="مفتوح 0%",AB454="")),"✗ قائمة T",IF(NOT(OR(AC454="لا خصم 0",AC454="تأخير −5",AC454="عجز −10",AC454="جودة −15",AC454="امتثال −20",AC454="مخالفة −25",AC454="")),"✗ قائمة U",IF(AND(X454="لا",AC454&lt;&gt;"",AC454&lt;&gt;"لا خصم 0"),"✗ خصم",IF(AND(X454="نعم",AC454="لا خصم 0"),"✗ خصم",IF(AND(Z454="ممتاز 100%",AA454="ممتاز 100%",AB454&lt;&gt;"",AB454&lt;&gt;"مكتمل 100%"),"✗ إغلاق",IFERROR(IF(LEN(_xlfn.TEXTJOIN("، ",TRUE,IF(E454="","التاريخ",""),IF(F454="","الوقت",""),IF(G454="","المركز",""),IF(H454="","الدائرة",""),IF(I454="","القسم",""),IF(J454="","المسؤول",""),IF(K454="","نوع النشاط",""),IF(L454="","المشروع",""),IF(N454="","الممول",""),IF(V454="","الموضوع",""),IF(W454="","الملاحظة",""),IF(X454="","مشكلة",""),IF(Y454="","الإجراء",""),IF(Z454="","التنفيذ",""),IF(AA454="","الجودة",""),IF(AB454="","الإغلاق",""),IF(AC454="","الخصم",""),IF(AND(COUNTA($O454:$U454)&gt;0,O454=""),"مدير المشروع",""),IF(AND(COUNTA($O454:$U454)&gt;0,P454=""),"المستفيدين",""),IF(AND(COUNTA($O454:$U454)&gt;0,Q454=""),"المناطق",""),IF(AND(COUNTA($O454:$U454)&gt;0,R454=""),"الميزانية",""),IF(AND(COUNTA($O454:$U454)&gt;0,S454=""),"نسبة الجاهزية",""),IF(AND(COUNTA($O454:$U454)&gt;0,T454=""),"حالة الجاهزية",""),IF(AND(COUNTA($O454:$U454)&gt;0,U454=""),"التوصيات","")))&gt;0,"✗ ناقص: "&amp;_xlfn.TEXTJOIN("، ",TRUE,IF(E454="","التاريخ",""),IF(F454="","الوقت",""),IF(G454="","المركز",""),IF(H454="","الدائرة",""),IF(I454="","القسم",""),IF(J454="","المسؤول",""),IF(K454="","نوع النشاط",""),IF(L454="","المشروع",""),IF(N454="","الممول",""),IF(V454="","الموضوع",""),IF(W454="","الملاحظة",""),IF(X454="","مشكلة",""),IF(Y454="","الإجراء",""),IF(Z454="","التنفيذ",""),IF(AA454="","الجودة",""),IF(AB454="","الإغلاق",""),IF(AC454="","الخصم",""),IF(AND(COUNTA($O454:$U454)&gt;0,O454=""),"مدير المشروع",""),IF(AND(COUNTA($O454:$U454)&gt;0,P454=""),"المستفيدين",""),IF(AND(COUNTA($O454:$U454)&gt;0,Q454=""),"المناطق",""),IF(AND(COUNTA($O454:$U454)&gt;0,R454=""),"الميزانية",""),IF(AND(COUNTA($O454:$U454)&gt;0,S454=""),"نسبة الجاهزية",""),IF(AND(COUNTA($O454:$U454)&gt;0,T454=""),"حالة الجاهزية",""),IF(AND(COUNTA($O454:$U454)&gt;0,U454=""),"التوصيات","")),"✓"),"✓"))))))))))</f>
        <v/>
      </c>
      <c r="E454" s="235"/>
      <c r="F454" s="236"/>
      <c r="G454" s="90"/>
      <c r="H454" s="239"/>
      <c r="I454" s="89"/>
      <c r="J454" s="142"/>
      <c r="K454" s="90"/>
      <c r="L454" s="90"/>
      <c r="M454" s="90"/>
      <c r="N454" s="89"/>
      <c r="O454" s="200"/>
      <c r="P454" s="201"/>
      <c r="Q454" s="201"/>
      <c r="R454" s="237"/>
      <c r="S454" s="202"/>
      <c r="T454" s="200"/>
      <c r="U454" s="203"/>
      <c r="V454" s="89"/>
      <c r="W454" s="89"/>
      <c r="X454" s="145"/>
      <c r="Y454" s="89"/>
      <c r="Z454" s="90"/>
      <c r="AA454" s="90"/>
      <c r="AB454" s="90"/>
      <c r="AC454" s="90"/>
      <c r="AD454" s="92"/>
      <c r="AE454" s="149" t="str">
        <f>IFERROR(VLOOKUP(Z454,LISTS!$AL$2:$AM$1000,2,FALSE()),"")</f>
        <v/>
      </c>
      <c r="AF454" s="151" t="str">
        <f>IFERROR(VLOOKUP(AA454,LISTS!$AO$2:$AP$1000,2,FALSE()),"")</f>
        <v/>
      </c>
      <c r="AG454" s="152" t="str">
        <f>IFERROR(VLOOKUP(AB454,LISTS!$AR$2:$AS$1000,2,FALSE()),"")</f>
        <v/>
      </c>
      <c r="AH454" s="154" t="str">
        <f>IFERROR(VLOOKUP(AC454,LISTS!$AU$2:$AV$1000,2,FALSE()),"")</f>
        <v/>
      </c>
      <c r="AI454" s="238" t="str">
        <f t="shared" si="38"/>
        <v>—</v>
      </c>
      <c r="AJ454" s="190" t="str">
        <f t="shared" si="39"/>
        <v>—</v>
      </c>
      <c r="AK454" s="157" t="str">
        <f t="shared" si="35"/>
        <v/>
      </c>
      <c r="AL454" s="160" t="str">
        <f t="shared" si="36"/>
        <v/>
      </c>
      <c r="AM454" s="210"/>
      <c r="AN454" s="209"/>
    </row>
    <row r="455" spans="1:40" ht="27.95" customHeight="1">
      <c r="A455" s="134" t="str">
        <f>IF(I455&lt;&gt;"",COUNTA($I$2:I455),"")</f>
        <v/>
      </c>
      <c r="B455" s="138" t="str">
        <f t="shared" si="37"/>
        <v/>
      </c>
      <c r="C455" s="93" t="str">
        <f t="array" ref="C455">IF(E455="","",IF(M455&lt;&gt;"",
M455&amp;"/"&amp;SUMPRODUCT((M$2:M455=M455)*1)&amp;" - "&amp;(ROW()-2),
"إداري/"&amp;SUMPRODUCT((M$2:M455="")*1)&amp;" - "&amp;(ROW()-2)))</f>
        <v/>
      </c>
      <c r="D455" s="141" t="str">
        <f>IF(AND(G455="",H455="",I455=""),"",IF(COUNTIFS(LISTS!$A$2:$A$67,G455,LISTS!$B$2:$B$67,H455,LISTS!$C$2:$C$67,I455)=0,"✗ هرم",IF(NOT(OR(Z455="ممتاز 100%",Z455="جيد 80%",Z455="مقبول 60%",Z455="خطر 40%",Z455="")),"✗ قائمة R",IF(NOT(OR(AA455="ممتاز 100%",AA455="جيد 85%",AA455="مقبول 70%",AA455="ضعيف 50%",AA455="")),"✗ قائمة S",IF(NOT(OR(AB455="مكتمل 100%",AB455="جزئي 60%",AB455="معلق 30%",AB455="مفتوح 0%",AB455="")),"✗ قائمة T",IF(NOT(OR(AC455="لا خصم 0",AC455="تأخير −5",AC455="عجز −10",AC455="جودة −15",AC455="امتثال −20",AC455="مخالفة −25",AC455="")),"✗ قائمة U",IF(AND(X455="لا",AC455&lt;&gt;"",AC455&lt;&gt;"لا خصم 0"),"✗ خصم",IF(AND(X455="نعم",AC455="لا خصم 0"),"✗ خصم",IF(AND(Z455="ممتاز 100%",AA455="ممتاز 100%",AB455&lt;&gt;"",AB455&lt;&gt;"مكتمل 100%"),"✗ إغلاق",IFERROR(IF(LEN(_xlfn.TEXTJOIN("، ",TRUE,IF(E455="","التاريخ",""),IF(F455="","الوقت",""),IF(G455="","المركز",""),IF(H455="","الدائرة",""),IF(I455="","القسم",""),IF(J455="","المسؤول",""),IF(K455="","نوع النشاط",""),IF(L455="","المشروع",""),IF(N455="","الممول",""),IF(V455="","الموضوع",""),IF(W455="","الملاحظة",""),IF(X455="","مشكلة",""),IF(Y455="","الإجراء",""),IF(Z455="","التنفيذ",""),IF(AA455="","الجودة",""),IF(AB455="","الإغلاق",""),IF(AC455="","الخصم",""),IF(AND(COUNTA($O455:$U455)&gt;0,O455=""),"مدير المشروع",""),IF(AND(COUNTA($O455:$U455)&gt;0,P455=""),"المستفيدين",""),IF(AND(COUNTA($O455:$U455)&gt;0,Q455=""),"المناطق",""),IF(AND(COUNTA($O455:$U455)&gt;0,R455=""),"الميزانية",""),IF(AND(COUNTA($O455:$U455)&gt;0,S455=""),"نسبة الجاهزية",""),IF(AND(COUNTA($O455:$U455)&gt;0,T455=""),"حالة الجاهزية",""),IF(AND(COUNTA($O455:$U455)&gt;0,U455=""),"التوصيات","")))&gt;0,"✗ ناقص: "&amp;_xlfn.TEXTJOIN("، ",TRUE,IF(E455="","التاريخ",""),IF(F455="","الوقت",""),IF(G455="","المركز",""),IF(H455="","الدائرة",""),IF(I455="","القسم",""),IF(J455="","المسؤول",""),IF(K455="","نوع النشاط",""),IF(L455="","المشروع",""),IF(N455="","الممول",""),IF(V455="","الموضوع",""),IF(W455="","الملاحظة",""),IF(X455="","مشكلة",""),IF(Y455="","الإجراء",""),IF(Z455="","التنفيذ",""),IF(AA455="","الجودة",""),IF(AB455="","الإغلاق",""),IF(AC455="","الخصم",""),IF(AND(COUNTA($O455:$U455)&gt;0,O455=""),"مدير المشروع",""),IF(AND(COUNTA($O455:$U455)&gt;0,P455=""),"المستفيدين",""),IF(AND(COUNTA($O455:$U455)&gt;0,Q455=""),"المناطق",""),IF(AND(COUNTA($O455:$U455)&gt;0,R455=""),"الميزانية",""),IF(AND(COUNTA($O455:$U455)&gt;0,S455=""),"نسبة الجاهزية",""),IF(AND(COUNTA($O455:$U455)&gt;0,T455=""),"حالة الجاهزية",""),IF(AND(COUNTA($O455:$U455)&gt;0,U455=""),"التوصيات","")),"✓"),"✓"))))))))))</f>
        <v/>
      </c>
      <c r="E455" s="235"/>
      <c r="F455" s="236"/>
      <c r="G455" s="90"/>
      <c r="H455" s="239"/>
      <c r="I455" s="89"/>
      <c r="J455" s="142"/>
      <c r="K455" s="90"/>
      <c r="L455" s="90"/>
      <c r="M455" s="90"/>
      <c r="N455" s="89"/>
      <c r="O455" s="200"/>
      <c r="P455" s="201"/>
      <c r="Q455" s="201"/>
      <c r="R455" s="237"/>
      <c r="S455" s="202"/>
      <c r="T455" s="200"/>
      <c r="U455" s="203"/>
      <c r="V455" s="89"/>
      <c r="W455" s="89"/>
      <c r="X455" s="145"/>
      <c r="Y455" s="89"/>
      <c r="Z455" s="90"/>
      <c r="AA455" s="90"/>
      <c r="AB455" s="90"/>
      <c r="AC455" s="90"/>
      <c r="AD455" s="92"/>
      <c r="AE455" s="149" t="str">
        <f>IFERROR(VLOOKUP(Z455,LISTS!$AL$2:$AM$1000,2,FALSE()),"")</f>
        <v/>
      </c>
      <c r="AF455" s="151" t="str">
        <f>IFERROR(VLOOKUP(AA455,LISTS!$AO$2:$AP$1000,2,FALSE()),"")</f>
        <v/>
      </c>
      <c r="AG455" s="152" t="str">
        <f>IFERROR(VLOOKUP(AB455,LISTS!$AR$2:$AS$1000,2,FALSE()),"")</f>
        <v/>
      </c>
      <c r="AH455" s="154" t="str">
        <f>IFERROR(VLOOKUP(AC455,LISTS!$AU$2:$AV$1000,2,FALSE()),"")</f>
        <v/>
      </c>
      <c r="AI455" s="238" t="str">
        <f t="shared" si="38"/>
        <v>—</v>
      </c>
      <c r="AJ455" s="190" t="str">
        <f t="shared" si="39"/>
        <v>—</v>
      </c>
      <c r="AK455" s="157" t="str">
        <f t="shared" si="35"/>
        <v/>
      </c>
      <c r="AL455" s="160" t="str">
        <f t="shared" si="36"/>
        <v/>
      </c>
      <c r="AM455" s="210"/>
      <c r="AN455" s="209"/>
    </row>
    <row r="456" spans="1:40" ht="27.95" customHeight="1">
      <c r="A456" s="134" t="str">
        <f>IF(I456&lt;&gt;"",COUNTA($I$2:I456),"")</f>
        <v/>
      </c>
      <c r="B456" s="138" t="str">
        <f t="shared" si="37"/>
        <v/>
      </c>
      <c r="C456" s="93" t="str">
        <f t="array" ref="C456">IF(E456="","",IF(M456&lt;&gt;"",
M456&amp;"/"&amp;SUMPRODUCT((M$2:M456=M456)*1)&amp;" - "&amp;(ROW()-2),
"إداري/"&amp;SUMPRODUCT((M$2:M456="")*1)&amp;" - "&amp;(ROW()-2)))</f>
        <v/>
      </c>
      <c r="D456" s="141" t="str">
        <f>IF(AND(G456="",H456="",I456=""),"",IF(COUNTIFS(LISTS!$A$2:$A$67,G456,LISTS!$B$2:$B$67,H456,LISTS!$C$2:$C$67,I456)=0,"✗ هرم",IF(NOT(OR(Z456="ممتاز 100%",Z456="جيد 80%",Z456="مقبول 60%",Z456="خطر 40%",Z456="")),"✗ قائمة R",IF(NOT(OR(AA456="ممتاز 100%",AA456="جيد 85%",AA456="مقبول 70%",AA456="ضعيف 50%",AA456="")),"✗ قائمة S",IF(NOT(OR(AB456="مكتمل 100%",AB456="جزئي 60%",AB456="معلق 30%",AB456="مفتوح 0%",AB456="")),"✗ قائمة T",IF(NOT(OR(AC456="لا خصم 0",AC456="تأخير −5",AC456="عجز −10",AC456="جودة −15",AC456="امتثال −20",AC456="مخالفة −25",AC456="")),"✗ قائمة U",IF(AND(X456="لا",AC456&lt;&gt;"",AC456&lt;&gt;"لا خصم 0"),"✗ خصم",IF(AND(X456="نعم",AC456="لا خصم 0"),"✗ خصم",IF(AND(Z456="ممتاز 100%",AA456="ممتاز 100%",AB456&lt;&gt;"",AB456&lt;&gt;"مكتمل 100%"),"✗ إغلاق",IFERROR(IF(LEN(_xlfn.TEXTJOIN("، ",TRUE,IF(E456="","التاريخ",""),IF(F456="","الوقت",""),IF(G456="","المركز",""),IF(H456="","الدائرة",""),IF(I456="","القسم",""),IF(J456="","المسؤول",""),IF(K456="","نوع النشاط",""),IF(L456="","المشروع",""),IF(N456="","الممول",""),IF(V456="","الموضوع",""),IF(W456="","الملاحظة",""),IF(X456="","مشكلة",""),IF(Y456="","الإجراء",""),IF(Z456="","التنفيذ",""),IF(AA456="","الجودة",""),IF(AB456="","الإغلاق",""),IF(AC456="","الخصم",""),IF(AND(COUNTA($O456:$U456)&gt;0,O456=""),"مدير المشروع",""),IF(AND(COUNTA($O456:$U456)&gt;0,P456=""),"المستفيدين",""),IF(AND(COUNTA($O456:$U456)&gt;0,Q456=""),"المناطق",""),IF(AND(COUNTA($O456:$U456)&gt;0,R456=""),"الميزانية",""),IF(AND(COUNTA($O456:$U456)&gt;0,S456=""),"نسبة الجاهزية",""),IF(AND(COUNTA($O456:$U456)&gt;0,T456=""),"حالة الجاهزية",""),IF(AND(COUNTA($O456:$U456)&gt;0,U456=""),"التوصيات","")))&gt;0,"✗ ناقص: "&amp;_xlfn.TEXTJOIN("، ",TRUE,IF(E456="","التاريخ",""),IF(F456="","الوقت",""),IF(G456="","المركز",""),IF(H456="","الدائرة",""),IF(I456="","القسم",""),IF(J456="","المسؤول",""),IF(K456="","نوع النشاط",""),IF(L456="","المشروع",""),IF(N456="","الممول",""),IF(V456="","الموضوع",""),IF(W456="","الملاحظة",""),IF(X456="","مشكلة",""),IF(Y456="","الإجراء",""),IF(Z456="","التنفيذ",""),IF(AA456="","الجودة",""),IF(AB456="","الإغلاق",""),IF(AC456="","الخصم",""),IF(AND(COUNTA($O456:$U456)&gt;0,O456=""),"مدير المشروع",""),IF(AND(COUNTA($O456:$U456)&gt;0,P456=""),"المستفيدين",""),IF(AND(COUNTA($O456:$U456)&gt;0,Q456=""),"المناطق",""),IF(AND(COUNTA($O456:$U456)&gt;0,R456=""),"الميزانية",""),IF(AND(COUNTA($O456:$U456)&gt;0,S456=""),"نسبة الجاهزية",""),IF(AND(COUNTA($O456:$U456)&gt;0,T456=""),"حالة الجاهزية",""),IF(AND(COUNTA($O456:$U456)&gt;0,U456=""),"التوصيات","")),"✓"),"✓"))))))))))</f>
        <v/>
      </c>
      <c r="E456" s="235"/>
      <c r="F456" s="236"/>
      <c r="G456" s="90"/>
      <c r="H456" s="239"/>
      <c r="I456" s="89"/>
      <c r="J456" s="142"/>
      <c r="K456" s="90"/>
      <c r="L456" s="90"/>
      <c r="M456" s="90"/>
      <c r="N456" s="89"/>
      <c r="O456" s="200"/>
      <c r="P456" s="201"/>
      <c r="Q456" s="201"/>
      <c r="R456" s="237"/>
      <c r="S456" s="202"/>
      <c r="T456" s="200"/>
      <c r="U456" s="203"/>
      <c r="V456" s="89"/>
      <c r="W456" s="89"/>
      <c r="X456" s="145"/>
      <c r="Y456" s="89"/>
      <c r="Z456" s="90"/>
      <c r="AA456" s="90"/>
      <c r="AB456" s="90"/>
      <c r="AC456" s="90"/>
      <c r="AD456" s="92"/>
      <c r="AE456" s="149" t="str">
        <f>IFERROR(VLOOKUP(Z456,LISTS!$AL$2:$AM$1000,2,FALSE()),"")</f>
        <v/>
      </c>
      <c r="AF456" s="151" t="str">
        <f>IFERROR(VLOOKUP(AA456,LISTS!$AO$2:$AP$1000,2,FALSE()),"")</f>
        <v/>
      </c>
      <c r="AG456" s="152" t="str">
        <f>IFERROR(VLOOKUP(AB456,LISTS!$AR$2:$AS$1000,2,FALSE()),"")</f>
        <v/>
      </c>
      <c r="AH456" s="154" t="str">
        <f>IFERROR(VLOOKUP(AC456,LISTS!$AU$2:$AV$1000,2,FALSE()),"")</f>
        <v/>
      </c>
      <c r="AI456" s="238" t="str">
        <f t="shared" si="38"/>
        <v>—</v>
      </c>
      <c r="AJ456" s="190" t="str">
        <f t="shared" si="39"/>
        <v>—</v>
      </c>
      <c r="AK456" s="157" t="str">
        <f t="shared" si="35"/>
        <v/>
      </c>
      <c r="AL456" s="160" t="str">
        <f t="shared" si="36"/>
        <v/>
      </c>
      <c r="AM456" s="210"/>
      <c r="AN456" s="209"/>
    </row>
    <row r="457" spans="1:40" ht="27.95" customHeight="1">
      <c r="A457" s="134" t="str">
        <f>IF(I457&lt;&gt;"",COUNTA($I$2:I457),"")</f>
        <v/>
      </c>
      <c r="B457" s="138" t="str">
        <f t="shared" si="37"/>
        <v/>
      </c>
      <c r="C457" s="93" t="str">
        <f t="array" ref="C457">IF(E457="","",IF(M457&lt;&gt;"",
M457&amp;"/"&amp;SUMPRODUCT((M$2:M457=M457)*1)&amp;" - "&amp;(ROW()-2),
"إداري/"&amp;SUMPRODUCT((M$2:M457="")*1)&amp;" - "&amp;(ROW()-2)))</f>
        <v/>
      </c>
      <c r="D457" s="141" t="str">
        <f>IF(AND(G457="",H457="",I457=""),"",IF(COUNTIFS(LISTS!$A$2:$A$67,G457,LISTS!$B$2:$B$67,H457,LISTS!$C$2:$C$67,I457)=0,"✗ هرم",IF(NOT(OR(Z457="ممتاز 100%",Z457="جيد 80%",Z457="مقبول 60%",Z457="خطر 40%",Z457="")),"✗ قائمة R",IF(NOT(OR(AA457="ممتاز 100%",AA457="جيد 85%",AA457="مقبول 70%",AA457="ضعيف 50%",AA457="")),"✗ قائمة S",IF(NOT(OR(AB457="مكتمل 100%",AB457="جزئي 60%",AB457="معلق 30%",AB457="مفتوح 0%",AB457="")),"✗ قائمة T",IF(NOT(OR(AC457="لا خصم 0",AC457="تأخير −5",AC457="عجز −10",AC457="جودة −15",AC457="امتثال −20",AC457="مخالفة −25",AC457="")),"✗ قائمة U",IF(AND(X457="لا",AC457&lt;&gt;"",AC457&lt;&gt;"لا خصم 0"),"✗ خصم",IF(AND(X457="نعم",AC457="لا خصم 0"),"✗ خصم",IF(AND(Z457="ممتاز 100%",AA457="ممتاز 100%",AB457&lt;&gt;"",AB457&lt;&gt;"مكتمل 100%"),"✗ إغلاق",IFERROR(IF(LEN(_xlfn.TEXTJOIN("، ",TRUE,IF(E457="","التاريخ",""),IF(F457="","الوقت",""),IF(G457="","المركز",""),IF(H457="","الدائرة",""),IF(I457="","القسم",""),IF(J457="","المسؤول",""),IF(K457="","نوع النشاط",""),IF(L457="","المشروع",""),IF(N457="","الممول",""),IF(V457="","الموضوع",""),IF(W457="","الملاحظة",""),IF(X457="","مشكلة",""),IF(Y457="","الإجراء",""),IF(Z457="","التنفيذ",""),IF(AA457="","الجودة",""),IF(AB457="","الإغلاق",""),IF(AC457="","الخصم",""),IF(AND(COUNTA($O457:$U457)&gt;0,O457=""),"مدير المشروع",""),IF(AND(COUNTA($O457:$U457)&gt;0,P457=""),"المستفيدين",""),IF(AND(COUNTA($O457:$U457)&gt;0,Q457=""),"المناطق",""),IF(AND(COUNTA($O457:$U457)&gt;0,R457=""),"الميزانية",""),IF(AND(COUNTA($O457:$U457)&gt;0,S457=""),"نسبة الجاهزية",""),IF(AND(COUNTA($O457:$U457)&gt;0,T457=""),"حالة الجاهزية",""),IF(AND(COUNTA($O457:$U457)&gt;0,U457=""),"التوصيات","")))&gt;0,"✗ ناقص: "&amp;_xlfn.TEXTJOIN("، ",TRUE,IF(E457="","التاريخ",""),IF(F457="","الوقت",""),IF(G457="","المركز",""),IF(H457="","الدائرة",""),IF(I457="","القسم",""),IF(J457="","المسؤول",""),IF(K457="","نوع النشاط",""),IF(L457="","المشروع",""),IF(N457="","الممول",""),IF(V457="","الموضوع",""),IF(W457="","الملاحظة",""),IF(X457="","مشكلة",""),IF(Y457="","الإجراء",""),IF(Z457="","التنفيذ",""),IF(AA457="","الجودة",""),IF(AB457="","الإغلاق",""),IF(AC457="","الخصم",""),IF(AND(COUNTA($O457:$U457)&gt;0,O457=""),"مدير المشروع",""),IF(AND(COUNTA($O457:$U457)&gt;0,P457=""),"المستفيدين",""),IF(AND(COUNTA($O457:$U457)&gt;0,Q457=""),"المناطق",""),IF(AND(COUNTA($O457:$U457)&gt;0,R457=""),"الميزانية",""),IF(AND(COUNTA($O457:$U457)&gt;0,S457=""),"نسبة الجاهزية",""),IF(AND(COUNTA($O457:$U457)&gt;0,T457=""),"حالة الجاهزية",""),IF(AND(COUNTA($O457:$U457)&gt;0,U457=""),"التوصيات","")),"✓"),"✓"))))))))))</f>
        <v/>
      </c>
      <c r="E457" s="235"/>
      <c r="F457" s="236"/>
      <c r="G457" s="90"/>
      <c r="H457" s="239"/>
      <c r="I457" s="89"/>
      <c r="J457" s="142"/>
      <c r="K457" s="90"/>
      <c r="L457" s="90"/>
      <c r="M457" s="90"/>
      <c r="N457" s="89"/>
      <c r="O457" s="200"/>
      <c r="P457" s="201"/>
      <c r="Q457" s="201"/>
      <c r="R457" s="237"/>
      <c r="S457" s="202"/>
      <c r="T457" s="200"/>
      <c r="U457" s="203"/>
      <c r="V457" s="89"/>
      <c r="W457" s="89"/>
      <c r="X457" s="145"/>
      <c r="Y457" s="89"/>
      <c r="Z457" s="90"/>
      <c r="AA457" s="90"/>
      <c r="AB457" s="90"/>
      <c r="AC457" s="90"/>
      <c r="AD457" s="92"/>
      <c r="AE457" s="149" t="str">
        <f>IFERROR(VLOOKUP(Z457,LISTS!$AL$2:$AM$1000,2,FALSE()),"")</f>
        <v/>
      </c>
      <c r="AF457" s="151" t="str">
        <f>IFERROR(VLOOKUP(AA457,LISTS!$AO$2:$AP$1000,2,FALSE()),"")</f>
        <v/>
      </c>
      <c r="AG457" s="152" t="str">
        <f>IFERROR(VLOOKUP(AB457,LISTS!$AR$2:$AS$1000,2,FALSE()),"")</f>
        <v/>
      </c>
      <c r="AH457" s="154" t="str">
        <f>IFERROR(VLOOKUP(AC457,LISTS!$AU$2:$AV$1000,2,FALSE()),"")</f>
        <v/>
      </c>
      <c r="AI457" s="238" t="str">
        <f t="shared" si="38"/>
        <v>—</v>
      </c>
      <c r="AJ457" s="190" t="str">
        <f t="shared" si="39"/>
        <v>—</v>
      </c>
      <c r="AK457" s="157" t="str">
        <f t="shared" si="35"/>
        <v/>
      </c>
      <c r="AL457" s="160" t="str">
        <f t="shared" si="36"/>
        <v/>
      </c>
      <c r="AM457" s="210"/>
      <c r="AN457" s="209"/>
    </row>
    <row r="458" spans="1:40" ht="27.95" customHeight="1">
      <c r="A458" s="134" t="str">
        <f>IF(I458&lt;&gt;"",COUNTA($I$2:I458),"")</f>
        <v/>
      </c>
      <c r="B458" s="138" t="str">
        <f t="shared" si="37"/>
        <v/>
      </c>
      <c r="C458" s="93" t="str">
        <f t="array" ref="C458">IF(E458="","",IF(M458&lt;&gt;"",
M458&amp;"/"&amp;SUMPRODUCT((M$2:M458=M458)*1)&amp;" - "&amp;(ROW()-2),
"إداري/"&amp;SUMPRODUCT((M$2:M458="")*1)&amp;" - "&amp;(ROW()-2)))</f>
        <v/>
      </c>
      <c r="D458" s="141" t="str">
        <f>IF(AND(G458="",H458="",I458=""),"",IF(COUNTIFS(LISTS!$A$2:$A$67,G458,LISTS!$B$2:$B$67,H458,LISTS!$C$2:$C$67,I458)=0,"✗ هرم",IF(NOT(OR(Z458="ممتاز 100%",Z458="جيد 80%",Z458="مقبول 60%",Z458="خطر 40%",Z458="")),"✗ قائمة R",IF(NOT(OR(AA458="ممتاز 100%",AA458="جيد 85%",AA458="مقبول 70%",AA458="ضعيف 50%",AA458="")),"✗ قائمة S",IF(NOT(OR(AB458="مكتمل 100%",AB458="جزئي 60%",AB458="معلق 30%",AB458="مفتوح 0%",AB458="")),"✗ قائمة T",IF(NOT(OR(AC458="لا خصم 0",AC458="تأخير −5",AC458="عجز −10",AC458="جودة −15",AC458="امتثال −20",AC458="مخالفة −25",AC458="")),"✗ قائمة U",IF(AND(X458="لا",AC458&lt;&gt;"",AC458&lt;&gt;"لا خصم 0"),"✗ خصم",IF(AND(X458="نعم",AC458="لا خصم 0"),"✗ خصم",IF(AND(Z458="ممتاز 100%",AA458="ممتاز 100%",AB458&lt;&gt;"",AB458&lt;&gt;"مكتمل 100%"),"✗ إغلاق",IFERROR(IF(LEN(_xlfn.TEXTJOIN("، ",TRUE,IF(E458="","التاريخ",""),IF(F458="","الوقت",""),IF(G458="","المركز",""),IF(H458="","الدائرة",""),IF(I458="","القسم",""),IF(J458="","المسؤول",""),IF(K458="","نوع النشاط",""),IF(L458="","المشروع",""),IF(N458="","الممول",""),IF(V458="","الموضوع",""),IF(W458="","الملاحظة",""),IF(X458="","مشكلة",""),IF(Y458="","الإجراء",""),IF(Z458="","التنفيذ",""),IF(AA458="","الجودة",""),IF(AB458="","الإغلاق",""),IF(AC458="","الخصم",""),IF(AND(COUNTA($O458:$U458)&gt;0,O458=""),"مدير المشروع",""),IF(AND(COUNTA($O458:$U458)&gt;0,P458=""),"المستفيدين",""),IF(AND(COUNTA($O458:$U458)&gt;0,Q458=""),"المناطق",""),IF(AND(COUNTA($O458:$U458)&gt;0,R458=""),"الميزانية",""),IF(AND(COUNTA($O458:$U458)&gt;0,S458=""),"نسبة الجاهزية",""),IF(AND(COUNTA($O458:$U458)&gt;0,T458=""),"حالة الجاهزية",""),IF(AND(COUNTA($O458:$U458)&gt;0,U458=""),"التوصيات","")))&gt;0,"✗ ناقص: "&amp;_xlfn.TEXTJOIN("، ",TRUE,IF(E458="","التاريخ",""),IF(F458="","الوقت",""),IF(G458="","المركز",""),IF(H458="","الدائرة",""),IF(I458="","القسم",""),IF(J458="","المسؤول",""),IF(K458="","نوع النشاط",""),IF(L458="","المشروع",""),IF(N458="","الممول",""),IF(V458="","الموضوع",""),IF(W458="","الملاحظة",""),IF(X458="","مشكلة",""),IF(Y458="","الإجراء",""),IF(Z458="","التنفيذ",""),IF(AA458="","الجودة",""),IF(AB458="","الإغلاق",""),IF(AC458="","الخصم",""),IF(AND(COUNTA($O458:$U458)&gt;0,O458=""),"مدير المشروع",""),IF(AND(COUNTA($O458:$U458)&gt;0,P458=""),"المستفيدين",""),IF(AND(COUNTA($O458:$U458)&gt;0,Q458=""),"المناطق",""),IF(AND(COUNTA($O458:$U458)&gt;0,R458=""),"الميزانية",""),IF(AND(COUNTA($O458:$U458)&gt;0,S458=""),"نسبة الجاهزية",""),IF(AND(COUNTA($O458:$U458)&gt;0,T458=""),"حالة الجاهزية",""),IF(AND(COUNTA($O458:$U458)&gt;0,U458=""),"التوصيات","")),"✓"),"✓"))))))))))</f>
        <v/>
      </c>
      <c r="E458" s="235"/>
      <c r="F458" s="236"/>
      <c r="G458" s="90"/>
      <c r="H458" s="239"/>
      <c r="I458" s="89"/>
      <c r="J458" s="142"/>
      <c r="K458" s="90"/>
      <c r="L458" s="90"/>
      <c r="M458" s="90"/>
      <c r="N458" s="89"/>
      <c r="O458" s="200"/>
      <c r="P458" s="201"/>
      <c r="Q458" s="201"/>
      <c r="R458" s="237"/>
      <c r="S458" s="202"/>
      <c r="T458" s="200"/>
      <c r="U458" s="203"/>
      <c r="V458" s="89"/>
      <c r="W458" s="89"/>
      <c r="X458" s="145"/>
      <c r="Y458" s="89"/>
      <c r="Z458" s="90"/>
      <c r="AA458" s="90"/>
      <c r="AB458" s="90"/>
      <c r="AC458" s="90"/>
      <c r="AD458" s="92"/>
      <c r="AE458" s="149" t="str">
        <f>IFERROR(VLOOKUP(Z458,LISTS!$AL$2:$AM$1000,2,FALSE()),"")</f>
        <v/>
      </c>
      <c r="AF458" s="151" t="str">
        <f>IFERROR(VLOOKUP(AA458,LISTS!$AO$2:$AP$1000,2,FALSE()),"")</f>
        <v/>
      </c>
      <c r="AG458" s="152" t="str">
        <f>IFERROR(VLOOKUP(AB458,LISTS!$AR$2:$AS$1000,2,FALSE()),"")</f>
        <v/>
      </c>
      <c r="AH458" s="154" t="str">
        <f>IFERROR(VLOOKUP(AC458,LISTS!$AU$2:$AV$1000,2,FALSE()),"")</f>
        <v/>
      </c>
      <c r="AI458" s="238" t="str">
        <f t="shared" si="38"/>
        <v>—</v>
      </c>
      <c r="AJ458" s="190" t="str">
        <f t="shared" si="39"/>
        <v>—</v>
      </c>
      <c r="AK458" s="157" t="str">
        <f t="shared" si="35"/>
        <v/>
      </c>
      <c r="AL458" s="160" t="str">
        <f t="shared" si="36"/>
        <v/>
      </c>
      <c r="AM458" s="210"/>
      <c r="AN458" s="209"/>
    </row>
    <row r="459" spans="1:40" ht="27.95" customHeight="1">
      <c r="A459" s="134" t="str">
        <f>IF(I459&lt;&gt;"",COUNTA($I$2:I459),"")</f>
        <v/>
      </c>
      <c r="B459" s="138" t="str">
        <f t="shared" si="37"/>
        <v/>
      </c>
      <c r="C459" s="93" t="str">
        <f t="array" ref="C459">IF(E459="","",IF(M459&lt;&gt;"",
M459&amp;"/"&amp;SUMPRODUCT((M$2:M459=M459)*1)&amp;" - "&amp;(ROW()-2),
"إداري/"&amp;SUMPRODUCT((M$2:M459="")*1)&amp;" - "&amp;(ROW()-2)))</f>
        <v/>
      </c>
      <c r="D459" s="141" t="str">
        <f>IF(AND(G459="",H459="",I459=""),"",IF(COUNTIFS(LISTS!$A$2:$A$67,G459,LISTS!$B$2:$B$67,H459,LISTS!$C$2:$C$67,I459)=0,"✗ هرم",IF(NOT(OR(Z459="ممتاز 100%",Z459="جيد 80%",Z459="مقبول 60%",Z459="خطر 40%",Z459="")),"✗ قائمة R",IF(NOT(OR(AA459="ممتاز 100%",AA459="جيد 85%",AA459="مقبول 70%",AA459="ضعيف 50%",AA459="")),"✗ قائمة S",IF(NOT(OR(AB459="مكتمل 100%",AB459="جزئي 60%",AB459="معلق 30%",AB459="مفتوح 0%",AB459="")),"✗ قائمة T",IF(NOT(OR(AC459="لا خصم 0",AC459="تأخير −5",AC459="عجز −10",AC459="جودة −15",AC459="امتثال −20",AC459="مخالفة −25",AC459="")),"✗ قائمة U",IF(AND(X459="لا",AC459&lt;&gt;"",AC459&lt;&gt;"لا خصم 0"),"✗ خصم",IF(AND(X459="نعم",AC459="لا خصم 0"),"✗ خصم",IF(AND(Z459="ممتاز 100%",AA459="ممتاز 100%",AB459&lt;&gt;"",AB459&lt;&gt;"مكتمل 100%"),"✗ إغلاق",IFERROR(IF(LEN(_xlfn.TEXTJOIN("، ",TRUE,IF(E459="","التاريخ",""),IF(F459="","الوقت",""),IF(G459="","المركز",""),IF(H459="","الدائرة",""),IF(I459="","القسم",""),IF(J459="","المسؤول",""),IF(K459="","نوع النشاط",""),IF(L459="","المشروع",""),IF(N459="","الممول",""),IF(V459="","الموضوع",""),IF(W459="","الملاحظة",""),IF(X459="","مشكلة",""),IF(Y459="","الإجراء",""),IF(Z459="","التنفيذ",""),IF(AA459="","الجودة",""),IF(AB459="","الإغلاق",""),IF(AC459="","الخصم",""),IF(AND(COUNTA($O459:$U459)&gt;0,O459=""),"مدير المشروع",""),IF(AND(COUNTA($O459:$U459)&gt;0,P459=""),"المستفيدين",""),IF(AND(COUNTA($O459:$U459)&gt;0,Q459=""),"المناطق",""),IF(AND(COUNTA($O459:$U459)&gt;0,R459=""),"الميزانية",""),IF(AND(COUNTA($O459:$U459)&gt;0,S459=""),"نسبة الجاهزية",""),IF(AND(COUNTA($O459:$U459)&gt;0,T459=""),"حالة الجاهزية",""),IF(AND(COUNTA($O459:$U459)&gt;0,U459=""),"التوصيات","")))&gt;0,"✗ ناقص: "&amp;_xlfn.TEXTJOIN("، ",TRUE,IF(E459="","التاريخ",""),IF(F459="","الوقت",""),IF(G459="","المركز",""),IF(H459="","الدائرة",""),IF(I459="","القسم",""),IF(J459="","المسؤول",""),IF(K459="","نوع النشاط",""),IF(L459="","المشروع",""),IF(N459="","الممول",""),IF(V459="","الموضوع",""),IF(W459="","الملاحظة",""),IF(X459="","مشكلة",""),IF(Y459="","الإجراء",""),IF(Z459="","التنفيذ",""),IF(AA459="","الجودة",""),IF(AB459="","الإغلاق",""),IF(AC459="","الخصم",""),IF(AND(COUNTA($O459:$U459)&gt;0,O459=""),"مدير المشروع",""),IF(AND(COUNTA($O459:$U459)&gt;0,P459=""),"المستفيدين",""),IF(AND(COUNTA($O459:$U459)&gt;0,Q459=""),"المناطق",""),IF(AND(COUNTA($O459:$U459)&gt;0,R459=""),"الميزانية",""),IF(AND(COUNTA($O459:$U459)&gt;0,S459=""),"نسبة الجاهزية",""),IF(AND(COUNTA($O459:$U459)&gt;0,T459=""),"حالة الجاهزية",""),IF(AND(COUNTA($O459:$U459)&gt;0,U459=""),"التوصيات","")),"✓"),"✓"))))))))))</f>
        <v/>
      </c>
      <c r="E459" s="235"/>
      <c r="F459" s="236"/>
      <c r="G459" s="90"/>
      <c r="H459" s="239"/>
      <c r="I459" s="89"/>
      <c r="J459" s="142"/>
      <c r="K459" s="90"/>
      <c r="L459" s="90"/>
      <c r="M459" s="90"/>
      <c r="N459" s="89"/>
      <c r="O459" s="200"/>
      <c r="P459" s="201"/>
      <c r="Q459" s="201"/>
      <c r="R459" s="237"/>
      <c r="S459" s="202"/>
      <c r="T459" s="200"/>
      <c r="U459" s="203"/>
      <c r="V459" s="89"/>
      <c r="W459" s="89"/>
      <c r="X459" s="145"/>
      <c r="Y459" s="89"/>
      <c r="Z459" s="90"/>
      <c r="AA459" s="90"/>
      <c r="AB459" s="90"/>
      <c r="AC459" s="90"/>
      <c r="AD459" s="92"/>
      <c r="AE459" s="149" t="str">
        <f>IFERROR(VLOOKUP(Z459,LISTS!$AL$2:$AM$1000,2,FALSE()),"")</f>
        <v/>
      </c>
      <c r="AF459" s="151" t="str">
        <f>IFERROR(VLOOKUP(AA459,LISTS!$AO$2:$AP$1000,2,FALSE()),"")</f>
        <v/>
      </c>
      <c r="AG459" s="152" t="str">
        <f>IFERROR(VLOOKUP(AB459,LISTS!$AR$2:$AS$1000,2,FALSE()),"")</f>
        <v/>
      </c>
      <c r="AH459" s="154" t="str">
        <f>IFERROR(VLOOKUP(AC459,LISTS!$AU$2:$AV$1000,2,FALSE()),"")</f>
        <v/>
      </c>
      <c r="AI459" s="238" t="str">
        <f t="shared" si="38"/>
        <v>—</v>
      </c>
      <c r="AJ459" s="190" t="str">
        <f t="shared" si="39"/>
        <v>—</v>
      </c>
      <c r="AK459" s="157" t="str">
        <f t="shared" si="35"/>
        <v/>
      </c>
      <c r="AL459" s="160" t="str">
        <f t="shared" si="36"/>
        <v/>
      </c>
      <c r="AM459" s="210"/>
      <c r="AN459" s="209"/>
    </row>
    <row r="460" spans="1:40" ht="27.95" customHeight="1">
      <c r="A460" s="134" t="str">
        <f>IF(I460&lt;&gt;"",COUNTA($I$2:I460),"")</f>
        <v/>
      </c>
      <c r="B460" s="138" t="str">
        <f t="shared" si="37"/>
        <v/>
      </c>
      <c r="C460" s="93" t="str">
        <f t="array" ref="C460">IF(E460="","",IF(M460&lt;&gt;"",
M460&amp;"/"&amp;SUMPRODUCT((M$2:M460=M460)*1)&amp;" - "&amp;(ROW()-2),
"إداري/"&amp;SUMPRODUCT((M$2:M460="")*1)&amp;" - "&amp;(ROW()-2)))</f>
        <v/>
      </c>
      <c r="D460" s="141" t="str">
        <f>IF(AND(G460="",H460="",I460=""),"",IF(COUNTIFS(LISTS!$A$2:$A$67,G460,LISTS!$B$2:$B$67,H460,LISTS!$C$2:$C$67,I460)=0,"✗ هرم",IF(NOT(OR(Z460="ممتاز 100%",Z460="جيد 80%",Z460="مقبول 60%",Z460="خطر 40%",Z460="")),"✗ قائمة R",IF(NOT(OR(AA460="ممتاز 100%",AA460="جيد 85%",AA460="مقبول 70%",AA460="ضعيف 50%",AA460="")),"✗ قائمة S",IF(NOT(OR(AB460="مكتمل 100%",AB460="جزئي 60%",AB460="معلق 30%",AB460="مفتوح 0%",AB460="")),"✗ قائمة T",IF(NOT(OR(AC460="لا خصم 0",AC460="تأخير −5",AC460="عجز −10",AC460="جودة −15",AC460="امتثال −20",AC460="مخالفة −25",AC460="")),"✗ قائمة U",IF(AND(X460="لا",AC460&lt;&gt;"",AC460&lt;&gt;"لا خصم 0"),"✗ خصم",IF(AND(X460="نعم",AC460="لا خصم 0"),"✗ خصم",IF(AND(Z460="ممتاز 100%",AA460="ممتاز 100%",AB460&lt;&gt;"",AB460&lt;&gt;"مكتمل 100%"),"✗ إغلاق",IFERROR(IF(LEN(_xlfn.TEXTJOIN("، ",TRUE,IF(E460="","التاريخ",""),IF(F460="","الوقت",""),IF(G460="","المركز",""),IF(H460="","الدائرة",""),IF(I460="","القسم",""),IF(J460="","المسؤول",""),IF(K460="","نوع النشاط",""),IF(L460="","المشروع",""),IF(N460="","الممول",""),IF(V460="","الموضوع",""),IF(W460="","الملاحظة",""),IF(X460="","مشكلة",""),IF(Y460="","الإجراء",""),IF(Z460="","التنفيذ",""),IF(AA460="","الجودة",""),IF(AB460="","الإغلاق",""),IF(AC460="","الخصم",""),IF(AND(COUNTA($O460:$U460)&gt;0,O460=""),"مدير المشروع",""),IF(AND(COUNTA($O460:$U460)&gt;0,P460=""),"المستفيدين",""),IF(AND(COUNTA($O460:$U460)&gt;0,Q460=""),"المناطق",""),IF(AND(COUNTA($O460:$U460)&gt;0,R460=""),"الميزانية",""),IF(AND(COUNTA($O460:$U460)&gt;0,S460=""),"نسبة الجاهزية",""),IF(AND(COUNTA($O460:$U460)&gt;0,T460=""),"حالة الجاهزية",""),IF(AND(COUNTA($O460:$U460)&gt;0,U460=""),"التوصيات","")))&gt;0,"✗ ناقص: "&amp;_xlfn.TEXTJOIN("، ",TRUE,IF(E460="","التاريخ",""),IF(F460="","الوقت",""),IF(G460="","المركز",""),IF(H460="","الدائرة",""),IF(I460="","القسم",""),IF(J460="","المسؤول",""),IF(K460="","نوع النشاط",""),IF(L460="","المشروع",""),IF(N460="","الممول",""),IF(V460="","الموضوع",""),IF(W460="","الملاحظة",""),IF(X460="","مشكلة",""),IF(Y460="","الإجراء",""),IF(Z460="","التنفيذ",""),IF(AA460="","الجودة",""),IF(AB460="","الإغلاق",""),IF(AC460="","الخصم",""),IF(AND(COUNTA($O460:$U460)&gt;0,O460=""),"مدير المشروع",""),IF(AND(COUNTA($O460:$U460)&gt;0,P460=""),"المستفيدين",""),IF(AND(COUNTA($O460:$U460)&gt;0,Q460=""),"المناطق",""),IF(AND(COUNTA($O460:$U460)&gt;0,R460=""),"الميزانية",""),IF(AND(COUNTA($O460:$U460)&gt;0,S460=""),"نسبة الجاهزية",""),IF(AND(COUNTA($O460:$U460)&gt;0,T460=""),"حالة الجاهزية",""),IF(AND(COUNTA($O460:$U460)&gt;0,U460=""),"التوصيات","")),"✓"),"✓"))))))))))</f>
        <v/>
      </c>
      <c r="E460" s="235"/>
      <c r="F460" s="236"/>
      <c r="G460" s="90"/>
      <c r="H460" s="239"/>
      <c r="I460" s="89"/>
      <c r="J460" s="142"/>
      <c r="K460" s="90"/>
      <c r="L460" s="90"/>
      <c r="M460" s="90"/>
      <c r="N460" s="89"/>
      <c r="O460" s="200"/>
      <c r="P460" s="201"/>
      <c r="Q460" s="201"/>
      <c r="R460" s="237"/>
      <c r="S460" s="202"/>
      <c r="T460" s="200"/>
      <c r="U460" s="203"/>
      <c r="V460" s="89"/>
      <c r="W460" s="89"/>
      <c r="X460" s="145"/>
      <c r="Y460" s="89"/>
      <c r="Z460" s="90"/>
      <c r="AA460" s="90"/>
      <c r="AB460" s="90"/>
      <c r="AC460" s="90"/>
      <c r="AD460" s="92"/>
      <c r="AE460" s="149" t="str">
        <f>IFERROR(VLOOKUP(Z460,LISTS!$AL$2:$AM$1000,2,FALSE()),"")</f>
        <v/>
      </c>
      <c r="AF460" s="151" t="str">
        <f>IFERROR(VLOOKUP(AA460,LISTS!$AO$2:$AP$1000,2,FALSE()),"")</f>
        <v/>
      </c>
      <c r="AG460" s="152" t="str">
        <f>IFERROR(VLOOKUP(AB460,LISTS!$AR$2:$AS$1000,2,FALSE()),"")</f>
        <v/>
      </c>
      <c r="AH460" s="154" t="str">
        <f>IFERROR(VLOOKUP(AC460,LISTS!$AU$2:$AV$1000,2,FALSE()),"")</f>
        <v/>
      </c>
      <c r="AI460" s="238" t="str">
        <f t="shared" si="38"/>
        <v>—</v>
      </c>
      <c r="AJ460" s="190" t="str">
        <f t="shared" si="39"/>
        <v>—</v>
      </c>
      <c r="AK460" s="157" t="str">
        <f t="shared" si="35"/>
        <v/>
      </c>
      <c r="AL460" s="160" t="str">
        <f t="shared" si="36"/>
        <v/>
      </c>
      <c r="AM460" s="210"/>
      <c r="AN460" s="209"/>
    </row>
    <row r="461" spans="1:40" ht="27.95" customHeight="1">
      <c r="A461" s="134" t="str">
        <f>IF(I461&lt;&gt;"",COUNTA($I$2:I461),"")</f>
        <v/>
      </c>
      <c r="B461" s="138" t="str">
        <f t="shared" si="37"/>
        <v/>
      </c>
      <c r="C461" s="93" t="str">
        <f t="array" ref="C461">IF(E461="","",IF(M461&lt;&gt;"",
M461&amp;"/"&amp;SUMPRODUCT((M$2:M461=M461)*1)&amp;" - "&amp;(ROW()-2),
"إداري/"&amp;SUMPRODUCT((M$2:M461="")*1)&amp;" - "&amp;(ROW()-2)))</f>
        <v/>
      </c>
      <c r="D461" s="141" t="str">
        <f>IF(AND(G461="",H461="",I461=""),"",IF(COUNTIFS(LISTS!$A$2:$A$67,G461,LISTS!$B$2:$B$67,H461,LISTS!$C$2:$C$67,I461)=0,"✗ هرم",IF(NOT(OR(Z461="ممتاز 100%",Z461="جيد 80%",Z461="مقبول 60%",Z461="خطر 40%",Z461="")),"✗ قائمة R",IF(NOT(OR(AA461="ممتاز 100%",AA461="جيد 85%",AA461="مقبول 70%",AA461="ضعيف 50%",AA461="")),"✗ قائمة S",IF(NOT(OR(AB461="مكتمل 100%",AB461="جزئي 60%",AB461="معلق 30%",AB461="مفتوح 0%",AB461="")),"✗ قائمة T",IF(NOT(OR(AC461="لا خصم 0",AC461="تأخير −5",AC461="عجز −10",AC461="جودة −15",AC461="امتثال −20",AC461="مخالفة −25",AC461="")),"✗ قائمة U",IF(AND(X461="لا",AC461&lt;&gt;"",AC461&lt;&gt;"لا خصم 0"),"✗ خصم",IF(AND(X461="نعم",AC461="لا خصم 0"),"✗ خصم",IF(AND(Z461="ممتاز 100%",AA461="ممتاز 100%",AB461&lt;&gt;"",AB461&lt;&gt;"مكتمل 100%"),"✗ إغلاق",IFERROR(IF(LEN(_xlfn.TEXTJOIN("، ",TRUE,IF(E461="","التاريخ",""),IF(F461="","الوقت",""),IF(G461="","المركز",""),IF(H461="","الدائرة",""),IF(I461="","القسم",""),IF(J461="","المسؤول",""),IF(K461="","نوع النشاط",""),IF(L461="","المشروع",""),IF(N461="","الممول",""),IF(V461="","الموضوع",""),IF(W461="","الملاحظة",""),IF(X461="","مشكلة",""),IF(Y461="","الإجراء",""),IF(Z461="","التنفيذ",""),IF(AA461="","الجودة",""),IF(AB461="","الإغلاق",""),IF(AC461="","الخصم",""),IF(AND(COUNTA($O461:$U461)&gt;0,O461=""),"مدير المشروع",""),IF(AND(COUNTA($O461:$U461)&gt;0,P461=""),"المستفيدين",""),IF(AND(COUNTA($O461:$U461)&gt;0,Q461=""),"المناطق",""),IF(AND(COUNTA($O461:$U461)&gt;0,R461=""),"الميزانية",""),IF(AND(COUNTA($O461:$U461)&gt;0,S461=""),"نسبة الجاهزية",""),IF(AND(COUNTA($O461:$U461)&gt;0,T461=""),"حالة الجاهزية",""),IF(AND(COUNTA($O461:$U461)&gt;0,U461=""),"التوصيات","")))&gt;0,"✗ ناقص: "&amp;_xlfn.TEXTJOIN("، ",TRUE,IF(E461="","التاريخ",""),IF(F461="","الوقت",""),IF(G461="","المركز",""),IF(H461="","الدائرة",""),IF(I461="","القسم",""),IF(J461="","المسؤول",""),IF(K461="","نوع النشاط",""),IF(L461="","المشروع",""),IF(N461="","الممول",""),IF(V461="","الموضوع",""),IF(W461="","الملاحظة",""),IF(X461="","مشكلة",""),IF(Y461="","الإجراء",""),IF(Z461="","التنفيذ",""),IF(AA461="","الجودة",""),IF(AB461="","الإغلاق",""),IF(AC461="","الخصم",""),IF(AND(COUNTA($O461:$U461)&gt;0,O461=""),"مدير المشروع",""),IF(AND(COUNTA($O461:$U461)&gt;0,P461=""),"المستفيدين",""),IF(AND(COUNTA($O461:$U461)&gt;0,Q461=""),"المناطق",""),IF(AND(COUNTA($O461:$U461)&gt;0,R461=""),"الميزانية",""),IF(AND(COUNTA($O461:$U461)&gt;0,S461=""),"نسبة الجاهزية",""),IF(AND(COUNTA($O461:$U461)&gt;0,T461=""),"حالة الجاهزية",""),IF(AND(COUNTA($O461:$U461)&gt;0,U461=""),"التوصيات","")),"✓"),"✓"))))))))))</f>
        <v/>
      </c>
      <c r="E461" s="235"/>
      <c r="F461" s="236"/>
      <c r="G461" s="90"/>
      <c r="H461" s="239"/>
      <c r="I461" s="89"/>
      <c r="J461" s="142"/>
      <c r="K461" s="90"/>
      <c r="L461" s="90"/>
      <c r="M461" s="90"/>
      <c r="N461" s="89"/>
      <c r="O461" s="200"/>
      <c r="P461" s="201"/>
      <c r="Q461" s="201"/>
      <c r="R461" s="237"/>
      <c r="S461" s="202"/>
      <c r="T461" s="200"/>
      <c r="U461" s="203"/>
      <c r="V461" s="89"/>
      <c r="W461" s="89"/>
      <c r="X461" s="145"/>
      <c r="Y461" s="89"/>
      <c r="Z461" s="90"/>
      <c r="AA461" s="90"/>
      <c r="AB461" s="90"/>
      <c r="AC461" s="90"/>
      <c r="AD461" s="92"/>
      <c r="AE461" s="149" t="str">
        <f>IFERROR(VLOOKUP(Z461,LISTS!$AL$2:$AM$1000,2,FALSE()),"")</f>
        <v/>
      </c>
      <c r="AF461" s="151" t="str">
        <f>IFERROR(VLOOKUP(AA461,LISTS!$AO$2:$AP$1000,2,FALSE()),"")</f>
        <v/>
      </c>
      <c r="AG461" s="152" t="str">
        <f>IFERROR(VLOOKUP(AB461,LISTS!$AR$2:$AS$1000,2,FALSE()),"")</f>
        <v/>
      </c>
      <c r="AH461" s="154" t="str">
        <f>IFERROR(VLOOKUP(AC461,LISTS!$AU$2:$AV$1000,2,FALSE()),"")</f>
        <v/>
      </c>
      <c r="AI461" s="238" t="str">
        <f t="shared" si="38"/>
        <v>—</v>
      </c>
      <c r="AJ461" s="190" t="str">
        <f t="shared" si="39"/>
        <v>—</v>
      </c>
      <c r="AK461" s="157" t="str">
        <f t="shared" si="35"/>
        <v/>
      </c>
      <c r="AL461" s="160" t="str">
        <f t="shared" si="36"/>
        <v/>
      </c>
      <c r="AM461" s="210"/>
      <c r="AN461" s="209"/>
    </row>
    <row r="462" spans="1:40" ht="27.95" customHeight="1">
      <c r="A462" s="134" t="str">
        <f>IF(I462&lt;&gt;"",COUNTA($I$2:I462),"")</f>
        <v/>
      </c>
      <c r="B462" s="138" t="str">
        <f t="shared" si="37"/>
        <v/>
      </c>
      <c r="C462" s="93" t="str">
        <f t="array" ref="C462">IF(E462="","",IF(M462&lt;&gt;"",
M462&amp;"/"&amp;SUMPRODUCT((M$2:M462=M462)*1)&amp;" - "&amp;(ROW()-2),
"إداري/"&amp;SUMPRODUCT((M$2:M462="")*1)&amp;" - "&amp;(ROW()-2)))</f>
        <v/>
      </c>
      <c r="D462" s="141" t="str">
        <f>IF(AND(G462="",H462="",I462=""),"",IF(COUNTIFS(LISTS!$A$2:$A$67,G462,LISTS!$B$2:$B$67,H462,LISTS!$C$2:$C$67,I462)=0,"✗ هرم",IF(NOT(OR(Z462="ممتاز 100%",Z462="جيد 80%",Z462="مقبول 60%",Z462="خطر 40%",Z462="")),"✗ قائمة R",IF(NOT(OR(AA462="ممتاز 100%",AA462="جيد 85%",AA462="مقبول 70%",AA462="ضعيف 50%",AA462="")),"✗ قائمة S",IF(NOT(OR(AB462="مكتمل 100%",AB462="جزئي 60%",AB462="معلق 30%",AB462="مفتوح 0%",AB462="")),"✗ قائمة T",IF(NOT(OR(AC462="لا خصم 0",AC462="تأخير −5",AC462="عجز −10",AC462="جودة −15",AC462="امتثال −20",AC462="مخالفة −25",AC462="")),"✗ قائمة U",IF(AND(X462="لا",AC462&lt;&gt;"",AC462&lt;&gt;"لا خصم 0"),"✗ خصم",IF(AND(X462="نعم",AC462="لا خصم 0"),"✗ خصم",IF(AND(Z462="ممتاز 100%",AA462="ممتاز 100%",AB462&lt;&gt;"",AB462&lt;&gt;"مكتمل 100%"),"✗ إغلاق",IFERROR(IF(LEN(_xlfn.TEXTJOIN("، ",TRUE,IF(E462="","التاريخ",""),IF(F462="","الوقت",""),IF(G462="","المركز",""),IF(H462="","الدائرة",""),IF(I462="","القسم",""),IF(J462="","المسؤول",""),IF(K462="","نوع النشاط",""),IF(L462="","المشروع",""),IF(N462="","الممول",""),IF(V462="","الموضوع",""),IF(W462="","الملاحظة",""),IF(X462="","مشكلة",""),IF(Y462="","الإجراء",""),IF(Z462="","التنفيذ",""),IF(AA462="","الجودة",""),IF(AB462="","الإغلاق",""),IF(AC462="","الخصم",""),IF(AND(COUNTA($O462:$U462)&gt;0,O462=""),"مدير المشروع",""),IF(AND(COUNTA($O462:$U462)&gt;0,P462=""),"المستفيدين",""),IF(AND(COUNTA($O462:$U462)&gt;0,Q462=""),"المناطق",""),IF(AND(COUNTA($O462:$U462)&gt;0,R462=""),"الميزانية",""),IF(AND(COUNTA($O462:$U462)&gt;0,S462=""),"نسبة الجاهزية",""),IF(AND(COUNTA($O462:$U462)&gt;0,T462=""),"حالة الجاهزية",""),IF(AND(COUNTA($O462:$U462)&gt;0,U462=""),"التوصيات","")))&gt;0,"✗ ناقص: "&amp;_xlfn.TEXTJOIN("، ",TRUE,IF(E462="","التاريخ",""),IF(F462="","الوقت",""),IF(G462="","المركز",""),IF(H462="","الدائرة",""),IF(I462="","القسم",""),IF(J462="","المسؤول",""),IF(K462="","نوع النشاط",""),IF(L462="","المشروع",""),IF(N462="","الممول",""),IF(V462="","الموضوع",""),IF(W462="","الملاحظة",""),IF(X462="","مشكلة",""),IF(Y462="","الإجراء",""),IF(Z462="","التنفيذ",""),IF(AA462="","الجودة",""),IF(AB462="","الإغلاق",""),IF(AC462="","الخصم",""),IF(AND(COUNTA($O462:$U462)&gt;0,O462=""),"مدير المشروع",""),IF(AND(COUNTA($O462:$U462)&gt;0,P462=""),"المستفيدين",""),IF(AND(COUNTA($O462:$U462)&gt;0,Q462=""),"المناطق",""),IF(AND(COUNTA($O462:$U462)&gt;0,R462=""),"الميزانية",""),IF(AND(COUNTA($O462:$U462)&gt;0,S462=""),"نسبة الجاهزية",""),IF(AND(COUNTA($O462:$U462)&gt;0,T462=""),"حالة الجاهزية",""),IF(AND(COUNTA($O462:$U462)&gt;0,U462=""),"التوصيات","")),"✓"),"✓"))))))))))</f>
        <v/>
      </c>
      <c r="E462" s="235"/>
      <c r="F462" s="236"/>
      <c r="G462" s="90"/>
      <c r="H462" s="239"/>
      <c r="I462" s="89"/>
      <c r="J462" s="142"/>
      <c r="K462" s="90"/>
      <c r="L462" s="90"/>
      <c r="M462" s="90"/>
      <c r="N462" s="89"/>
      <c r="O462" s="200"/>
      <c r="P462" s="201"/>
      <c r="Q462" s="201"/>
      <c r="R462" s="237"/>
      <c r="S462" s="202"/>
      <c r="T462" s="200"/>
      <c r="U462" s="203"/>
      <c r="V462" s="89"/>
      <c r="W462" s="89"/>
      <c r="X462" s="145"/>
      <c r="Y462" s="89"/>
      <c r="Z462" s="90"/>
      <c r="AA462" s="90"/>
      <c r="AB462" s="90"/>
      <c r="AC462" s="90"/>
      <c r="AD462" s="92"/>
      <c r="AE462" s="149" t="str">
        <f>IFERROR(VLOOKUP(Z462,LISTS!$AL$2:$AM$1000,2,FALSE()),"")</f>
        <v/>
      </c>
      <c r="AF462" s="151" t="str">
        <f>IFERROR(VLOOKUP(AA462,LISTS!$AO$2:$AP$1000,2,FALSE()),"")</f>
        <v/>
      </c>
      <c r="AG462" s="152" t="str">
        <f>IFERROR(VLOOKUP(AB462,LISTS!$AR$2:$AS$1000,2,FALSE()),"")</f>
        <v/>
      </c>
      <c r="AH462" s="154" t="str">
        <f>IFERROR(VLOOKUP(AC462,LISTS!$AU$2:$AV$1000,2,FALSE()),"")</f>
        <v/>
      </c>
      <c r="AI462" s="238" t="str">
        <f t="shared" si="38"/>
        <v>—</v>
      </c>
      <c r="AJ462" s="190" t="str">
        <f t="shared" si="39"/>
        <v>—</v>
      </c>
      <c r="AK462" s="157" t="str">
        <f t="shared" si="35"/>
        <v/>
      </c>
      <c r="AL462" s="160" t="str">
        <f t="shared" si="36"/>
        <v/>
      </c>
      <c r="AM462" s="210"/>
      <c r="AN462" s="209"/>
    </row>
    <row r="463" spans="1:40" ht="27.95" customHeight="1">
      <c r="A463" s="134" t="str">
        <f>IF(I463&lt;&gt;"",COUNTA($I$2:I463),"")</f>
        <v/>
      </c>
      <c r="B463" s="138" t="str">
        <f t="shared" si="37"/>
        <v/>
      </c>
      <c r="C463" s="93" t="str">
        <f t="array" ref="C463">IF(E463="","",IF(M463&lt;&gt;"",
M463&amp;"/"&amp;SUMPRODUCT((M$2:M463=M463)*1)&amp;" - "&amp;(ROW()-2),
"إداري/"&amp;SUMPRODUCT((M$2:M463="")*1)&amp;" - "&amp;(ROW()-2)))</f>
        <v/>
      </c>
      <c r="D463" s="141" t="str">
        <f>IF(AND(G463="",H463="",I463=""),"",IF(COUNTIFS(LISTS!$A$2:$A$67,G463,LISTS!$B$2:$B$67,H463,LISTS!$C$2:$C$67,I463)=0,"✗ هرم",IF(NOT(OR(Z463="ممتاز 100%",Z463="جيد 80%",Z463="مقبول 60%",Z463="خطر 40%",Z463="")),"✗ قائمة R",IF(NOT(OR(AA463="ممتاز 100%",AA463="جيد 85%",AA463="مقبول 70%",AA463="ضعيف 50%",AA463="")),"✗ قائمة S",IF(NOT(OR(AB463="مكتمل 100%",AB463="جزئي 60%",AB463="معلق 30%",AB463="مفتوح 0%",AB463="")),"✗ قائمة T",IF(NOT(OR(AC463="لا خصم 0",AC463="تأخير −5",AC463="عجز −10",AC463="جودة −15",AC463="امتثال −20",AC463="مخالفة −25",AC463="")),"✗ قائمة U",IF(AND(X463="لا",AC463&lt;&gt;"",AC463&lt;&gt;"لا خصم 0"),"✗ خصم",IF(AND(X463="نعم",AC463="لا خصم 0"),"✗ خصم",IF(AND(Z463="ممتاز 100%",AA463="ممتاز 100%",AB463&lt;&gt;"",AB463&lt;&gt;"مكتمل 100%"),"✗ إغلاق",IFERROR(IF(LEN(_xlfn.TEXTJOIN("، ",TRUE,IF(E463="","التاريخ",""),IF(F463="","الوقت",""),IF(G463="","المركز",""),IF(H463="","الدائرة",""),IF(I463="","القسم",""),IF(J463="","المسؤول",""),IF(K463="","نوع النشاط",""),IF(L463="","المشروع",""),IF(N463="","الممول",""),IF(V463="","الموضوع",""),IF(W463="","الملاحظة",""),IF(X463="","مشكلة",""),IF(Y463="","الإجراء",""),IF(Z463="","التنفيذ",""),IF(AA463="","الجودة",""),IF(AB463="","الإغلاق",""),IF(AC463="","الخصم",""),IF(AND(COUNTA($O463:$U463)&gt;0,O463=""),"مدير المشروع",""),IF(AND(COUNTA($O463:$U463)&gt;0,P463=""),"المستفيدين",""),IF(AND(COUNTA($O463:$U463)&gt;0,Q463=""),"المناطق",""),IF(AND(COUNTA($O463:$U463)&gt;0,R463=""),"الميزانية",""),IF(AND(COUNTA($O463:$U463)&gt;0,S463=""),"نسبة الجاهزية",""),IF(AND(COUNTA($O463:$U463)&gt;0,T463=""),"حالة الجاهزية",""),IF(AND(COUNTA($O463:$U463)&gt;0,U463=""),"التوصيات","")))&gt;0,"✗ ناقص: "&amp;_xlfn.TEXTJOIN("، ",TRUE,IF(E463="","التاريخ",""),IF(F463="","الوقت",""),IF(G463="","المركز",""),IF(H463="","الدائرة",""),IF(I463="","القسم",""),IF(J463="","المسؤول",""),IF(K463="","نوع النشاط",""),IF(L463="","المشروع",""),IF(N463="","الممول",""),IF(V463="","الموضوع",""),IF(W463="","الملاحظة",""),IF(X463="","مشكلة",""),IF(Y463="","الإجراء",""),IF(Z463="","التنفيذ",""),IF(AA463="","الجودة",""),IF(AB463="","الإغلاق",""),IF(AC463="","الخصم",""),IF(AND(COUNTA($O463:$U463)&gt;0,O463=""),"مدير المشروع",""),IF(AND(COUNTA($O463:$U463)&gt;0,P463=""),"المستفيدين",""),IF(AND(COUNTA($O463:$U463)&gt;0,Q463=""),"المناطق",""),IF(AND(COUNTA($O463:$U463)&gt;0,R463=""),"الميزانية",""),IF(AND(COUNTA($O463:$U463)&gt;0,S463=""),"نسبة الجاهزية",""),IF(AND(COUNTA($O463:$U463)&gt;0,T463=""),"حالة الجاهزية",""),IF(AND(COUNTA($O463:$U463)&gt;0,U463=""),"التوصيات","")),"✓"),"✓"))))))))))</f>
        <v/>
      </c>
      <c r="E463" s="235"/>
      <c r="F463" s="236"/>
      <c r="G463" s="90"/>
      <c r="H463" s="239"/>
      <c r="I463" s="89"/>
      <c r="J463" s="142"/>
      <c r="K463" s="90"/>
      <c r="L463" s="90"/>
      <c r="M463" s="90"/>
      <c r="N463" s="89"/>
      <c r="O463" s="200"/>
      <c r="P463" s="201"/>
      <c r="Q463" s="201"/>
      <c r="R463" s="237"/>
      <c r="S463" s="202"/>
      <c r="T463" s="200"/>
      <c r="U463" s="203"/>
      <c r="V463" s="89"/>
      <c r="W463" s="89"/>
      <c r="X463" s="145"/>
      <c r="Y463" s="89"/>
      <c r="Z463" s="90"/>
      <c r="AA463" s="90"/>
      <c r="AB463" s="90"/>
      <c r="AC463" s="90"/>
      <c r="AD463" s="92"/>
      <c r="AE463" s="149" t="str">
        <f>IFERROR(VLOOKUP(Z463,LISTS!$AL$2:$AM$1000,2,FALSE()),"")</f>
        <v/>
      </c>
      <c r="AF463" s="151" t="str">
        <f>IFERROR(VLOOKUP(AA463,LISTS!$AO$2:$AP$1000,2,FALSE()),"")</f>
        <v/>
      </c>
      <c r="AG463" s="152" t="str">
        <f>IFERROR(VLOOKUP(AB463,LISTS!$AR$2:$AS$1000,2,FALSE()),"")</f>
        <v/>
      </c>
      <c r="AH463" s="154" t="str">
        <f>IFERROR(VLOOKUP(AC463,LISTS!$AU$2:$AV$1000,2,FALSE()),"")</f>
        <v/>
      </c>
      <c r="AI463" s="238" t="str">
        <f t="shared" si="38"/>
        <v>—</v>
      </c>
      <c r="AJ463" s="190" t="str">
        <f t="shared" si="39"/>
        <v>—</v>
      </c>
      <c r="AK463" s="157" t="str">
        <f t="shared" si="35"/>
        <v/>
      </c>
      <c r="AL463" s="160" t="str">
        <f t="shared" si="36"/>
        <v/>
      </c>
      <c r="AM463" s="210"/>
      <c r="AN463" s="209"/>
    </row>
    <row r="464" spans="1:40" ht="27.95" customHeight="1">
      <c r="A464" s="134" t="str">
        <f>IF(I464&lt;&gt;"",COUNTA($I$2:I464),"")</f>
        <v/>
      </c>
      <c r="B464" s="138" t="str">
        <f t="shared" si="37"/>
        <v/>
      </c>
      <c r="C464" s="93" t="str">
        <f t="array" ref="C464">IF(E464="","",IF(M464&lt;&gt;"",
M464&amp;"/"&amp;SUMPRODUCT((M$2:M464=M464)*1)&amp;" - "&amp;(ROW()-2),
"إداري/"&amp;SUMPRODUCT((M$2:M464="")*1)&amp;" - "&amp;(ROW()-2)))</f>
        <v/>
      </c>
      <c r="D464" s="141" t="str">
        <f>IF(AND(G464="",H464="",I464=""),"",IF(COUNTIFS(LISTS!$A$2:$A$67,G464,LISTS!$B$2:$B$67,H464,LISTS!$C$2:$C$67,I464)=0,"✗ هرم",IF(NOT(OR(Z464="ممتاز 100%",Z464="جيد 80%",Z464="مقبول 60%",Z464="خطر 40%",Z464="")),"✗ قائمة R",IF(NOT(OR(AA464="ممتاز 100%",AA464="جيد 85%",AA464="مقبول 70%",AA464="ضعيف 50%",AA464="")),"✗ قائمة S",IF(NOT(OR(AB464="مكتمل 100%",AB464="جزئي 60%",AB464="معلق 30%",AB464="مفتوح 0%",AB464="")),"✗ قائمة T",IF(NOT(OR(AC464="لا خصم 0",AC464="تأخير −5",AC464="عجز −10",AC464="جودة −15",AC464="امتثال −20",AC464="مخالفة −25",AC464="")),"✗ قائمة U",IF(AND(X464="لا",AC464&lt;&gt;"",AC464&lt;&gt;"لا خصم 0"),"✗ خصم",IF(AND(X464="نعم",AC464="لا خصم 0"),"✗ خصم",IF(AND(Z464="ممتاز 100%",AA464="ممتاز 100%",AB464&lt;&gt;"",AB464&lt;&gt;"مكتمل 100%"),"✗ إغلاق",IFERROR(IF(LEN(_xlfn.TEXTJOIN("، ",TRUE,IF(E464="","التاريخ",""),IF(F464="","الوقت",""),IF(G464="","المركز",""),IF(H464="","الدائرة",""),IF(I464="","القسم",""),IF(J464="","المسؤول",""),IF(K464="","نوع النشاط",""),IF(L464="","المشروع",""),IF(N464="","الممول",""),IF(V464="","الموضوع",""),IF(W464="","الملاحظة",""),IF(X464="","مشكلة",""),IF(Y464="","الإجراء",""),IF(Z464="","التنفيذ",""),IF(AA464="","الجودة",""),IF(AB464="","الإغلاق",""),IF(AC464="","الخصم",""),IF(AND(COUNTA($O464:$U464)&gt;0,O464=""),"مدير المشروع",""),IF(AND(COUNTA($O464:$U464)&gt;0,P464=""),"المستفيدين",""),IF(AND(COUNTA($O464:$U464)&gt;0,Q464=""),"المناطق",""),IF(AND(COUNTA($O464:$U464)&gt;0,R464=""),"الميزانية",""),IF(AND(COUNTA($O464:$U464)&gt;0,S464=""),"نسبة الجاهزية",""),IF(AND(COUNTA($O464:$U464)&gt;0,T464=""),"حالة الجاهزية",""),IF(AND(COUNTA($O464:$U464)&gt;0,U464=""),"التوصيات","")))&gt;0,"✗ ناقص: "&amp;_xlfn.TEXTJOIN("، ",TRUE,IF(E464="","التاريخ",""),IF(F464="","الوقت",""),IF(G464="","المركز",""),IF(H464="","الدائرة",""),IF(I464="","القسم",""),IF(J464="","المسؤول",""),IF(K464="","نوع النشاط",""),IF(L464="","المشروع",""),IF(N464="","الممول",""),IF(V464="","الموضوع",""),IF(W464="","الملاحظة",""),IF(X464="","مشكلة",""),IF(Y464="","الإجراء",""),IF(Z464="","التنفيذ",""),IF(AA464="","الجودة",""),IF(AB464="","الإغلاق",""),IF(AC464="","الخصم",""),IF(AND(COUNTA($O464:$U464)&gt;0,O464=""),"مدير المشروع",""),IF(AND(COUNTA($O464:$U464)&gt;0,P464=""),"المستفيدين",""),IF(AND(COUNTA($O464:$U464)&gt;0,Q464=""),"المناطق",""),IF(AND(COUNTA($O464:$U464)&gt;0,R464=""),"الميزانية",""),IF(AND(COUNTA($O464:$U464)&gt;0,S464=""),"نسبة الجاهزية",""),IF(AND(COUNTA($O464:$U464)&gt;0,T464=""),"حالة الجاهزية",""),IF(AND(COUNTA($O464:$U464)&gt;0,U464=""),"التوصيات","")),"✓"),"✓"))))))))))</f>
        <v/>
      </c>
      <c r="E464" s="235"/>
      <c r="F464" s="236"/>
      <c r="G464" s="90"/>
      <c r="H464" s="239"/>
      <c r="I464" s="89"/>
      <c r="J464" s="142"/>
      <c r="K464" s="90"/>
      <c r="L464" s="90"/>
      <c r="M464" s="90"/>
      <c r="N464" s="89"/>
      <c r="O464" s="200"/>
      <c r="P464" s="201"/>
      <c r="Q464" s="201"/>
      <c r="R464" s="237"/>
      <c r="S464" s="202"/>
      <c r="T464" s="200"/>
      <c r="U464" s="203"/>
      <c r="V464" s="89"/>
      <c r="W464" s="89"/>
      <c r="X464" s="145"/>
      <c r="Y464" s="89"/>
      <c r="Z464" s="90"/>
      <c r="AA464" s="90"/>
      <c r="AB464" s="90"/>
      <c r="AC464" s="90"/>
      <c r="AD464" s="92"/>
      <c r="AE464" s="149" t="str">
        <f>IFERROR(VLOOKUP(Z464,LISTS!$AL$2:$AM$1000,2,FALSE()),"")</f>
        <v/>
      </c>
      <c r="AF464" s="151" t="str">
        <f>IFERROR(VLOOKUP(AA464,LISTS!$AO$2:$AP$1000,2,FALSE()),"")</f>
        <v/>
      </c>
      <c r="AG464" s="152" t="str">
        <f>IFERROR(VLOOKUP(AB464,LISTS!$AR$2:$AS$1000,2,FALSE()),"")</f>
        <v/>
      </c>
      <c r="AH464" s="154" t="str">
        <f>IFERROR(VLOOKUP(AC464,LISTS!$AU$2:$AV$1000,2,FALSE()),"")</f>
        <v/>
      </c>
      <c r="AI464" s="238" t="str">
        <f t="shared" si="38"/>
        <v>—</v>
      </c>
      <c r="AJ464" s="190" t="str">
        <f t="shared" si="39"/>
        <v>—</v>
      </c>
      <c r="AK464" s="157" t="str">
        <f t="shared" si="35"/>
        <v/>
      </c>
      <c r="AL464" s="160" t="str">
        <f t="shared" si="36"/>
        <v/>
      </c>
      <c r="AM464" s="210"/>
      <c r="AN464" s="209"/>
    </row>
    <row r="465" spans="1:40" ht="27.95" customHeight="1">
      <c r="A465" s="134" t="str">
        <f>IF(I465&lt;&gt;"",COUNTA($I$2:I465),"")</f>
        <v/>
      </c>
      <c r="B465" s="138" t="str">
        <f t="shared" si="37"/>
        <v/>
      </c>
      <c r="C465" s="93" t="str">
        <f t="array" ref="C465">IF(E465="","",IF(M465&lt;&gt;"",
M465&amp;"/"&amp;SUMPRODUCT((M$2:M465=M465)*1)&amp;" - "&amp;(ROW()-2),
"إداري/"&amp;SUMPRODUCT((M$2:M465="")*1)&amp;" - "&amp;(ROW()-2)))</f>
        <v/>
      </c>
      <c r="D465" s="141" t="str">
        <f>IF(AND(G465="",H465="",I465=""),"",IF(COUNTIFS(LISTS!$A$2:$A$67,G465,LISTS!$B$2:$B$67,H465,LISTS!$C$2:$C$67,I465)=0,"✗ هرم",IF(NOT(OR(Z465="ممتاز 100%",Z465="جيد 80%",Z465="مقبول 60%",Z465="خطر 40%",Z465="")),"✗ قائمة R",IF(NOT(OR(AA465="ممتاز 100%",AA465="جيد 85%",AA465="مقبول 70%",AA465="ضعيف 50%",AA465="")),"✗ قائمة S",IF(NOT(OR(AB465="مكتمل 100%",AB465="جزئي 60%",AB465="معلق 30%",AB465="مفتوح 0%",AB465="")),"✗ قائمة T",IF(NOT(OR(AC465="لا خصم 0",AC465="تأخير −5",AC465="عجز −10",AC465="جودة −15",AC465="امتثال −20",AC465="مخالفة −25",AC465="")),"✗ قائمة U",IF(AND(X465="لا",AC465&lt;&gt;"",AC465&lt;&gt;"لا خصم 0"),"✗ خصم",IF(AND(X465="نعم",AC465="لا خصم 0"),"✗ خصم",IF(AND(Z465="ممتاز 100%",AA465="ممتاز 100%",AB465&lt;&gt;"",AB465&lt;&gt;"مكتمل 100%"),"✗ إغلاق",IFERROR(IF(LEN(_xlfn.TEXTJOIN("، ",TRUE,IF(E465="","التاريخ",""),IF(F465="","الوقت",""),IF(G465="","المركز",""),IF(H465="","الدائرة",""),IF(I465="","القسم",""),IF(J465="","المسؤول",""),IF(K465="","نوع النشاط",""),IF(L465="","المشروع",""),IF(N465="","الممول",""),IF(V465="","الموضوع",""),IF(W465="","الملاحظة",""),IF(X465="","مشكلة",""),IF(Y465="","الإجراء",""),IF(Z465="","التنفيذ",""),IF(AA465="","الجودة",""),IF(AB465="","الإغلاق",""),IF(AC465="","الخصم",""),IF(AND(COUNTA($O465:$U465)&gt;0,O465=""),"مدير المشروع",""),IF(AND(COUNTA($O465:$U465)&gt;0,P465=""),"المستفيدين",""),IF(AND(COUNTA($O465:$U465)&gt;0,Q465=""),"المناطق",""),IF(AND(COUNTA($O465:$U465)&gt;0,R465=""),"الميزانية",""),IF(AND(COUNTA($O465:$U465)&gt;0,S465=""),"نسبة الجاهزية",""),IF(AND(COUNTA($O465:$U465)&gt;0,T465=""),"حالة الجاهزية",""),IF(AND(COUNTA($O465:$U465)&gt;0,U465=""),"التوصيات","")))&gt;0,"✗ ناقص: "&amp;_xlfn.TEXTJOIN("، ",TRUE,IF(E465="","التاريخ",""),IF(F465="","الوقت",""),IF(G465="","المركز",""),IF(H465="","الدائرة",""),IF(I465="","القسم",""),IF(J465="","المسؤول",""),IF(K465="","نوع النشاط",""),IF(L465="","المشروع",""),IF(N465="","الممول",""),IF(V465="","الموضوع",""),IF(W465="","الملاحظة",""),IF(X465="","مشكلة",""),IF(Y465="","الإجراء",""),IF(Z465="","التنفيذ",""),IF(AA465="","الجودة",""),IF(AB465="","الإغلاق",""),IF(AC465="","الخصم",""),IF(AND(COUNTA($O465:$U465)&gt;0,O465=""),"مدير المشروع",""),IF(AND(COUNTA($O465:$U465)&gt;0,P465=""),"المستفيدين",""),IF(AND(COUNTA($O465:$U465)&gt;0,Q465=""),"المناطق",""),IF(AND(COUNTA($O465:$U465)&gt;0,R465=""),"الميزانية",""),IF(AND(COUNTA($O465:$U465)&gt;0,S465=""),"نسبة الجاهزية",""),IF(AND(COUNTA($O465:$U465)&gt;0,T465=""),"حالة الجاهزية",""),IF(AND(COUNTA($O465:$U465)&gt;0,U465=""),"التوصيات","")),"✓"),"✓"))))))))))</f>
        <v/>
      </c>
      <c r="E465" s="235"/>
      <c r="F465" s="236"/>
      <c r="G465" s="90"/>
      <c r="H465" s="239"/>
      <c r="I465" s="89"/>
      <c r="J465" s="142"/>
      <c r="K465" s="90"/>
      <c r="L465" s="90"/>
      <c r="M465" s="90"/>
      <c r="N465" s="89"/>
      <c r="O465" s="200"/>
      <c r="P465" s="201"/>
      <c r="Q465" s="201"/>
      <c r="R465" s="237"/>
      <c r="S465" s="202"/>
      <c r="T465" s="200"/>
      <c r="U465" s="203"/>
      <c r="V465" s="89"/>
      <c r="W465" s="89"/>
      <c r="X465" s="145"/>
      <c r="Y465" s="89"/>
      <c r="Z465" s="90"/>
      <c r="AA465" s="90"/>
      <c r="AB465" s="90"/>
      <c r="AC465" s="90"/>
      <c r="AD465" s="92"/>
      <c r="AE465" s="149" t="str">
        <f>IFERROR(VLOOKUP(Z465,LISTS!$AL$2:$AM$1000,2,FALSE()),"")</f>
        <v/>
      </c>
      <c r="AF465" s="151" t="str">
        <f>IFERROR(VLOOKUP(AA465,LISTS!$AO$2:$AP$1000,2,FALSE()),"")</f>
        <v/>
      </c>
      <c r="AG465" s="152" t="str">
        <f>IFERROR(VLOOKUP(AB465,LISTS!$AR$2:$AS$1000,2,FALSE()),"")</f>
        <v/>
      </c>
      <c r="AH465" s="154" t="str">
        <f>IFERROR(VLOOKUP(AC465,LISTS!$AU$2:$AV$1000,2,FALSE()),"")</f>
        <v/>
      </c>
      <c r="AI465" s="238" t="str">
        <f t="shared" si="38"/>
        <v>—</v>
      </c>
      <c r="AJ465" s="190" t="str">
        <f t="shared" si="39"/>
        <v>—</v>
      </c>
      <c r="AK465" s="157" t="str">
        <f t="shared" si="35"/>
        <v/>
      </c>
      <c r="AL465" s="160" t="str">
        <f t="shared" si="36"/>
        <v/>
      </c>
      <c r="AM465" s="210"/>
      <c r="AN465" s="209"/>
    </row>
    <row r="466" spans="1:40" ht="27.95" customHeight="1">
      <c r="A466" s="134" t="str">
        <f>IF(I466&lt;&gt;"",COUNTA($I$2:I466),"")</f>
        <v/>
      </c>
      <c r="B466" s="138" t="str">
        <f t="shared" si="37"/>
        <v/>
      </c>
      <c r="C466" s="93" t="str">
        <f t="array" ref="C466">IF(E466="","",IF(M466&lt;&gt;"",
M466&amp;"/"&amp;SUMPRODUCT((M$2:M466=M466)*1)&amp;" - "&amp;(ROW()-2),
"إداري/"&amp;SUMPRODUCT((M$2:M466="")*1)&amp;" - "&amp;(ROW()-2)))</f>
        <v/>
      </c>
      <c r="D466" s="141" t="str">
        <f>IF(AND(G466="",H466="",I466=""),"",IF(COUNTIFS(LISTS!$A$2:$A$67,G466,LISTS!$B$2:$B$67,H466,LISTS!$C$2:$C$67,I466)=0,"✗ هرم",IF(NOT(OR(Z466="ممتاز 100%",Z466="جيد 80%",Z466="مقبول 60%",Z466="خطر 40%",Z466="")),"✗ قائمة R",IF(NOT(OR(AA466="ممتاز 100%",AA466="جيد 85%",AA466="مقبول 70%",AA466="ضعيف 50%",AA466="")),"✗ قائمة S",IF(NOT(OR(AB466="مكتمل 100%",AB466="جزئي 60%",AB466="معلق 30%",AB466="مفتوح 0%",AB466="")),"✗ قائمة T",IF(NOT(OR(AC466="لا خصم 0",AC466="تأخير −5",AC466="عجز −10",AC466="جودة −15",AC466="امتثال −20",AC466="مخالفة −25",AC466="")),"✗ قائمة U",IF(AND(X466="لا",AC466&lt;&gt;"",AC466&lt;&gt;"لا خصم 0"),"✗ خصم",IF(AND(X466="نعم",AC466="لا خصم 0"),"✗ خصم",IF(AND(Z466="ممتاز 100%",AA466="ممتاز 100%",AB466&lt;&gt;"",AB466&lt;&gt;"مكتمل 100%"),"✗ إغلاق",IFERROR(IF(LEN(_xlfn.TEXTJOIN("، ",TRUE,IF(E466="","التاريخ",""),IF(F466="","الوقت",""),IF(G466="","المركز",""),IF(H466="","الدائرة",""),IF(I466="","القسم",""),IF(J466="","المسؤول",""),IF(K466="","نوع النشاط",""),IF(L466="","المشروع",""),IF(N466="","الممول",""),IF(V466="","الموضوع",""),IF(W466="","الملاحظة",""),IF(X466="","مشكلة",""),IF(Y466="","الإجراء",""),IF(Z466="","التنفيذ",""),IF(AA466="","الجودة",""),IF(AB466="","الإغلاق",""),IF(AC466="","الخصم",""),IF(AND(COUNTA($O466:$U466)&gt;0,O466=""),"مدير المشروع",""),IF(AND(COUNTA($O466:$U466)&gt;0,P466=""),"المستفيدين",""),IF(AND(COUNTA($O466:$U466)&gt;0,Q466=""),"المناطق",""),IF(AND(COUNTA($O466:$U466)&gt;0,R466=""),"الميزانية",""),IF(AND(COUNTA($O466:$U466)&gt;0,S466=""),"نسبة الجاهزية",""),IF(AND(COUNTA($O466:$U466)&gt;0,T466=""),"حالة الجاهزية",""),IF(AND(COUNTA($O466:$U466)&gt;0,U466=""),"التوصيات","")))&gt;0,"✗ ناقص: "&amp;_xlfn.TEXTJOIN("، ",TRUE,IF(E466="","التاريخ",""),IF(F466="","الوقت",""),IF(G466="","المركز",""),IF(H466="","الدائرة",""),IF(I466="","القسم",""),IF(J466="","المسؤول",""),IF(K466="","نوع النشاط",""),IF(L466="","المشروع",""),IF(N466="","الممول",""),IF(V466="","الموضوع",""),IF(W466="","الملاحظة",""),IF(X466="","مشكلة",""),IF(Y466="","الإجراء",""),IF(Z466="","التنفيذ",""),IF(AA466="","الجودة",""),IF(AB466="","الإغلاق",""),IF(AC466="","الخصم",""),IF(AND(COUNTA($O466:$U466)&gt;0,O466=""),"مدير المشروع",""),IF(AND(COUNTA($O466:$U466)&gt;0,P466=""),"المستفيدين",""),IF(AND(COUNTA($O466:$U466)&gt;0,Q466=""),"المناطق",""),IF(AND(COUNTA($O466:$U466)&gt;0,R466=""),"الميزانية",""),IF(AND(COUNTA($O466:$U466)&gt;0,S466=""),"نسبة الجاهزية",""),IF(AND(COUNTA($O466:$U466)&gt;0,T466=""),"حالة الجاهزية",""),IF(AND(COUNTA($O466:$U466)&gt;0,U466=""),"التوصيات","")),"✓"),"✓"))))))))))</f>
        <v/>
      </c>
      <c r="E466" s="235"/>
      <c r="F466" s="236"/>
      <c r="G466" s="90"/>
      <c r="H466" s="239"/>
      <c r="I466" s="89"/>
      <c r="J466" s="142"/>
      <c r="K466" s="90"/>
      <c r="L466" s="90"/>
      <c r="M466" s="90"/>
      <c r="N466" s="89"/>
      <c r="O466" s="200"/>
      <c r="P466" s="201"/>
      <c r="Q466" s="201"/>
      <c r="R466" s="237"/>
      <c r="S466" s="202"/>
      <c r="T466" s="200"/>
      <c r="U466" s="203"/>
      <c r="V466" s="89"/>
      <c r="W466" s="89"/>
      <c r="X466" s="145"/>
      <c r="Y466" s="89"/>
      <c r="Z466" s="90"/>
      <c r="AA466" s="90"/>
      <c r="AB466" s="90"/>
      <c r="AC466" s="90"/>
      <c r="AD466" s="92"/>
      <c r="AE466" s="149" t="str">
        <f>IFERROR(VLOOKUP(Z466,LISTS!$AL$2:$AM$1000,2,FALSE()),"")</f>
        <v/>
      </c>
      <c r="AF466" s="151" t="str">
        <f>IFERROR(VLOOKUP(AA466,LISTS!$AO$2:$AP$1000,2,FALSE()),"")</f>
        <v/>
      </c>
      <c r="AG466" s="152" t="str">
        <f>IFERROR(VLOOKUP(AB466,LISTS!$AR$2:$AS$1000,2,FALSE()),"")</f>
        <v/>
      </c>
      <c r="AH466" s="154" t="str">
        <f>IFERROR(VLOOKUP(AC466,LISTS!$AU$2:$AV$1000,2,FALSE()),"")</f>
        <v/>
      </c>
      <c r="AI466" s="238" t="str">
        <f t="shared" si="38"/>
        <v>—</v>
      </c>
      <c r="AJ466" s="190" t="str">
        <f t="shared" si="39"/>
        <v>—</v>
      </c>
      <c r="AK466" s="157" t="str">
        <f t="shared" si="35"/>
        <v/>
      </c>
      <c r="AL466" s="160" t="str">
        <f t="shared" si="36"/>
        <v/>
      </c>
      <c r="AM466" s="210"/>
      <c r="AN466" s="209"/>
    </row>
    <row r="467" spans="1:40" ht="27.95" customHeight="1">
      <c r="A467" s="134" t="str">
        <f>IF(I467&lt;&gt;"",COUNTA($I$2:I467),"")</f>
        <v/>
      </c>
      <c r="B467" s="138" t="str">
        <f t="shared" si="37"/>
        <v/>
      </c>
      <c r="C467" s="93" t="str">
        <f t="array" ref="C467">IF(E467="","",IF(M467&lt;&gt;"",
M467&amp;"/"&amp;SUMPRODUCT((M$2:M467=M467)*1)&amp;" - "&amp;(ROW()-2),
"إداري/"&amp;SUMPRODUCT((M$2:M467="")*1)&amp;" - "&amp;(ROW()-2)))</f>
        <v/>
      </c>
      <c r="D467" s="141" t="str">
        <f>IF(AND(G467="",H467="",I467=""),"",IF(COUNTIFS(LISTS!$A$2:$A$67,G467,LISTS!$B$2:$B$67,H467,LISTS!$C$2:$C$67,I467)=0,"✗ هرم",IF(NOT(OR(Z467="ممتاز 100%",Z467="جيد 80%",Z467="مقبول 60%",Z467="خطر 40%",Z467="")),"✗ قائمة R",IF(NOT(OR(AA467="ممتاز 100%",AA467="جيد 85%",AA467="مقبول 70%",AA467="ضعيف 50%",AA467="")),"✗ قائمة S",IF(NOT(OR(AB467="مكتمل 100%",AB467="جزئي 60%",AB467="معلق 30%",AB467="مفتوح 0%",AB467="")),"✗ قائمة T",IF(NOT(OR(AC467="لا خصم 0",AC467="تأخير −5",AC467="عجز −10",AC467="جودة −15",AC467="امتثال −20",AC467="مخالفة −25",AC467="")),"✗ قائمة U",IF(AND(X467="لا",AC467&lt;&gt;"",AC467&lt;&gt;"لا خصم 0"),"✗ خصم",IF(AND(X467="نعم",AC467="لا خصم 0"),"✗ خصم",IF(AND(Z467="ممتاز 100%",AA467="ممتاز 100%",AB467&lt;&gt;"",AB467&lt;&gt;"مكتمل 100%"),"✗ إغلاق",IFERROR(IF(LEN(_xlfn.TEXTJOIN("، ",TRUE,IF(E467="","التاريخ",""),IF(F467="","الوقت",""),IF(G467="","المركز",""),IF(H467="","الدائرة",""),IF(I467="","القسم",""),IF(J467="","المسؤول",""),IF(K467="","نوع النشاط",""),IF(L467="","المشروع",""),IF(N467="","الممول",""),IF(V467="","الموضوع",""),IF(W467="","الملاحظة",""),IF(X467="","مشكلة",""),IF(Y467="","الإجراء",""),IF(Z467="","التنفيذ",""),IF(AA467="","الجودة",""),IF(AB467="","الإغلاق",""),IF(AC467="","الخصم",""),IF(AND(COUNTA($O467:$U467)&gt;0,O467=""),"مدير المشروع",""),IF(AND(COUNTA($O467:$U467)&gt;0,P467=""),"المستفيدين",""),IF(AND(COUNTA($O467:$U467)&gt;0,Q467=""),"المناطق",""),IF(AND(COUNTA($O467:$U467)&gt;0,R467=""),"الميزانية",""),IF(AND(COUNTA($O467:$U467)&gt;0,S467=""),"نسبة الجاهزية",""),IF(AND(COUNTA($O467:$U467)&gt;0,T467=""),"حالة الجاهزية",""),IF(AND(COUNTA($O467:$U467)&gt;0,U467=""),"التوصيات","")))&gt;0,"✗ ناقص: "&amp;_xlfn.TEXTJOIN("، ",TRUE,IF(E467="","التاريخ",""),IF(F467="","الوقت",""),IF(G467="","المركز",""),IF(H467="","الدائرة",""),IF(I467="","القسم",""),IF(J467="","المسؤول",""),IF(K467="","نوع النشاط",""),IF(L467="","المشروع",""),IF(N467="","الممول",""),IF(V467="","الموضوع",""),IF(W467="","الملاحظة",""),IF(X467="","مشكلة",""),IF(Y467="","الإجراء",""),IF(Z467="","التنفيذ",""),IF(AA467="","الجودة",""),IF(AB467="","الإغلاق",""),IF(AC467="","الخصم",""),IF(AND(COUNTA($O467:$U467)&gt;0,O467=""),"مدير المشروع",""),IF(AND(COUNTA($O467:$U467)&gt;0,P467=""),"المستفيدين",""),IF(AND(COUNTA($O467:$U467)&gt;0,Q467=""),"المناطق",""),IF(AND(COUNTA($O467:$U467)&gt;0,R467=""),"الميزانية",""),IF(AND(COUNTA($O467:$U467)&gt;0,S467=""),"نسبة الجاهزية",""),IF(AND(COUNTA($O467:$U467)&gt;0,T467=""),"حالة الجاهزية",""),IF(AND(COUNTA($O467:$U467)&gt;0,U467=""),"التوصيات","")),"✓"),"✓"))))))))))</f>
        <v/>
      </c>
      <c r="E467" s="235"/>
      <c r="F467" s="236"/>
      <c r="G467" s="90"/>
      <c r="H467" s="239"/>
      <c r="I467" s="89"/>
      <c r="J467" s="142"/>
      <c r="K467" s="90"/>
      <c r="L467" s="90"/>
      <c r="M467" s="90"/>
      <c r="N467" s="89"/>
      <c r="O467" s="200"/>
      <c r="P467" s="201"/>
      <c r="Q467" s="201"/>
      <c r="R467" s="237"/>
      <c r="S467" s="202"/>
      <c r="T467" s="200"/>
      <c r="U467" s="203"/>
      <c r="V467" s="89"/>
      <c r="W467" s="89"/>
      <c r="X467" s="145"/>
      <c r="Y467" s="89"/>
      <c r="Z467" s="90"/>
      <c r="AA467" s="90"/>
      <c r="AB467" s="90"/>
      <c r="AC467" s="90"/>
      <c r="AD467" s="92"/>
      <c r="AE467" s="149" t="str">
        <f>IFERROR(VLOOKUP(Z467,LISTS!$AL$2:$AM$1000,2,FALSE()),"")</f>
        <v/>
      </c>
      <c r="AF467" s="151" t="str">
        <f>IFERROR(VLOOKUP(AA467,LISTS!$AO$2:$AP$1000,2,FALSE()),"")</f>
        <v/>
      </c>
      <c r="AG467" s="152" t="str">
        <f>IFERROR(VLOOKUP(AB467,LISTS!$AR$2:$AS$1000,2,FALSE()),"")</f>
        <v/>
      </c>
      <c r="AH467" s="154" t="str">
        <f>IFERROR(VLOOKUP(AC467,LISTS!$AU$2:$AV$1000,2,FALSE()),"")</f>
        <v/>
      </c>
      <c r="AI467" s="238" t="str">
        <f t="shared" si="38"/>
        <v>—</v>
      </c>
      <c r="AJ467" s="190" t="str">
        <f t="shared" si="39"/>
        <v>—</v>
      </c>
      <c r="AK467" s="157" t="str">
        <f t="shared" si="35"/>
        <v/>
      </c>
      <c r="AL467" s="160" t="str">
        <f t="shared" si="36"/>
        <v/>
      </c>
      <c r="AM467" s="210"/>
      <c r="AN467" s="209"/>
    </row>
    <row r="468" spans="1:40" ht="27.95" customHeight="1">
      <c r="A468" s="134" t="str">
        <f>IF(I468&lt;&gt;"",COUNTA($I$2:I468),"")</f>
        <v/>
      </c>
      <c r="B468" s="138" t="str">
        <f t="shared" si="37"/>
        <v/>
      </c>
      <c r="C468" s="93" t="str">
        <f t="array" ref="C468">IF(E468="","",IF(M468&lt;&gt;"",
M468&amp;"/"&amp;SUMPRODUCT((M$2:M468=M468)*1)&amp;" - "&amp;(ROW()-2),
"إداري/"&amp;SUMPRODUCT((M$2:M468="")*1)&amp;" - "&amp;(ROW()-2)))</f>
        <v/>
      </c>
      <c r="D468" s="141" t="str">
        <f>IF(AND(G468="",H468="",I468=""),"",IF(COUNTIFS(LISTS!$A$2:$A$67,G468,LISTS!$B$2:$B$67,H468,LISTS!$C$2:$C$67,I468)=0,"✗ هرم",IF(NOT(OR(Z468="ممتاز 100%",Z468="جيد 80%",Z468="مقبول 60%",Z468="خطر 40%",Z468="")),"✗ قائمة R",IF(NOT(OR(AA468="ممتاز 100%",AA468="جيد 85%",AA468="مقبول 70%",AA468="ضعيف 50%",AA468="")),"✗ قائمة S",IF(NOT(OR(AB468="مكتمل 100%",AB468="جزئي 60%",AB468="معلق 30%",AB468="مفتوح 0%",AB468="")),"✗ قائمة T",IF(NOT(OR(AC468="لا خصم 0",AC468="تأخير −5",AC468="عجز −10",AC468="جودة −15",AC468="امتثال −20",AC468="مخالفة −25",AC468="")),"✗ قائمة U",IF(AND(X468="لا",AC468&lt;&gt;"",AC468&lt;&gt;"لا خصم 0"),"✗ خصم",IF(AND(X468="نعم",AC468="لا خصم 0"),"✗ خصم",IF(AND(Z468="ممتاز 100%",AA468="ممتاز 100%",AB468&lt;&gt;"",AB468&lt;&gt;"مكتمل 100%"),"✗ إغلاق",IFERROR(IF(LEN(_xlfn.TEXTJOIN("، ",TRUE,IF(E468="","التاريخ",""),IF(F468="","الوقت",""),IF(G468="","المركز",""),IF(H468="","الدائرة",""),IF(I468="","القسم",""),IF(J468="","المسؤول",""),IF(K468="","نوع النشاط",""),IF(L468="","المشروع",""),IF(N468="","الممول",""),IF(V468="","الموضوع",""),IF(W468="","الملاحظة",""),IF(X468="","مشكلة",""),IF(Y468="","الإجراء",""),IF(Z468="","التنفيذ",""),IF(AA468="","الجودة",""),IF(AB468="","الإغلاق",""),IF(AC468="","الخصم",""),IF(AND(COUNTA($O468:$U468)&gt;0,O468=""),"مدير المشروع",""),IF(AND(COUNTA($O468:$U468)&gt;0,P468=""),"المستفيدين",""),IF(AND(COUNTA($O468:$U468)&gt;0,Q468=""),"المناطق",""),IF(AND(COUNTA($O468:$U468)&gt;0,R468=""),"الميزانية",""),IF(AND(COUNTA($O468:$U468)&gt;0,S468=""),"نسبة الجاهزية",""),IF(AND(COUNTA($O468:$U468)&gt;0,T468=""),"حالة الجاهزية",""),IF(AND(COUNTA($O468:$U468)&gt;0,U468=""),"التوصيات","")))&gt;0,"✗ ناقص: "&amp;_xlfn.TEXTJOIN("، ",TRUE,IF(E468="","التاريخ",""),IF(F468="","الوقت",""),IF(G468="","المركز",""),IF(H468="","الدائرة",""),IF(I468="","القسم",""),IF(J468="","المسؤول",""),IF(K468="","نوع النشاط",""),IF(L468="","المشروع",""),IF(N468="","الممول",""),IF(V468="","الموضوع",""),IF(W468="","الملاحظة",""),IF(X468="","مشكلة",""),IF(Y468="","الإجراء",""),IF(Z468="","التنفيذ",""),IF(AA468="","الجودة",""),IF(AB468="","الإغلاق",""),IF(AC468="","الخصم",""),IF(AND(COUNTA($O468:$U468)&gt;0,O468=""),"مدير المشروع",""),IF(AND(COUNTA($O468:$U468)&gt;0,P468=""),"المستفيدين",""),IF(AND(COUNTA($O468:$U468)&gt;0,Q468=""),"المناطق",""),IF(AND(COUNTA($O468:$U468)&gt;0,R468=""),"الميزانية",""),IF(AND(COUNTA($O468:$U468)&gt;0,S468=""),"نسبة الجاهزية",""),IF(AND(COUNTA($O468:$U468)&gt;0,T468=""),"حالة الجاهزية",""),IF(AND(COUNTA($O468:$U468)&gt;0,U468=""),"التوصيات","")),"✓"),"✓"))))))))))</f>
        <v/>
      </c>
      <c r="E468" s="235"/>
      <c r="F468" s="236"/>
      <c r="G468" s="90"/>
      <c r="H468" s="239"/>
      <c r="I468" s="89"/>
      <c r="J468" s="142"/>
      <c r="K468" s="90"/>
      <c r="L468" s="90"/>
      <c r="M468" s="90"/>
      <c r="N468" s="89"/>
      <c r="O468" s="200"/>
      <c r="P468" s="201"/>
      <c r="Q468" s="201"/>
      <c r="R468" s="237"/>
      <c r="S468" s="202"/>
      <c r="T468" s="200"/>
      <c r="U468" s="203"/>
      <c r="V468" s="89"/>
      <c r="W468" s="89"/>
      <c r="X468" s="145"/>
      <c r="Y468" s="89"/>
      <c r="Z468" s="90"/>
      <c r="AA468" s="90"/>
      <c r="AB468" s="90"/>
      <c r="AC468" s="90"/>
      <c r="AD468" s="92"/>
      <c r="AE468" s="149" t="str">
        <f>IFERROR(VLOOKUP(Z468,LISTS!$AL$2:$AM$1000,2,FALSE()),"")</f>
        <v/>
      </c>
      <c r="AF468" s="151" t="str">
        <f>IFERROR(VLOOKUP(AA468,LISTS!$AO$2:$AP$1000,2,FALSE()),"")</f>
        <v/>
      </c>
      <c r="AG468" s="152" t="str">
        <f>IFERROR(VLOOKUP(AB468,LISTS!$AR$2:$AS$1000,2,FALSE()),"")</f>
        <v/>
      </c>
      <c r="AH468" s="154" t="str">
        <f>IFERROR(VLOOKUP(AC468,LISTS!$AU$2:$AV$1000,2,FALSE()),"")</f>
        <v/>
      </c>
      <c r="AI468" s="238" t="str">
        <f t="shared" si="38"/>
        <v>—</v>
      </c>
      <c r="AJ468" s="190" t="str">
        <f t="shared" si="39"/>
        <v>—</v>
      </c>
      <c r="AK468" s="157" t="str">
        <f t="shared" si="35"/>
        <v/>
      </c>
      <c r="AL468" s="160" t="str">
        <f t="shared" si="36"/>
        <v/>
      </c>
      <c r="AM468" s="210"/>
      <c r="AN468" s="209"/>
    </row>
    <row r="469" spans="1:40" ht="27.95" customHeight="1">
      <c r="A469" s="134" t="str">
        <f>IF(I469&lt;&gt;"",COUNTA($I$2:I469),"")</f>
        <v/>
      </c>
      <c r="B469" s="138" t="str">
        <f t="shared" si="37"/>
        <v/>
      </c>
      <c r="C469" s="93" t="str">
        <f t="array" ref="C469">IF(E469="","",IF(M469&lt;&gt;"",
M469&amp;"/"&amp;SUMPRODUCT((M$2:M469=M469)*1)&amp;" - "&amp;(ROW()-2),
"إداري/"&amp;SUMPRODUCT((M$2:M469="")*1)&amp;" - "&amp;(ROW()-2)))</f>
        <v/>
      </c>
      <c r="D469" s="141" t="str">
        <f>IF(AND(G469="",H469="",I469=""),"",IF(COUNTIFS(LISTS!$A$2:$A$67,G469,LISTS!$B$2:$B$67,H469,LISTS!$C$2:$C$67,I469)=0,"✗ هرم",IF(NOT(OR(Z469="ممتاز 100%",Z469="جيد 80%",Z469="مقبول 60%",Z469="خطر 40%",Z469="")),"✗ قائمة R",IF(NOT(OR(AA469="ممتاز 100%",AA469="جيد 85%",AA469="مقبول 70%",AA469="ضعيف 50%",AA469="")),"✗ قائمة S",IF(NOT(OR(AB469="مكتمل 100%",AB469="جزئي 60%",AB469="معلق 30%",AB469="مفتوح 0%",AB469="")),"✗ قائمة T",IF(NOT(OR(AC469="لا خصم 0",AC469="تأخير −5",AC469="عجز −10",AC469="جودة −15",AC469="امتثال −20",AC469="مخالفة −25",AC469="")),"✗ قائمة U",IF(AND(X469="لا",AC469&lt;&gt;"",AC469&lt;&gt;"لا خصم 0"),"✗ خصم",IF(AND(X469="نعم",AC469="لا خصم 0"),"✗ خصم",IF(AND(Z469="ممتاز 100%",AA469="ممتاز 100%",AB469&lt;&gt;"",AB469&lt;&gt;"مكتمل 100%"),"✗ إغلاق",IFERROR(IF(LEN(_xlfn.TEXTJOIN("، ",TRUE,IF(E469="","التاريخ",""),IF(F469="","الوقت",""),IF(G469="","المركز",""),IF(H469="","الدائرة",""),IF(I469="","القسم",""),IF(J469="","المسؤول",""),IF(K469="","نوع النشاط",""),IF(L469="","المشروع",""),IF(N469="","الممول",""),IF(V469="","الموضوع",""),IF(W469="","الملاحظة",""),IF(X469="","مشكلة",""),IF(Y469="","الإجراء",""),IF(Z469="","التنفيذ",""),IF(AA469="","الجودة",""),IF(AB469="","الإغلاق",""),IF(AC469="","الخصم",""),IF(AND(COUNTA($O469:$U469)&gt;0,O469=""),"مدير المشروع",""),IF(AND(COUNTA($O469:$U469)&gt;0,P469=""),"المستفيدين",""),IF(AND(COUNTA($O469:$U469)&gt;0,Q469=""),"المناطق",""),IF(AND(COUNTA($O469:$U469)&gt;0,R469=""),"الميزانية",""),IF(AND(COUNTA($O469:$U469)&gt;0,S469=""),"نسبة الجاهزية",""),IF(AND(COUNTA($O469:$U469)&gt;0,T469=""),"حالة الجاهزية",""),IF(AND(COUNTA($O469:$U469)&gt;0,U469=""),"التوصيات","")))&gt;0,"✗ ناقص: "&amp;_xlfn.TEXTJOIN("، ",TRUE,IF(E469="","التاريخ",""),IF(F469="","الوقت",""),IF(G469="","المركز",""),IF(H469="","الدائرة",""),IF(I469="","القسم",""),IF(J469="","المسؤول",""),IF(K469="","نوع النشاط",""),IF(L469="","المشروع",""),IF(N469="","الممول",""),IF(V469="","الموضوع",""),IF(W469="","الملاحظة",""),IF(X469="","مشكلة",""),IF(Y469="","الإجراء",""),IF(Z469="","التنفيذ",""),IF(AA469="","الجودة",""),IF(AB469="","الإغلاق",""),IF(AC469="","الخصم",""),IF(AND(COUNTA($O469:$U469)&gt;0,O469=""),"مدير المشروع",""),IF(AND(COUNTA($O469:$U469)&gt;0,P469=""),"المستفيدين",""),IF(AND(COUNTA($O469:$U469)&gt;0,Q469=""),"المناطق",""),IF(AND(COUNTA($O469:$U469)&gt;0,R469=""),"الميزانية",""),IF(AND(COUNTA($O469:$U469)&gt;0,S469=""),"نسبة الجاهزية",""),IF(AND(COUNTA($O469:$U469)&gt;0,T469=""),"حالة الجاهزية",""),IF(AND(COUNTA($O469:$U469)&gt;0,U469=""),"التوصيات","")),"✓"),"✓"))))))))))</f>
        <v/>
      </c>
      <c r="E469" s="235"/>
      <c r="F469" s="236"/>
      <c r="G469" s="90"/>
      <c r="H469" s="239"/>
      <c r="I469" s="89"/>
      <c r="J469" s="142"/>
      <c r="K469" s="90"/>
      <c r="L469" s="90"/>
      <c r="M469" s="90"/>
      <c r="N469" s="89"/>
      <c r="O469" s="200"/>
      <c r="P469" s="201"/>
      <c r="Q469" s="201"/>
      <c r="R469" s="237"/>
      <c r="S469" s="202"/>
      <c r="T469" s="200"/>
      <c r="U469" s="203"/>
      <c r="V469" s="89"/>
      <c r="W469" s="89"/>
      <c r="X469" s="145"/>
      <c r="Y469" s="89"/>
      <c r="Z469" s="90"/>
      <c r="AA469" s="90"/>
      <c r="AB469" s="90"/>
      <c r="AC469" s="90"/>
      <c r="AD469" s="92"/>
      <c r="AE469" s="149" t="str">
        <f>IFERROR(VLOOKUP(Z469,LISTS!$AL$2:$AM$1000,2,FALSE()),"")</f>
        <v/>
      </c>
      <c r="AF469" s="151" t="str">
        <f>IFERROR(VLOOKUP(AA469,LISTS!$AO$2:$AP$1000,2,FALSE()),"")</f>
        <v/>
      </c>
      <c r="AG469" s="152" t="str">
        <f>IFERROR(VLOOKUP(AB469,LISTS!$AR$2:$AS$1000,2,FALSE()),"")</f>
        <v/>
      </c>
      <c r="AH469" s="154" t="str">
        <f>IFERROR(VLOOKUP(AC469,LISTS!$AU$2:$AV$1000,2,FALSE()),"")</f>
        <v/>
      </c>
      <c r="AI469" s="238" t="str">
        <f t="shared" si="38"/>
        <v>—</v>
      </c>
      <c r="AJ469" s="190" t="str">
        <f t="shared" si="39"/>
        <v>—</v>
      </c>
      <c r="AK469" s="157" t="str">
        <f t="shared" si="35"/>
        <v/>
      </c>
      <c r="AL469" s="160" t="str">
        <f t="shared" si="36"/>
        <v/>
      </c>
      <c r="AM469" s="210"/>
      <c r="AN469" s="209"/>
    </row>
    <row r="470" spans="1:40" ht="27.95" customHeight="1">
      <c r="A470" s="134" t="str">
        <f>IF(I470&lt;&gt;"",COUNTA($I$2:I470),"")</f>
        <v/>
      </c>
      <c r="B470" s="138" t="str">
        <f t="shared" si="37"/>
        <v/>
      </c>
      <c r="C470" s="93" t="str">
        <f t="array" ref="C470">IF(E470="","",IF(M470&lt;&gt;"",
M470&amp;"/"&amp;SUMPRODUCT((M$2:M470=M470)*1)&amp;" - "&amp;(ROW()-2),
"إداري/"&amp;SUMPRODUCT((M$2:M470="")*1)&amp;" - "&amp;(ROW()-2)))</f>
        <v/>
      </c>
      <c r="D470" s="141" t="str">
        <f>IF(AND(G470="",H470="",I470=""),"",IF(COUNTIFS(LISTS!$A$2:$A$67,G470,LISTS!$B$2:$B$67,H470,LISTS!$C$2:$C$67,I470)=0,"✗ هرم",IF(NOT(OR(Z470="ممتاز 100%",Z470="جيد 80%",Z470="مقبول 60%",Z470="خطر 40%",Z470="")),"✗ قائمة R",IF(NOT(OR(AA470="ممتاز 100%",AA470="جيد 85%",AA470="مقبول 70%",AA470="ضعيف 50%",AA470="")),"✗ قائمة S",IF(NOT(OR(AB470="مكتمل 100%",AB470="جزئي 60%",AB470="معلق 30%",AB470="مفتوح 0%",AB470="")),"✗ قائمة T",IF(NOT(OR(AC470="لا خصم 0",AC470="تأخير −5",AC470="عجز −10",AC470="جودة −15",AC470="امتثال −20",AC470="مخالفة −25",AC470="")),"✗ قائمة U",IF(AND(X470="لا",AC470&lt;&gt;"",AC470&lt;&gt;"لا خصم 0"),"✗ خصم",IF(AND(X470="نعم",AC470="لا خصم 0"),"✗ خصم",IF(AND(Z470="ممتاز 100%",AA470="ممتاز 100%",AB470&lt;&gt;"",AB470&lt;&gt;"مكتمل 100%"),"✗ إغلاق",IFERROR(IF(LEN(_xlfn.TEXTJOIN("، ",TRUE,IF(E470="","التاريخ",""),IF(F470="","الوقت",""),IF(G470="","المركز",""),IF(H470="","الدائرة",""),IF(I470="","القسم",""),IF(J470="","المسؤول",""),IF(K470="","نوع النشاط",""),IF(L470="","المشروع",""),IF(N470="","الممول",""),IF(V470="","الموضوع",""),IF(W470="","الملاحظة",""),IF(X470="","مشكلة",""),IF(Y470="","الإجراء",""),IF(Z470="","التنفيذ",""),IF(AA470="","الجودة",""),IF(AB470="","الإغلاق",""),IF(AC470="","الخصم",""),IF(AND(COUNTA($O470:$U470)&gt;0,O470=""),"مدير المشروع",""),IF(AND(COUNTA($O470:$U470)&gt;0,P470=""),"المستفيدين",""),IF(AND(COUNTA($O470:$U470)&gt;0,Q470=""),"المناطق",""),IF(AND(COUNTA($O470:$U470)&gt;0,R470=""),"الميزانية",""),IF(AND(COUNTA($O470:$U470)&gt;0,S470=""),"نسبة الجاهزية",""),IF(AND(COUNTA($O470:$U470)&gt;0,T470=""),"حالة الجاهزية",""),IF(AND(COUNTA($O470:$U470)&gt;0,U470=""),"التوصيات","")))&gt;0,"✗ ناقص: "&amp;_xlfn.TEXTJOIN("، ",TRUE,IF(E470="","التاريخ",""),IF(F470="","الوقت",""),IF(G470="","المركز",""),IF(H470="","الدائرة",""),IF(I470="","القسم",""),IF(J470="","المسؤول",""),IF(K470="","نوع النشاط",""),IF(L470="","المشروع",""),IF(N470="","الممول",""),IF(V470="","الموضوع",""),IF(W470="","الملاحظة",""),IF(X470="","مشكلة",""),IF(Y470="","الإجراء",""),IF(Z470="","التنفيذ",""),IF(AA470="","الجودة",""),IF(AB470="","الإغلاق",""),IF(AC470="","الخصم",""),IF(AND(COUNTA($O470:$U470)&gt;0,O470=""),"مدير المشروع",""),IF(AND(COUNTA($O470:$U470)&gt;0,P470=""),"المستفيدين",""),IF(AND(COUNTA($O470:$U470)&gt;0,Q470=""),"المناطق",""),IF(AND(COUNTA($O470:$U470)&gt;0,R470=""),"الميزانية",""),IF(AND(COUNTA($O470:$U470)&gt;0,S470=""),"نسبة الجاهزية",""),IF(AND(COUNTA($O470:$U470)&gt;0,T470=""),"حالة الجاهزية",""),IF(AND(COUNTA($O470:$U470)&gt;0,U470=""),"التوصيات","")),"✓"),"✓"))))))))))</f>
        <v/>
      </c>
      <c r="E470" s="235"/>
      <c r="F470" s="236"/>
      <c r="G470" s="90"/>
      <c r="H470" s="239"/>
      <c r="I470" s="89"/>
      <c r="J470" s="142"/>
      <c r="K470" s="90"/>
      <c r="L470" s="90"/>
      <c r="M470" s="90"/>
      <c r="N470" s="89"/>
      <c r="O470" s="200"/>
      <c r="P470" s="201"/>
      <c r="Q470" s="201"/>
      <c r="R470" s="237"/>
      <c r="S470" s="202"/>
      <c r="T470" s="200"/>
      <c r="U470" s="203"/>
      <c r="V470" s="89"/>
      <c r="W470" s="89"/>
      <c r="X470" s="145"/>
      <c r="Y470" s="89"/>
      <c r="Z470" s="90"/>
      <c r="AA470" s="90"/>
      <c r="AB470" s="90"/>
      <c r="AC470" s="90"/>
      <c r="AD470" s="92"/>
      <c r="AE470" s="149" t="str">
        <f>IFERROR(VLOOKUP(Z470,LISTS!$AL$2:$AM$1000,2,FALSE()),"")</f>
        <v/>
      </c>
      <c r="AF470" s="151" t="str">
        <f>IFERROR(VLOOKUP(AA470,LISTS!$AO$2:$AP$1000,2,FALSE()),"")</f>
        <v/>
      </c>
      <c r="AG470" s="152" t="str">
        <f>IFERROR(VLOOKUP(AB470,LISTS!$AR$2:$AS$1000,2,FALSE()),"")</f>
        <v/>
      </c>
      <c r="AH470" s="154" t="str">
        <f>IFERROR(VLOOKUP(AC470,LISTS!$AU$2:$AV$1000,2,FALSE()),"")</f>
        <v/>
      </c>
      <c r="AI470" s="238" t="str">
        <f t="shared" si="38"/>
        <v>—</v>
      </c>
      <c r="AJ470" s="190" t="str">
        <f t="shared" si="39"/>
        <v>—</v>
      </c>
      <c r="AK470" s="157" t="str">
        <f t="shared" si="35"/>
        <v/>
      </c>
      <c r="AL470" s="160" t="str">
        <f t="shared" si="36"/>
        <v/>
      </c>
      <c r="AM470" s="210"/>
      <c r="AN470" s="209"/>
    </row>
    <row r="471" spans="1:40" ht="27.95" customHeight="1">
      <c r="A471" s="134" t="str">
        <f>IF(I471&lt;&gt;"",COUNTA($I$2:I471),"")</f>
        <v/>
      </c>
      <c r="B471" s="138" t="str">
        <f t="shared" si="37"/>
        <v/>
      </c>
      <c r="C471" s="93" t="str">
        <f t="array" ref="C471">IF(E471="","",IF(M471&lt;&gt;"",
M471&amp;"/"&amp;SUMPRODUCT((M$2:M471=M471)*1)&amp;" - "&amp;(ROW()-2),
"إداري/"&amp;SUMPRODUCT((M$2:M471="")*1)&amp;" - "&amp;(ROW()-2)))</f>
        <v/>
      </c>
      <c r="D471" s="141" t="str">
        <f>IF(AND(G471="",H471="",I471=""),"",IF(COUNTIFS(LISTS!$A$2:$A$67,G471,LISTS!$B$2:$B$67,H471,LISTS!$C$2:$C$67,I471)=0,"✗ هرم",IF(NOT(OR(Z471="ممتاز 100%",Z471="جيد 80%",Z471="مقبول 60%",Z471="خطر 40%",Z471="")),"✗ قائمة R",IF(NOT(OR(AA471="ممتاز 100%",AA471="جيد 85%",AA471="مقبول 70%",AA471="ضعيف 50%",AA471="")),"✗ قائمة S",IF(NOT(OR(AB471="مكتمل 100%",AB471="جزئي 60%",AB471="معلق 30%",AB471="مفتوح 0%",AB471="")),"✗ قائمة T",IF(NOT(OR(AC471="لا خصم 0",AC471="تأخير −5",AC471="عجز −10",AC471="جودة −15",AC471="امتثال −20",AC471="مخالفة −25",AC471="")),"✗ قائمة U",IF(AND(X471="لا",AC471&lt;&gt;"",AC471&lt;&gt;"لا خصم 0"),"✗ خصم",IF(AND(X471="نعم",AC471="لا خصم 0"),"✗ خصم",IF(AND(Z471="ممتاز 100%",AA471="ممتاز 100%",AB471&lt;&gt;"",AB471&lt;&gt;"مكتمل 100%"),"✗ إغلاق",IFERROR(IF(LEN(_xlfn.TEXTJOIN("، ",TRUE,IF(E471="","التاريخ",""),IF(F471="","الوقت",""),IF(G471="","المركز",""),IF(H471="","الدائرة",""),IF(I471="","القسم",""),IF(J471="","المسؤول",""),IF(K471="","نوع النشاط",""),IF(L471="","المشروع",""),IF(N471="","الممول",""),IF(V471="","الموضوع",""),IF(W471="","الملاحظة",""),IF(X471="","مشكلة",""),IF(Y471="","الإجراء",""),IF(Z471="","التنفيذ",""),IF(AA471="","الجودة",""),IF(AB471="","الإغلاق",""),IF(AC471="","الخصم",""),IF(AND(COUNTA($O471:$U471)&gt;0,O471=""),"مدير المشروع",""),IF(AND(COUNTA($O471:$U471)&gt;0,P471=""),"المستفيدين",""),IF(AND(COUNTA($O471:$U471)&gt;0,Q471=""),"المناطق",""),IF(AND(COUNTA($O471:$U471)&gt;0,R471=""),"الميزانية",""),IF(AND(COUNTA($O471:$U471)&gt;0,S471=""),"نسبة الجاهزية",""),IF(AND(COUNTA($O471:$U471)&gt;0,T471=""),"حالة الجاهزية",""),IF(AND(COUNTA($O471:$U471)&gt;0,U471=""),"التوصيات","")))&gt;0,"✗ ناقص: "&amp;_xlfn.TEXTJOIN("، ",TRUE,IF(E471="","التاريخ",""),IF(F471="","الوقت",""),IF(G471="","المركز",""),IF(H471="","الدائرة",""),IF(I471="","القسم",""),IF(J471="","المسؤول",""),IF(K471="","نوع النشاط",""),IF(L471="","المشروع",""),IF(N471="","الممول",""),IF(V471="","الموضوع",""),IF(W471="","الملاحظة",""),IF(X471="","مشكلة",""),IF(Y471="","الإجراء",""),IF(Z471="","التنفيذ",""),IF(AA471="","الجودة",""),IF(AB471="","الإغلاق",""),IF(AC471="","الخصم",""),IF(AND(COUNTA($O471:$U471)&gt;0,O471=""),"مدير المشروع",""),IF(AND(COUNTA($O471:$U471)&gt;0,P471=""),"المستفيدين",""),IF(AND(COUNTA($O471:$U471)&gt;0,Q471=""),"المناطق",""),IF(AND(COUNTA($O471:$U471)&gt;0,R471=""),"الميزانية",""),IF(AND(COUNTA($O471:$U471)&gt;0,S471=""),"نسبة الجاهزية",""),IF(AND(COUNTA($O471:$U471)&gt;0,T471=""),"حالة الجاهزية",""),IF(AND(COUNTA($O471:$U471)&gt;0,U471=""),"التوصيات","")),"✓"),"✓"))))))))))</f>
        <v/>
      </c>
      <c r="E471" s="235"/>
      <c r="F471" s="236"/>
      <c r="G471" s="90"/>
      <c r="H471" s="239"/>
      <c r="I471" s="89"/>
      <c r="J471" s="142"/>
      <c r="K471" s="90"/>
      <c r="L471" s="90"/>
      <c r="M471" s="90"/>
      <c r="N471" s="89"/>
      <c r="O471" s="200"/>
      <c r="P471" s="201"/>
      <c r="Q471" s="201"/>
      <c r="R471" s="237"/>
      <c r="S471" s="202"/>
      <c r="T471" s="200"/>
      <c r="U471" s="203"/>
      <c r="V471" s="89"/>
      <c r="W471" s="89"/>
      <c r="X471" s="145"/>
      <c r="Y471" s="89"/>
      <c r="Z471" s="90"/>
      <c r="AA471" s="90"/>
      <c r="AB471" s="90"/>
      <c r="AC471" s="90"/>
      <c r="AD471" s="92"/>
      <c r="AE471" s="149" t="str">
        <f>IFERROR(VLOOKUP(Z471,LISTS!$AL$2:$AM$1000,2,FALSE()),"")</f>
        <v/>
      </c>
      <c r="AF471" s="151" t="str">
        <f>IFERROR(VLOOKUP(AA471,LISTS!$AO$2:$AP$1000,2,FALSE()),"")</f>
        <v/>
      </c>
      <c r="AG471" s="152" t="str">
        <f>IFERROR(VLOOKUP(AB471,LISTS!$AR$2:$AS$1000,2,FALSE()),"")</f>
        <v/>
      </c>
      <c r="AH471" s="154" t="str">
        <f>IFERROR(VLOOKUP(AC471,LISTS!$AU$2:$AV$1000,2,FALSE()),"")</f>
        <v/>
      </c>
      <c r="AI471" s="238" t="str">
        <f t="shared" si="38"/>
        <v>—</v>
      </c>
      <c r="AJ471" s="190" t="str">
        <f t="shared" si="39"/>
        <v>—</v>
      </c>
      <c r="AK471" s="157" t="str">
        <f t="shared" si="35"/>
        <v/>
      </c>
      <c r="AL471" s="160" t="str">
        <f t="shared" si="36"/>
        <v/>
      </c>
      <c r="AM471" s="210"/>
      <c r="AN471" s="209"/>
    </row>
    <row r="472" spans="1:40" ht="27.95" customHeight="1">
      <c r="A472" s="134" t="str">
        <f>IF(I472&lt;&gt;"",COUNTA($I$2:I472),"")</f>
        <v/>
      </c>
      <c r="B472" s="138" t="str">
        <f t="shared" si="37"/>
        <v/>
      </c>
      <c r="C472" s="93" t="str">
        <f t="array" ref="C472">IF(E472="","",IF(M472&lt;&gt;"",
M472&amp;"/"&amp;SUMPRODUCT((M$2:M472=M472)*1)&amp;" - "&amp;(ROW()-2),
"إداري/"&amp;SUMPRODUCT((M$2:M472="")*1)&amp;" - "&amp;(ROW()-2)))</f>
        <v/>
      </c>
      <c r="D472" s="141" t="str">
        <f>IF(AND(G472="",H472="",I472=""),"",IF(COUNTIFS(LISTS!$A$2:$A$67,G472,LISTS!$B$2:$B$67,H472,LISTS!$C$2:$C$67,I472)=0,"✗ هرم",IF(NOT(OR(Z472="ممتاز 100%",Z472="جيد 80%",Z472="مقبول 60%",Z472="خطر 40%",Z472="")),"✗ قائمة R",IF(NOT(OR(AA472="ممتاز 100%",AA472="جيد 85%",AA472="مقبول 70%",AA472="ضعيف 50%",AA472="")),"✗ قائمة S",IF(NOT(OR(AB472="مكتمل 100%",AB472="جزئي 60%",AB472="معلق 30%",AB472="مفتوح 0%",AB472="")),"✗ قائمة T",IF(NOT(OR(AC472="لا خصم 0",AC472="تأخير −5",AC472="عجز −10",AC472="جودة −15",AC472="امتثال −20",AC472="مخالفة −25",AC472="")),"✗ قائمة U",IF(AND(X472="لا",AC472&lt;&gt;"",AC472&lt;&gt;"لا خصم 0"),"✗ خصم",IF(AND(X472="نعم",AC472="لا خصم 0"),"✗ خصم",IF(AND(Z472="ممتاز 100%",AA472="ممتاز 100%",AB472&lt;&gt;"",AB472&lt;&gt;"مكتمل 100%"),"✗ إغلاق",IFERROR(IF(LEN(_xlfn.TEXTJOIN("، ",TRUE,IF(E472="","التاريخ",""),IF(F472="","الوقت",""),IF(G472="","المركز",""),IF(H472="","الدائرة",""),IF(I472="","القسم",""),IF(J472="","المسؤول",""),IF(K472="","نوع النشاط",""),IF(L472="","المشروع",""),IF(N472="","الممول",""),IF(V472="","الموضوع",""),IF(W472="","الملاحظة",""),IF(X472="","مشكلة",""),IF(Y472="","الإجراء",""),IF(Z472="","التنفيذ",""),IF(AA472="","الجودة",""),IF(AB472="","الإغلاق",""),IF(AC472="","الخصم",""),IF(AND(COUNTA($O472:$U472)&gt;0,O472=""),"مدير المشروع",""),IF(AND(COUNTA($O472:$U472)&gt;0,P472=""),"المستفيدين",""),IF(AND(COUNTA($O472:$U472)&gt;0,Q472=""),"المناطق",""),IF(AND(COUNTA($O472:$U472)&gt;0,R472=""),"الميزانية",""),IF(AND(COUNTA($O472:$U472)&gt;0,S472=""),"نسبة الجاهزية",""),IF(AND(COUNTA($O472:$U472)&gt;0,T472=""),"حالة الجاهزية",""),IF(AND(COUNTA($O472:$U472)&gt;0,U472=""),"التوصيات","")))&gt;0,"✗ ناقص: "&amp;_xlfn.TEXTJOIN("، ",TRUE,IF(E472="","التاريخ",""),IF(F472="","الوقت",""),IF(G472="","المركز",""),IF(H472="","الدائرة",""),IF(I472="","القسم",""),IF(J472="","المسؤول",""),IF(K472="","نوع النشاط",""),IF(L472="","المشروع",""),IF(N472="","الممول",""),IF(V472="","الموضوع",""),IF(W472="","الملاحظة",""),IF(X472="","مشكلة",""),IF(Y472="","الإجراء",""),IF(Z472="","التنفيذ",""),IF(AA472="","الجودة",""),IF(AB472="","الإغلاق",""),IF(AC472="","الخصم",""),IF(AND(COUNTA($O472:$U472)&gt;0,O472=""),"مدير المشروع",""),IF(AND(COUNTA($O472:$U472)&gt;0,P472=""),"المستفيدين",""),IF(AND(COUNTA($O472:$U472)&gt;0,Q472=""),"المناطق",""),IF(AND(COUNTA($O472:$U472)&gt;0,R472=""),"الميزانية",""),IF(AND(COUNTA($O472:$U472)&gt;0,S472=""),"نسبة الجاهزية",""),IF(AND(COUNTA($O472:$U472)&gt;0,T472=""),"حالة الجاهزية",""),IF(AND(COUNTA($O472:$U472)&gt;0,U472=""),"التوصيات","")),"✓"),"✓"))))))))))</f>
        <v/>
      </c>
      <c r="E472" s="235"/>
      <c r="F472" s="236"/>
      <c r="G472" s="90"/>
      <c r="H472" s="239"/>
      <c r="I472" s="89"/>
      <c r="J472" s="142"/>
      <c r="K472" s="90"/>
      <c r="L472" s="90"/>
      <c r="M472" s="90"/>
      <c r="N472" s="89"/>
      <c r="O472" s="200"/>
      <c r="P472" s="201"/>
      <c r="Q472" s="201"/>
      <c r="R472" s="237"/>
      <c r="S472" s="202"/>
      <c r="T472" s="200"/>
      <c r="U472" s="203"/>
      <c r="V472" s="89"/>
      <c r="W472" s="89"/>
      <c r="X472" s="145"/>
      <c r="Y472" s="89"/>
      <c r="Z472" s="90"/>
      <c r="AA472" s="90"/>
      <c r="AB472" s="90"/>
      <c r="AC472" s="90"/>
      <c r="AD472" s="92"/>
      <c r="AE472" s="149" t="str">
        <f>IFERROR(VLOOKUP(Z472,LISTS!$AL$2:$AM$1000,2,FALSE()),"")</f>
        <v/>
      </c>
      <c r="AF472" s="151" t="str">
        <f>IFERROR(VLOOKUP(AA472,LISTS!$AO$2:$AP$1000,2,FALSE()),"")</f>
        <v/>
      </c>
      <c r="AG472" s="152" t="str">
        <f>IFERROR(VLOOKUP(AB472,LISTS!$AR$2:$AS$1000,2,FALSE()),"")</f>
        <v/>
      </c>
      <c r="AH472" s="154" t="str">
        <f>IFERROR(VLOOKUP(AC472,LISTS!$AU$2:$AV$1000,2,FALSE()),"")</f>
        <v/>
      </c>
      <c r="AI472" s="238" t="str">
        <f t="shared" si="38"/>
        <v>—</v>
      </c>
      <c r="AJ472" s="190" t="str">
        <f t="shared" si="39"/>
        <v>—</v>
      </c>
      <c r="AK472" s="157" t="str">
        <f t="shared" si="35"/>
        <v/>
      </c>
      <c r="AL472" s="160" t="str">
        <f t="shared" si="36"/>
        <v/>
      </c>
      <c r="AM472" s="210"/>
      <c r="AN472" s="209"/>
    </row>
    <row r="473" spans="1:40" ht="27.95" customHeight="1">
      <c r="A473" s="134" t="str">
        <f>IF(I473&lt;&gt;"",COUNTA($I$2:I473),"")</f>
        <v/>
      </c>
      <c r="B473" s="138" t="str">
        <f t="shared" si="37"/>
        <v/>
      </c>
      <c r="C473" s="93" t="str">
        <f t="array" ref="C473">IF(E473="","",IF(M473&lt;&gt;"",
M473&amp;"/"&amp;SUMPRODUCT((M$2:M473=M473)*1)&amp;" - "&amp;(ROW()-2),
"إداري/"&amp;SUMPRODUCT((M$2:M473="")*1)&amp;" - "&amp;(ROW()-2)))</f>
        <v/>
      </c>
      <c r="D473" s="141" t="str">
        <f>IF(AND(G473="",H473="",I473=""),"",IF(COUNTIFS(LISTS!$A$2:$A$67,G473,LISTS!$B$2:$B$67,H473,LISTS!$C$2:$C$67,I473)=0,"✗ هرم",IF(NOT(OR(Z473="ممتاز 100%",Z473="جيد 80%",Z473="مقبول 60%",Z473="خطر 40%",Z473="")),"✗ قائمة R",IF(NOT(OR(AA473="ممتاز 100%",AA473="جيد 85%",AA473="مقبول 70%",AA473="ضعيف 50%",AA473="")),"✗ قائمة S",IF(NOT(OR(AB473="مكتمل 100%",AB473="جزئي 60%",AB473="معلق 30%",AB473="مفتوح 0%",AB473="")),"✗ قائمة T",IF(NOT(OR(AC473="لا خصم 0",AC473="تأخير −5",AC473="عجز −10",AC473="جودة −15",AC473="امتثال −20",AC473="مخالفة −25",AC473="")),"✗ قائمة U",IF(AND(X473="لا",AC473&lt;&gt;"",AC473&lt;&gt;"لا خصم 0"),"✗ خصم",IF(AND(X473="نعم",AC473="لا خصم 0"),"✗ خصم",IF(AND(Z473="ممتاز 100%",AA473="ممتاز 100%",AB473&lt;&gt;"",AB473&lt;&gt;"مكتمل 100%"),"✗ إغلاق",IFERROR(IF(LEN(_xlfn.TEXTJOIN("، ",TRUE,IF(E473="","التاريخ",""),IF(F473="","الوقت",""),IF(G473="","المركز",""),IF(H473="","الدائرة",""),IF(I473="","القسم",""),IF(J473="","المسؤول",""),IF(K473="","نوع النشاط",""),IF(L473="","المشروع",""),IF(N473="","الممول",""),IF(V473="","الموضوع",""),IF(W473="","الملاحظة",""),IF(X473="","مشكلة",""),IF(Y473="","الإجراء",""),IF(Z473="","التنفيذ",""),IF(AA473="","الجودة",""),IF(AB473="","الإغلاق",""),IF(AC473="","الخصم",""),IF(AND(COUNTA($O473:$U473)&gt;0,O473=""),"مدير المشروع",""),IF(AND(COUNTA($O473:$U473)&gt;0,P473=""),"المستفيدين",""),IF(AND(COUNTA($O473:$U473)&gt;0,Q473=""),"المناطق",""),IF(AND(COUNTA($O473:$U473)&gt;0,R473=""),"الميزانية",""),IF(AND(COUNTA($O473:$U473)&gt;0,S473=""),"نسبة الجاهزية",""),IF(AND(COUNTA($O473:$U473)&gt;0,T473=""),"حالة الجاهزية",""),IF(AND(COUNTA($O473:$U473)&gt;0,U473=""),"التوصيات","")))&gt;0,"✗ ناقص: "&amp;_xlfn.TEXTJOIN("، ",TRUE,IF(E473="","التاريخ",""),IF(F473="","الوقت",""),IF(G473="","المركز",""),IF(H473="","الدائرة",""),IF(I473="","القسم",""),IF(J473="","المسؤول",""),IF(K473="","نوع النشاط",""),IF(L473="","المشروع",""),IF(N473="","الممول",""),IF(V473="","الموضوع",""),IF(W473="","الملاحظة",""),IF(X473="","مشكلة",""),IF(Y473="","الإجراء",""),IF(Z473="","التنفيذ",""),IF(AA473="","الجودة",""),IF(AB473="","الإغلاق",""),IF(AC473="","الخصم",""),IF(AND(COUNTA($O473:$U473)&gt;0,O473=""),"مدير المشروع",""),IF(AND(COUNTA($O473:$U473)&gt;0,P473=""),"المستفيدين",""),IF(AND(COUNTA($O473:$U473)&gt;0,Q473=""),"المناطق",""),IF(AND(COUNTA($O473:$U473)&gt;0,R473=""),"الميزانية",""),IF(AND(COUNTA($O473:$U473)&gt;0,S473=""),"نسبة الجاهزية",""),IF(AND(COUNTA($O473:$U473)&gt;0,T473=""),"حالة الجاهزية",""),IF(AND(COUNTA($O473:$U473)&gt;0,U473=""),"التوصيات","")),"✓"),"✓"))))))))))</f>
        <v/>
      </c>
      <c r="E473" s="235"/>
      <c r="F473" s="236"/>
      <c r="G473" s="90"/>
      <c r="H473" s="239"/>
      <c r="I473" s="89"/>
      <c r="J473" s="142"/>
      <c r="K473" s="90"/>
      <c r="L473" s="90"/>
      <c r="M473" s="90"/>
      <c r="N473" s="89"/>
      <c r="O473" s="200"/>
      <c r="P473" s="201"/>
      <c r="Q473" s="201"/>
      <c r="R473" s="237"/>
      <c r="S473" s="202"/>
      <c r="T473" s="200"/>
      <c r="U473" s="203"/>
      <c r="V473" s="89"/>
      <c r="W473" s="89"/>
      <c r="X473" s="145"/>
      <c r="Y473" s="89"/>
      <c r="Z473" s="90"/>
      <c r="AA473" s="90"/>
      <c r="AB473" s="90"/>
      <c r="AC473" s="90"/>
      <c r="AD473" s="92"/>
      <c r="AE473" s="149" t="str">
        <f>IFERROR(VLOOKUP(Z473,LISTS!$AL$2:$AM$1000,2,FALSE()),"")</f>
        <v/>
      </c>
      <c r="AF473" s="151" t="str">
        <f>IFERROR(VLOOKUP(AA473,LISTS!$AO$2:$AP$1000,2,FALSE()),"")</f>
        <v/>
      </c>
      <c r="AG473" s="152" t="str">
        <f>IFERROR(VLOOKUP(AB473,LISTS!$AR$2:$AS$1000,2,FALSE()),"")</f>
        <v/>
      </c>
      <c r="AH473" s="154" t="str">
        <f>IFERROR(VLOOKUP(AC473,LISTS!$AU$2:$AV$1000,2,FALSE()),"")</f>
        <v/>
      </c>
      <c r="AI473" s="238" t="str">
        <f t="shared" si="38"/>
        <v>—</v>
      </c>
      <c r="AJ473" s="190" t="str">
        <f t="shared" si="39"/>
        <v>—</v>
      </c>
      <c r="AK473" s="157" t="str">
        <f t="shared" si="35"/>
        <v/>
      </c>
      <c r="AL473" s="160" t="str">
        <f t="shared" si="36"/>
        <v/>
      </c>
      <c r="AM473" s="210"/>
      <c r="AN473" s="209"/>
    </row>
    <row r="474" spans="1:40" ht="27.95" customHeight="1">
      <c r="A474" s="134" t="str">
        <f>IF(I474&lt;&gt;"",COUNTA($I$2:I474),"")</f>
        <v/>
      </c>
      <c r="B474" s="138" t="str">
        <f t="shared" si="37"/>
        <v/>
      </c>
      <c r="C474" s="93" t="str">
        <f t="array" ref="C474">IF(E474="","",IF(M474&lt;&gt;"",
M474&amp;"/"&amp;SUMPRODUCT((M$2:M474=M474)*1)&amp;" - "&amp;(ROW()-2),
"إداري/"&amp;SUMPRODUCT((M$2:M474="")*1)&amp;" - "&amp;(ROW()-2)))</f>
        <v/>
      </c>
      <c r="D474" s="141" t="str">
        <f>IF(AND(G474="",H474="",I474=""),"",IF(COUNTIFS(LISTS!$A$2:$A$67,G474,LISTS!$B$2:$B$67,H474,LISTS!$C$2:$C$67,I474)=0,"✗ هرم",IF(NOT(OR(Z474="ممتاز 100%",Z474="جيد 80%",Z474="مقبول 60%",Z474="خطر 40%",Z474="")),"✗ قائمة R",IF(NOT(OR(AA474="ممتاز 100%",AA474="جيد 85%",AA474="مقبول 70%",AA474="ضعيف 50%",AA474="")),"✗ قائمة S",IF(NOT(OR(AB474="مكتمل 100%",AB474="جزئي 60%",AB474="معلق 30%",AB474="مفتوح 0%",AB474="")),"✗ قائمة T",IF(NOT(OR(AC474="لا خصم 0",AC474="تأخير −5",AC474="عجز −10",AC474="جودة −15",AC474="امتثال −20",AC474="مخالفة −25",AC474="")),"✗ قائمة U",IF(AND(X474="لا",AC474&lt;&gt;"",AC474&lt;&gt;"لا خصم 0"),"✗ خصم",IF(AND(X474="نعم",AC474="لا خصم 0"),"✗ خصم",IF(AND(Z474="ممتاز 100%",AA474="ممتاز 100%",AB474&lt;&gt;"",AB474&lt;&gt;"مكتمل 100%"),"✗ إغلاق",IFERROR(IF(LEN(_xlfn.TEXTJOIN("، ",TRUE,IF(E474="","التاريخ",""),IF(F474="","الوقت",""),IF(G474="","المركز",""),IF(H474="","الدائرة",""),IF(I474="","القسم",""),IF(J474="","المسؤول",""),IF(K474="","نوع النشاط",""),IF(L474="","المشروع",""),IF(N474="","الممول",""),IF(V474="","الموضوع",""),IF(W474="","الملاحظة",""),IF(X474="","مشكلة",""),IF(Y474="","الإجراء",""),IF(Z474="","التنفيذ",""),IF(AA474="","الجودة",""),IF(AB474="","الإغلاق",""),IF(AC474="","الخصم",""),IF(AND(COUNTA($O474:$U474)&gt;0,O474=""),"مدير المشروع",""),IF(AND(COUNTA($O474:$U474)&gt;0,P474=""),"المستفيدين",""),IF(AND(COUNTA($O474:$U474)&gt;0,Q474=""),"المناطق",""),IF(AND(COUNTA($O474:$U474)&gt;0,R474=""),"الميزانية",""),IF(AND(COUNTA($O474:$U474)&gt;0,S474=""),"نسبة الجاهزية",""),IF(AND(COUNTA($O474:$U474)&gt;0,T474=""),"حالة الجاهزية",""),IF(AND(COUNTA($O474:$U474)&gt;0,U474=""),"التوصيات","")))&gt;0,"✗ ناقص: "&amp;_xlfn.TEXTJOIN("، ",TRUE,IF(E474="","التاريخ",""),IF(F474="","الوقت",""),IF(G474="","المركز",""),IF(H474="","الدائرة",""),IF(I474="","القسم",""),IF(J474="","المسؤول",""),IF(K474="","نوع النشاط",""),IF(L474="","المشروع",""),IF(N474="","الممول",""),IF(V474="","الموضوع",""),IF(W474="","الملاحظة",""),IF(X474="","مشكلة",""),IF(Y474="","الإجراء",""),IF(Z474="","التنفيذ",""),IF(AA474="","الجودة",""),IF(AB474="","الإغلاق",""),IF(AC474="","الخصم",""),IF(AND(COUNTA($O474:$U474)&gt;0,O474=""),"مدير المشروع",""),IF(AND(COUNTA($O474:$U474)&gt;0,P474=""),"المستفيدين",""),IF(AND(COUNTA($O474:$U474)&gt;0,Q474=""),"المناطق",""),IF(AND(COUNTA($O474:$U474)&gt;0,R474=""),"الميزانية",""),IF(AND(COUNTA($O474:$U474)&gt;0,S474=""),"نسبة الجاهزية",""),IF(AND(COUNTA($O474:$U474)&gt;0,T474=""),"حالة الجاهزية",""),IF(AND(COUNTA($O474:$U474)&gt;0,U474=""),"التوصيات","")),"✓"),"✓"))))))))))</f>
        <v/>
      </c>
      <c r="E474" s="235"/>
      <c r="F474" s="236"/>
      <c r="G474" s="90"/>
      <c r="H474" s="239"/>
      <c r="I474" s="89"/>
      <c r="J474" s="142"/>
      <c r="K474" s="90"/>
      <c r="L474" s="90"/>
      <c r="M474" s="90"/>
      <c r="N474" s="89"/>
      <c r="O474" s="200"/>
      <c r="P474" s="201"/>
      <c r="Q474" s="201"/>
      <c r="R474" s="237"/>
      <c r="S474" s="202"/>
      <c r="T474" s="200"/>
      <c r="U474" s="203"/>
      <c r="V474" s="89"/>
      <c r="W474" s="89"/>
      <c r="X474" s="145"/>
      <c r="Y474" s="89"/>
      <c r="Z474" s="90"/>
      <c r="AA474" s="90"/>
      <c r="AB474" s="90"/>
      <c r="AC474" s="90"/>
      <c r="AD474" s="92"/>
      <c r="AE474" s="149" t="str">
        <f>IFERROR(VLOOKUP(Z474,LISTS!$AL$2:$AM$1000,2,FALSE()),"")</f>
        <v/>
      </c>
      <c r="AF474" s="151" t="str">
        <f>IFERROR(VLOOKUP(AA474,LISTS!$AO$2:$AP$1000,2,FALSE()),"")</f>
        <v/>
      </c>
      <c r="AG474" s="152" t="str">
        <f>IFERROR(VLOOKUP(AB474,LISTS!$AR$2:$AS$1000,2,FALSE()),"")</f>
        <v/>
      </c>
      <c r="AH474" s="154" t="str">
        <f>IFERROR(VLOOKUP(AC474,LISTS!$AU$2:$AV$1000,2,FALSE()),"")</f>
        <v/>
      </c>
      <c r="AI474" s="238" t="str">
        <f t="shared" si="38"/>
        <v>—</v>
      </c>
      <c r="AJ474" s="190" t="str">
        <f t="shared" si="39"/>
        <v>—</v>
      </c>
      <c r="AK474" s="157" t="str">
        <f t="shared" si="35"/>
        <v/>
      </c>
      <c r="AL474" s="160" t="str">
        <f t="shared" si="36"/>
        <v/>
      </c>
      <c r="AM474" s="210"/>
      <c r="AN474" s="209"/>
    </row>
    <row r="475" spans="1:40" ht="27.95" customHeight="1">
      <c r="A475" s="134" t="str">
        <f>IF(I475&lt;&gt;"",COUNTA($I$2:I475),"")</f>
        <v/>
      </c>
      <c r="B475" s="138" t="str">
        <f t="shared" si="37"/>
        <v/>
      </c>
      <c r="C475" s="93" t="str">
        <f t="array" ref="C475">IF(E475="","",IF(M475&lt;&gt;"",
M475&amp;"/"&amp;SUMPRODUCT((M$2:M475=M475)*1)&amp;" - "&amp;(ROW()-2),
"إداري/"&amp;SUMPRODUCT((M$2:M475="")*1)&amp;" - "&amp;(ROW()-2)))</f>
        <v/>
      </c>
      <c r="D475" s="141" t="str">
        <f>IF(AND(G475="",H475="",I475=""),"",IF(COUNTIFS(LISTS!$A$2:$A$67,G475,LISTS!$B$2:$B$67,H475,LISTS!$C$2:$C$67,I475)=0,"✗ هرم",IF(NOT(OR(Z475="ممتاز 100%",Z475="جيد 80%",Z475="مقبول 60%",Z475="خطر 40%",Z475="")),"✗ قائمة R",IF(NOT(OR(AA475="ممتاز 100%",AA475="جيد 85%",AA475="مقبول 70%",AA475="ضعيف 50%",AA475="")),"✗ قائمة S",IF(NOT(OR(AB475="مكتمل 100%",AB475="جزئي 60%",AB475="معلق 30%",AB475="مفتوح 0%",AB475="")),"✗ قائمة T",IF(NOT(OR(AC475="لا خصم 0",AC475="تأخير −5",AC475="عجز −10",AC475="جودة −15",AC475="امتثال −20",AC475="مخالفة −25",AC475="")),"✗ قائمة U",IF(AND(X475="لا",AC475&lt;&gt;"",AC475&lt;&gt;"لا خصم 0"),"✗ خصم",IF(AND(X475="نعم",AC475="لا خصم 0"),"✗ خصم",IF(AND(Z475="ممتاز 100%",AA475="ممتاز 100%",AB475&lt;&gt;"",AB475&lt;&gt;"مكتمل 100%"),"✗ إغلاق",IFERROR(IF(LEN(_xlfn.TEXTJOIN("، ",TRUE,IF(E475="","التاريخ",""),IF(F475="","الوقت",""),IF(G475="","المركز",""),IF(H475="","الدائرة",""),IF(I475="","القسم",""),IF(J475="","المسؤول",""),IF(K475="","نوع النشاط",""),IF(L475="","المشروع",""),IF(N475="","الممول",""),IF(V475="","الموضوع",""),IF(W475="","الملاحظة",""),IF(X475="","مشكلة",""),IF(Y475="","الإجراء",""),IF(Z475="","التنفيذ",""),IF(AA475="","الجودة",""),IF(AB475="","الإغلاق",""),IF(AC475="","الخصم",""),IF(AND(COUNTA($O475:$U475)&gt;0,O475=""),"مدير المشروع",""),IF(AND(COUNTA($O475:$U475)&gt;0,P475=""),"المستفيدين",""),IF(AND(COUNTA($O475:$U475)&gt;0,Q475=""),"المناطق",""),IF(AND(COUNTA($O475:$U475)&gt;0,R475=""),"الميزانية",""),IF(AND(COUNTA($O475:$U475)&gt;0,S475=""),"نسبة الجاهزية",""),IF(AND(COUNTA($O475:$U475)&gt;0,T475=""),"حالة الجاهزية",""),IF(AND(COUNTA($O475:$U475)&gt;0,U475=""),"التوصيات","")))&gt;0,"✗ ناقص: "&amp;_xlfn.TEXTJOIN("، ",TRUE,IF(E475="","التاريخ",""),IF(F475="","الوقت",""),IF(G475="","المركز",""),IF(H475="","الدائرة",""),IF(I475="","القسم",""),IF(J475="","المسؤول",""),IF(K475="","نوع النشاط",""),IF(L475="","المشروع",""),IF(N475="","الممول",""),IF(V475="","الموضوع",""),IF(W475="","الملاحظة",""),IF(X475="","مشكلة",""),IF(Y475="","الإجراء",""),IF(Z475="","التنفيذ",""),IF(AA475="","الجودة",""),IF(AB475="","الإغلاق",""),IF(AC475="","الخصم",""),IF(AND(COUNTA($O475:$U475)&gt;0,O475=""),"مدير المشروع",""),IF(AND(COUNTA($O475:$U475)&gt;0,P475=""),"المستفيدين",""),IF(AND(COUNTA($O475:$U475)&gt;0,Q475=""),"المناطق",""),IF(AND(COUNTA($O475:$U475)&gt;0,R475=""),"الميزانية",""),IF(AND(COUNTA($O475:$U475)&gt;0,S475=""),"نسبة الجاهزية",""),IF(AND(COUNTA($O475:$U475)&gt;0,T475=""),"حالة الجاهزية",""),IF(AND(COUNTA($O475:$U475)&gt;0,U475=""),"التوصيات","")),"✓"),"✓"))))))))))</f>
        <v/>
      </c>
      <c r="E475" s="235"/>
      <c r="F475" s="236"/>
      <c r="G475" s="90"/>
      <c r="H475" s="239"/>
      <c r="I475" s="89"/>
      <c r="J475" s="142"/>
      <c r="K475" s="90"/>
      <c r="L475" s="90"/>
      <c r="M475" s="90"/>
      <c r="N475" s="89"/>
      <c r="O475" s="200"/>
      <c r="P475" s="201"/>
      <c r="Q475" s="201"/>
      <c r="R475" s="237"/>
      <c r="S475" s="202"/>
      <c r="T475" s="200"/>
      <c r="U475" s="203"/>
      <c r="V475" s="89"/>
      <c r="W475" s="89"/>
      <c r="X475" s="145"/>
      <c r="Y475" s="89"/>
      <c r="Z475" s="90"/>
      <c r="AA475" s="90"/>
      <c r="AB475" s="90"/>
      <c r="AC475" s="90"/>
      <c r="AD475" s="92"/>
      <c r="AE475" s="149" t="str">
        <f>IFERROR(VLOOKUP(Z475,LISTS!$AL$2:$AM$1000,2,FALSE()),"")</f>
        <v/>
      </c>
      <c r="AF475" s="151" t="str">
        <f>IFERROR(VLOOKUP(AA475,LISTS!$AO$2:$AP$1000,2,FALSE()),"")</f>
        <v/>
      </c>
      <c r="AG475" s="152" t="str">
        <f>IFERROR(VLOOKUP(AB475,LISTS!$AR$2:$AS$1000,2,FALSE()),"")</f>
        <v/>
      </c>
      <c r="AH475" s="154" t="str">
        <f>IFERROR(VLOOKUP(AC475,LISTS!$AU$2:$AV$1000,2,FALSE()),"")</f>
        <v/>
      </c>
      <c r="AI475" s="238" t="str">
        <f t="shared" si="38"/>
        <v>—</v>
      </c>
      <c r="AJ475" s="190" t="str">
        <f t="shared" si="39"/>
        <v>—</v>
      </c>
      <c r="AK475" s="157" t="str">
        <f t="shared" si="35"/>
        <v/>
      </c>
      <c r="AL475" s="160" t="str">
        <f t="shared" si="36"/>
        <v/>
      </c>
      <c r="AM475" s="210"/>
      <c r="AN475" s="209"/>
    </row>
    <row r="476" spans="1:40" ht="27.95" customHeight="1">
      <c r="A476" s="134" t="str">
        <f>IF(I476&lt;&gt;"",COUNTA($I$2:I476),"")</f>
        <v/>
      </c>
      <c r="B476" s="138" t="str">
        <f t="shared" si="37"/>
        <v/>
      </c>
      <c r="C476" s="93" t="str">
        <f t="array" ref="C476">IF(E476="","",IF(M476&lt;&gt;"",
M476&amp;"/"&amp;SUMPRODUCT((M$2:M476=M476)*1)&amp;" - "&amp;(ROW()-2),
"إداري/"&amp;SUMPRODUCT((M$2:M476="")*1)&amp;" - "&amp;(ROW()-2)))</f>
        <v/>
      </c>
      <c r="D476" s="141" t="str">
        <f>IF(AND(G476="",H476="",I476=""),"",IF(COUNTIFS(LISTS!$A$2:$A$67,G476,LISTS!$B$2:$B$67,H476,LISTS!$C$2:$C$67,I476)=0,"✗ هرم",IF(NOT(OR(Z476="ممتاز 100%",Z476="جيد 80%",Z476="مقبول 60%",Z476="خطر 40%",Z476="")),"✗ قائمة R",IF(NOT(OR(AA476="ممتاز 100%",AA476="جيد 85%",AA476="مقبول 70%",AA476="ضعيف 50%",AA476="")),"✗ قائمة S",IF(NOT(OR(AB476="مكتمل 100%",AB476="جزئي 60%",AB476="معلق 30%",AB476="مفتوح 0%",AB476="")),"✗ قائمة T",IF(NOT(OR(AC476="لا خصم 0",AC476="تأخير −5",AC476="عجز −10",AC476="جودة −15",AC476="امتثال −20",AC476="مخالفة −25",AC476="")),"✗ قائمة U",IF(AND(X476="لا",AC476&lt;&gt;"",AC476&lt;&gt;"لا خصم 0"),"✗ خصم",IF(AND(X476="نعم",AC476="لا خصم 0"),"✗ خصم",IF(AND(Z476="ممتاز 100%",AA476="ممتاز 100%",AB476&lt;&gt;"",AB476&lt;&gt;"مكتمل 100%"),"✗ إغلاق",IFERROR(IF(LEN(_xlfn.TEXTJOIN("، ",TRUE,IF(E476="","التاريخ",""),IF(F476="","الوقت",""),IF(G476="","المركز",""),IF(H476="","الدائرة",""),IF(I476="","القسم",""),IF(J476="","المسؤول",""),IF(K476="","نوع النشاط",""),IF(L476="","المشروع",""),IF(N476="","الممول",""),IF(V476="","الموضوع",""),IF(W476="","الملاحظة",""),IF(X476="","مشكلة",""),IF(Y476="","الإجراء",""),IF(Z476="","التنفيذ",""),IF(AA476="","الجودة",""),IF(AB476="","الإغلاق",""),IF(AC476="","الخصم",""),IF(AND(COUNTA($O476:$U476)&gt;0,O476=""),"مدير المشروع",""),IF(AND(COUNTA($O476:$U476)&gt;0,P476=""),"المستفيدين",""),IF(AND(COUNTA($O476:$U476)&gt;0,Q476=""),"المناطق",""),IF(AND(COUNTA($O476:$U476)&gt;0,R476=""),"الميزانية",""),IF(AND(COUNTA($O476:$U476)&gt;0,S476=""),"نسبة الجاهزية",""),IF(AND(COUNTA($O476:$U476)&gt;0,T476=""),"حالة الجاهزية",""),IF(AND(COUNTA($O476:$U476)&gt;0,U476=""),"التوصيات","")))&gt;0,"✗ ناقص: "&amp;_xlfn.TEXTJOIN("، ",TRUE,IF(E476="","التاريخ",""),IF(F476="","الوقت",""),IF(G476="","المركز",""),IF(H476="","الدائرة",""),IF(I476="","القسم",""),IF(J476="","المسؤول",""),IF(K476="","نوع النشاط",""),IF(L476="","المشروع",""),IF(N476="","الممول",""),IF(V476="","الموضوع",""),IF(W476="","الملاحظة",""),IF(X476="","مشكلة",""),IF(Y476="","الإجراء",""),IF(Z476="","التنفيذ",""),IF(AA476="","الجودة",""),IF(AB476="","الإغلاق",""),IF(AC476="","الخصم",""),IF(AND(COUNTA($O476:$U476)&gt;0,O476=""),"مدير المشروع",""),IF(AND(COUNTA($O476:$U476)&gt;0,P476=""),"المستفيدين",""),IF(AND(COUNTA($O476:$U476)&gt;0,Q476=""),"المناطق",""),IF(AND(COUNTA($O476:$U476)&gt;0,R476=""),"الميزانية",""),IF(AND(COUNTA($O476:$U476)&gt;0,S476=""),"نسبة الجاهزية",""),IF(AND(COUNTA($O476:$U476)&gt;0,T476=""),"حالة الجاهزية",""),IF(AND(COUNTA($O476:$U476)&gt;0,U476=""),"التوصيات","")),"✓"),"✓"))))))))))</f>
        <v/>
      </c>
      <c r="E476" s="235"/>
      <c r="F476" s="236"/>
      <c r="G476" s="90"/>
      <c r="H476" s="239"/>
      <c r="I476" s="89"/>
      <c r="J476" s="142"/>
      <c r="K476" s="90"/>
      <c r="L476" s="90"/>
      <c r="M476" s="90"/>
      <c r="N476" s="89"/>
      <c r="O476" s="200"/>
      <c r="P476" s="201"/>
      <c r="Q476" s="201"/>
      <c r="R476" s="237"/>
      <c r="S476" s="202"/>
      <c r="T476" s="200"/>
      <c r="U476" s="203"/>
      <c r="V476" s="89"/>
      <c r="W476" s="89"/>
      <c r="X476" s="145"/>
      <c r="Y476" s="89"/>
      <c r="Z476" s="90"/>
      <c r="AA476" s="90"/>
      <c r="AB476" s="90"/>
      <c r="AC476" s="90"/>
      <c r="AD476" s="92"/>
      <c r="AE476" s="149" t="str">
        <f>IFERROR(VLOOKUP(Z476,LISTS!$AL$2:$AM$1000,2,FALSE()),"")</f>
        <v/>
      </c>
      <c r="AF476" s="151" t="str">
        <f>IFERROR(VLOOKUP(AA476,LISTS!$AO$2:$AP$1000,2,FALSE()),"")</f>
        <v/>
      </c>
      <c r="AG476" s="152" t="str">
        <f>IFERROR(VLOOKUP(AB476,LISTS!$AR$2:$AS$1000,2,FALSE()),"")</f>
        <v/>
      </c>
      <c r="AH476" s="154" t="str">
        <f>IFERROR(VLOOKUP(AC476,LISTS!$AU$2:$AV$1000,2,FALSE()),"")</f>
        <v/>
      </c>
      <c r="AI476" s="238" t="str">
        <f t="shared" si="38"/>
        <v>—</v>
      </c>
      <c r="AJ476" s="190" t="str">
        <f t="shared" si="39"/>
        <v>—</v>
      </c>
      <c r="AK476" s="157" t="str">
        <f t="shared" si="35"/>
        <v/>
      </c>
      <c r="AL476" s="160" t="str">
        <f t="shared" si="36"/>
        <v/>
      </c>
      <c r="AM476" s="210"/>
      <c r="AN476" s="209"/>
    </row>
    <row r="477" spans="1:40" ht="27.95" customHeight="1">
      <c r="A477" s="134">
        <f>IF(I477&lt;&gt;"",COUNTA($I$2:I477),"")</f>
        <v>226</v>
      </c>
      <c r="B477" s="138" t="str">
        <f t="shared" si="37"/>
        <v/>
      </c>
      <c r="C477" s="93" t="str">
        <f t="array" ref="C477">IF(E477="","",IF(M477&lt;&gt;"",
M477&amp;"/"&amp;SUMPRODUCT((M$2:M477=M477)*1)&amp;" - "&amp;(ROW()-2),
"إداري/"&amp;SUMPRODUCT((M$2:M477="")*1)&amp;" - "&amp;(ROW()-2)))</f>
        <v/>
      </c>
      <c r="D477" s="141" t="str">
        <f>IF(AND(G477="",H477="",I477=""),"",IF(COUNTIFS(LISTS!$A$2:$A$67,G477,LISTS!$B$2:$B$67,H477,LISTS!$C$2:$C$67,I477)=0,"✗ هرم",IF(NOT(OR(Z477="ممتاز 100%",Z477="جيد 80%",Z477="مقبول 60%",Z477="خطر 40%",Z477="")),"✗ قائمة R",IF(NOT(OR(AA477="ممتاز 100%",AA477="جيد 85%",AA477="مقبول 70%",AA477="ضعيف 50%",AA477="")),"✗ قائمة S",IF(NOT(OR(AB477="مكتمل 100%",AB477="جزئي 60%",AB477="معلق 30%",AB477="مفتوح 0%",AB477="")),"✗ قائمة T",IF(NOT(OR(AC477="لا خصم 0",AC477="تأخير −5",AC477="عجز −10",AC477="جودة −15",AC477="امتثال −20",AC477="مخالفة −25",AC477="")),"✗ قائمة U",IF(AND(X477="لا",AC477&lt;&gt;"",AC477&lt;&gt;"لا خصم 0"),"✗ خصم",IF(AND(X477="نعم",AC477="لا خصم 0"),"✗ خصم",IF(AND(Z477="ممتاز 100%",AA477="ممتاز 100%",AB477&lt;&gt;"",AB477&lt;&gt;"مكتمل 100%"),"✗ إغلاق",IFERROR(IF(LEN(_xlfn.TEXTJOIN("، ",TRUE,IF(E477="","التاريخ",""),IF(F477="","الوقت",""),IF(G477="","المركز",""),IF(H477="","الدائرة",""),IF(I477="","القسم",""),IF(J477="","المسؤول",""),IF(K477="","نوع النشاط",""),IF(L477="","المشروع",""),IF(N477="","الممول",""),IF(V477="","الموضوع",""),IF(W477="","الملاحظة",""),IF(X477="","مشكلة",""),IF(Y477="","الإجراء",""),IF(Z477="","التنفيذ",""),IF(AA477="","الجودة",""),IF(AB477="","الإغلاق",""),IF(AC477="","الخصم",""),IF(AND(COUNTA($O477:$U477)&gt;0,O477=""),"مدير المشروع",""),IF(AND(COUNTA($O477:$U477)&gt;0,P477=""),"المستفيدين",""),IF(AND(COUNTA($O477:$U477)&gt;0,Q477=""),"المناطق",""),IF(AND(COUNTA($O477:$U477)&gt;0,R477=""),"الميزانية",""),IF(AND(COUNTA($O477:$U477)&gt;0,S477=""),"نسبة الجاهزية",""),IF(AND(COUNTA($O477:$U477)&gt;0,T477=""),"حالة الجاهزية",""),IF(AND(COUNTA($O477:$U477)&gt;0,U477=""),"التوصيات","")))&gt;0,"✗ ناقص: "&amp;_xlfn.TEXTJOIN("، ",TRUE,IF(E477="","التاريخ",""),IF(F477="","الوقت",""),IF(G477="","المركز",""),IF(H477="","الدائرة",""),IF(I477="","القسم",""),IF(J477="","المسؤول",""),IF(K477="","نوع النشاط",""),IF(L477="","المشروع",""),IF(N477="","الممول",""),IF(V477="","الموضوع",""),IF(W477="","الملاحظة",""),IF(X477="","مشكلة",""),IF(Y477="","الإجراء",""),IF(Z477="","التنفيذ",""),IF(AA477="","الجودة",""),IF(AB477="","الإغلاق",""),IF(AC477="","الخصم",""),IF(AND(COUNTA($O477:$U477)&gt;0,O477=""),"مدير المشروع",""),IF(AND(COUNTA($O477:$U477)&gt;0,P477=""),"المستفيدين",""),IF(AND(COUNTA($O477:$U477)&gt;0,Q477=""),"المناطق",""),IF(AND(COUNTA($O477:$U477)&gt;0,R477=""),"الميزانية",""),IF(AND(COUNTA($O477:$U477)&gt;0,S477=""),"نسبة الجاهزية",""),IF(AND(COUNTA($O477:$U477)&gt;0,T477=""),"حالة الجاهزية",""),IF(AND(COUNTA($O477:$U477)&gt;0,U477=""),"التوصيات","")),"✓"),"✓"))))))))))</f>
        <v>✗ هرم</v>
      </c>
      <c r="E477" s="235"/>
      <c r="F477" s="236"/>
      <c r="G477" s="90"/>
      <c r="H477" s="239"/>
      <c r="I477" s="89" t="s">
        <v>1055</v>
      </c>
      <c r="J477" s="142">
        <f>COUNTA(J2:J476)</f>
        <v>166</v>
      </c>
      <c r="K477" s="90"/>
      <c r="L477" s="90"/>
      <c r="M477" s="90"/>
      <c r="N477" s="89"/>
      <c r="O477" s="200"/>
      <c r="P477" s="201"/>
      <c r="Q477" s="201"/>
      <c r="R477" s="237"/>
      <c r="S477" s="202"/>
      <c r="T477" s="200"/>
      <c r="U477" s="203"/>
      <c r="V477" s="89"/>
      <c r="W477" s="89"/>
      <c r="X477" s="145">
        <f>COUNTIF(X2:X476,"نعم")</f>
        <v>33</v>
      </c>
      <c r="Y477" s="89"/>
      <c r="Z477" s="90"/>
      <c r="AA477" s="90"/>
      <c r="AB477" s="90"/>
      <c r="AC477" s="90"/>
      <c r="AD477" s="92"/>
      <c r="AE477" s="149" t="str">
        <f>IFERROR(VLOOKUP(Z477,LISTS!$AL$2:$AM$1000,2,FALSE()),"")</f>
        <v/>
      </c>
      <c r="AF477" s="151" t="str">
        <f>IFERROR(VLOOKUP(AA477,LISTS!$AO$2:$AP$1000,2,FALSE()),"")</f>
        <v/>
      </c>
      <c r="AG477" s="152" t="str">
        <f>IFERROR(VLOOKUP(AB477,LISTS!$AR$2:$AS$1000,2,FALSE()),"")</f>
        <v/>
      </c>
      <c r="AH477" s="154" t="str">
        <f>IFERROR(VLOOKUP(AC477,LISTS!$AU$2:$AV$1000,2,FALSE()),"")</f>
        <v/>
      </c>
      <c r="AI477" s="238" t="str">
        <f t="shared" si="38"/>
        <v>—</v>
      </c>
      <c r="AJ477" s="190" t="str">
        <f t="shared" si="39"/>
        <v>—</v>
      </c>
      <c r="AK477" s="157" t="str">
        <f t="shared" si="35"/>
        <v/>
      </c>
      <c r="AL477" s="160" t="str">
        <f t="shared" si="36"/>
        <v/>
      </c>
      <c r="AM477" s="210"/>
      <c r="AN477" s="209"/>
    </row>
    <row r="478" spans="1:40" ht="27.95" customHeight="1">
      <c r="A478" s="134" t="str">
        <f>IF(I478&lt;&gt;"",COUNTA($I$2:I478),"")</f>
        <v/>
      </c>
      <c r="B478" s="138" t="str">
        <f t="shared" si="37"/>
        <v/>
      </c>
      <c r="C478" s="93" t="str">
        <f t="array" ref="C478">IF(E478="","",IF(M478&lt;&gt;"",
M478&amp;"/"&amp;SUMPRODUCT((M$2:M478=M478)*1)&amp;" - "&amp;(ROW()-2),
"إداري/"&amp;SUMPRODUCT((M$2:M478="")*1)&amp;" - "&amp;(ROW()-2)))</f>
        <v/>
      </c>
      <c r="D478" s="141" t="str">
        <f>IF(AND(G478="",H478="",I478=""),"",IF(COUNTIFS(LISTS!$A$2:$A$67,G478,LISTS!$B$2:$B$67,H478,LISTS!$C$2:$C$67,I478)=0,"✗ هرم",IF(NOT(OR(Z478="ممتاز 100%",Z478="جيد 80%",Z478="مقبول 60%",Z478="خطر 40%",Z478="")),"✗ قائمة R",IF(NOT(OR(AA478="ممتاز 100%",AA478="جيد 85%",AA478="مقبول 70%",AA478="ضعيف 50%",AA478="")),"✗ قائمة S",IF(NOT(OR(AB478="مكتمل 100%",AB478="جزئي 60%",AB478="معلق 30%",AB478="مفتوح 0%",AB478="")),"✗ قائمة T",IF(NOT(OR(AC478="لا خصم 0",AC478="تأخير −5",AC478="عجز −10",AC478="جودة −15",AC478="امتثال −20",AC478="مخالفة −25",AC478="")),"✗ قائمة U",IF(AND(X478="لا",AC478&lt;&gt;"",AC478&lt;&gt;"لا خصم 0"),"✗ خصم",IF(AND(X478="نعم",AC478="لا خصم 0"),"✗ خصم",IF(AND(Z478="ممتاز 100%",AA478="ممتاز 100%",AB478&lt;&gt;"",AB478&lt;&gt;"مكتمل 100%"),"✗ إغلاق",IFERROR(IF(LEN(_xlfn.TEXTJOIN("، ",TRUE,IF(E478="","التاريخ",""),IF(F478="","الوقت",""),IF(G478="","المركز",""),IF(H478="","الدائرة",""),IF(I478="","القسم",""),IF(J478="","المسؤول",""),IF(K478="","نوع النشاط",""),IF(L478="","المشروع",""),IF(N478="","الممول",""),IF(V478="","الموضوع",""),IF(W478="","الملاحظة",""),IF(X478="","مشكلة",""),IF(Y478="","الإجراء",""),IF(Z478="","التنفيذ",""),IF(AA478="","الجودة",""),IF(AB478="","الإغلاق",""),IF(AC478="","الخصم",""),IF(AND(COUNTA($O478:$U478)&gt;0,O478=""),"مدير المشروع",""),IF(AND(COUNTA($O478:$U478)&gt;0,P478=""),"المستفيدين",""),IF(AND(COUNTA($O478:$U478)&gt;0,Q478=""),"المناطق",""),IF(AND(COUNTA($O478:$U478)&gt;0,R478=""),"الميزانية",""),IF(AND(COUNTA($O478:$U478)&gt;0,S478=""),"نسبة الجاهزية",""),IF(AND(COUNTA($O478:$U478)&gt;0,T478=""),"حالة الجاهزية",""),IF(AND(COUNTA($O478:$U478)&gt;0,U478=""),"التوصيات","")))&gt;0,"✗ ناقص: "&amp;_xlfn.TEXTJOIN("، ",TRUE,IF(E478="","التاريخ",""),IF(F478="","الوقت",""),IF(G478="","المركز",""),IF(H478="","الدائرة",""),IF(I478="","القسم",""),IF(J478="","المسؤول",""),IF(K478="","نوع النشاط",""),IF(L478="","المشروع",""),IF(N478="","الممول",""),IF(V478="","الموضوع",""),IF(W478="","الملاحظة",""),IF(X478="","مشكلة",""),IF(Y478="","الإجراء",""),IF(Z478="","التنفيذ",""),IF(AA478="","الجودة",""),IF(AB478="","الإغلاق",""),IF(AC478="","الخصم",""),IF(AND(COUNTA($O478:$U478)&gt;0,O478=""),"مدير المشروع",""),IF(AND(COUNTA($O478:$U478)&gt;0,P478=""),"المستفيدين",""),IF(AND(COUNTA($O478:$U478)&gt;0,Q478=""),"المناطق",""),IF(AND(COUNTA($O478:$U478)&gt;0,R478=""),"الميزانية",""),IF(AND(COUNTA($O478:$U478)&gt;0,S478=""),"نسبة الجاهزية",""),IF(AND(COUNTA($O478:$U478)&gt;0,T478=""),"حالة الجاهزية",""),IF(AND(COUNTA($O478:$U478)&gt;0,U478=""),"التوصيات","")),"✓"),"✓"))))))))))</f>
        <v/>
      </c>
      <c r="E478" s="235"/>
      <c r="F478" s="236"/>
      <c r="G478" s="90"/>
      <c r="H478" s="239"/>
      <c r="I478" s="89"/>
      <c r="J478" s="142"/>
      <c r="K478" s="90"/>
      <c r="L478" s="90"/>
      <c r="M478" s="90"/>
      <c r="N478" s="89"/>
      <c r="O478" s="200"/>
      <c r="P478" s="201"/>
      <c r="Q478" s="201"/>
      <c r="R478" s="237"/>
      <c r="S478" s="202"/>
      <c r="T478" s="200"/>
      <c r="U478" s="203"/>
      <c r="V478" s="89"/>
      <c r="W478" s="89"/>
      <c r="X478" s="145"/>
      <c r="Y478" s="89"/>
      <c r="Z478" s="90"/>
      <c r="AA478" s="90"/>
      <c r="AB478" s="90"/>
      <c r="AC478" s="90"/>
      <c r="AD478" s="92"/>
      <c r="AE478" s="149" t="str">
        <f>IFERROR(VLOOKUP(Z478,LISTS!$AL$2:$AM$1000,2,FALSE()),"")</f>
        <v/>
      </c>
      <c r="AF478" s="151" t="str">
        <f>IFERROR(VLOOKUP(AA478,LISTS!$AO$2:$AP$1000,2,FALSE()),"")</f>
        <v/>
      </c>
      <c r="AG478" s="152" t="str">
        <f>IFERROR(VLOOKUP(AB478,LISTS!$AR$2:$AS$1000,2,FALSE()),"")</f>
        <v/>
      </c>
      <c r="AH478" s="154" t="str">
        <f>IFERROR(VLOOKUP(AC478,LISTS!$AU$2:$AV$1000,2,FALSE()),"")</f>
        <v/>
      </c>
      <c r="AI478" s="238" t="str">
        <f t="shared" si="38"/>
        <v>—</v>
      </c>
      <c r="AJ478" s="190" t="str">
        <f t="shared" si="39"/>
        <v>—</v>
      </c>
      <c r="AK478" s="157" t="str">
        <f t="shared" ref="AK478:AK541" si="40">IF(E478="","",MONTH(E478))</f>
        <v/>
      </c>
      <c r="AL478" s="160" t="str">
        <f t="shared" ref="AL478:AL541" si="41">IF(E478="","",YEAR(E478))</f>
        <v/>
      </c>
      <c r="AM478" s="210"/>
      <c r="AN478" s="209"/>
    </row>
    <row r="479" spans="1:40" ht="27.95" customHeight="1">
      <c r="A479" s="134" t="str">
        <f>IF(I479&lt;&gt;"",COUNTA($I$2:I479),"")</f>
        <v/>
      </c>
      <c r="B479" s="138" t="str">
        <f t="shared" ref="B479:B542" si="42">IF(E479="","",CHOOSE(WEEKDAY(E479,2),"الاثنين","الثلاثاء","الأربعاء","الخميس","الجمعة","السبت","الأحد"))</f>
        <v/>
      </c>
      <c r="C479" s="93" t="str">
        <f t="array" ref="C479">IF(E479="","",IF(M479&lt;&gt;"",
M479&amp;"/"&amp;SUMPRODUCT((M$2:M479=M479)*1)&amp;" - "&amp;(ROW()-2),
"إداري/"&amp;SUMPRODUCT((M$2:M479="")*1)&amp;" - "&amp;(ROW()-2)))</f>
        <v/>
      </c>
      <c r="D479" s="141" t="str">
        <f>IF(AND(G479="",H479="",I479=""),"",IF(COUNTIFS(LISTS!$A$2:$A$67,G479,LISTS!$B$2:$B$67,H479,LISTS!$C$2:$C$67,I479)=0,"✗ هرم",IF(NOT(OR(Z479="ممتاز 100%",Z479="جيد 80%",Z479="مقبول 60%",Z479="خطر 40%",Z479="")),"✗ قائمة R",IF(NOT(OR(AA479="ممتاز 100%",AA479="جيد 85%",AA479="مقبول 70%",AA479="ضعيف 50%",AA479="")),"✗ قائمة S",IF(NOT(OR(AB479="مكتمل 100%",AB479="جزئي 60%",AB479="معلق 30%",AB479="مفتوح 0%",AB479="")),"✗ قائمة T",IF(NOT(OR(AC479="لا خصم 0",AC479="تأخير −5",AC479="عجز −10",AC479="جودة −15",AC479="امتثال −20",AC479="مخالفة −25",AC479="")),"✗ قائمة U",IF(AND(X479="لا",AC479&lt;&gt;"",AC479&lt;&gt;"لا خصم 0"),"✗ خصم",IF(AND(X479="نعم",AC479="لا خصم 0"),"✗ خصم",IF(AND(Z479="ممتاز 100%",AA479="ممتاز 100%",AB479&lt;&gt;"",AB479&lt;&gt;"مكتمل 100%"),"✗ إغلاق",IFERROR(IF(LEN(_xlfn.TEXTJOIN("، ",TRUE,IF(E479="","التاريخ",""),IF(F479="","الوقت",""),IF(G479="","المركز",""),IF(H479="","الدائرة",""),IF(I479="","القسم",""),IF(J479="","المسؤول",""),IF(K479="","نوع النشاط",""),IF(L479="","المشروع",""),IF(N479="","الممول",""),IF(V479="","الموضوع",""),IF(W479="","الملاحظة",""),IF(X479="","مشكلة",""),IF(Y479="","الإجراء",""),IF(Z479="","التنفيذ",""),IF(AA479="","الجودة",""),IF(AB479="","الإغلاق",""),IF(AC479="","الخصم",""),IF(AND(COUNTA($O479:$U479)&gt;0,O479=""),"مدير المشروع",""),IF(AND(COUNTA($O479:$U479)&gt;0,P479=""),"المستفيدين",""),IF(AND(COUNTA($O479:$U479)&gt;0,Q479=""),"المناطق",""),IF(AND(COUNTA($O479:$U479)&gt;0,R479=""),"الميزانية",""),IF(AND(COUNTA($O479:$U479)&gt;0,S479=""),"نسبة الجاهزية",""),IF(AND(COUNTA($O479:$U479)&gt;0,T479=""),"حالة الجاهزية",""),IF(AND(COUNTA($O479:$U479)&gt;0,U479=""),"التوصيات","")))&gt;0,"✗ ناقص: "&amp;_xlfn.TEXTJOIN("، ",TRUE,IF(E479="","التاريخ",""),IF(F479="","الوقت",""),IF(G479="","المركز",""),IF(H479="","الدائرة",""),IF(I479="","القسم",""),IF(J479="","المسؤول",""),IF(K479="","نوع النشاط",""),IF(L479="","المشروع",""),IF(N479="","الممول",""),IF(V479="","الموضوع",""),IF(W479="","الملاحظة",""),IF(X479="","مشكلة",""),IF(Y479="","الإجراء",""),IF(Z479="","التنفيذ",""),IF(AA479="","الجودة",""),IF(AB479="","الإغلاق",""),IF(AC479="","الخصم",""),IF(AND(COUNTA($O479:$U479)&gt;0,O479=""),"مدير المشروع",""),IF(AND(COUNTA($O479:$U479)&gt;0,P479=""),"المستفيدين",""),IF(AND(COUNTA($O479:$U479)&gt;0,Q479=""),"المناطق",""),IF(AND(COUNTA($O479:$U479)&gt;0,R479=""),"الميزانية",""),IF(AND(COUNTA($O479:$U479)&gt;0,S479=""),"نسبة الجاهزية",""),IF(AND(COUNTA($O479:$U479)&gt;0,T479=""),"حالة الجاهزية",""),IF(AND(COUNTA($O479:$U479)&gt;0,U479=""),"التوصيات","")),"✓"),"✓"))))))))))</f>
        <v/>
      </c>
      <c r="E479" s="235"/>
      <c r="F479" s="236"/>
      <c r="G479" s="90"/>
      <c r="H479" s="239"/>
      <c r="I479" s="89"/>
      <c r="J479" s="142"/>
      <c r="K479" s="90"/>
      <c r="L479" s="90"/>
      <c r="M479" s="90"/>
      <c r="N479" s="89"/>
      <c r="O479" s="200"/>
      <c r="P479" s="201"/>
      <c r="Q479" s="201"/>
      <c r="R479" s="237"/>
      <c r="S479" s="202"/>
      <c r="T479" s="200"/>
      <c r="U479" s="203"/>
      <c r="V479" s="89"/>
      <c r="W479" s="89"/>
      <c r="X479" s="145"/>
      <c r="Y479" s="89"/>
      <c r="Z479" s="90"/>
      <c r="AA479" s="90"/>
      <c r="AB479" s="90"/>
      <c r="AC479" s="90"/>
      <c r="AD479" s="92"/>
      <c r="AE479" s="149" t="str">
        <f>IFERROR(VLOOKUP(Z479,LISTS!$AL$2:$AM$1000,2,FALSE()),"")</f>
        <v/>
      </c>
      <c r="AF479" s="151" t="str">
        <f>IFERROR(VLOOKUP(AA479,LISTS!$AO$2:$AP$1000,2,FALSE()),"")</f>
        <v/>
      </c>
      <c r="AG479" s="152" t="str">
        <f>IFERROR(VLOOKUP(AB479,LISTS!$AR$2:$AS$1000,2,FALSE()),"")</f>
        <v/>
      </c>
      <c r="AH479" s="154" t="str">
        <f>IFERROR(VLOOKUP(AC479,LISTS!$AU$2:$AV$1000,2,FALSE()),"")</f>
        <v/>
      </c>
      <c r="AI479" s="238" t="str">
        <f t="shared" si="38"/>
        <v>—</v>
      </c>
      <c r="AJ479" s="190" t="str">
        <f t="shared" si="39"/>
        <v>—</v>
      </c>
      <c r="AK479" s="157" t="str">
        <f t="shared" si="40"/>
        <v/>
      </c>
      <c r="AL479" s="160" t="str">
        <f t="shared" si="41"/>
        <v/>
      </c>
      <c r="AM479" s="210"/>
      <c r="AN479" s="209"/>
    </row>
    <row r="480" spans="1:40" ht="27.95" customHeight="1">
      <c r="A480" s="134" t="str">
        <f>IF(I480&lt;&gt;"",COUNTA($I$2:I480),"")</f>
        <v/>
      </c>
      <c r="B480" s="138" t="str">
        <f t="shared" si="42"/>
        <v/>
      </c>
      <c r="C480" s="93" t="str">
        <f t="array" ref="C480">IF(E480="","",IF(M480&lt;&gt;"",
M480&amp;"/"&amp;SUMPRODUCT((M$2:M480=M480)*1)&amp;" - "&amp;(ROW()-2),
"إداري/"&amp;SUMPRODUCT((M$2:M480="")*1)&amp;" - "&amp;(ROW()-2)))</f>
        <v/>
      </c>
      <c r="D480" s="141" t="str">
        <f>IF(AND(G480="",H480="",I480=""),"",IF(COUNTIFS(LISTS!$A$2:$A$67,G480,LISTS!$B$2:$B$67,H480,LISTS!$C$2:$C$67,I480)=0,"✗ هرم",IF(NOT(OR(Z480="ممتاز 100%",Z480="جيد 80%",Z480="مقبول 60%",Z480="خطر 40%",Z480="")),"✗ قائمة R",IF(NOT(OR(AA480="ممتاز 100%",AA480="جيد 85%",AA480="مقبول 70%",AA480="ضعيف 50%",AA480="")),"✗ قائمة S",IF(NOT(OR(AB480="مكتمل 100%",AB480="جزئي 60%",AB480="معلق 30%",AB480="مفتوح 0%",AB480="")),"✗ قائمة T",IF(NOT(OR(AC480="لا خصم 0",AC480="تأخير −5",AC480="عجز −10",AC480="جودة −15",AC480="امتثال −20",AC480="مخالفة −25",AC480="")),"✗ قائمة U",IF(AND(X480="لا",AC480&lt;&gt;"",AC480&lt;&gt;"لا خصم 0"),"✗ خصم",IF(AND(X480="نعم",AC480="لا خصم 0"),"✗ خصم",IF(AND(Z480="ممتاز 100%",AA480="ممتاز 100%",AB480&lt;&gt;"",AB480&lt;&gt;"مكتمل 100%"),"✗ إغلاق",IFERROR(IF(LEN(_xlfn.TEXTJOIN("، ",TRUE,IF(E480="","التاريخ",""),IF(F480="","الوقت",""),IF(G480="","المركز",""),IF(H480="","الدائرة",""),IF(I480="","القسم",""),IF(J480="","المسؤول",""),IF(K480="","نوع النشاط",""),IF(L480="","المشروع",""),IF(N480="","الممول",""),IF(V480="","الموضوع",""),IF(W480="","الملاحظة",""),IF(X480="","مشكلة",""),IF(Y480="","الإجراء",""),IF(Z480="","التنفيذ",""),IF(AA480="","الجودة",""),IF(AB480="","الإغلاق",""),IF(AC480="","الخصم",""),IF(AND(COUNTA($O480:$U480)&gt;0,O480=""),"مدير المشروع",""),IF(AND(COUNTA($O480:$U480)&gt;0,P480=""),"المستفيدين",""),IF(AND(COUNTA($O480:$U480)&gt;0,Q480=""),"المناطق",""),IF(AND(COUNTA($O480:$U480)&gt;0,R480=""),"الميزانية",""),IF(AND(COUNTA($O480:$U480)&gt;0,S480=""),"نسبة الجاهزية",""),IF(AND(COUNTA($O480:$U480)&gt;0,T480=""),"حالة الجاهزية",""),IF(AND(COUNTA($O480:$U480)&gt;0,U480=""),"التوصيات","")))&gt;0,"✗ ناقص: "&amp;_xlfn.TEXTJOIN("، ",TRUE,IF(E480="","التاريخ",""),IF(F480="","الوقت",""),IF(G480="","المركز",""),IF(H480="","الدائرة",""),IF(I480="","القسم",""),IF(J480="","المسؤول",""),IF(K480="","نوع النشاط",""),IF(L480="","المشروع",""),IF(N480="","الممول",""),IF(V480="","الموضوع",""),IF(W480="","الملاحظة",""),IF(X480="","مشكلة",""),IF(Y480="","الإجراء",""),IF(Z480="","التنفيذ",""),IF(AA480="","الجودة",""),IF(AB480="","الإغلاق",""),IF(AC480="","الخصم",""),IF(AND(COUNTA($O480:$U480)&gt;0,O480=""),"مدير المشروع",""),IF(AND(COUNTA($O480:$U480)&gt;0,P480=""),"المستفيدين",""),IF(AND(COUNTA($O480:$U480)&gt;0,Q480=""),"المناطق",""),IF(AND(COUNTA($O480:$U480)&gt;0,R480=""),"الميزانية",""),IF(AND(COUNTA($O480:$U480)&gt;0,S480=""),"نسبة الجاهزية",""),IF(AND(COUNTA($O480:$U480)&gt;0,T480=""),"حالة الجاهزية",""),IF(AND(COUNTA($O480:$U480)&gt;0,U480=""),"التوصيات","")),"✓"),"✓"))))))))))</f>
        <v/>
      </c>
      <c r="E480" s="235"/>
      <c r="F480" s="236"/>
      <c r="G480" s="90"/>
      <c r="H480" s="239"/>
      <c r="I480" s="89"/>
      <c r="J480" s="142"/>
      <c r="K480" s="90"/>
      <c r="L480" s="90"/>
      <c r="M480" s="90"/>
      <c r="N480" s="89"/>
      <c r="O480" s="200"/>
      <c r="P480" s="201"/>
      <c r="Q480" s="201"/>
      <c r="R480" s="237"/>
      <c r="S480" s="202"/>
      <c r="T480" s="200"/>
      <c r="U480" s="203"/>
      <c r="V480" s="89"/>
      <c r="W480" s="89"/>
      <c r="X480" s="145"/>
      <c r="Y480" s="89"/>
      <c r="Z480" s="90"/>
      <c r="AA480" s="90"/>
      <c r="AB480" s="90"/>
      <c r="AC480" s="90"/>
      <c r="AD480" s="92"/>
      <c r="AE480" s="149" t="str">
        <f>IFERROR(VLOOKUP(Z480,LISTS!$AL$2:$AM$1000,2,FALSE()),"")</f>
        <v/>
      </c>
      <c r="AF480" s="151" t="str">
        <f>IFERROR(VLOOKUP(AA480,LISTS!$AO$2:$AP$1000,2,FALSE()),"")</f>
        <v/>
      </c>
      <c r="AG480" s="152" t="str">
        <f>IFERROR(VLOOKUP(AB480,LISTS!$AR$2:$AS$1000,2,FALSE()),"")</f>
        <v/>
      </c>
      <c r="AH480" s="154" t="str">
        <f>IFERROR(VLOOKUP(AC480,LISTS!$AU$2:$AV$1000,2,FALSE()),"")</f>
        <v/>
      </c>
      <c r="AI480" s="238" t="str">
        <f t="shared" si="38"/>
        <v>—</v>
      </c>
      <c r="AJ480" s="190" t="str">
        <f t="shared" si="39"/>
        <v>—</v>
      </c>
      <c r="AK480" s="157" t="str">
        <f t="shared" si="40"/>
        <v/>
      </c>
      <c r="AL480" s="160" t="str">
        <f t="shared" si="41"/>
        <v/>
      </c>
      <c r="AM480" s="210"/>
      <c r="AN480" s="209"/>
    </row>
    <row r="481" spans="1:40" ht="27.95" customHeight="1">
      <c r="A481" s="134" t="str">
        <f>IF(I481&lt;&gt;"",COUNTA($I$2:I481),"")</f>
        <v/>
      </c>
      <c r="B481" s="138" t="str">
        <f t="shared" si="42"/>
        <v/>
      </c>
      <c r="C481" s="93" t="str">
        <f t="array" ref="C481">IF(E481="","",IF(M481&lt;&gt;"",
M481&amp;"/"&amp;SUMPRODUCT((M$2:M481=M481)*1)&amp;" - "&amp;(ROW()-2),
"إداري/"&amp;SUMPRODUCT((M$2:M481="")*1)&amp;" - "&amp;(ROW()-2)))</f>
        <v/>
      </c>
      <c r="D481" s="141" t="str">
        <f>IF(AND(G481="",H481="",I481=""),"",IF(COUNTIFS(LISTS!$A$2:$A$67,G481,LISTS!$B$2:$B$67,H481,LISTS!$C$2:$C$67,I481)=0,"✗ هرم",IF(NOT(OR(Z481="ممتاز 100%",Z481="جيد 80%",Z481="مقبول 60%",Z481="خطر 40%",Z481="")),"✗ قائمة R",IF(NOT(OR(AA481="ممتاز 100%",AA481="جيد 85%",AA481="مقبول 70%",AA481="ضعيف 50%",AA481="")),"✗ قائمة S",IF(NOT(OR(AB481="مكتمل 100%",AB481="جزئي 60%",AB481="معلق 30%",AB481="مفتوح 0%",AB481="")),"✗ قائمة T",IF(NOT(OR(AC481="لا خصم 0",AC481="تأخير −5",AC481="عجز −10",AC481="جودة −15",AC481="امتثال −20",AC481="مخالفة −25",AC481="")),"✗ قائمة U",IF(AND(X481="لا",AC481&lt;&gt;"",AC481&lt;&gt;"لا خصم 0"),"✗ خصم",IF(AND(X481="نعم",AC481="لا خصم 0"),"✗ خصم",IF(AND(Z481="ممتاز 100%",AA481="ممتاز 100%",AB481&lt;&gt;"",AB481&lt;&gt;"مكتمل 100%"),"✗ إغلاق",IFERROR(IF(LEN(_xlfn.TEXTJOIN("، ",TRUE,IF(E481="","التاريخ",""),IF(F481="","الوقت",""),IF(G481="","المركز",""),IF(H481="","الدائرة",""),IF(I481="","القسم",""),IF(J481="","المسؤول",""),IF(K481="","نوع النشاط",""),IF(L481="","المشروع",""),IF(N481="","الممول",""),IF(V481="","الموضوع",""),IF(W481="","الملاحظة",""),IF(X481="","مشكلة",""),IF(Y481="","الإجراء",""),IF(Z481="","التنفيذ",""),IF(AA481="","الجودة",""),IF(AB481="","الإغلاق",""),IF(AC481="","الخصم",""),IF(AND(COUNTA($O481:$U481)&gt;0,O481=""),"مدير المشروع",""),IF(AND(COUNTA($O481:$U481)&gt;0,P481=""),"المستفيدين",""),IF(AND(COUNTA($O481:$U481)&gt;0,Q481=""),"المناطق",""),IF(AND(COUNTA($O481:$U481)&gt;0,R481=""),"الميزانية",""),IF(AND(COUNTA($O481:$U481)&gt;0,S481=""),"نسبة الجاهزية",""),IF(AND(COUNTA($O481:$U481)&gt;0,T481=""),"حالة الجاهزية",""),IF(AND(COUNTA($O481:$U481)&gt;0,U481=""),"التوصيات","")))&gt;0,"✗ ناقص: "&amp;_xlfn.TEXTJOIN("، ",TRUE,IF(E481="","التاريخ",""),IF(F481="","الوقت",""),IF(G481="","المركز",""),IF(H481="","الدائرة",""),IF(I481="","القسم",""),IF(J481="","المسؤول",""),IF(K481="","نوع النشاط",""),IF(L481="","المشروع",""),IF(N481="","الممول",""),IF(V481="","الموضوع",""),IF(W481="","الملاحظة",""),IF(X481="","مشكلة",""),IF(Y481="","الإجراء",""),IF(Z481="","التنفيذ",""),IF(AA481="","الجودة",""),IF(AB481="","الإغلاق",""),IF(AC481="","الخصم",""),IF(AND(COUNTA($O481:$U481)&gt;0,O481=""),"مدير المشروع",""),IF(AND(COUNTA($O481:$U481)&gt;0,P481=""),"المستفيدين",""),IF(AND(COUNTA($O481:$U481)&gt;0,Q481=""),"المناطق",""),IF(AND(COUNTA($O481:$U481)&gt;0,R481=""),"الميزانية",""),IF(AND(COUNTA($O481:$U481)&gt;0,S481=""),"نسبة الجاهزية",""),IF(AND(COUNTA($O481:$U481)&gt;0,T481=""),"حالة الجاهزية",""),IF(AND(COUNTA($O481:$U481)&gt;0,U481=""),"التوصيات","")),"✓"),"✓"))))))))))</f>
        <v/>
      </c>
      <c r="E481" s="235"/>
      <c r="F481" s="236"/>
      <c r="G481" s="90"/>
      <c r="H481" s="239"/>
      <c r="I481" s="89"/>
      <c r="J481" s="142"/>
      <c r="K481" s="90"/>
      <c r="L481" s="90"/>
      <c r="M481" s="90"/>
      <c r="N481" s="89"/>
      <c r="O481" s="200"/>
      <c r="P481" s="201"/>
      <c r="Q481" s="201"/>
      <c r="R481" s="237"/>
      <c r="S481" s="202"/>
      <c r="T481" s="200"/>
      <c r="U481" s="203"/>
      <c r="V481" s="89"/>
      <c r="W481" s="89"/>
      <c r="X481" s="145"/>
      <c r="Y481" s="89"/>
      <c r="Z481" s="90"/>
      <c r="AA481" s="90"/>
      <c r="AB481" s="90"/>
      <c r="AC481" s="90"/>
      <c r="AD481" s="92"/>
      <c r="AE481" s="149" t="str">
        <f>IFERROR(VLOOKUP(Z481,LISTS!$AL$2:$AM$1000,2,FALSE()),"")</f>
        <v/>
      </c>
      <c r="AF481" s="151" t="str">
        <f>IFERROR(VLOOKUP(AA481,LISTS!$AO$2:$AP$1000,2,FALSE()),"")</f>
        <v/>
      </c>
      <c r="AG481" s="152" t="str">
        <f>IFERROR(VLOOKUP(AB481,LISTS!$AR$2:$AS$1000,2,FALSE()),"")</f>
        <v/>
      </c>
      <c r="AH481" s="154" t="str">
        <f>IFERROR(VLOOKUP(AC481,LISTS!$AU$2:$AV$1000,2,FALSE()),"")</f>
        <v/>
      </c>
      <c r="AI481" s="238" t="str">
        <f t="shared" si="38"/>
        <v>—</v>
      </c>
      <c r="AJ481" s="190" t="str">
        <f t="shared" si="39"/>
        <v>—</v>
      </c>
      <c r="AK481" s="157" t="str">
        <f t="shared" si="40"/>
        <v/>
      </c>
      <c r="AL481" s="160" t="str">
        <f t="shared" si="41"/>
        <v/>
      </c>
      <c r="AM481" s="210"/>
      <c r="AN481" s="209"/>
    </row>
    <row r="482" spans="1:40" ht="27.95" customHeight="1">
      <c r="A482" s="134" t="str">
        <f>IF(I482&lt;&gt;"",COUNTA($I$2:I482),"")</f>
        <v/>
      </c>
      <c r="B482" s="138" t="str">
        <f t="shared" si="42"/>
        <v/>
      </c>
      <c r="C482" s="93" t="str">
        <f t="array" ref="C482">IF(E482="","",IF(M482&lt;&gt;"",
M482&amp;"/"&amp;SUMPRODUCT((M$2:M482=M482)*1)&amp;" - "&amp;(ROW()-2),
"إداري/"&amp;SUMPRODUCT((M$2:M482="")*1)&amp;" - "&amp;(ROW()-2)))</f>
        <v/>
      </c>
      <c r="D482" s="141" t="str">
        <f>IF(AND(G482="",H482="",I482=""),"",IF(COUNTIFS(LISTS!$A$2:$A$67,G482,LISTS!$B$2:$B$67,H482,LISTS!$C$2:$C$67,I482)=0,"✗ هرم",IF(NOT(OR(Z482="ممتاز 100%",Z482="جيد 80%",Z482="مقبول 60%",Z482="خطر 40%",Z482="")),"✗ قائمة R",IF(NOT(OR(AA482="ممتاز 100%",AA482="جيد 85%",AA482="مقبول 70%",AA482="ضعيف 50%",AA482="")),"✗ قائمة S",IF(NOT(OR(AB482="مكتمل 100%",AB482="جزئي 60%",AB482="معلق 30%",AB482="مفتوح 0%",AB482="")),"✗ قائمة T",IF(NOT(OR(AC482="لا خصم 0",AC482="تأخير −5",AC482="عجز −10",AC482="جودة −15",AC482="امتثال −20",AC482="مخالفة −25",AC482="")),"✗ قائمة U",IF(AND(X482="لا",AC482&lt;&gt;"",AC482&lt;&gt;"لا خصم 0"),"✗ خصم",IF(AND(X482="نعم",AC482="لا خصم 0"),"✗ خصم",IF(AND(Z482="ممتاز 100%",AA482="ممتاز 100%",AB482&lt;&gt;"",AB482&lt;&gt;"مكتمل 100%"),"✗ إغلاق",IFERROR(IF(LEN(_xlfn.TEXTJOIN("، ",TRUE,IF(E482="","التاريخ",""),IF(F482="","الوقت",""),IF(G482="","المركز",""),IF(H482="","الدائرة",""),IF(I482="","القسم",""),IF(J482="","المسؤول",""),IF(K482="","نوع النشاط",""),IF(L482="","المشروع",""),IF(N482="","الممول",""),IF(V482="","الموضوع",""),IF(W482="","الملاحظة",""),IF(X482="","مشكلة",""),IF(Y482="","الإجراء",""),IF(Z482="","التنفيذ",""),IF(AA482="","الجودة",""),IF(AB482="","الإغلاق",""),IF(AC482="","الخصم",""),IF(AND(COUNTA($O482:$U482)&gt;0,O482=""),"مدير المشروع",""),IF(AND(COUNTA($O482:$U482)&gt;0,P482=""),"المستفيدين",""),IF(AND(COUNTA($O482:$U482)&gt;0,Q482=""),"المناطق",""),IF(AND(COUNTA($O482:$U482)&gt;0,R482=""),"الميزانية",""),IF(AND(COUNTA($O482:$U482)&gt;0,S482=""),"نسبة الجاهزية",""),IF(AND(COUNTA($O482:$U482)&gt;0,T482=""),"حالة الجاهزية",""),IF(AND(COUNTA($O482:$U482)&gt;0,U482=""),"التوصيات","")))&gt;0,"✗ ناقص: "&amp;_xlfn.TEXTJOIN("، ",TRUE,IF(E482="","التاريخ",""),IF(F482="","الوقت",""),IF(G482="","المركز",""),IF(H482="","الدائرة",""),IF(I482="","القسم",""),IF(J482="","المسؤول",""),IF(K482="","نوع النشاط",""),IF(L482="","المشروع",""),IF(N482="","الممول",""),IF(V482="","الموضوع",""),IF(W482="","الملاحظة",""),IF(X482="","مشكلة",""),IF(Y482="","الإجراء",""),IF(Z482="","التنفيذ",""),IF(AA482="","الجودة",""),IF(AB482="","الإغلاق",""),IF(AC482="","الخصم",""),IF(AND(COUNTA($O482:$U482)&gt;0,O482=""),"مدير المشروع",""),IF(AND(COUNTA($O482:$U482)&gt;0,P482=""),"المستفيدين",""),IF(AND(COUNTA($O482:$U482)&gt;0,Q482=""),"المناطق",""),IF(AND(COUNTA($O482:$U482)&gt;0,R482=""),"الميزانية",""),IF(AND(COUNTA($O482:$U482)&gt;0,S482=""),"نسبة الجاهزية",""),IF(AND(COUNTA($O482:$U482)&gt;0,T482=""),"حالة الجاهزية",""),IF(AND(COUNTA($O482:$U482)&gt;0,U482=""),"التوصيات","")),"✓"),"✓"))))))))))</f>
        <v/>
      </c>
      <c r="E482" s="235"/>
      <c r="F482" s="236"/>
      <c r="G482" s="90"/>
      <c r="H482" s="239"/>
      <c r="I482" s="89"/>
      <c r="J482" s="142"/>
      <c r="K482" s="90"/>
      <c r="L482" s="90"/>
      <c r="M482" s="90"/>
      <c r="N482" s="89"/>
      <c r="O482" s="200"/>
      <c r="P482" s="201"/>
      <c r="Q482" s="201"/>
      <c r="R482" s="237"/>
      <c r="S482" s="202"/>
      <c r="T482" s="200"/>
      <c r="U482" s="203"/>
      <c r="V482" s="89"/>
      <c r="W482" s="89"/>
      <c r="X482" s="145"/>
      <c r="Y482" s="89"/>
      <c r="Z482" s="90"/>
      <c r="AA482" s="90"/>
      <c r="AB482" s="90"/>
      <c r="AC482" s="90"/>
      <c r="AD482" s="92"/>
      <c r="AE482" s="149" t="str">
        <f>IFERROR(VLOOKUP(Z482,LISTS!$AL$2:$AM$1000,2,FALSE()),"")</f>
        <v/>
      </c>
      <c r="AF482" s="151" t="str">
        <f>IFERROR(VLOOKUP(AA482,LISTS!$AO$2:$AP$1000,2,FALSE()),"")</f>
        <v/>
      </c>
      <c r="AG482" s="152" t="str">
        <f>IFERROR(VLOOKUP(AB482,LISTS!$AR$2:$AS$1000,2,FALSE()),"")</f>
        <v/>
      </c>
      <c r="AH482" s="154" t="str">
        <f>IFERROR(VLOOKUP(AC482,LISTS!$AU$2:$AV$1000,2,FALSE()),"")</f>
        <v/>
      </c>
      <c r="AI482" s="238" t="str">
        <f t="shared" si="38"/>
        <v>—</v>
      </c>
      <c r="AJ482" s="190" t="str">
        <f t="shared" si="39"/>
        <v>—</v>
      </c>
      <c r="AK482" s="157" t="str">
        <f t="shared" si="40"/>
        <v/>
      </c>
      <c r="AL482" s="160" t="str">
        <f t="shared" si="41"/>
        <v/>
      </c>
      <c r="AM482" s="210"/>
      <c r="AN482" s="209"/>
    </row>
    <row r="483" spans="1:40" ht="27.95" customHeight="1">
      <c r="A483" s="134" t="str">
        <f>IF(I483&lt;&gt;"",COUNTA($I$2:I483),"")</f>
        <v/>
      </c>
      <c r="B483" s="138" t="str">
        <f t="shared" si="42"/>
        <v/>
      </c>
      <c r="C483" s="93" t="str">
        <f t="array" ref="C483">IF(E483="","",IF(M483&lt;&gt;"",
M483&amp;"/"&amp;SUMPRODUCT((M$2:M483=M483)*1)&amp;" - "&amp;(ROW()-2),
"إداري/"&amp;SUMPRODUCT((M$2:M483="")*1)&amp;" - "&amp;(ROW()-2)))</f>
        <v/>
      </c>
      <c r="D483" s="141" t="str">
        <f>IF(AND(G483="",H483="",I483=""),"",IF(COUNTIFS(LISTS!$A$2:$A$67,G483,LISTS!$B$2:$B$67,H483,LISTS!$C$2:$C$67,I483)=0,"✗ هرم",IF(NOT(OR(Z483="ممتاز 100%",Z483="جيد 80%",Z483="مقبول 60%",Z483="خطر 40%",Z483="")),"✗ قائمة R",IF(NOT(OR(AA483="ممتاز 100%",AA483="جيد 85%",AA483="مقبول 70%",AA483="ضعيف 50%",AA483="")),"✗ قائمة S",IF(NOT(OR(AB483="مكتمل 100%",AB483="جزئي 60%",AB483="معلق 30%",AB483="مفتوح 0%",AB483="")),"✗ قائمة T",IF(NOT(OR(AC483="لا خصم 0",AC483="تأخير −5",AC483="عجز −10",AC483="جودة −15",AC483="امتثال −20",AC483="مخالفة −25",AC483="")),"✗ قائمة U",IF(AND(X483="لا",AC483&lt;&gt;"",AC483&lt;&gt;"لا خصم 0"),"✗ خصم",IF(AND(X483="نعم",AC483="لا خصم 0"),"✗ خصم",IF(AND(Z483="ممتاز 100%",AA483="ممتاز 100%",AB483&lt;&gt;"",AB483&lt;&gt;"مكتمل 100%"),"✗ إغلاق",IFERROR(IF(LEN(_xlfn.TEXTJOIN("، ",TRUE,IF(E483="","التاريخ",""),IF(F483="","الوقت",""),IF(G483="","المركز",""),IF(H483="","الدائرة",""),IF(I483="","القسم",""),IF(J483="","المسؤول",""),IF(K483="","نوع النشاط",""),IF(L483="","المشروع",""),IF(N483="","الممول",""),IF(V483="","الموضوع",""),IF(W483="","الملاحظة",""),IF(X483="","مشكلة",""),IF(Y483="","الإجراء",""),IF(Z483="","التنفيذ",""),IF(AA483="","الجودة",""),IF(AB483="","الإغلاق",""),IF(AC483="","الخصم",""),IF(AND(COUNTA($O483:$U483)&gt;0,O483=""),"مدير المشروع",""),IF(AND(COUNTA($O483:$U483)&gt;0,P483=""),"المستفيدين",""),IF(AND(COUNTA($O483:$U483)&gt;0,Q483=""),"المناطق",""),IF(AND(COUNTA($O483:$U483)&gt;0,R483=""),"الميزانية",""),IF(AND(COUNTA($O483:$U483)&gt;0,S483=""),"نسبة الجاهزية",""),IF(AND(COUNTA($O483:$U483)&gt;0,T483=""),"حالة الجاهزية",""),IF(AND(COUNTA($O483:$U483)&gt;0,U483=""),"التوصيات","")))&gt;0,"✗ ناقص: "&amp;_xlfn.TEXTJOIN("، ",TRUE,IF(E483="","التاريخ",""),IF(F483="","الوقت",""),IF(G483="","المركز",""),IF(H483="","الدائرة",""),IF(I483="","القسم",""),IF(J483="","المسؤول",""),IF(K483="","نوع النشاط",""),IF(L483="","المشروع",""),IF(N483="","الممول",""),IF(V483="","الموضوع",""),IF(W483="","الملاحظة",""),IF(X483="","مشكلة",""),IF(Y483="","الإجراء",""),IF(Z483="","التنفيذ",""),IF(AA483="","الجودة",""),IF(AB483="","الإغلاق",""),IF(AC483="","الخصم",""),IF(AND(COUNTA($O483:$U483)&gt;0,O483=""),"مدير المشروع",""),IF(AND(COUNTA($O483:$U483)&gt;0,P483=""),"المستفيدين",""),IF(AND(COUNTA($O483:$U483)&gt;0,Q483=""),"المناطق",""),IF(AND(COUNTA($O483:$U483)&gt;0,R483=""),"الميزانية",""),IF(AND(COUNTA($O483:$U483)&gt;0,S483=""),"نسبة الجاهزية",""),IF(AND(COUNTA($O483:$U483)&gt;0,T483=""),"حالة الجاهزية",""),IF(AND(COUNTA($O483:$U483)&gt;0,U483=""),"التوصيات","")),"✓"),"✓"))))))))))</f>
        <v/>
      </c>
      <c r="E483" s="235"/>
      <c r="F483" s="236"/>
      <c r="G483" s="90"/>
      <c r="H483" s="239"/>
      <c r="I483" s="89"/>
      <c r="J483" s="142"/>
      <c r="K483" s="90"/>
      <c r="L483" s="90"/>
      <c r="M483" s="90"/>
      <c r="N483" s="89"/>
      <c r="O483" s="200"/>
      <c r="P483" s="201"/>
      <c r="Q483" s="201"/>
      <c r="R483" s="237"/>
      <c r="S483" s="202"/>
      <c r="T483" s="200"/>
      <c r="U483" s="203"/>
      <c r="V483" s="89"/>
      <c r="W483" s="89"/>
      <c r="X483" s="145"/>
      <c r="Y483" s="89"/>
      <c r="Z483" s="90"/>
      <c r="AA483" s="90"/>
      <c r="AB483" s="90"/>
      <c r="AC483" s="90"/>
      <c r="AD483" s="92"/>
      <c r="AE483" s="149" t="str">
        <f>IFERROR(VLOOKUP(Z483,LISTS!$AL$2:$AM$1000,2,FALSE()),"")</f>
        <v/>
      </c>
      <c r="AF483" s="151" t="str">
        <f>IFERROR(VLOOKUP(AA483,LISTS!$AO$2:$AP$1000,2,FALSE()),"")</f>
        <v/>
      </c>
      <c r="AG483" s="152" t="str">
        <f>IFERROR(VLOOKUP(AB483,LISTS!$AR$2:$AS$1000,2,FALSE()),"")</f>
        <v/>
      </c>
      <c r="AH483" s="154" t="str">
        <f>IFERROR(VLOOKUP(AC483,LISTS!$AU$2:$AV$1000,2,FALSE()),"")</f>
        <v/>
      </c>
      <c r="AI483" s="238" t="str">
        <f t="shared" si="38"/>
        <v>—</v>
      </c>
      <c r="AJ483" s="190" t="str">
        <f t="shared" si="39"/>
        <v>—</v>
      </c>
      <c r="AK483" s="157" t="str">
        <f t="shared" si="40"/>
        <v/>
      </c>
      <c r="AL483" s="160" t="str">
        <f t="shared" si="41"/>
        <v/>
      </c>
      <c r="AM483" s="210"/>
      <c r="AN483" s="209"/>
    </row>
    <row r="484" spans="1:40" ht="27.95" customHeight="1">
      <c r="A484" s="134" t="str">
        <f>IF(I484&lt;&gt;"",COUNTA($I$2:I484),"")</f>
        <v/>
      </c>
      <c r="B484" s="138" t="str">
        <f t="shared" si="42"/>
        <v/>
      </c>
      <c r="C484" s="93" t="str">
        <f t="array" ref="C484">IF(E484="","",IF(M484&lt;&gt;"",
M484&amp;"/"&amp;SUMPRODUCT((M$2:M484=M484)*1)&amp;" - "&amp;(ROW()-2),
"إداري/"&amp;SUMPRODUCT((M$2:M484="")*1)&amp;" - "&amp;(ROW()-2)))</f>
        <v/>
      </c>
      <c r="D484" s="141" t="str">
        <f>IF(AND(G484="",H484="",I484=""),"",IF(COUNTIFS(LISTS!$A$2:$A$67,G484,LISTS!$B$2:$B$67,H484,LISTS!$C$2:$C$67,I484)=0,"✗ هرم",IF(NOT(OR(Z484="ممتاز 100%",Z484="جيد 80%",Z484="مقبول 60%",Z484="خطر 40%",Z484="")),"✗ قائمة R",IF(NOT(OR(AA484="ممتاز 100%",AA484="جيد 85%",AA484="مقبول 70%",AA484="ضعيف 50%",AA484="")),"✗ قائمة S",IF(NOT(OR(AB484="مكتمل 100%",AB484="جزئي 60%",AB484="معلق 30%",AB484="مفتوح 0%",AB484="")),"✗ قائمة T",IF(NOT(OR(AC484="لا خصم 0",AC484="تأخير −5",AC484="عجز −10",AC484="جودة −15",AC484="امتثال −20",AC484="مخالفة −25",AC484="")),"✗ قائمة U",IF(AND(X484="لا",AC484&lt;&gt;"",AC484&lt;&gt;"لا خصم 0"),"✗ خصم",IF(AND(X484="نعم",AC484="لا خصم 0"),"✗ خصم",IF(AND(Z484="ممتاز 100%",AA484="ممتاز 100%",AB484&lt;&gt;"",AB484&lt;&gt;"مكتمل 100%"),"✗ إغلاق",IFERROR(IF(LEN(_xlfn.TEXTJOIN("، ",TRUE,IF(E484="","التاريخ",""),IF(F484="","الوقت",""),IF(G484="","المركز",""),IF(H484="","الدائرة",""),IF(I484="","القسم",""),IF(J484="","المسؤول",""),IF(K484="","نوع النشاط",""),IF(L484="","المشروع",""),IF(N484="","الممول",""),IF(V484="","الموضوع",""),IF(W484="","الملاحظة",""),IF(X484="","مشكلة",""),IF(Y484="","الإجراء",""),IF(Z484="","التنفيذ",""),IF(AA484="","الجودة",""),IF(AB484="","الإغلاق",""),IF(AC484="","الخصم",""),IF(AND(COUNTA($O484:$U484)&gt;0,O484=""),"مدير المشروع",""),IF(AND(COUNTA($O484:$U484)&gt;0,P484=""),"المستفيدين",""),IF(AND(COUNTA($O484:$U484)&gt;0,Q484=""),"المناطق",""),IF(AND(COUNTA($O484:$U484)&gt;0,R484=""),"الميزانية",""),IF(AND(COUNTA($O484:$U484)&gt;0,S484=""),"نسبة الجاهزية",""),IF(AND(COUNTA($O484:$U484)&gt;0,T484=""),"حالة الجاهزية",""),IF(AND(COUNTA($O484:$U484)&gt;0,U484=""),"التوصيات","")))&gt;0,"✗ ناقص: "&amp;_xlfn.TEXTJOIN("، ",TRUE,IF(E484="","التاريخ",""),IF(F484="","الوقت",""),IF(G484="","المركز",""),IF(H484="","الدائرة",""),IF(I484="","القسم",""),IF(J484="","المسؤول",""),IF(K484="","نوع النشاط",""),IF(L484="","المشروع",""),IF(N484="","الممول",""),IF(V484="","الموضوع",""),IF(W484="","الملاحظة",""),IF(X484="","مشكلة",""),IF(Y484="","الإجراء",""),IF(Z484="","التنفيذ",""),IF(AA484="","الجودة",""),IF(AB484="","الإغلاق",""),IF(AC484="","الخصم",""),IF(AND(COUNTA($O484:$U484)&gt;0,O484=""),"مدير المشروع",""),IF(AND(COUNTA($O484:$U484)&gt;0,P484=""),"المستفيدين",""),IF(AND(COUNTA($O484:$U484)&gt;0,Q484=""),"المناطق",""),IF(AND(COUNTA($O484:$U484)&gt;0,R484=""),"الميزانية",""),IF(AND(COUNTA($O484:$U484)&gt;0,S484=""),"نسبة الجاهزية",""),IF(AND(COUNTA($O484:$U484)&gt;0,T484=""),"حالة الجاهزية",""),IF(AND(COUNTA($O484:$U484)&gt;0,U484=""),"التوصيات","")),"✓"),"✓"))))))))))</f>
        <v/>
      </c>
      <c r="E484" s="235"/>
      <c r="F484" s="236"/>
      <c r="G484" s="90"/>
      <c r="H484" s="239"/>
      <c r="I484" s="89"/>
      <c r="J484" s="142"/>
      <c r="K484" s="90"/>
      <c r="L484" s="90"/>
      <c r="M484" s="90"/>
      <c r="N484" s="89"/>
      <c r="O484" s="200"/>
      <c r="P484" s="201"/>
      <c r="Q484" s="201"/>
      <c r="R484" s="237"/>
      <c r="S484" s="202"/>
      <c r="T484" s="200"/>
      <c r="U484" s="203"/>
      <c r="V484" s="89"/>
      <c r="W484" s="89"/>
      <c r="X484" s="145"/>
      <c r="Y484" s="89"/>
      <c r="Z484" s="90"/>
      <c r="AA484" s="90"/>
      <c r="AB484" s="90"/>
      <c r="AC484" s="90"/>
      <c r="AD484" s="92"/>
      <c r="AE484" s="149" t="str">
        <f>IFERROR(VLOOKUP(Z484,LISTS!$AL$2:$AM$1000,2,FALSE()),"")</f>
        <v/>
      </c>
      <c r="AF484" s="151" t="str">
        <f>IFERROR(VLOOKUP(AA484,LISTS!$AO$2:$AP$1000,2,FALSE()),"")</f>
        <v/>
      </c>
      <c r="AG484" s="152" t="str">
        <f>IFERROR(VLOOKUP(AB484,LISTS!$AR$2:$AS$1000,2,FALSE()),"")</f>
        <v/>
      </c>
      <c r="AH484" s="154" t="str">
        <f>IFERROR(VLOOKUP(AC484,LISTS!$AU$2:$AV$1000,2,FALSE()),"")</f>
        <v/>
      </c>
      <c r="AI484" s="238" t="str">
        <f t="shared" si="38"/>
        <v>—</v>
      </c>
      <c r="AJ484" s="190" t="str">
        <f t="shared" si="39"/>
        <v>—</v>
      </c>
      <c r="AK484" s="157" t="str">
        <f t="shared" si="40"/>
        <v/>
      </c>
      <c r="AL484" s="160" t="str">
        <f t="shared" si="41"/>
        <v/>
      </c>
      <c r="AM484" s="210"/>
      <c r="AN484" s="209"/>
    </row>
    <row r="485" spans="1:40" ht="27.95" customHeight="1">
      <c r="A485" s="134" t="str">
        <f>IF(I485&lt;&gt;"",COUNTA($I$2:I485),"")</f>
        <v/>
      </c>
      <c r="B485" s="138" t="str">
        <f t="shared" si="42"/>
        <v/>
      </c>
      <c r="C485" s="93" t="str">
        <f t="array" ref="C485">IF(E485="","",IF(M485&lt;&gt;"",
M485&amp;"/"&amp;SUMPRODUCT((M$2:M485=M485)*1)&amp;" - "&amp;(ROW()-2),
"إداري/"&amp;SUMPRODUCT((M$2:M485="")*1)&amp;" - "&amp;(ROW()-2)))</f>
        <v/>
      </c>
      <c r="D485" s="141" t="str">
        <f>IF(AND(G485="",H485="",I485=""),"",IF(COUNTIFS(LISTS!$A$2:$A$67,G485,LISTS!$B$2:$B$67,H485,LISTS!$C$2:$C$67,I485)=0,"✗ هرم",IF(NOT(OR(Z485="ممتاز 100%",Z485="جيد 80%",Z485="مقبول 60%",Z485="خطر 40%",Z485="")),"✗ قائمة R",IF(NOT(OR(AA485="ممتاز 100%",AA485="جيد 85%",AA485="مقبول 70%",AA485="ضعيف 50%",AA485="")),"✗ قائمة S",IF(NOT(OR(AB485="مكتمل 100%",AB485="جزئي 60%",AB485="معلق 30%",AB485="مفتوح 0%",AB485="")),"✗ قائمة T",IF(NOT(OR(AC485="لا خصم 0",AC485="تأخير −5",AC485="عجز −10",AC485="جودة −15",AC485="امتثال −20",AC485="مخالفة −25",AC485="")),"✗ قائمة U",IF(AND(X485="لا",AC485&lt;&gt;"",AC485&lt;&gt;"لا خصم 0"),"✗ خصم",IF(AND(X485="نعم",AC485="لا خصم 0"),"✗ خصم",IF(AND(Z485="ممتاز 100%",AA485="ممتاز 100%",AB485&lt;&gt;"",AB485&lt;&gt;"مكتمل 100%"),"✗ إغلاق",IFERROR(IF(LEN(_xlfn.TEXTJOIN("، ",TRUE,IF(E485="","التاريخ",""),IF(F485="","الوقت",""),IF(G485="","المركز",""),IF(H485="","الدائرة",""),IF(I485="","القسم",""),IF(J485="","المسؤول",""),IF(K485="","نوع النشاط",""),IF(L485="","المشروع",""),IF(N485="","الممول",""),IF(V485="","الموضوع",""),IF(W485="","الملاحظة",""),IF(X485="","مشكلة",""),IF(Y485="","الإجراء",""),IF(Z485="","التنفيذ",""),IF(AA485="","الجودة",""),IF(AB485="","الإغلاق",""),IF(AC485="","الخصم",""),IF(AND(COUNTA($O485:$U485)&gt;0,O485=""),"مدير المشروع",""),IF(AND(COUNTA($O485:$U485)&gt;0,P485=""),"المستفيدين",""),IF(AND(COUNTA($O485:$U485)&gt;0,Q485=""),"المناطق",""),IF(AND(COUNTA($O485:$U485)&gt;0,R485=""),"الميزانية",""),IF(AND(COUNTA($O485:$U485)&gt;0,S485=""),"نسبة الجاهزية",""),IF(AND(COUNTA($O485:$U485)&gt;0,T485=""),"حالة الجاهزية",""),IF(AND(COUNTA($O485:$U485)&gt;0,U485=""),"التوصيات","")))&gt;0,"✗ ناقص: "&amp;_xlfn.TEXTJOIN("، ",TRUE,IF(E485="","التاريخ",""),IF(F485="","الوقت",""),IF(G485="","المركز",""),IF(H485="","الدائرة",""),IF(I485="","القسم",""),IF(J485="","المسؤول",""),IF(K485="","نوع النشاط",""),IF(L485="","المشروع",""),IF(N485="","الممول",""),IF(V485="","الموضوع",""),IF(W485="","الملاحظة",""),IF(X485="","مشكلة",""),IF(Y485="","الإجراء",""),IF(Z485="","التنفيذ",""),IF(AA485="","الجودة",""),IF(AB485="","الإغلاق",""),IF(AC485="","الخصم",""),IF(AND(COUNTA($O485:$U485)&gt;0,O485=""),"مدير المشروع",""),IF(AND(COUNTA($O485:$U485)&gt;0,P485=""),"المستفيدين",""),IF(AND(COUNTA($O485:$U485)&gt;0,Q485=""),"المناطق",""),IF(AND(COUNTA($O485:$U485)&gt;0,R485=""),"الميزانية",""),IF(AND(COUNTA($O485:$U485)&gt;0,S485=""),"نسبة الجاهزية",""),IF(AND(COUNTA($O485:$U485)&gt;0,T485=""),"حالة الجاهزية",""),IF(AND(COUNTA($O485:$U485)&gt;0,U485=""),"التوصيات","")),"✓"),"✓"))))))))))</f>
        <v/>
      </c>
      <c r="E485" s="235"/>
      <c r="F485" s="236"/>
      <c r="G485" s="90"/>
      <c r="H485" s="239"/>
      <c r="I485" s="89"/>
      <c r="J485" s="142"/>
      <c r="K485" s="90"/>
      <c r="L485" s="90"/>
      <c r="M485" s="90"/>
      <c r="N485" s="89"/>
      <c r="O485" s="200"/>
      <c r="P485" s="201"/>
      <c r="Q485" s="201"/>
      <c r="R485" s="237"/>
      <c r="S485" s="202"/>
      <c r="T485" s="200"/>
      <c r="U485" s="203"/>
      <c r="V485" s="89"/>
      <c r="W485" s="89"/>
      <c r="X485" s="145"/>
      <c r="Y485" s="89"/>
      <c r="Z485" s="90"/>
      <c r="AA485" s="90"/>
      <c r="AB485" s="90"/>
      <c r="AC485" s="90"/>
      <c r="AD485" s="92"/>
      <c r="AE485" s="149" t="str">
        <f>IFERROR(VLOOKUP(Z485,LISTS!$AL$2:$AM$1000,2,FALSE()),"")</f>
        <v/>
      </c>
      <c r="AF485" s="151" t="str">
        <f>IFERROR(VLOOKUP(AA485,LISTS!$AO$2:$AP$1000,2,FALSE()),"")</f>
        <v/>
      </c>
      <c r="AG485" s="152" t="str">
        <f>IFERROR(VLOOKUP(AB485,LISTS!$AR$2:$AS$1000,2,FALSE()),"")</f>
        <v/>
      </c>
      <c r="AH485" s="154" t="str">
        <f>IFERROR(VLOOKUP(AC485,LISTS!$AU$2:$AV$1000,2,FALSE()),"")</f>
        <v/>
      </c>
      <c r="AI485" s="238" t="str">
        <f t="shared" si="38"/>
        <v>—</v>
      </c>
      <c r="AJ485" s="190" t="str">
        <f t="shared" si="39"/>
        <v>—</v>
      </c>
      <c r="AK485" s="157" t="str">
        <f t="shared" si="40"/>
        <v/>
      </c>
      <c r="AL485" s="160" t="str">
        <f t="shared" si="41"/>
        <v/>
      </c>
      <c r="AM485" s="210"/>
      <c r="AN485" s="209"/>
    </row>
    <row r="486" spans="1:40" ht="27.95" customHeight="1">
      <c r="A486" s="134" t="str">
        <f>IF(I486&lt;&gt;"",COUNTA($I$2:I486),"")</f>
        <v/>
      </c>
      <c r="B486" s="138" t="str">
        <f t="shared" si="42"/>
        <v/>
      </c>
      <c r="C486" s="93" t="str">
        <f t="array" ref="C486">IF(E486="","",IF(M486&lt;&gt;"",
M486&amp;"/"&amp;SUMPRODUCT((M$2:M486=M486)*1)&amp;" - "&amp;(ROW()-2),
"إداري/"&amp;SUMPRODUCT((M$2:M486="")*1)&amp;" - "&amp;(ROW()-2)))</f>
        <v/>
      </c>
      <c r="D486" s="141" t="str">
        <f>IF(AND(G486="",H486="",I486=""),"",IF(COUNTIFS(LISTS!$A$2:$A$67,G486,LISTS!$B$2:$B$67,H486,LISTS!$C$2:$C$67,I486)=0,"✗ هرم",IF(NOT(OR(Z486="ممتاز 100%",Z486="جيد 80%",Z486="مقبول 60%",Z486="خطر 40%",Z486="")),"✗ قائمة R",IF(NOT(OR(AA486="ممتاز 100%",AA486="جيد 85%",AA486="مقبول 70%",AA486="ضعيف 50%",AA486="")),"✗ قائمة S",IF(NOT(OR(AB486="مكتمل 100%",AB486="جزئي 60%",AB486="معلق 30%",AB486="مفتوح 0%",AB486="")),"✗ قائمة T",IF(NOT(OR(AC486="لا خصم 0",AC486="تأخير −5",AC486="عجز −10",AC486="جودة −15",AC486="امتثال −20",AC486="مخالفة −25",AC486="")),"✗ قائمة U",IF(AND(X486="لا",AC486&lt;&gt;"",AC486&lt;&gt;"لا خصم 0"),"✗ خصم",IF(AND(X486="نعم",AC486="لا خصم 0"),"✗ خصم",IF(AND(Z486="ممتاز 100%",AA486="ممتاز 100%",AB486&lt;&gt;"",AB486&lt;&gt;"مكتمل 100%"),"✗ إغلاق",IFERROR(IF(LEN(_xlfn.TEXTJOIN("، ",TRUE,IF(E486="","التاريخ",""),IF(F486="","الوقت",""),IF(G486="","المركز",""),IF(H486="","الدائرة",""),IF(I486="","القسم",""),IF(J486="","المسؤول",""),IF(K486="","نوع النشاط",""),IF(L486="","المشروع",""),IF(N486="","الممول",""),IF(V486="","الموضوع",""),IF(W486="","الملاحظة",""),IF(X486="","مشكلة",""),IF(Y486="","الإجراء",""),IF(Z486="","التنفيذ",""),IF(AA486="","الجودة",""),IF(AB486="","الإغلاق",""),IF(AC486="","الخصم",""),IF(AND(COUNTA($O486:$U486)&gt;0,O486=""),"مدير المشروع",""),IF(AND(COUNTA($O486:$U486)&gt;0,P486=""),"المستفيدين",""),IF(AND(COUNTA($O486:$U486)&gt;0,Q486=""),"المناطق",""),IF(AND(COUNTA($O486:$U486)&gt;0,R486=""),"الميزانية",""),IF(AND(COUNTA($O486:$U486)&gt;0,S486=""),"نسبة الجاهزية",""),IF(AND(COUNTA($O486:$U486)&gt;0,T486=""),"حالة الجاهزية",""),IF(AND(COUNTA($O486:$U486)&gt;0,U486=""),"التوصيات","")))&gt;0,"✗ ناقص: "&amp;_xlfn.TEXTJOIN("، ",TRUE,IF(E486="","التاريخ",""),IF(F486="","الوقت",""),IF(G486="","المركز",""),IF(H486="","الدائرة",""),IF(I486="","القسم",""),IF(J486="","المسؤول",""),IF(K486="","نوع النشاط",""),IF(L486="","المشروع",""),IF(N486="","الممول",""),IF(V486="","الموضوع",""),IF(W486="","الملاحظة",""),IF(X486="","مشكلة",""),IF(Y486="","الإجراء",""),IF(Z486="","التنفيذ",""),IF(AA486="","الجودة",""),IF(AB486="","الإغلاق",""),IF(AC486="","الخصم",""),IF(AND(COUNTA($O486:$U486)&gt;0,O486=""),"مدير المشروع",""),IF(AND(COUNTA($O486:$U486)&gt;0,P486=""),"المستفيدين",""),IF(AND(COUNTA($O486:$U486)&gt;0,Q486=""),"المناطق",""),IF(AND(COUNTA($O486:$U486)&gt;0,R486=""),"الميزانية",""),IF(AND(COUNTA($O486:$U486)&gt;0,S486=""),"نسبة الجاهزية",""),IF(AND(COUNTA($O486:$U486)&gt;0,T486=""),"حالة الجاهزية",""),IF(AND(COUNTA($O486:$U486)&gt;0,U486=""),"التوصيات","")),"✓"),"✓"))))))))))</f>
        <v/>
      </c>
      <c r="E486" s="235"/>
      <c r="F486" s="236"/>
      <c r="G486" s="90"/>
      <c r="H486" s="239"/>
      <c r="I486" s="89"/>
      <c r="J486" s="142"/>
      <c r="K486" s="90"/>
      <c r="L486" s="90"/>
      <c r="M486" s="90"/>
      <c r="N486" s="89"/>
      <c r="O486" s="200"/>
      <c r="P486" s="201"/>
      <c r="Q486" s="201"/>
      <c r="R486" s="237"/>
      <c r="S486" s="202"/>
      <c r="T486" s="200"/>
      <c r="U486" s="203"/>
      <c r="V486" s="89"/>
      <c r="W486" s="89"/>
      <c r="X486" s="145"/>
      <c r="Y486" s="89"/>
      <c r="Z486" s="90"/>
      <c r="AA486" s="90"/>
      <c r="AB486" s="90"/>
      <c r="AC486" s="90"/>
      <c r="AD486" s="92"/>
      <c r="AE486" s="149" t="str">
        <f>IFERROR(VLOOKUP(Z486,LISTS!$AL$2:$AM$1000,2,FALSE()),"")</f>
        <v/>
      </c>
      <c r="AF486" s="151" t="str">
        <f>IFERROR(VLOOKUP(AA486,LISTS!$AO$2:$AP$1000,2,FALSE()),"")</f>
        <v/>
      </c>
      <c r="AG486" s="152" t="str">
        <f>IFERROR(VLOOKUP(AB486,LISTS!$AR$2:$AS$1000,2,FALSE()),"")</f>
        <v/>
      </c>
      <c r="AH486" s="154" t="str">
        <f>IFERROR(VLOOKUP(AC486,LISTS!$AU$2:$AV$1000,2,FALSE()),"")</f>
        <v/>
      </c>
      <c r="AI486" s="238" t="str">
        <f t="shared" si="38"/>
        <v>—</v>
      </c>
      <c r="AJ486" s="190" t="str">
        <f t="shared" si="39"/>
        <v>—</v>
      </c>
      <c r="AK486" s="157" t="str">
        <f t="shared" si="40"/>
        <v/>
      </c>
      <c r="AL486" s="160" t="str">
        <f t="shared" si="41"/>
        <v/>
      </c>
      <c r="AM486" s="210"/>
      <c r="AN486" s="209"/>
    </row>
    <row r="487" spans="1:40" ht="27.95" customHeight="1">
      <c r="A487" s="134" t="str">
        <f>IF(I487&lt;&gt;"",COUNTA($I$2:I487),"")</f>
        <v/>
      </c>
      <c r="B487" s="138" t="str">
        <f t="shared" si="42"/>
        <v/>
      </c>
      <c r="C487" s="93" t="str">
        <f t="array" ref="C487">IF(E487="","",IF(M487&lt;&gt;"",
M487&amp;"/"&amp;SUMPRODUCT((M$2:M487=M487)*1)&amp;" - "&amp;(ROW()-2),
"إداري/"&amp;SUMPRODUCT((M$2:M487="")*1)&amp;" - "&amp;(ROW()-2)))</f>
        <v/>
      </c>
      <c r="D487" s="141" t="str">
        <f>IF(AND(G487="",H487="",I487=""),"",IF(COUNTIFS(LISTS!$A$2:$A$67,G487,LISTS!$B$2:$B$67,H487,LISTS!$C$2:$C$67,I487)=0,"✗ هرم",IF(NOT(OR(Z487="ممتاز 100%",Z487="جيد 80%",Z487="مقبول 60%",Z487="خطر 40%",Z487="")),"✗ قائمة R",IF(NOT(OR(AA487="ممتاز 100%",AA487="جيد 85%",AA487="مقبول 70%",AA487="ضعيف 50%",AA487="")),"✗ قائمة S",IF(NOT(OR(AB487="مكتمل 100%",AB487="جزئي 60%",AB487="معلق 30%",AB487="مفتوح 0%",AB487="")),"✗ قائمة T",IF(NOT(OR(AC487="لا خصم 0",AC487="تأخير −5",AC487="عجز −10",AC487="جودة −15",AC487="امتثال −20",AC487="مخالفة −25",AC487="")),"✗ قائمة U",IF(AND(X487="لا",AC487&lt;&gt;"",AC487&lt;&gt;"لا خصم 0"),"✗ خصم",IF(AND(X487="نعم",AC487="لا خصم 0"),"✗ خصم",IF(AND(Z487="ممتاز 100%",AA487="ممتاز 100%",AB487&lt;&gt;"",AB487&lt;&gt;"مكتمل 100%"),"✗ إغلاق",IFERROR(IF(LEN(_xlfn.TEXTJOIN("، ",TRUE,IF(E487="","التاريخ",""),IF(F487="","الوقت",""),IF(G487="","المركز",""),IF(H487="","الدائرة",""),IF(I487="","القسم",""),IF(J487="","المسؤول",""),IF(K487="","نوع النشاط",""),IF(L487="","المشروع",""),IF(N487="","الممول",""),IF(V487="","الموضوع",""),IF(W487="","الملاحظة",""),IF(X487="","مشكلة",""),IF(Y487="","الإجراء",""),IF(Z487="","التنفيذ",""),IF(AA487="","الجودة",""),IF(AB487="","الإغلاق",""),IF(AC487="","الخصم",""),IF(AND(COUNTA($O487:$U487)&gt;0,O487=""),"مدير المشروع",""),IF(AND(COUNTA($O487:$U487)&gt;0,P487=""),"المستفيدين",""),IF(AND(COUNTA($O487:$U487)&gt;0,Q487=""),"المناطق",""),IF(AND(COUNTA($O487:$U487)&gt;0,R487=""),"الميزانية",""),IF(AND(COUNTA($O487:$U487)&gt;0,S487=""),"نسبة الجاهزية",""),IF(AND(COUNTA($O487:$U487)&gt;0,T487=""),"حالة الجاهزية",""),IF(AND(COUNTA($O487:$U487)&gt;0,U487=""),"التوصيات","")))&gt;0,"✗ ناقص: "&amp;_xlfn.TEXTJOIN("، ",TRUE,IF(E487="","التاريخ",""),IF(F487="","الوقت",""),IF(G487="","المركز",""),IF(H487="","الدائرة",""),IF(I487="","القسم",""),IF(J487="","المسؤول",""),IF(K487="","نوع النشاط",""),IF(L487="","المشروع",""),IF(N487="","الممول",""),IF(V487="","الموضوع",""),IF(W487="","الملاحظة",""),IF(X487="","مشكلة",""),IF(Y487="","الإجراء",""),IF(Z487="","التنفيذ",""),IF(AA487="","الجودة",""),IF(AB487="","الإغلاق",""),IF(AC487="","الخصم",""),IF(AND(COUNTA($O487:$U487)&gt;0,O487=""),"مدير المشروع",""),IF(AND(COUNTA($O487:$U487)&gt;0,P487=""),"المستفيدين",""),IF(AND(COUNTA($O487:$U487)&gt;0,Q487=""),"المناطق",""),IF(AND(COUNTA($O487:$U487)&gt;0,R487=""),"الميزانية",""),IF(AND(COUNTA($O487:$U487)&gt;0,S487=""),"نسبة الجاهزية",""),IF(AND(COUNTA($O487:$U487)&gt;0,T487=""),"حالة الجاهزية",""),IF(AND(COUNTA($O487:$U487)&gt;0,U487=""),"التوصيات","")),"✓"),"✓"))))))))))</f>
        <v/>
      </c>
      <c r="E487" s="235"/>
      <c r="F487" s="236"/>
      <c r="G487" s="90"/>
      <c r="H487" s="239"/>
      <c r="I487" s="89"/>
      <c r="J487" s="142"/>
      <c r="K487" s="90"/>
      <c r="L487" s="90"/>
      <c r="M487" s="90"/>
      <c r="N487" s="89"/>
      <c r="O487" s="200"/>
      <c r="P487" s="201"/>
      <c r="Q487" s="201"/>
      <c r="R487" s="237"/>
      <c r="S487" s="202"/>
      <c r="T487" s="200"/>
      <c r="U487" s="203"/>
      <c r="V487" s="89"/>
      <c r="W487" s="89"/>
      <c r="X487" s="145"/>
      <c r="Y487" s="89"/>
      <c r="Z487" s="90"/>
      <c r="AA487" s="90"/>
      <c r="AB487" s="90"/>
      <c r="AC487" s="90"/>
      <c r="AD487" s="92"/>
      <c r="AE487" s="149" t="str">
        <f>IFERROR(VLOOKUP(Z487,LISTS!$AL$2:$AM$1000,2,FALSE()),"")</f>
        <v/>
      </c>
      <c r="AF487" s="151" t="str">
        <f>IFERROR(VLOOKUP(AA487,LISTS!$AO$2:$AP$1000,2,FALSE()),"")</f>
        <v/>
      </c>
      <c r="AG487" s="152" t="str">
        <f>IFERROR(VLOOKUP(AB487,LISTS!$AR$2:$AS$1000,2,FALSE()),"")</f>
        <v/>
      </c>
      <c r="AH487" s="154" t="str">
        <f>IFERROR(VLOOKUP(AC487,LISTS!$AU$2:$AV$1000,2,FALSE()),"")</f>
        <v/>
      </c>
      <c r="AI487" s="238" t="str">
        <f t="shared" si="38"/>
        <v>—</v>
      </c>
      <c r="AJ487" s="190" t="str">
        <f t="shared" si="39"/>
        <v>—</v>
      </c>
      <c r="AK487" s="157" t="str">
        <f t="shared" si="40"/>
        <v/>
      </c>
      <c r="AL487" s="160" t="str">
        <f t="shared" si="41"/>
        <v/>
      </c>
      <c r="AM487" s="210"/>
      <c r="AN487" s="209"/>
    </row>
    <row r="488" spans="1:40" ht="27.95" customHeight="1">
      <c r="A488" s="134" t="str">
        <f>IF(I488&lt;&gt;"",COUNTA($I$2:I488),"")</f>
        <v/>
      </c>
      <c r="B488" s="138" t="str">
        <f t="shared" si="42"/>
        <v/>
      </c>
      <c r="C488" s="93" t="str">
        <f t="array" ref="C488">IF(E488="","",IF(M488&lt;&gt;"",
M488&amp;"/"&amp;SUMPRODUCT((M$2:M488=M488)*1)&amp;" - "&amp;(ROW()-2),
"إداري/"&amp;SUMPRODUCT((M$2:M488="")*1)&amp;" - "&amp;(ROW()-2)))</f>
        <v/>
      </c>
      <c r="D488" s="141" t="str">
        <f>IF(AND(G488="",H488="",I488=""),"",IF(COUNTIFS(LISTS!$A$2:$A$67,G488,LISTS!$B$2:$B$67,H488,LISTS!$C$2:$C$67,I488)=0,"✗ هرم",IF(NOT(OR(Z488="ممتاز 100%",Z488="جيد 80%",Z488="مقبول 60%",Z488="خطر 40%",Z488="")),"✗ قائمة R",IF(NOT(OR(AA488="ممتاز 100%",AA488="جيد 85%",AA488="مقبول 70%",AA488="ضعيف 50%",AA488="")),"✗ قائمة S",IF(NOT(OR(AB488="مكتمل 100%",AB488="جزئي 60%",AB488="معلق 30%",AB488="مفتوح 0%",AB488="")),"✗ قائمة T",IF(NOT(OR(AC488="لا خصم 0",AC488="تأخير −5",AC488="عجز −10",AC488="جودة −15",AC488="امتثال −20",AC488="مخالفة −25",AC488="")),"✗ قائمة U",IF(AND(X488="لا",AC488&lt;&gt;"",AC488&lt;&gt;"لا خصم 0"),"✗ خصم",IF(AND(X488="نعم",AC488="لا خصم 0"),"✗ خصم",IF(AND(Z488="ممتاز 100%",AA488="ممتاز 100%",AB488&lt;&gt;"",AB488&lt;&gt;"مكتمل 100%"),"✗ إغلاق",IFERROR(IF(LEN(_xlfn.TEXTJOIN("، ",TRUE,IF(E488="","التاريخ",""),IF(F488="","الوقت",""),IF(G488="","المركز",""),IF(H488="","الدائرة",""),IF(I488="","القسم",""),IF(J488="","المسؤول",""),IF(K488="","نوع النشاط",""),IF(L488="","المشروع",""),IF(N488="","الممول",""),IF(V488="","الموضوع",""),IF(W488="","الملاحظة",""),IF(X488="","مشكلة",""),IF(Y488="","الإجراء",""),IF(Z488="","التنفيذ",""),IF(AA488="","الجودة",""),IF(AB488="","الإغلاق",""),IF(AC488="","الخصم",""),IF(AND(COUNTA($O488:$U488)&gt;0,O488=""),"مدير المشروع",""),IF(AND(COUNTA($O488:$U488)&gt;0,P488=""),"المستفيدين",""),IF(AND(COUNTA($O488:$U488)&gt;0,Q488=""),"المناطق",""),IF(AND(COUNTA($O488:$U488)&gt;0,R488=""),"الميزانية",""),IF(AND(COUNTA($O488:$U488)&gt;0,S488=""),"نسبة الجاهزية",""),IF(AND(COUNTA($O488:$U488)&gt;0,T488=""),"حالة الجاهزية",""),IF(AND(COUNTA($O488:$U488)&gt;0,U488=""),"التوصيات","")))&gt;0,"✗ ناقص: "&amp;_xlfn.TEXTJOIN("، ",TRUE,IF(E488="","التاريخ",""),IF(F488="","الوقت",""),IF(G488="","المركز",""),IF(H488="","الدائرة",""),IF(I488="","القسم",""),IF(J488="","المسؤول",""),IF(K488="","نوع النشاط",""),IF(L488="","المشروع",""),IF(N488="","الممول",""),IF(V488="","الموضوع",""),IF(W488="","الملاحظة",""),IF(X488="","مشكلة",""),IF(Y488="","الإجراء",""),IF(Z488="","التنفيذ",""),IF(AA488="","الجودة",""),IF(AB488="","الإغلاق",""),IF(AC488="","الخصم",""),IF(AND(COUNTA($O488:$U488)&gt;0,O488=""),"مدير المشروع",""),IF(AND(COUNTA($O488:$U488)&gt;0,P488=""),"المستفيدين",""),IF(AND(COUNTA($O488:$U488)&gt;0,Q488=""),"المناطق",""),IF(AND(COUNTA($O488:$U488)&gt;0,R488=""),"الميزانية",""),IF(AND(COUNTA($O488:$U488)&gt;0,S488=""),"نسبة الجاهزية",""),IF(AND(COUNTA($O488:$U488)&gt;0,T488=""),"حالة الجاهزية",""),IF(AND(COUNTA($O488:$U488)&gt;0,U488=""),"التوصيات","")),"✓"),"✓"))))))))))</f>
        <v/>
      </c>
      <c r="E488" s="235"/>
      <c r="F488" s="236"/>
      <c r="G488" s="90"/>
      <c r="H488" s="239"/>
      <c r="I488" s="89"/>
      <c r="J488" s="142"/>
      <c r="K488" s="90"/>
      <c r="L488" s="90"/>
      <c r="M488" s="90"/>
      <c r="N488" s="89"/>
      <c r="O488" s="200"/>
      <c r="P488" s="201"/>
      <c r="Q488" s="201"/>
      <c r="R488" s="237"/>
      <c r="S488" s="202"/>
      <c r="T488" s="200"/>
      <c r="U488" s="203"/>
      <c r="V488" s="89"/>
      <c r="W488" s="89"/>
      <c r="X488" s="145"/>
      <c r="Y488" s="89"/>
      <c r="Z488" s="90"/>
      <c r="AA488" s="90"/>
      <c r="AB488" s="90"/>
      <c r="AC488" s="90"/>
      <c r="AD488" s="92"/>
      <c r="AE488" s="149" t="str">
        <f>IFERROR(VLOOKUP(Z488,LISTS!$AL$2:$AM$1000,2,FALSE()),"")</f>
        <v/>
      </c>
      <c r="AF488" s="151" t="str">
        <f>IFERROR(VLOOKUP(AA488,LISTS!$AO$2:$AP$1000,2,FALSE()),"")</f>
        <v/>
      </c>
      <c r="AG488" s="152" t="str">
        <f>IFERROR(VLOOKUP(AB488,LISTS!$AR$2:$AS$1000,2,FALSE()),"")</f>
        <v/>
      </c>
      <c r="AH488" s="154" t="str">
        <f>IFERROR(VLOOKUP(AC488,LISTS!$AU$2:$AV$1000,2,FALSE()),"")</f>
        <v/>
      </c>
      <c r="AI488" s="238" t="str">
        <f t="shared" si="38"/>
        <v>—</v>
      </c>
      <c r="AJ488" s="190" t="str">
        <f t="shared" si="39"/>
        <v>—</v>
      </c>
      <c r="AK488" s="157" t="str">
        <f t="shared" si="40"/>
        <v/>
      </c>
      <c r="AL488" s="160" t="str">
        <f t="shared" si="41"/>
        <v/>
      </c>
      <c r="AM488" s="210"/>
      <c r="AN488" s="209"/>
    </row>
    <row r="489" spans="1:40" ht="27.95" customHeight="1">
      <c r="A489" s="134" t="str">
        <f>IF(I489&lt;&gt;"",COUNTA($I$2:I489),"")</f>
        <v/>
      </c>
      <c r="B489" s="138" t="str">
        <f t="shared" si="42"/>
        <v/>
      </c>
      <c r="C489" s="93" t="str">
        <f t="array" ref="C489">IF(E489="","",IF(M489&lt;&gt;"",
M489&amp;"/"&amp;SUMPRODUCT((M$2:M489=M489)*1)&amp;" - "&amp;(ROW()-2),
"إداري/"&amp;SUMPRODUCT((M$2:M489="")*1)&amp;" - "&amp;(ROW()-2)))</f>
        <v/>
      </c>
      <c r="D489" s="141" t="str">
        <f>IF(AND(G489="",H489="",I489=""),"",IF(COUNTIFS(LISTS!$A$2:$A$67,G489,LISTS!$B$2:$B$67,H489,LISTS!$C$2:$C$67,I489)=0,"✗ هرم",IF(NOT(OR(Z489="ممتاز 100%",Z489="جيد 80%",Z489="مقبول 60%",Z489="خطر 40%",Z489="")),"✗ قائمة R",IF(NOT(OR(AA489="ممتاز 100%",AA489="جيد 85%",AA489="مقبول 70%",AA489="ضعيف 50%",AA489="")),"✗ قائمة S",IF(NOT(OR(AB489="مكتمل 100%",AB489="جزئي 60%",AB489="معلق 30%",AB489="مفتوح 0%",AB489="")),"✗ قائمة T",IF(NOT(OR(AC489="لا خصم 0",AC489="تأخير −5",AC489="عجز −10",AC489="جودة −15",AC489="امتثال −20",AC489="مخالفة −25",AC489="")),"✗ قائمة U",IF(AND(X489="لا",AC489&lt;&gt;"",AC489&lt;&gt;"لا خصم 0"),"✗ خصم",IF(AND(X489="نعم",AC489="لا خصم 0"),"✗ خصم",IF(AND(Z489="ممتاز 100%",AA489="ممتاز 100%",AB489&lt;&gt;"",AB489&lt;&gt;"مكتمل 100%"),"✗ إغلاق",IFERROR(IF(LEN(_xlfn.TEXTJOIN("، ",TRUE,IF(E489="","التاريخ",""),IF(F489="","الوقت",""),IF(G489="","المركز",""),IF(H489="","الدائرة",""),IF(I489="","القسم",""),IF(J489="","المسؤول",""),IF(K489="","نوع النشاط",""),IF(L489="","المشروع",""),IF(N489="","الممول",""),IF(V489="","الموضوع",""),IF(W489="","الملاحظة",""),IF(X489="","مشكلة",""),IF(Y489="","الإجراء",""),IF(Z489="","التنفيذ",""),IF(AA489="","الجودة",""),IF(AB489="","الإغلاق",""),IF(AC489="","الخصم",""),IF(AND(COUNTA($O489:$U489)&gt;0,O489=""),"مدير المشروع",""),IF(AND(COUNTA($O489:$U489)&gt;0,P489=""),"المستفيدين",""),IF(AND(COUNTA($O489:$U489)&gt;0,Q489=""),"المناطق",""),IF(AND(COUNTA($O489:$U489)&gt;0,R489=""),"الميزانية",""),IF(AND(COUNTA($O489:$U489)&gt;0,S489=""),"نسبة الجاهزية",""),IF(AND(COUNTA($O489:$U489)&gt;0,T489=""),"حالة الجاهزية",""),IF(AND(COUNTA($O489:$U489)&gt;0,U489=""),"التوصيات","")))&gt;0,"✗ ناقص: "&amp;_xlfn.TEXTJOIN("، ",TRUE,IF(E489="","التاريخ",""),IF(F489="","الوقت",""),IF(G489="","المركز",""),IF(H489="","الدائرة",""),IF(I489="","القسم",""),IF(J489="","المسؤول",""),IF(K489="","نوع النشاط",""),IF(L489="","المشروع",""),IF(N489="","الممول",""),IF(V489="","الموضوع",""),IF(W489="","الملاحظة",""),IF(X489="","مشكلة",""),IF(Y489="","الإجراء",""),IF(Z489="","التنفيذ",""),IF(AA489="","الجودة",""),IF(AB489="","الإغلاق",""),IF(AC489="","الخصم",""),IF(AND(COUNTA($O489:$U489)&gt;0,O489=""),"مدير المشروع",""),IF(AND(COUNTA($O489:$U489)&gt;0,P489=""),"المستفيدين",""),IF(AND(COUNTA($O489:$U489)&gt;0,Q489=""),"المناطق",""),IF(AND(COUNTA($O489:$U489)&gt;0,R489=""),"الميزانية",""),IF(AND(COUNTA($O489:$U489)&gt;0,S489=""),"نسبة الجاهزية",""),IF(AND(COUNTA($O489:$U489)&gt;0,T489=""),"حالة الجاهزية",""),IF(AND(COUNTA($O489:$U489)&gt;0,U489=""),"التوصيات","")),"✓"),"✓"))))))))))</f>
        <v/>
      </c>
      <c r="E489" s="235"/>
      <c r="F489" s="236"/>
      <c r="G489" s="90"/>
      <c r="H489" s="239"/>
      <c r="I489" s="89"/>
      <c r="J489" s="142"/>
      <c r="K489" s="90"/>
      <c r="L489" s="90"/>
      <c r="M489" s="90"/>
      <c r="N489" s="89"/>
      <c r="O489" s="200"/>
      <c r="P489" s="201"/>
      <c r="Q489" s="201"/>
      <c r="R489" s="237"/>
      <c r="S489" s="202"/>
      <c r="T489" s="200"/>
      <c r="U489" s="203"/>
      <c r="V489" s="89"/>
      <c r="W489" s="89"/>
      <c r="X489" s="145"/>
      <c r="Y489" s="89"/>
      <c r="Z489" s="90"/>
      <c r="AA489" s="90"/>
      <c r="AB489" s="90"/>
      <c r="AC489" s="90"/>
      <c r="AD489" s="92"/>
      <c r="AE489" s="149" t="str">
        <f>IFERROR(VLOOKUP(Z489,LISTS!$AL$2:$AM$1000,2,FALSE()),"")</f>
        <v/>
      </c>
      <c r="AF489" s="151" t="str">
        <f>IFERROR(VLOOKUP(AA489,LISTS!$AO$2:$AP$1000,2,FALSE()),"")</f>
        <v/>
      </c>
      <c r="AG489" s="152" t="str">
        <f>IFERROR(VLOOKUP(AB489,LISTS!$AR$2:$AS$1000,2,FALSE()),"")</f>
        <v/>
      </c>
      <c r="AH489" s="154" t="str">
        <f>IFERROR(VLOOKUP(AC489,LISTS!$AU$2:$AV$1000,2,FALSE()),"")</f>
        <v/>
      </c>
      <c r="AI489" s="238" t="str">
        <f t="shared" si="38"/>
        <v>—</v>
      </c>
      <c r="AJ489" s="190" t="str">
        <f t="shared" si="39"/>
        <v>—</v>
      </c>
      <c r="AK489" s="157" t="str">
        <f t="shared" si="40"/>
        <v/>
      </c>
      <c r="AL489" s="160" t="str">
        <f t="shared" si="41"/>
        <v/>
      </c>
      <c r="AM489" s="210"/>
      <c r="AN489" s="209"/>
    </row>
    <row r="490" spans="1:40" ht="27.95" customHeight="1">
      <c r="A490" s="134" t="str">
        <f>IF(I490&lt;&gt;"",COUNTA($I$2:I490),"")</f>
        <v/>
      </c>
      <c r="B490" s="138" t="str">
        <f t="shared" si="42"/>
        <v/>
      </c>
      <c r="C490" s="93" t="str">
        <f t="array" ref="C490">IF(E490="","",IF(M490&lt;&gt;"",
M490&amp;"/"&amp;SUMPRODUCT((M$2:M490=M490)*1)&amp;" - "&amp;(ROW()-2),
"إداري/"&amp;SUMPRODUCT((M$2:M490="")*1)&amp;" - "&amp;(ROW()-2)))</f>
        <v/>
      </c>
      <c r="D490" s="141" t="str">
        <f>IF(AND(G490="",H490="",I490=""),"",IF(COUNTIFS(LISTS!$A$2:$A$67,G490,LISTS!$B$2:$B$67,H490,LISTS!$C$2:$C$67,I490)=0,"✗ هرم",IF(NOT(OR(Z490="ممتاز 100%",Z490="جيد 80%",Z490="مقبول 60%",Z490="خطر 40%",Z490="")),"✗ قائمة R",IF(NOT(OR(AA490="ممتاز 100%",AA490="جيد 85%",AA490="مقبول 70%",AA490="ضعيف 50%",AA490="")),"✗ قائمة S",IF(NOT(OR(AB490="مكتمل 100%",AB490="جزئي 60%",AB490="معلق 30%",AB490="مفتوح 0%",AB490="")),"✗ قائمة T",IF(NOT(OR(AC490="لا خصم 0",AC490="تأخير −5",AC490="عجز −10",AC490="جودة −15",AC490="امتثال −20",AC490="مخالفة −25",AC490="")),"✗ قائمة U",IF(AND(X490="لا",AC490&lt;&gt;"",AC490&lt;&gt;"لا خصم 0"),"✗ خصم",IF(AND(X490="نعم",AC490="لا خصم 0"),"✗ خصم",IF(AND(Z490="ممتاز 100%",AA490="ممتاز 100%",AB490&lt;&gt;"",AB490&lt;&gt;"مكتمل 100%"),"✗ إغلاق",IFERROR(IF(LEN(_xlfn.TEXTJOIN("، ",TRUE,IF(E490="","التاريخ",""),IF(F490="","الوقت",""),IF(G490="","المركز",""),IF(H490="","الدائرة",""),IF(I490="","القسم",""),IF(J490="","المسؤول",""),IF(K490="","نوع النشاط",""),IF(L490="","المشروع",""),IF(N490="","الممول",""),IF(V490="","الموضوع",""),IF(W490="","الملاحظة",""),IF(X490="","مشكلة",""),IF(Y490="","الإجراء",""),IF(Z490="","التنفيذ",""),IF(AA490="","الجودة",""),IF(AB490="","الإغلاق",""),IF(AC490="","الخصم",""),IF(AND(COUNTA($O490:$U490)&gt;0,O490=""),"مدير المشروع",""),IF(AND(COUNTA($O490:$U490)&gt;0,P490=""),"المستفيدين",""),IF(AND(COUNTA($O490:$U490)&gt;0,Q490=""),"المناطق",""),IF(AND(COUNTA($O490:$U490)&gt;0,R490=""),"الميزانية",""),IF(AND(COUNTA($O490:$U490)&gt;0,S490=""),"نسبة الجاهزية",""),IF(AND(COUNTA($O490:$U490)&gt;0,T490=""),"حالة الجاهزية",""),IF(AND(COUNTA($O490:$U490)&gt;0,U490=""),"التوصيات","")))&gt;0,"✗ ناقص: "&amp;_xlfn.TEXTJOIN("، ",TRUE,IF(E490="","التاريخ",""),IF(F490="","الوقت",""),IF(G490="","المركز",""),IF(H490="","الدائرة",""),IF(I490="","القسم",""),IF(J490="","المسؤول",""),IF(K490="","نوع النشاط",""),IF(L490="","المشروع",""),IF(N490="","الممول",""),IF(V490="","الموضوع",""),IF(W490="","الملاحظة",""),IF(X490="","مشكلة",""),IF(Y490="","الإجراء",""),IF(Z490="","التنفيذ",""),IF(AA490="","الجودة",""),IF(AB490="","الإغلاق",""),IF(AC490="","الخصم",""),IF(AND(COUNTA($O490:$U490)&gt;0,O490=""),"مدير المشروع",""),IF(AND(COUNTA($O490:$U490)&gt;0,P490=""),"المستفيدين",""),IF(AND(COUNTA($O490:$U490)&gt;0,Q490=""),"المناطق",""),IF(AND(COUNTA($O490:$U490)&gt;0,R490=""),"الميزانية",""),IF(AND(COUNTA($O490:$U490)&gt;0,S490=""),"نسبة الجاهزية",""),IF(AND(COUNTA($O490:$U490)&gt;0,T490=""),"حالة الجاهزية",""),IF(AND(COUNTA($O490:$U490)&gt;0,U490=""),"التوصيات","")),"✓"),"✓"))))))))))</f>
        <v/>
      </c>
      <c r="E490" s="235"/>
      <c r="F490" s="236"/>
      <c r="G490" s="90"/>
      <c r="H490" s="239"/>
      <c r="I490" s="89"/>
      <c r="J490" s="142"/>
      <c r="K490" s="90"/>
      <c r="L490" s="90"/>
      <c r="M490" s="90"/>
      <c r="N490" s="89"/>
      <c r="O490" s="200"/>
      <c r="P490" s="201"/>
      <c r="Q490" s="201"/>
      <c r="R490" s="237"/>
      <c r="S490" s="202"/>
      <c r="T490" s="200"/>
      <c r="U490" s="203"/>
      <c r="V490" s="89"/>
      <c r="W490" s="89"/>
      <c r="X490" s="145"/>
      <c r="Y490" s="89"/>
      <c r="Z490" s="90"/>
      <c r="AA490" s="90"/>
      <c r="AB490" s="90"/>
      <c r="AC490" s="90"/>
      <c r="AD490" s="92"/>
      <c r="AE490" s="149" t="str">
        <f>IFERROR(VLOOKUP(Z490,LISTS!$AL$2:$AM$1000,2,FALSE()),"")</f>
        <v/>
      </c>
      <c r="AF490" s="151" t="str">
        <f>IFERROR(VLOOKUP(AA490,LISTS!$AO$2:$AP$1000,2,FALSE()),"")</f>
        <v/>
      </c>
      <c r="AG490" s="152" t="str">
        <f>IFERROR(VLOOKUP(AB490,LISTS!$AR$2:$AS$1000,2,FALSE()),"")</f>
        <v/>
      </c>
      <c r="AH490" s="154" t="str">
        <f>IFERROR(VLOOKUP(AC490,LISTS!$AU$2:$AV$1000,2,FALSE()),"")</f>
        <v/>
      </c>
      <c r="AI490" s="238" t="str">
        <f t="shared" si="38"/>
        <v>—</v>
      </c>
      <c r="AJ490" s="190" t="str">
        <f t="shared" si="39"/>
        <v>—</v>
      </c>
      <c r="AK490" s="157" t="str">
        <f t="shared" si="40"/>
        <v/>
      </c>
      <c r="AL490" s="160" t="str">
        <f t="shared" si="41"/>
        <v/>
      </c>
      <c r="AM490" s="210"/>
      <c r="AN490" s="209"/>
    </row>
    <row r="491" spans="1:40" ht="27.95" customHeight="1">
      <c r="A491" s="134" t="str">
        <f>IF(I491&lt;&gt;"",COUNTA($I$2:I491),"")</f>
        <v/>
      </c>
      <c r="B491" s="138" t="str">
        <f t="shared" si="42"/>
        <v/>
      </c>
      <c r="C491" s="93" t="str">
        <f t="array" ref="C491">IF(E491="","",IF(M491&lt;&gt;"",
M491&amp;"/"&amp;SUMPRODUCT((M$2:M491=M491)*1)&amp;" - "&amp;(ROW()-2),
"إداري/"&amp;SUMPRODUCT((M$2:M491="")*1)&amp;" - "&amp;(ROW()-2)))</f>
        <v/>
      </c>
      <c r="D491" s="141" t="str">
        <f>IF(AND(G491="",H491="",I491=""),"",IF(COUNTIFS(LISTS!$A$2:$A$67,G491,LISTS!$B$2:$B$67,H491,LISTS!$C$2:$C$67,I491)=0,"✗ هرم",IF(NOT(OR(Z491="ممتاز 100%",Z491="جيد 80%",Z491="مقبول 60%",Z491="خطر 40%",Z491="")),"✗ قائمة R",IF(NOT(OR(AA491="ممتاز 100%",AA491="جيد 85%",AA491="مقبول 70%",AA491="ضعيف 50%",AA491="")),"✗ قائمة S",IF(NOT(OR(AB491="مكتمل 100%",AB491="جزئي 60%",AB491="معلق 30%",AB491="مفتوح 0%",AB491="")),"✗ قائمة T",IF(NOT(OR(AC491="لا خصم 0",AC491="تأخير −5",AC491="عجز −10",AC491="جودة −15",AC491="امتثال −20",AC491="مخالفة −25",AC491="")),"✗ قائمة U",IF(AND(X491="لا",AC491&lt;&gt;"",AC491&lt;&gt;"لا خصم 0"),"✗ خصم",IF(AND(X491="نعم",AC491="لا خصم 0"),"✗ خصم",IF(AND(Z491="ممتاز 100%",AA491="ممتاز 100%",AB491&lt;&gt;"",AB491&lt;&gt;"مكتمل 100%"),"✗ إغلاق",IFERROR(IF(LEN(_xlfn.TEXTJOIN("، ",TRUE,IF(E491="","التاريخ",""),IF(F491="","الوقت",""),IF(G491="","المركز",""),IF(H491="","الدائرة",""),IF(I491="","القسم",""),IF(J491="","المسؤول",""),IF(K491="","نوع النشاط",""),IF(L491="","المشروع",""),IF(N491="","الممول",""),IF(V491="","الموضوع",""),IF(W491="","الملاحظة",""),IF(X491="","مشكلة",""),IF(Y491="","الإجراء",""),IF(Z491="","التنفيذ",""),IF(AA491="","الجودة",""),IF(AB491="","الإغلاق",""),IF(AC491="","الخصم",""),IF(AND(COUNTA($O491:$U491)&gt;0,O491=""),"مدير المشروع",""),IF(AND(COUNTA($O491:$U491)&gt;0,P491=""),"المستفيدين",""),IF(AND(COUNTA($O491:$U491)&gt;0,Q491=""),"المناطق",""),IF(AND(COUNTA($O491:$U491)&gt;0,R491=""),"الميزانية",""),IF(AND(COUNTA($O491:$U491)&gt;0,S491=""),"نسبة الجاهزية",""),IF(AND(COUNTA($O491:$U491)&gt;0,T491=""),"حالة الجاهزية",""),IF(AND(COUNTA($O491:$U491)&gt;0,U491=""),"التوصيات","")))&gt;0,"✗ ناقص: "&amp;_xlfn.TEXTJOIN("، ",TRUE,IF(E491="","التاريخ",""),IF(F491="","الوقت",""),IF(G491="","المركز",""),IF(H491="","الدائرة",""),IF(I491="","القسم",""),IF(J491="","المسؤول",""),IF(K491="","نوع النشاط",""),IF(L491="","المشروع",""),IF(N491="","الممول",""),IF(V491="","الموضوع",""),IF(W491="","الملاحظة",""),IF(X491="","مشكلة",""),IF(Y491="","الإجراء",""),IF(Z491="","التنفيذ",""),IF(AA491="","الجودة",""),IF(AB491="","الإغلاق",""),IF(AC491="","الخصم",""),IF(AND(COUNTA($O491:$U491)&gt;0,O491=""),"مدير المشروع",""),IF(AND(COUNTA($O491:$U491)&gt;0,P491=""),"المستفيدين",""),IF(AND(COUNTA($O491:$U491)&gt;0,Q491=""),"المناطق",""),IF(AND(COUNTA($O491:$U491)&gt;0,R491=""),"الميزانية",""),IF(AND(COUNTA($O491:$U491)&gt;0,S491=""),"نسبة الجاهزية",""),IF(AND(COUNTA($O491:$U491)&gt;0,T491=""),"حالة الجاهزية",""),IF(AND(COUNTA($O491:$U491)&gt;0,U491=""),"التوصيات","")),"✓"),"✓"))))))))))</f>
        <v/>
      </c>
      <c r="E491" s="235"/>
      <c r="F491" s="236"/>
      <c r="G491" s="90"/>
      <c r="H491" s="239"/>
      <c r="I491" s="89"/>
      <c r="J491" s="142"/>
      <c r="K491" s="90"/>
      <c r="L491" s="90"/>
      <c r="M491" s="90"/>
      <c r="N491" s="89"/>
      <c r="O491" s="200"/>
      <c r="P491" s="201"/>
      <c r="Q491" s="201"/>
      <c r="R491" s="237"/>
      <c r="S491" s="202"/>
      <c r="T491" s="200"/>
      <c r="U491" s="203"/>
      <c r="V491" s="89"/>
      <c r="W491" s="89"/>
      <c r="X491" s="145"/>
      <c r="Y491" s="89"/>
      <c r="Z491" s="90"/>
      <c r="AA491" s="90"/>
      <c r="AB491" s="90"/>
      <c r="AC491" s="90"/>
      <c r="AD491" s="92"/>
      <c r="AE491" s="149" t="str">
        <f>IFERROR(VLOOKUP(Z491,LISTS!$AL$2:$AM$1000,2,FALSE()),"")</f>
        <v/>
      </c>
      <c r="AF491" s="151" t="str">
        <f>IFERROR(VLOOKUP(AA491,LISTS!$AO$2:$AP$1000,2,FALSE()),"")</f>
        <v/>
      </c>
      <c r="AG491" s="152" t="str">
        <f>IFERROR(VLOOKUP(AB491,LISTS!$AR$2:$AS$1000,2,FALSE()),"")</f>
        <v/>
      </c>
      <c r="AH491" s="154" t="str">
        <f>IFERROR(VLOOKUP(AC491,LISTS!$AU$2:$AV$1000,2,FALSE()),"")</f>
        <v/>
      </c>
      <c r="AI491" s="238" t="str">
        <f t="shared" si="38"/>
        <v>—</v>
      </c>
      <c r="AJ491" s="190" t="str">
        <f t="shared" si="39"/>
        <v>—</v>
      </c>
      <c r="AK491" s="157" t="str">
        <f t="shared" si="40"/>
        <v/>
      </c>
      <c r="AL491" s="160" t="str">
        <f t="shared" si="41"/>
        <v/>
      </c>
      <c r="AM491" s="210"/>
      <c r="AN491" s="209"/>
    </row>
    <row r="492" spans="1:40" ht="27.95" customHeight="1">
      <c r="A492" s="134" t="str">
        <f>IF(I492&lt;&gt;"",COUNTA($I$2:I492),"")</f>
        <v/>
      </c>
      <c r="B492" s="138" t="str">
        <f t="shared" si="42"/>
        <v/>
      </c>
      <c r="C492" s="93" t="str">
        <f t="array" ref="C492">IF(E492="","",IF(M492&lt;&gt;"",
M492&amp;"/"&amp;SUMPRODUCT((M$2:M492=M492)*1)&amp;" - "&amp;(ROW()-2),
"إداري/"&amp;SUMPRODUCT((M$2:M492="")*1)&amp;" - "&amp;(ROW()-2)))</f>
        <v/>
      </c>
      <c r="D492" s="141" t="str">
        <f>IF(AND(G492="",H492="",I492=""),"",IF(COUNTIFS(LISTS!$A$2:$A$67,G492,LISTS!$B$2:$B$67,H492,LISTS!$C$2:$C$67,I492)=0,"✗ هرم",IF(NOT(OR(Z492="ممتاز 100%",Z492="جيد 80%",Z492="مقبول 60%",Z492="خطر 40%",Z492="")),"✗ قائمة R",IF(NOT(OR(AA492="ممتاز 100%",AA492="جيد 85%",AA492="مقبول 70%",AA492="ضعيف 50%",AA492="")),"✗ قائمة S",IF(NOT(OR(AB492="مكتمل 100%",AB492="جزئي 60%",AB492="معلق 30%",AB492="مفتوح 0%",AB492="")),"✗ قائمة T",IF(NOT(OR(AC492="لا خصم 0",AC492="تأخير −5",AC492="عجز −10",AC492="جودة −15",AC492="امتثال −20",AC492="مخالفة −25",AC492="")),"✗ قائمة U",IF(AND(X492="لا",AC492&lt;&gt;"",AC492&lt;&gt;"لا خصم 0"),"✗ خصم",IF(AND(X492="نعم",AC492="لا خصم 0"),"✗ خصم",IF(AND(Z492="ممتاز 100%",AA492="ممتاز 100%",AB492&lt;&gt;"",AB492&lt;&gt;"مكتمل 100%"),"✗ إغلاق",IFERROR(IF(LEN(_xlfn.TEXTJOIN("، ",TRUE,IF(E492="","التاريخ",""),IF(F492="","الوقت",""),IF(G492="","المركز",""),IF(H492="","الدائرة",""),IF(I492="","القسم",""),IF(J492="","المسؤول",""),IF(K492="","نوع النشاط",""),IF(L492="","المشروع",""),IF(N492="","الممول",""),IF(V492="","الموضوع",""),IF(W492="","الملاحظة",""),IF(X492="","مشكلة",""),IF(Y492="","الإجراء",""),IF(Z492="","التنفيذ",""),IF(AA492="","الجودة",""),IF(AB492="","الإغلاق",""),IF(AC492="","الخصم",""),IF(AND(COUNTA($O492:$U492)&gt;0,O492=""),"مدير المشروع",""),IF(AND(COUNTA($O492:$U492)&gt;0,P492=""),"المستفيدين",""),IF(AND(COUNTA($O492:$U492)&gt;0,Q492=""),"المناطق",""),IF(AND(COUNTA($O492:$U492)&gt;0,R492=""),"الميزانية",""),IF(AND(COUNTA($O492:$U492)&gt;0,S492=""),"نسبة الجاهزية",""),IF(AND(COUNTA($O492:$U492)&gt;0,T492=""),"حالة الجاهزية",""),IF(AND(COUNTA($O492:$U492)&gt;0,U492=""),"التوصيات","")))&gt;0,"✗ ناقص: "&amp;_xlfn.TEXTJOIN("، ",TRUE,IF(E492="","التاريخ",""),IF(F492="","الوقت",""),IF(G492="","المركز",""),IF(H492="","الدائرة",""),IF(I492="","القسم",""),IF(J492="","المسؤول",""),IF(K492="","نوع النشاط",""),IF(L492="","المشروع",""),IF(N492="","الممول",""),IF(V492="","الموضوع",""),IF(W492="","الملاحظة",""),IF(X492="","مشكلة",""),IF(Y492="","الإجراء",""),IF(Z492="","التنفيذ",""),IF(AA492="","الجودة",""),IF(AB492="","الإغلاق",""),IF(AC492="","الخصم",""),IF(AND(COUNTA($O492:$U492)&gt;0,O492=""),"مدير المشروع",""),IF(AND(COUNTA($O492:$U492)&gt;0,P492=""),"المستفيدين",""),IF(AND(COUNTA($O492:$U492)&gt;0,Q492=""),"المناطق",""),IF(AND(COUNTA($O492:$U492)&gt;0,R492=""),"الميزانية",""),IF(AND(COUNTA($O492:$U492)&gt;0,S492=""),"نسبة الجاهزية",""),IF(AND(COUNTA($O492:$U492)&gt;0,T492=""),"حالة الجاهزية",""),IF(AND(COUNTA($O492:$U492)&gt;0,U492=""),"التوصيات","")),"✓"),"✓"))))))))))</f>
        <v/>
      </c>
      <c r="E492" s="235"/>
      <c r="F492" s="236"/>
      <c r="G492" s="90"/>
      <c r="H492" s="239"/>
      <c r="I492" s="89"/>
      <c r="J492" s="142"/>
      <c r="K492" s="90"/>
      <c r="L492" s="90"/>
      <c r="M492" s="90"/>
      <c r="N492" s="89"/>
      <c r="O492" s="200"/>
      <c r="P492" s="201"/>
      <c r="Q492" s="201"/>
      <c r="R492" s="237"/>
      <c r="S492" s="202"/>
      <c r="T492" s="200"/>
      <c r="U492" s="203"/>
      <c r="V492" s="89"/>
      <c r="W492" s="89"/>
      <c r="X492" s="145"/>
      <c r="Y492" s="89"/>
      <c r="Z492" s="90"/>
      <c r="AA492" s="90"/>
      <c r="AB492" s="90"/>
      <c r="AC492" s="90"/>
      <c r="AD492" s="92"/>
      <c r="AE492" s="149" t="str">
        <f>IFERROR(VLOOKUP(Z492,LISTS!$AL$2:$AM$1000,2,FALSE()),"")</f>
        <v/>
      </c>
      <c r="AF492" s="151" t="str">
        <f>IFERROR(VLOOKUP(AA492,LISTS!$AO$2:$AP$1000,2,FALSE()),"")</f>
        <v/>
      </c>
      <c r="AG492" s="152" t="str">
        <f>IFERROR(VLOOKUP(AB492,LISTS!$AR$2:$AS$1000,2,FALSE()),"")</f>
        <v/>
      </c>
      <c r="AH492" s="154" t="str">
        <f>IFERROR(VLOOKUP(AC492,LISTS!$AU$2:$AV$1000,2,FALSE()),"")</f>
        <v/>
      </c>
      <c r="AI492" s="238" t="str">
        <f t="shared" si="38"/>
        <v>—</v>
      </c>
      <c r="AJ492" s="190" t="str">
        <f t="shared" si="39"/>
        <v>—</v>
      </c>
      <c r="AK492" s="157" t="str">
        <f t="shared" si="40"/>
        <v/>
      </c>
      <c r="AL492" s="160" t="str">
        <f t="shared" si="41"/>
        <v/>
      </c>
      <c r="AM492" s="210"/>
      <c r="AN492" s="209"/>
    </row>
    <row r="493" spans="1:40" ht="27.95" customHeight="1">
      <c r="A493" s="134" t="str">
        <f>IF(I493&lt;&gt;"",COUNTA($I$2:I493),"")</f>
        <v/>
      </c>
      <c r="B493" s="138" t="str">
        <f t="shared" si="42"/>
        <v/>
      </c>
      <c r="C493" s="93" t="str">
        <f t="array" ref="C493">IF(E493="","",IF(M493&lt;&gt;"",
M493&amp;"/"&amp;SUMPRODUCT((M$2:M493=M493)*1)&amp;" - "&amp;(ROW()-2),
"إداري/"&amp;SUMPRODUCT((M$2:M493="")*1)&amp;" - "&amp;(ROW()-2)))</f>
        <v/>
      </c>
      <c r="D493" s="141" t="str">
        <f>IF(AND(G493="",H493="",I493=""),"",IF(COUNTIFS(LISTS!$A$2:$A$67,G493,LISTS!$B$2:$B$67,H493,LISTS!$C$2:$C$67,I493)=0,"✗ هرم",IF(NOT(OR(Z493="ممتاز 100%",Z493="جيد 80%",Z493="مقبول 60%",Z493="خطر 40%",Z493="")),"✗ قائمة R",IF(NOT(OR(AA493="ممتاز 100%",AA493="جيد 85%",AA493="مقبول 70%",AA493="ضعيف 50%",AA493="")),"✗ قائمة S",IF(NOT(OR(AB493="مكتمل 100%",AB493="جزئي 60%",AB493="معلق 30%",AB493="مفتوح 0%",AB493="")),"✗ قائمة T",IF(NOT(OR(AC493="لا خصم 0",AC493="تأخير −5",AC493="عجز −10",AC493="جودة −15",AC493="امتثال −20",AC493="مخالفة −25",AC493="")),"✗ قائمة U",IF(AND(X493="لا",AC493&lt;&gt;"",AC493&lt;&gt;"لا خصم 0"),"✗ خصم",IF(AND(X493="نعم",AC493="لا خصم 0"),"✗ خصم",IF(AND(Z493="ممتاز 100%",AA493="ممتاز 100%",AB493&lt;&gt;"",AB493&lt;&gt;"مكتمل 100%"),"✗ إغلاق",IFERROR(IF(LEN(_xlfn.TEXTJOIN("، ",TRUE,IF(E493="","التاريخ",""),IF(F493="","الوقت",""),IF(G493="","المركز",""),IF(H493="","الدائرة",""),IF(I493="","القسم",""),IF(J493="","المسؤول",""),IF(K493="","نوع النشاط",""),IF(L493="","المشروع",""),IF(N493="","الممول",""),IF(V493="","الموضوع",""),IF(W493="","الملاحظة",""),IF(X493="","مشكلة",""),IF(Y493="","الإجراء",""),IF(Z493="","التنفيذ",""),IF(AA493="","الجودة",""),IF(AB493="","الإغلاق",""),IF(AC493="","الخصم",""),IF(AND(COUNTA($O493:$U493)&gt;0,O493=""),"مدير المشروع",""),IF(AND(COUNTA($O493:$U493)&gt;0,P493=""),"المستفيدين",""),IF(AND(COUNTA($O493:$U493)&gt;0,Q493=""),"المناطق",""),IF(AND(COUNTA($O493:$U493)&gt;0,R493=""),"الميزانية",""),IF(AND(COUNTA($O493:$U493)&gt;0,S493=""),"نسبة الجاهزية",""),IF(AND(COUNTA($O493:$U493)&gt;0,T493=""),"حالة الجاهزية",""),IF(AND(COUNTA($O493:$U493)&gt;0,U493=""),"التوصيات","")))&gt;0,"✗ ناقص: "&amp;_xlfn.TEXTJOIN("، ",TRUE,IF(E493="","التاريخ",""),IF(F493="","الوقت",""),IF(G493="","المركز",""),IF(H493="","الدائرة",""),IF(I493="","القسم",""),IF(J493="","المسؤول",""),IF(K493="","نوع النشاط",""),IF(L493="","المشروع",""),IF(N493="","الممول",""),IF(V493="","الموضوع",""),IF(W493="","الملاحظة",""),IF(X493="","مشكلة",""),IF(Y493="","الإجراء",""),IF(Z493="","التنفيذ",""),IF(AA493="","الجودة",""),IF(AB493="","الإغلاق",""),IF(AC493="","الخصم",""),IF(AND(COUNTA($O493:$U493)&gt;0,O493=""),"مدير المشروع",""),IF(AND(COUNTA($O493:$U493)&gt;0,P493=""),"المستفيدين",""),IF(AND(COUNTA($O493:$U493)&gt;0,Q493=""),"المناطق",""),IF(AND(COUNTA($O493:$U493)&gt;0,R493=""),"الميزانية",""),IF(AND(COUNTA($O493:$U493)&gt;0,S493=""),"نسبة الجاهزية",""),IF(AND(COUNTA($O493:$U493)&gt;0,T493=""),"حالة الجاهزية",""),IF(AND(COUNTA($O493:$U493)&gt;0,U493=""),"التوصيات","")),"✓"),"✓"))))))))))</f>
        <v/>
      </c>
      <c r="E493" s="235"/>
      <c r="F493" s="236"/>
      <c r="G493" s="90"/>
      <c r="H493" s="239"/>
      <c r="I493" s="89"/>
      <c r="J493" s="142"/>
      <c r="K493" s="90"/>
      <c r="L493" s="90"/>
      <c r="M493" s="90"/>
      <c r="N493" s="89"/>
      <c r="O493" s="200"/>
      <c r="P493" s="201"/>
      <c r="Q493" s="201"/>
      <c r="R493" s="237"/>
      <c r="S493" s="202"/>
      <c r="T493" s="200"/>
      <c r="U493" s="203"/>
      <c r="V493" s="89"/>
      <c r="W493" s="89"/>
      <c r="X493" s="145"/>
      <c r="Y493" s="89"/>
      <c r="Z493" s="90"/>
      <c r="AA493" s="90"/>
      <c r="AB493" s="90"/>
      <c r="AC493" s="90"/>
      <c r="AD493" s="92"/>
      <c r="AE493" s="149" t="str">
        <f>IFERROR(VLOOKUP(Z493,LISTS!$AL$2:$AM$1000,2,FALSE()),"")</f>
        <v/>
      </c>
      <c r="AF493" s="151" t="str">
        <f>IFERROR(VLOOKUP(AA493,LISTS!$AO$2:$AP$1000,2,FALSE()),"")</f>
        <v/>
      </c>
      <c r="AG493" s="152" t="str">
        <f>IFERROR(VLOOKUP(AB493,LISTS!$AR$2:$AS$1000,2,FALSE()),"")</f>
        <v/>
      </c>
      <c r="AH493" s="154" t="str">
        <f>IFERROR(VLOOKUP(AC493,LISTS!$AU$2:$AV$1000,2,FALSE()),"")</f>
        <v/>
      </c>
      <c r="AI493" s="238" t="str">
        <f t="shared" si="38"/>
        <v>—</v>
      </c>
      <c r="AJ493" s="190" t="str">
        <f t="shared" si="39"/>
        <v>—</v>
      </c>
      <c r="AK493" s="157" t="str">
        <f t="shared" si="40"/>
        <v/>
      </c>
      <c r="AL493" s="160" t="str">
        <f t="shared" si="41"/>
        <v/>
      </c>
      <c r="AM493" s="210"/>
      <c r="AN493" s="209"/>
    </row>
    <row r="494" spans="1:40" ht="27.95" customHeight="1">
      <c r="A494" s="134" t="str">
        <f>IF(I494&lt;&gt;"",COUNTA($I$2:I494),"")</f>
        <v/>
      </c>
      <c r="B494" s="138" t="str">
        <f t="shared" si="42"/>
        <v/>
      </c>
      <c r="C494" s="93" t="str">
        <f t="array" ref="C494">IF(E494="","",IF(M494&lt;&gt;"",
M494&amp;"/"&amp;SUMPRODUCT((M$2:M494=M494)*1)&amp;" - "&amp;(ROW()-2),
"إداري/"&amp;SUMPRODUCT((M$2:M494="")*1)&amp;" - "&amp;(ROW()-2)))</f>
        <v/>
      </c>
      <c r="D494" s="141" t="str">
        <f>IF(AND(G494="",H494="",I494=""),"",IF(COUNTIFS(LISTS!$A$2:$A$67,G494,LISTS!$B$2:$B$67,H494,LISTS!$C$2:$C$67,I494)=0,"✗ هرم",IF(NOT(OR(Z494="ممتاز 100%",Z494="جيد 80%",Z494="مقبول 60%",Z494="خطر 40%",Z494="")),"✗ قائمة R",IF(NOT(OR(AA494="ممتاز 100%",AA494="جيد 85%",AA494="مقبول 70%",AA494="ضعيف 50%",AA494="")),"✗ قائمة S",IF(NOT(OR(AB494="مكتمل 100%",AB494="جزئي 60%",AB494="معلق 30%",AB494="مفتوح 0%",AB494="")),"✗ قائمة T",IF(NOT(OR(AC494="لا خصم 0",AC494="تأخير −5",AC494="عجز −10",AC494="جودة −15",AC494="امتثال −20",AC494="مخالفة −25",AC494="")),"✗ قائمة U",IF(AND(X494="لا",AC494&lt;&gt;"",AC494&lt;&gt;"لا خصم 0"),"✗ خصم",IF(AND(X494="نعم",AC494="لا خصم 0"),"✗ خصم",IF(AND(Z494="ممتاز 100%",AA494="ممتاز 100%",AB494&lt;&gt;"",AB494&lt;&gt;"مكتمل 100%"),"✗ إغلاق",IFERROR(IF(LEN(_xlfn.TEXTJOIN("، ",TRUE,IF(E494="","التاريخ",""),IF(F494="","الوقت",""),IF(G494="","المركز",""),IF(H494="","الدائرة",""),IF(I494="","القسم",""),IF(J494="","المسؤول",""),IF(K494="","نوع النشاط",""),IF(L494="","المشروع",""),IF(N494="","الممول",""),IF(V494="","الموضوع",""),IF(W494="","الملاحظة",""),IF(X494="","مشكلة",""),IF(Y494="","الإجراء",""),IF(Z494="","التنفيذ",""),IF(AA494="","الجودة",""),IF(AB494="","الإغلاق",""),IF(AC494="","الخصم",""),IF(AND(COUNTA($O494:$U494)&gt;0,O494=""),"مدير المشروع",""),IF(AND(COUNTA($O494:$U494)&gt;0,P494=""),"المستفيدين",""),IF(AND(COUNTA($O494:$U494)&gt;0,Q494=""),"المناطق",""),IF(AND(COUNTA($O494:$U494)&gt;0,R494=""),"الميزانية",""),IF(AND(COUNTA($O494:$U494)&gt;0,S494=""),"نسبة الجاهزية",""),IF(AND(COUNTA($O494:$U494)&gt;0,T494=""),"حالة الجاهزية",""),IF(AND(COUNTA($O494:$U494)&gt;0,U494=""),"التوصيات","")))&gt;0,"✗ ناقص: "&amp;_xlfn.TEXTJOIN("، ",TRUE,IF(E494="","التاريخ",""),IF(F494="","الوقت",""),IF(G494="","المركز",""),IF(H494="","الدائرة",""),IF(I494="","القسم",""),IF(J494="","المسؤول",""),IF(K494="","نوع النشاط",""),IF(L494="","المشروع",""),IF(N494="","الممول",""),IF(V494="","الموضوع",""),IF(W494="","الملاحظة",""),IF(X494="","مشكلة",""),IF(Y494="","الإجراء",""),IF(Z494="","التنفيذ",""),IF(AA494="","الجودة",""),IF(AB494="","الإغلاق",""),IF(AC494="","الخصم",""),IF(AND(COUNTA($O494:$U494)&gt;0,O494=""),"مدير المشروع",""),IF(AND(COUNTA($O494:$U494)&gt;0,P494=""),"المستفيدين",""),IF(AND(COUNTA($O494:$U494)&gt;0,Q494=""),"المناطق",""),IF(AND(COUNTA($O494:$U494)&gt;0,R494=""),"الميزانية",""),IF(AND(COUNTA($O494:$U494)&gt;0,S494=""),"نسبة الجاهزية",""),IF(AND(COUNTA($O494:$U494)&gt;0,T494=""),"حالة الجاهزية",""),IF(AND(COUNTA($O494:$U494)&gt;0,U494=""),"التوصيات","")),"✓"),"✓"))))))))))</f>
        <v/>
      </c>
      <c r="E494" s="235"/>
      <c r="F494" s="236"/>
      <c r="G494" s="90"/>
      <c r="H494" s="239"/>
      <c r="I494" s="89"/>
      <c r="J494" s="142"/>
      <c r="K494" s="90"/>
      <c r="L494" s="90"/>
      <c r="M494" s="90"/>
      <c r="N494" s="89"/>
      <c r="O494" s="200"/>
      <c r="P494" s="201"/>
      <c r="Q494" s="201"/>
      <c r="R494" s="237"/>
      <c r="S494" s="202"/>
      <c r="T494" s="200"/>
      <c r="U494" s="203"/>
      <c r="V494" s="89"/>
      <c r="W494" s="89"/>
      <c r="X494" s="145"/>
      <c r="Y494" s="89"/>
      <c r="Z494" s="90"/>
      <c r="AA494" s="90"/>
      <c r="AB494" s="90"/>
      <c r="AC494" s="90"/>
      <c r="AD494" s="92"/>
      <c r="AE494" s="149" t="str">
        <f>IFERROR(VLOOKUP(Z494,LISTS!$AL$2:$AM$1000,2,FALSE()),"")</f>
        <v/>
      </c>
      <c r="AF494" s="151" t="str">
        <f>IFERROR(VLOOKUP(AA494,LISTS!$AO$2:$AP$1000,2,FALSE()),"")</f>
        <v/>
      </c>
      <c r="AG494" s="152" t="str">
        <f>IFERROR(VLOOKUP(AB494,LISTS!$AR$2:$AS$1000,2,FALSE()),"")</f>
        <v/>
      </c>
      <c r="AH494" s="154" t="str">
        <f>IFERROR(VLOOKUP(AC494,LISTS!$AU$2:$AV$1000,2,FALSE()),"")</f>
        <v/>
      </c>
      <c r="AI494" s="238" t="str">
        <f t="shared" si="38"/>
        <v>—</v>
      </c>
      <c r="AJ494" s="190" t="str">
        <f t="shared" si="39"/>
        <v>—</v>
      </c>
      <c r="AK494" s="157" t="str">
        <f t="shared" si="40"/>
        <v/>
      </c>
      <c r="AL494" s="160" t="str">
        <f t="shared" si="41"/>
        <v/>
      </c>
      <c r="AM494" s="210"/>
      <c r="AN494" s="209"/>
    </row>
    <row r="495" spans="1:40" ht="27.95" customHeight="1">
      <c r="A495" s="134" t="str">
        <f>IF(I495&lt;&gt;"",COUNTA($I$2:I495),"")</f>
        <v/>
      </c>
      <c r="B495" s="138" t="str">
        <f t="shared" si="42"/>
        <v/>
      </c>
      <c r="C495" s="93" t="str">
        <f t="array" ref="C495">IF(E495="","",IF(M495&lt;&gt;"",
M495&amp;"/"&amp;SUMPRODUCT((M$2:M495=M495)*1)&amp;" - "&amp;(ROW()-2),
"إداري/"&amp;SUMPRODUCT((M$2:M495="")*1)&amp;" - "&amp;(ROW()-2)))</f>
        <v/>
      </c>
      <c r="D495" s="141" t="str">
        <f>IF(AND(G495="",H495="",I495=""),"",IF(COUNTIFS(LISTS!$A$2:$A$67,G495,LISTS!$B$2:$B$67,H495,LISTS!$C$2:$C$67,I495)=0,"✗ هرم",IF(NOT(OR(Z495="ممتاز 100%",Z495="جيد 80%",Z495="مقبول 60%",Z495="خطر 40%",Z495="")),"✗ قائمة R",IF(NOT(OR(AA495="ممتاز 100%",AA495="جيد 85%",AA495="مقبول 70%",AA495="ضعيف 50%",AA495="")),"✗ قائمة S",IF(NOT(OR(AB495="مكتمل 100%",AB495="جزئي 60%",AB495="معلق 30%",AB495="مفتوح 0%",AB495="")),"✗ قائمة T",IF(NOT(OR(AC495="لا خصم 0",AC495="تأخير −5",AC495="عجز −10",AC495="جودة −15",AC495="امتثال −20",AC495="مخالفة −25",AC495="")),"✗ قائمة U",IF(AND(X495="لا",AC495&lt;&gt;"",AC495&lt;&gt;"لا خصم 0"),"✗ خصم",IF(AND(X495="نعم",AC495="لا خصم 0"),"✗ خصم",IF(AND(Z495="ممتاز 100%",AA495="ممتاز 100%",AB495&lt;&gt;"",AB495&lt;&gt;"مكتمل 100%"),"✗ إغلاق",IFERROR(IF(LEN(_xlfn.TEXTJOIN("، ",TRUE,IF(E495="","التاريخ",""),IF(F495="","الوقت",""),IF(G495="","المركز",""),IF(H495="","الدائرة",""),IF(I495="","القسم",""),IF(J495="","المسؤول",""),IF(K495="","نوع النشاط",""),IF(L495="","المشروع",""),IF(N495="","الممول",""),IF(V495="","الموضوع",""),IF(W495="","الملاحظة",""),IF(X495="","مشكلة",""),IF(Y495="","الإجراء",""),IF(Z495="","التنفيذ",""),IF(AA495="","الجودة",""),IF(AB495="","الإغلاق",""),IF(AC495="","الخصم",""),IF(AND(COUNTA($O495:$U495)&gt;0,O495=""),"مدير المشروع",""),IF(AND(COUNTA($O495:$U495)&gt;0,P495=""),"المستفيدين",""),IF(AND(COUNTA($O495:$U495)&gt;0,Q495=""),"المناطق",""),IF(AND(COUNTA($O495:$U495)&gt;0,R495=""),"الميزانية",""),IF(AND(COUNTA($O495:$U495)&gt;0,S495=""),"نسبة الجاهزية",""),IF(AND(COUNTA($O495:$U495)&gt;0,T495=""),"حالة الجاهزية",""),IF(AND(COUNTA($O495:$U495)&gt;0,U495=""),"التوصيات","")))&gt;0,"✗ ناقص: "&amp;_xlfn.TEXTJOIN("، ",TRUE,IF(E495="","التاريخ",""),IF(F495="","الوقت",""),IF(G495="","المركز",""),IF(H495="","الدائرة",""),IF(I495="","القسم",""),IF(J495="","المسؤول",""),IF(K495="","نوع النشاط",""),IF(L495="","المشروع",""),IF(N495="","الممول",""),IF(V495="","الموضوع",""),IF(W495="","الملاحظة",""),IF(X495="","مشكلة",""),IF(Y495="","الإجراء",""),IF(Z495="","التنفيذ",""),IF(AA495="","الجودة",""),IF(AB495="","الإغلاق",""),IF(AC495="","الخصم",""),IF(AND(COUNTA($O495:$U495)&gt;0,O495=""),"مدير المشروع",""),IF(AND(COUNTA($O495:$U495)&gt;0,P495=""),"المستفيدين",""),IF(AND(COUNTA($O495:$U495)&gt;0,Q495=""),"المناطق",""),IF(AND(COUNTA($O495:$U495)&gt;0,R495=""),"الميزانية",""),IF(AND(COUNTA($O495:$U495)&gt;0,S495=""),"نسبة الجاهزية",""),IF(AND(COUNTA($O495:$U495)&gt;0,T495=""),"حالة الجاهزية",""),IF(AND(COUNTA($O495:$U495)&gt;0,U495=""),"التوصيات","")),"✓"),"✓"))))))))))</f>
        <v/>
      </c>
      <c r="E495" s="235"/>
      <c r="F495" s="236"/>
      <c r="G495" s="90"/>
      <c r="H495" s="239"/>
      <c r="I495" s="89"/>
      <c r="J495" s="142"/>
      <c r="K495" s="90"/>
      <c r="L495" s="90"/>
      <c r="M495" s="90"/>
      <c r="N495" s="89"/>
      <c r="O495" s="200"/>
      <c r="P495" s="201"/>
      <c r="Q495" s="201"/>
      <c r="R495" s="237"/>
      <c r="S495" s="202"/>
      <c r="T495" s="200"/>
      <c r="U495" s="203"/>
      <c r="V495" s="89"/>
      <c r="W495" s="89"/>
      <c r="X495" s="145"/>
      <c r="Y495" s="89"/>
      <c r="Z495" s="90"/>
      <c r="AA495" s="90"/>
      <c r="AB495" s="90"/>
      <c r="AC495" s="90"/>
      <c r="AD495" s="92"/>
      <c r="AE495" s="149" t="str">
        <f>IFERROR(VLOOKUP(Z495,LISTS!$AL$2:$AM$1000,2,FALSE()),"")</f>
        <v/>
      </c>
      <c r="AF495" s="151" t="str">
        <f>IFERROR(VLOOKUP(AA495,LISTS!$AO$2:$AP$1000,2,FALSE()),"")</f>
        <v/>
      </c>
      <c r="AG495" s="152" t="str">
        <f>IFERROR(VLOOKUP(AB495,LISTS!$AR$2:$AS$1000,2,FALSE()),"")</f>
        <v/>
      </c>
      <c r="AH495" s="154" t="str">
        <f>IFERROR(VLOOKUP(AC495,LISTS!$AU$2:$AV$1000,2,FALSE()),"")</f>
        <v/>
      </c>
      <c r="AI495" s="238" t="str">
        <f t="shared" si="38"/>
        <v>—</v>
      </c>
      <c r="AJ495" s="190" t="str">
        <f t="shared" si="39"/>
        <v>—</v>
      </c>
      <c r="AK495" s="157" t="str">
        <f t="shared" si="40"/>
        <v/>
      </c>
      <c r="AL495" s="160" t="str">
        <f t="shared" si="41"/>
        <v/>
      </c>
      <c r="AM495" s="210"/>
      <c r="AN495" s="209"/>
    </row>
    <row r="496" spans="1:40" ht="27.95" customHeight="1">
      <c r="A496" s="134" t="str">
        <f>IF(I496&lt;&gt;"",COUNTA($I$2:I496),"")</f>
        <v/>
      </c>
      <c r="B496" s="138" t="str">
        <f t="shared" si="42"/>
        <v/>
      </c>
      <c r="C496" s="93" t="str">
        <f t="array" ref="C496">IF(E496="","",IF(M496&lt;&gt;"",
M496&amp;"/"&amp;SUMPRODUCT((M$2:M496=M496)*1)&amp;" - "&amp;(ROW()-2),
"إداري/"&amp;SUMPRODUCT((M$2:M496="")*1)&amp;" - "&amp;(ROW()-2)))</f>
        <v/>
      </c>
      <c r="D496" s="141" t="str">
        <f>IF(AND(G496="",H496="",I496=""),"",IF(COUNTIFS(LISTS!$A$2:$A$67,G496,LISTS!$B$2:$B$67,H496,LISTS!$C$2:$C$67,I496)=0,"✗ هرم",IF(NOT(OR(Z496="ممتاز 100%",Z496="جيد 80%",Z496="مقبول 60%",Z496="خطر 40%",Z496="")),"✗ قائمة R",IF(NOT(OR(AA496="ممتاز 100%",AA496="جيد 85%",AA496="مقبول 70%",AA496="ضعيف 50%",AA496="")),"✗ قائمة S",IF(NOT(OR(AB496="مكتمل 100%",AB496="جزئي 60%",AB496="معلق 30%",AB496="مفتوح 0%",AB496="")),"✗ قائمة T",IF(NOT(OR(AC496="لا خصم 0",AC496="تأخير −5",AC496="عجز −10",AC496="جودة −15",AC496="امتثال −20",AC496="مخالفة −25",AC496="")),"✗ قائمة U",IF(AND(X496="لا",AC496&lt;&gt;"",AC496&lt;&gt;"لا خصم 0"),"✗ خصم",IF(AND(X496="نعم",AC496="لا خصم 0"),"✗ خصم",IF(AND(Z496="ممتاز 100%",AA496="ممتاز 100%",AB496&lt;&gt;"",AB496&lt;&gt;"مكتمل 100%"),"✗ إغلاق",IFERROR(IF(LEN(_xlfn.TEXTJOIN("، ",TRUE,IF(E496="","التاريخ",""),IF(F496="","الوقت",""),IF(G496="","المركز",""),IF(H496="","الدائرة",""),IF(I496="","القسم",""),IF(J496="","المسؤول",""),IF(K496="","نوع النشاط",""),IF(L496="","المشروع",""),IF(N496="","الممول",""),IF(V496="","الموضوع",""),IF(W496="","الملاحظة",""),IF(X496="","مشكلة",""),IF(Y496="","الإجراء",""),IF(Z496="","التنفيذ",""),IF(AA496="","الجودة",""),IF(AB496="","الإغلاق",""),IF(AC496="","الخصم",""),IF(AND(COUNTA($O496:$U496)&gt;0,O496=""),"مدير المشروع",""),IF(AND(COUNTA($O496:$U496)&gt;0,P496=""),"المستفيدين",""),IF(AND(COUNTA($O496:$U496)&gt;0,Q496=""),"المناطق",""),IF(AND(COUNTA($O496:$U496)&gt;0,R496=""),"الميزانية",""),IF(AND(COUNTA($O496:$U496)&gt;0,S496=""),"نسبة الجاهزية",""),IF(AND(COUNTA($O496:$U496)&gt;0,T496=""),"حالة الجاهزية",""),IF(AND(COUNTA($O496:$U496)&gt;0,U496=""),"التوصيات","")))&gt;0,"✗ ناقص: "&amp;_xlfn.TEXTJOIN("، ",TRUE,IF(E496="","التاريخ",""),IF(F496="","الوقت",""),IF(G496="","المركز",""),IF(H496="","الدائرة",""),IF(I496="","القسم",""),IF(J496="","المسؤول",""),IF(K496="","نوع النشاط",""),IF(L496="","المشروع",""),IF(N496="","الممول",""),IF(V496="","الموضوع",""),IF(W496="","الملاحظة",""),IF(X496="","مشكلة",""),IF(Y496="","الإجراء",""),IF(Z496="","التنفيذ",""),IF(AA496="","الجودة",""),IF(AB496="","الإغلاق",""),IF(AC496="","الخصم",""),IF(AND(COUNTA($O496:$U496)&gt;0,O496=""),"مدير المشروع",""),IF(AND(COUNTA($O496:$U496)&gt;0,P496=""),"المستفيدين",""),IF(AND(COUNTA($O496:$U496)&gt;0,Q496=""),"المناطق",""),IF(AND(COUNTA($O496:$U496)&gt;0,R496=""),"الميزانية",""),IF(AND(COUNTA($O496:$U496)&gt;0,S496=""),"نسبة الجاهزية",""),IF(AND(COUNTA($O496:$U496)&gt;0,T496=""),"حالة الجاهزية",""),IF(AND(COUNTA($O496:$U496)&gt;0,U496=""),"التوصيات","")),"✓"),"✓"))))))))))</f>
        <v/>
      </c>
      <c r="E496" s="235"/>
      <c r="F496" s="236"/>
      <c r="G496" s="90"/>
      <c r="H496" s="239"/>
      <c r="I496" s="89"/>
      <c r="J496" s="142"/>
      <c r="K496" s="90"/>
      <c r="L496" s="90"/>
      <c r="M496" s="90"/>
      <c r="N496" s="89"/>
      <c r="O496" s="200"/>
      <c r="P496" s="201"/>
      <c r="Q496" s="201"/>
      <c r="R496" s="237"/>
      <c r="S496" s="202"/>
      <c r="T496" s="200"/>
      <c r="U496" s="203"/>
      <c r="V496" s="89"/>
      <c r="W496" s="89"/>
      <c r="X496" s="145"/>
      <c r="Y496" s="89"/>
      <c r="Z496" s="90"/>
      <c r="AA496" s="90"/>
      <c r="AB496" s="90"/>
      <c r="AC496" s="90"/>
      <c r="AD496" s="92"/>
      <c r="AE496" s="149" t="str">
        <f>IFERROR(VLOOKUP(Z496,LISTS!$AL$2:$AM$1000,2,FALSE()),"")</f>
        <v/>
      </c>
      <c r="AF496" s="151" t="str">
        <f>IFERROR(VLOOKUP(AA496,LISTS!$AO$2:$AP$1000,2,FALSE()),"")</f>
        <v/>
      </c>
      <c r="AG496" s="152" t="str">
        <f>IFERROR(VLOOKUP(AB496,LISTS!$AR$2:$AS$1000,2,FALSE()),"")</f>
        <v/>
      </c>
      <c r="AH496" s="154" t="str">
        <f>IFERROR(VLOOKUP(AC496,LISTS!$AU$2:$AV$1000,2,FALSE()),"")</f>
        <v/>
      </c>
      <c r="AI496" s="238" t="str">
        <f t="shared" si="38"/>
        <v>—</v>
      </c>
      <c r="AJ496" s="190" t="str">
        <f t="shared" si="39"/>
        <v>—</v>
      </c>
      <c r="AK496" s="157" t="str">
        <f t="shared" si="40"/>
        <v/>
      </c>
      <c r="AL496" s="160" t="str">
        <f t="shared" si="41"/>
        <v/>
      </c>
      <c r="AM496" s="210"/>
      <c r="AN496" s="209"/>
    </row>
    <row r="497" spans="1:40" ht="27.95" customHeight="1">
      <c r="A497" s="134" t="str">
        <f>IF(I497&lt;&gt;"",COUNTA($I$2:I497),"")</f>
        <v/>
      </c>
      <c r="B497" s="138" t="str">
        <f t="shared" si="42"/>
        <v/>
      </c>
      <c r="C497" s="93" t="str">
        <f t="array" ref="C497">IF(E497="","",IF(M497&lt;&gt;"",
M497&amp;"/"&amp;SUMPRODUCT((M$2:M497=M497)*1)&amp;" - "&amp;(ROW()-2),
"إداري/"&amp;SUMPRODUCT((M$2:M497="")*1)&amp;" - "&amp;(ROW()-2)))</f>
        <v/>
      </c>
      <c r="D497" s="141" t="str">
        <f>IF(AND(G497="",H497="",I497=""),"",IF(COUNTIFS(LISTS!$A$2:$A$67,G497,LISTS!$B$2:$B$67,H497,LISTS!$C$2:$C$67,I497)=0,"✗ هرم",IF(NOT(OR(Z497="ممتاز 100%",Z497="جيد 80%",Z497="مقبول 60%",Z497="خطر 40%",Z497="")),"✗ قائمة R",IF(NOT(OR(AA497="ممتاز 100%",AA497="جيد 85%",AA497="مقبول 70%",AA497="ضعيف 50%",AA497="")),"✗ قائمة S",IF(NOT(OR(AB497="مكتمل 100%",AB497="جزئي 60%",AB497="معلق 30%",AB497="مفتوح 0%",AB497="")),"✗ قائمة T",IF(NOT(OR(AC497="لا خصم 0",AC497="تأخير −5",AC497="عجز −10",AC497="جودة −15",AC497="امتثال −20",AC497="مخالفة −25",AC497="")),"✗ قائمة U",IF(AND(X497="لا",AC497&lt;&gt;"",AC497&lt;&gt;"لا خصم 0"),"✗ خصم",IF(AND(X497="نعم",AC497="لا خصم 0"),"✗ خصم",IF(AND(Z497="ممتاز 100%",AA497="ممتاز 100%",AB497&lt;&gt;"",AB497&lt;&gt;"مكتمل 100%"),"✗ إغلاق",IFERROR(IF(LEN(_xlfn.TEXTJOIN("، ",TRUE,IF(E497="","التاريخ",""),IF(F497="","الوقت",""),IF(G497="","المركز",""),IF(H497="","الدائرة",""),IF(I497="","القسم",""),IF(J497="","المسؤول",""),IF(K497="","نوع النشاط",""),IF(L497="","المشروع",""),IF(N497="","الممول",""),IF(V497="","الموضوع",""),IF(W497="","الملاحظة",""),IF(X497="","مشكلة",""),IF(Y497="","الإجراء",""),IF(Z497="","التنفيذ",""),IF(AA497="","الجودة",""),IF(AB497="","الإغلاق",""),IF(AC497="","الخصم",""),IF(AND(COUNTA($O497:$U497)&gt;0,O497=""),"مدير المشروع",""),IF(AND(COUNTA($O497:$U497)&gt;0,P497=""),"المستفيدين",""),IF(AND(COUNTA($O497:$U497)&gt;0,Q497=""),"المناطق",""),IF(AND(COUNTA($O497:$U497)&gt;0,R497=""),"الميزانية",""),IF(AND(COUNTA($O497:$U497)&gt;0,S497=""),"نسبة الجاهزية",""),IF(AND(COUNTA($O497:$U497)&gt;0,T497=""),"حالة الجاهزية",""),IF(AND(COUNTA($O497:$U497)&gt;0,U497=""),"التوصيات","")))&gt;0,"✗ ناقص: "&amp;_xlfn.TEXTJOIN("، ",TRUE,IF(E497="","التاريخ",""),IF(F497="","الوقت",""),IF(G497="","المركز",""),IF(H497="","الدائرة",""),IF(I497="","القسم",""),IF(J497="","المسؤول",""),IF(K497="","نوع النشاط",""),IF(L497="","المشروع",""),IF(N497="","الممول",""),IF(V497="","الموضوع",""),IF(W497="","الملاحظة",""),IF(X497="","مشكلة",""),IF(Y497="","الإجراء",""),IF(Z497="","التنفيذ",""),IF(AA497="","الجودة",""),IF(AB497="","الإغلاق",""),IF(AC497="","الخصم",""),IF(AND(COUNTA($O497:$U497)&gt;0,O497=""),"مدير المشروع",""),IF(AND(COUNTA($O497:$U497)&gt;0,P497=""),"المستفيدين",""),IF(AND(COUNTA($O497:$U497)&gt;0,Q497=""),"المناطق",""),IF(AND(COUNTA($O497:$U497)&gt;0,R497=""),"الميزانية",""),IF(AND(COUNTA($O497:$U497)&gt;0,S497=""),"نسبة الجاهزية",""),IF(AND(COUNTA($O497:$U497)&gt;0,T497=""),"حالة الجاهزية",""),IF(AND(COUNTA($O497:$U497)&gt;0,U497=""),"التوصيات","")),"✓"),"✓"))))))))))</f>
        <v/>
      </c>
      <c r="E497" s="235"/>
      <c r="F497" s="236"/>
      <c r="G497" s="90"/>
      <c r="H497" s="239"/>
      <c r="I497" s="89"/>
      <c r="J497" s="142"/>
      <c r="K497" s="90"/>
      <c r="L497" s="90"/>
      <c r="M497" s="90"/>
      <c r="N497" s="89"/>
      <c r="O497" s="200"/>
      <c r="P497" s="201"/>
      <c r="Q497" s="201"/>
      <c r="R497" s="237"/>
      <c r="S497" s="202"/>
      <c r="T497" s="200"/>
      <c r="U497" s="203"/>
      <c r="V497" s="89"/>
      <c r="W497" s="89"/>
      <c r="X497" s="145"/>
      <c r="Y497" s="89"/>
      <c r="Z497" s="90"/>
      <c r="AA497" s="90"/>
      <c r="AB497" s="90"/>
      <c r="AC497" s="90"/>
      <c r="AD497" s="92"/>
      <c r="AE497" s="149" t="str">
        <f>IFERROR(VLOOKUP(Z497,LISTS!$AL$2:$AM$1000,2,FALSE()),"")</f>
        <v/>
      </c>
      <c r="AF497" s="151" t="str">
        <f>IFERROR(VLOOKUP(AA497,LISTS!$AO$2:$AP$1000,2,FALSE()),"")</f>
        <v/>
      </c>
      <c r="AG497" s="152" t="str">
        <f>IFERROR(VLOOKUP(AB497,LISTS!$AR$2:$AS$1000,2,FALSE()),"")</f>
        <v/>
      </c>
      <c r="AH497" s="154" t="str">
        <f>IFERROR(VLOOKUP(AC497,LISTS!$AU$2:$AV$1000,2,FALSE()),"")</f>
        <v/>
      </c>
      <c r="AI497" s="238" t="str">
        <f t="shared" si="38"/>
        <v>—</v>
      </c>
      <c r="AJ497" s="190" t="str">
        <f t="shared" si="39"/>
        <v>—</v>
      </c>
      <c r="AK497" s="157" t="str">
        <f t="shared" si="40"/>
        <v/>
      </c>
      <c r="AL497" s="160" t="str">
        <f t="shared" si="41"/>
        <v/>
      </c>
      <c r="AM497" s="210"/>
      <c r="AN497" s="209"/>
    </row>
    <row r="498" spans="1:40" ht="27.95" customHeight="1">
      <c r="A498" s="134" t="str">
        <f>IF(I498&lt;&gt;"",COUNTA($I$2:I498),"")</f>
        <v/>
      </c>
      <c r="B498" s="138" t="str">
        <f t="shared" si="42"/>
        <v/>
      </c>
      <c r="C498" s="93" t="str">
        <f t="array" ref="C498">IF(E498="","",IF(M498&lt;&gt;"",
M498&amp;"/"&amp;SUMPRODUCT((M$2:M498=M498)*1)&amp;" - "&amp;(ROW()-2),
"إداري/"&amp;SUMPRODUCT((M$2:M498="")*1)&amp;" - "&amp;(ROW()-2)))</f>
        <v/>
      </c>
      <c r="D498" s="141" t="str">
        <f>IF(AND(G498="",H498="",I498=""),"",IF(COUNTIFS(LISTS!$A$2:$A$67,G498,LISTS!$B$2:$B$67,H498,LISTS!$C$2:$C$67,I498)=0,"✗ هرم",IF(NOT(OR(Z498="ممتاز 100%",Z498="جيد 80%",Z498="مقبول 60%",Z498="خطر 40%",Z498="")),"✗ قائمة R",IF(NOT(OR(AA498="ممتاز 100%",AA498="جيد 85%",AA498="مقبول 70%",AA498="ضعيف 50%",AA498="")),"✗ قائمة S",IF(NOT(OR(AB498="مكتمل 100%",AB498="جزئي 60%",AB498="معلق 30%",AB498="مفتوح 0%",AB498="")),"✗ قائمة T",IF(NOT(OR(AC498="لا خصم 0",AC498="تأخير −5",AC498="عجز −10",AC498="جودة −15",AC498="امتثال −20",AC498="مخالفة −25",AC498="")),"✗ قائمة U",IF(AND(X498="لا",AC498&lt;&gt;"",AC498&lt;&gt;"لا خصم 0"),"✗ خصم",IF(AND(X498="نعم",AC498="لا خصم 0"),"✗ خصم",IF(AND(Z498="ممتاز 100%",AA498="ممتاز 100%",AB498&lt;&gt;"",AB498&lt;&gt;"مكتمل 100%"),"✗ إغلاق",IFERROR(IF(LEN(_xlfn.TEXTJOIN("، ",TRUE,IF(E498="","التاريخ",""),IF(F498="","الوقت",""),IF(G498="","المركز",""),IF(H498="","الدائرة",""),IF(I498="","القسم",""),IF(J498="","المسؤول",""),IF(K498="","نوع النشاط",""),IF(L498="","المشروع",""),IF(N498="","الممول",""),IF(V498="","الموضوع",""),IF(W498="","الملاحظة",""),IF(X498="","مشكلة",""),IF(Y498="","الإجراء",""),IF(Z498="","التنفيذ",""),IF(AA498="","الجودة",""),IF(AB498="","الإغلاق",""),IF(AC498="","الخصم",""),IF(AND(COUNTA($O498:$U498)&gt;0,O498=""),"مدير المشروع",""),IF(AND(COUNTA($O498:$U498)&gt;0,P498=""),"المستفيدين",""),IF(AND(COUNTA($O498:$U498)&gt;0,Q498=""),"المناطق",""),IF(AND(COUNTA($O498:$U498)&gt;0,R498=""),"الميزانية",""),IF(AND(COUNTA($O498:$U498)&gt;0,S498=""),"نسبة الجاهزية",""),IF(AND(COUNTA($O498:$U498)&gt;0,T498=""),"حالة الجاهزية",""),IF(AND(COUNTA($O498:$U498)&gt;0,U498=""),"التوصيات","")))&gt;0,"✗ ناقص: "&amp;_xlfn.TEXTJOIN("، ",TRUE,IF(E498="","التاريخ",""),IF(F498="","الوقت",""),IF(G498="","المركز",""),IF(H498="","الدائرة",""),IF(I498="","القسم",""),IF(J498="","المسؤول",""),IF(K498="","نوع النشاط",""),IF(L498="","المشروع",""),IF(N498="","الممول",""),IF(V498="","الموضوع",""),IF(W498="","الملاحظة",""),IF(X498="","مشكلة",""),IF(Y498="","الإجراء",""),IF(Z498="","التنفيذ",""),IF(AA498="","الجودة",""),IF(AB498="","الإغلاق",""),IF(AC498="","الخصم",""),IF(AND(COUNTA($O498:$U498)&gt;0,O498=""),"مدير المشروع",""),IF(AND(COUNTA($O498:$U498)&gt;0,P498=""),"المستفيدين",""),IF(AND(COUNTA($O498:$U498)&gt;0,Q498=""),"المناطق",""),IF(AND(COUNTA($O498:$U498)&gt;0,R498=""),"الميزانية",""),IF(AND(COUNTA($O498:$U498)&gt;0,S498=""),"نسبة الجاهزية",""),IF(AND(COUNTA($O498:$U498)&gt;0,T498=""),"حالة الجاهزية",""),IF(AND(COUNTA($O498:$U498)&gt;0,U498=""),"التوصيات","")),"✓"),"✓"))))))))))</f>
        <v/>
      </c>
      <c r="E498" s="235"/>
      <c r="F498" s="236"/>
      <c r="G498" s="90"/>
      <c r="H498" s="239"/>
      <c r="I498" s="89"/>
      <c r="J498" s="142"/>
      <c r="K498" s="90"/>
      <c r="L498" s="90"/>
      <c r="M498" s="90"/>
      <c r="N498" s="89"/>
      <c r="O498" s="200"/>
      <c r="P498" s="201"/>
      <c r="Q498" s="201"/>
      <c r="R498" s="237"/>
      <c r="S498" s="202"/>
      <c r="T498" s="200"/>
      <c r="U498" s="203"/>
      <c r="V498" s="89"/>
      <c r="W498" s="89"/>
      <c r="X498" s="145"/>
      <c r="Y498" s="89"/>
      <c r="Z498" s="90"/>
      <c r="AA498" s="90"/>
      <c r="AB498" s="90"/>
      <c r="AC498" s="90"/>
      <c r="AD498" s="92"/>
      <c r="AE498" s="149" t="str">
        <f>IFERROR(VLOOKUP(Z498,LISTS!$AL$2:$AM$1000,2,FALSE()),"")</f>
        <v/>
      </c>
      <c r="AF498" s="151" t="str">
        <f>IFERROR(VLOOKUP(AA498,LISTS!$AO$2:$AP$1000,2,FALSE()),"")</f>
        <v/>
      </c>
      <c r="AG498" s="152" t="str">
        <f>IFERROR(VLOOKUP(AB498,LISTS!$AR$2:$AS$1000,2,FALSE()),"")</f>
        <v/>
      </c>
      <c r="AH498" s="154" t="str">
        <f>IFERROR(VLOOKUP(AC498,LISTS!$AU$2:$AV$1000,2,FALSE()),"")</f>
        <v/>
      </c>
      <c r="AI498" s="238" t="str">
        <f t="shared" si="38"/>
        <v>—</v>
      </c>
      <c r="AJ498" s="190" t="str">
        <f t="shared" si="39"/>
        <v>—</v>
      </c>
      <c r="AK498" s="157" t="str">
        <f t="shared" si="40"/>
        <v/>
      </c>
      <c r="AL498" s="160" t="str">
        <f t="shared" si="41"/>
        <v/>
      </c>
      <c r="AM498" s="210"/>
      <c r="AN498" s="209"/>
    </row>
    <row r="499" spans="1:40" ht="27.95" customHeight="1">
      <c r="A499" s="134" t="str">
        <f>IF(I499&lt;&gt;"",COUNTA($I$2:I499),"")</f>
        <v/>
      </c>
      <c r="B499" s="138" t="str">
        <f t="shared" si="42"/>
        <v/>
      </c>
      <c r="C499" s="93" t="str">
        <f t="array" ref="C499">IF(E499="","",IF(M499&lt;&gt;"",
M499&amp;"/"&amp;SUMPRODUCT((M$2:M499=M499)*1)&amp;" - "&amp;(ROW()-2),
"إداري/"&amp;SUMPRODUCT((M$2:M499="")*1)&amp;" - "&amp;(ROW()-2)))</f>
        <v/>
      </c>
      <c r="D499" s="141" t="str">
        <f>IF(AND(G499="",H499="",I499=""),"",IF(COUNTIFS(LISTS!$A$2:$A$67,G499,LISTS!$B$2:$B$67,H499,LISTS!$C$2:$C$67,I499)=0,"✗ هرم",IF(NOT(OR(Z499="ممتاز 100%",Z499="جيد 80%",Z499="مقبول 60%",Z499="خطر 40%",Z499="")),"✗ قائمة R",IF(NOT(OR(AA499="ممتاز 100%",AA499="جيد 85%",AA499="مقبول 70%",AA499="ضعيف 50%",AA499="")),"✗ قائمة S",IF(NOT(OR(AB499="مكتمل 100%",AB499="جزئي 60%",AB499="معلق 30%",AB499="مفتوح 0%",AB499="")),"✗ قائمة T",IF(NOT(OR(AC499="لا خصم 0",AC499="تأخير −5",AC499="عجز −10",AC499="جودة −15",AC499="امتثال −20",AC499="مخالفة −25",AC499="")),"✗ قائمة U",IF(AND(X499="لا",AC499&lt;&gt;"",AC499&lt;&gt;"لا خصم 0"),"✗ خصم",IF(AND(X499="نعم",AC499="لا خصم 0"),"✗ خصم",IF(AND(Z499="ممتاز 100%",AA499="ممتاز 100%",AB499&lt;&gt;"",AB499&lt;&gt;"مكتمل 100%"),"✗ إغلاق",IFERROR(IF(LEN(_xlfn.TEXTJOIN("، ",TRUE,IF(E499="","التاريخ",""),IF(F499="","الوقت",""),IF(G499="","المركز",""),IF(H499="","الدائرة",""),IF(I499="","القسم",""),IF(J499="","المسؤول",""),IF(K499="","نوع النشاط",""),IF(L499="","المشروع",""),IF(N499="","الممول",""),IF(V499="","الموضوع",""),IF(W499="","الملاحظة",""),IF(X499="","مشكلة",""),IF(Y499="","الإجراء",""),IF(Z499="","التنفيذ",""),IF(AA499="","الجودة",""),IF(AB499="","الإغلاق",""),IF(AC499="","الخصم",""),IF(AND(COUNTA($O499:$U499)&gt;0,O499=""),"مدير المشروع",""),IF(AND(COUNTA($O499:$U499)&gt;0,P499=""),"المستفيدين",""),IF(AND(COUNTA($O499:$U499)&gt;0,Q499=""),"المناطق",""),IF(AND(COUNTA($O499:$U499)&gt;0,R499=""),"الميزانية",""),IF(AND(COUNTA($O499:$U499)&gt;0,S499=""),"نسبة الجاهزية",""),IF(AND(COUNTA($O499:$U499)&gt;0,T499=""),"حالة الجاهزية",""),IF(AND(COUNTA($O499:$U499)&gt;0,U499=""),"التوصيات","")))&gt;0,"✗ ناقص: "&amp;_xlfn.TEXTJOIN("، ",TRUE,IF(E499="","التاريخ",""),IF(F499="","الوقت",""),IF(G499="","المركز",""),IF(H499="","الدائرة",""),IF(I499="","القسم",""),IF(J499="","المسؤول",""),IF(K499="","نوع النشاط",""),IF(L499="","المشروع",""),IF(N499="","الممول",""),IF(V499="","الموضوع",""),IF(W499="","الملاحظة",""),IF(X499="","مشكلة",""),IF(Y499="","الإجراء",""),IF(Z499="","التنفيذ",""),IF(AA499="","الجودة",""),IF(AB499="","الإغلاق",""),IF(AC499="","الخصم",""),IF(AND(COUNTA($O499:$U499)&gt;0,O499=""),"مدير المشروع",""),IF(AND(COUNTA($O499:$U499)&gt;0,P499=""),"المستفيدين",""),IF(AND(COUNTA($O499:$U499)&gt;0,Q499=""),"المناطق",""),IF(AND(COUNTA($O499:$U499)&gt;0,R499=""),"الميزانية",""),IF(AND(COUNTA($O499:$U499)&gt;0,S499=""),"نسبة الجاهزية",""),IF(AND(COUNTA($O499:$U499)&gt;0,T499=""),"حالة الجاهزية",""),IF(AND(COUNTA($O499:$U499)&gt;0,U499=""),"التوصيات","")),"✓"),"✓"))))))))))</f>
        <v/>
      </c>
      <c r="E499" s="235"/>
      <c r="F499" s="236"/>
      <c r="G499" s="90"/>
      <c r="H499" s="239"/>
      <c r="I499" s="89"/>
      <c r="J499" s="142"/>
      <c r="K499" s="90"/>
      <c r="L499" s="90"/>
      <c r="M499" s="90"/>
      <c r="N499" s="89"/>
      <c r="O499" s="200"/>
      <c r="P499" s="201"/>
      <c r="Q499" s="201"/>
      <c r="R499" s="237"/>
      <c r="S499" s="202"/>
      <c r="T499" s="200"/>
      <c r="U499" s="203"/>
      <c r="V499" s="89"/>
      <c r="W499" s="89"/>
      <c r="X499" s="145"/>
      <c r="Y499" s="89"/>
      <c r="Z499" s="90"/>
      <c r="AA499" s="90"/>
      <c r="AB499" s="90"/>
      <c r="AC499" s="90"/>
      <c r="AD499" s="92"/>
      <c r="AE499" s="149" t="str">
        <f>IFERROR(VLOOKUP(Z499,LISTS!$AL$2:$AM$1000,2,FALSE()),"")</f>
        <v/>
      </c>
      <c r="AF499" s="151" t="str">
        <f>IFERROR(VLOOKUP(AA499,LISTS!$AO$2:$AP$1000,2,FALSE()),"")</f>
        <v/>
      </c>
      <c r="AG499" s="152" t="str">
        <f>IFERROR(VLOOKUP(AB499,LISTS!$AR$2:$AS$1000,2,FALSE()),"")</f>
        <v/>
      </c>
      <c r="AH499" s="154" t="str">
        <f>IFERROR(VLOOKUP(AC499,LISTS!$AU$2:$AV$1000,2,FALSE()),"")</f>
        <v/>
      </c>
      <c r="AI499" s="238" t="str">
        <f t="shared" si="38"/>
        <v>—</v>
      </c>
      <c r="AJ499" s="190" t="str">
        <f t="shared" si="39"/>
        <v>—</v>
      </c>
      <c r="AK499" s="157" t="str">
        <f t="shared" si="40"/>
        <v/>
      </c>
      <c r="AL499" s="160" t="str">
        <f t="shared" si="41"/>
        <v/>
      </c>
      <c r="AM499" s="210"/>
      <c r="AN499" s="209"/>
    </row>
    <row r="500" spans="1:40" ht="27.95" customHeight="1">
      <c r="A500" s="134" t="str">
        <f>IF(I500&lt;&gt;"",COUNTA($I$2:I500),"")</f>
        <v/>
      </c>
      <c r="B500" s="138" t="str">
        <f t="shared" si="42"/>
        <v/>
      </c>
      <c r="C500" s="93" t="str">
        <f t="array" ref="C500">IF(E500="","",IF(M500&lt;&gt;"",
M500&amp;"/"&amp;SUMPRODUCT((M$2:M500=M500)*1)&amp;" - "&amp;(ROW()-2),
"إداري/"&amp;SUMPRODUCT((M$2:M500="")*1)&amp;" - "&amp;(ROW()-2)))</f>
        <v/>
      </c>
      <c r="D500" s="141" t="str">
        <f>IF(AND(G500="",H500="",I500=""),"",IF(COUNTIFS(LISTS!$A$2:$A$67,G500,LISTS!$B$2:$B$67,H500,LISTS!$C$2:$C$67,I500)=0,"✗ هرم",IF(NOT(OR(Z500="ممتاز 100%",Z500="جيد 80%",Z500="مقبول 60%",Z500="خطر 40%",Z500="")),"✗ قائمة R",IF(NOT(OR(AA500="ممتاز 100%",AA500="جيد 85%",AA500="مقبول 70%",AA500="ضعيف 50%",AA500="")),"✗ قائمة S",IF(NOT(OR(AB500="مكتمل 100%",AB500="جزئي 60%",AB500="معلق 30%",AB500="مفتوح 0%",AB500="")),"✗ قائمة T",IF(NOT(OR(AC500="لا خصم 0",AC500="تأخير −5",AC500="عجز −10",AC500="جودة −15",AC500="امتثال −20",AC500="مخالفة −25",AC500="")),"✗ قائمة U",IF(AND(X500="لا",AC500&lt;&gt;"",AC500&lt;&gt;"لا خصم 0"),"✗ خصم",IF(AND(X500="نعم",AC500="لا خصم 0"),"✗ خصم",IF(AND(Z500="ممتاز 100%",AA500="ممتاز 100%",AB500&lt;&gt;"",AB500&lt;&gt;"مكتمل 100%"),"✗ إغلاق",IFERROR(IF(LEN(_xlfn.TEXTJOIN("، ",TRUE,IF(E500="","التاريخ",""),IF(F500="","الوقت",""),IF(G500="","المركز",""),IF(H500="","الدائرة",""),IF(I500="","القسم",""),IF(J500="","المسؤول",""),IF(K500="","نوع النشاط",""),IF(L500="","المشروع",""),IF(N500="","الممول",""),IF(V500="","الموضوع",""),IF(W500="","الملاحظة",""),IF(X500="","مشكلة",""),IF(Y500="","الإجراء",""),IF(Z500="","التنفيذ",""),IF(AA500="","الجودة",""),IF(AB500="","الإغلاق",""),IF(AC500="","الخصم",""),IF(AND(COUNTA($O500:$U500)&gt;0,O500=""),"مدير المشروع",""),IF(AND(COUNTA($O500:$U500)&gt;0,P500=""),"المستفيدين",""),IF(AND(COUNTA($O500:$U500)&gt;0,Q500=""),"المناطق",""),IF(AND(COUNTA($O500:$U500)&gt;0,R500=""),"الميزانية",""),IF(AND(COUNTA($O500:$U500)&gt;0,S500=""),"نسبة الجاهزية",""),IF(AND(COUNTA($O500:$U500)&gt;0,T500=""),"حالة الجاهزية",""),IF(AND(COUNTA($O500:$U500)&gt;0,U500=""),"التوصيات","")))&gt;0,"✗ ناقص: "&amp;_xlfn.TEXTJOIN("، ",TRUE,IF(E500="","التاريخ",""),IF(F500="","الوقت",""),IF(G500="","المركز",""),IF(H500="","الدائرة",""),IF(I500="","القسم",""),IF(J500="","المسؤول",""),IF(K500="","نوع النشاط",""),IF(L500="","المشروع",""),IF(N500="","الممول",""),IF(V500="","الموضوع",""),IF(W500="","الملاحظة",""),IF(X500="","مشكلة",""),IF(Y500="","الإجراء",""),IF(Z500="","التنفيذ",""),IF(AA500="","الجودة",""),IF(AB500="","الإغلاق",""),IF(AC500="","الخصم",""),IF(AND(COUNTA($O500:$U500)&gt;0,O500=""),"مدير المشروع",""),IF(AND(COUNTA($O500:$U500)&gt;0,P500=""),"المستفيدين",""),IF(AND(COUNTA($O500:$U500)&gt;0,Q500=""),"المناطق",""),IF(AND(COUNTA($O500:$U500)&gt;0,R500=""),"الميزانية",""),IF(AND(COUNTA($O500:$U500)&gt;0,S500=""),"نسبة الجاهزية",""),IF(AND(COUNTA($O500:$U500)&gt;0,T500=""),"حالة الجاهزية",""),IF(AND(COUNTA($O500:$U500)&gt;0,U500=""),"التوصيات","")),"✓"),"✓"))))))))))</f>
        <v/>
      </c>
      <c r="E500" s="235"/>
      <c r="F500" s="236"/>
      <c r="G500" s="90"/>
      <c r="H500" s="239"/>
      <c r="I500" s="89"/>
      <c r="J500" s="142"/>
      <c r="K500" s="90"/>
      <c r="L500" s="90"/>
      <c r="M500" s="90"/>
      <c r="N500" s="89"/>
      <c r="O500" s="200"/>
      <c r="P500" s="201"/>
      <c r="Q500" s="201"/>
      <c r="R500" s="237"/>
      <c r="S500" s="202"/>
      <c r="T500" s="200"/>
      <c r="U500" s="203"/>
      <c r="V500" s="89"/>
      <c r="W500" s="89"/>
      <c r="X500" s="145"/>
      <c r="Y500" s="89"/>
      <c r="Z500" s="90"/>
      <c r="AA500" s="90"/>
      <c r="AB500" s="90"/>
      <c r="AC500" s="90"/>
      <c r="AD500" s="92"/>
      <c r="AE500" s="149" t="str">
        <f>IFERROR(VLOOKUP(Z500,LISTS!$AL$2:$AM$1000,2,FALSE()),"")</f>
        <v/>
      </c>
      <c r="AF500" s="151" t="str">
        <f>IFERROR(VLOOKUP(AA500,LISTS!$AO$2:$AP$1000,2,FALSE()),"")</f>
        <v/>
      </c>
      <c r="AG500" s="152" t="str">
        <f>IFERROR(VLOOKUP(AB500,LISTS!$AR$2:$AS$1000,2,FALSE()),"")</f>
        <v/>
      </c>
      <c r="AH500" s="154" t="str">
        <f>IFERROR(VLOOKUP(AC500,LISTS!$AU$2:$AV$1000,2,FALSE()),"")</f>
        <v/>
      </c>
      <c r="AI500" s="238" t="str">
        <f t="shared" si="38"/>
        <v>—</v>
      </c>
      <c r="AJ500" s="190" t="str">
        <f t="shared" si="39"/>
        <v>—</v>
      </c>
      <c r="AK500" s="157" t="str">
        <f t="shared" si="40"/>
        <v/>
      </c>
      <c r="AL500" s="160" t="str">
        <f t="shared" si="41"/>
        <v/>
      </c>
      <c r="AM500" s="210"/>
      <c r="AN500" s="209"/>
    </row>
    <row r="501" spans="1:40" ht="27.95" customHeight="1">
      <c r="A501" s="134" t="str">
        <f>IF(I501&lt;&gt;"",COUNTA($I$2:I501),"")</f>
        <v/>
      </c>
      <c r="B501" s="138" t="str">
        <f t="shared" si="42"/>
        <v/>
      </c>
      <c r="C501" s="93" t="str">
        <f t="array" ref="C501">IF(E501="","",IF(M501&lt;&gt;"",
M501&amp;"/"&amp;SUMPRODUCT((M$2:M501=M501)*1)&amp;" - "&amp;(ROW()-2),
"إداري/"&amp;SUMPRODUCT((M$2:M501="")*1)&amp;" - "&amp;(ROW()-2)))</f>
        <v/>
      </c>
      <c r="D501" s="141" t="str">
        <f>IF(AND(G501="",H501="",I501=""),"",IF(COUNTIFS(LISTS!$A$2:$A$67,G501,LISTS!$B$2:$B$67,H501,LISTS!$C$2:$C$67,I501)=0,"✗ هرم",IF(NOT(OR(Z501="ممتاز 100%",Z501="جيد 80%",Z501="مقبول 60%",Z501="خطر 40%",Z501="")),"✗ قائمة R",IF(NOT(OR(AA501="ممتاز 100%",AA501="جيد 85%",AA501="مقبول 70%",AA501="ضعيف 50%",AA501="")),"✗ قائمة S",IF(NOT(OR(AB501="مكتمل 100%",AB501="جزئي 60%",AB501="معلق 30%",AB501="مفتوح 0%",AB501="")),"✗ قائمة T",IF(NOT(OR(AC501="لا خصم 0",AC501="تأخير −5",AC501="عجز −10",AC501="جودة −15",AC501="امتثال −20",AC501="مخالفة −25",AC501="")),"✗ قائمة U",IF(AND(X501="لا",AC501&lt;&gt;"",AC501&lt;&gt;"لا خصم 0"),"✗ خصم",IF(AND(X501="نعم",AC501="لا خصم 0"),"✗ خصم",IF(AND(Z501="ممتاز 100%",AA501="ممتاز 100%",AB501&lt;&gt;"",AB501&lt;&gt;"مكتمل 100%"),"✗ إغلاق",IFERROR(IF(LEN(_xlfn.TEXTJOIN("، ",TRUE,IF(E501="","التاريخ",""),IF(F501="","الوقت",""),IF(G501="","المركز",""),IF(H501="","الدائرة",""),IF(I501="","القسم",""),IF(J501="","المسؤول",""),IF(K501="","نوع النشاط",""),IF(L501="","المشروع",""),IF(N501="","الممول",""),IF(V501="","الموضوع",""),IF(W501="","الملاحظة",""),IF(X501="","مشكلة",""),IF(Y501="","الإجراء",""),IF(Z501="","التنفيذ",""),IF(AA501="","الجودة",""),IF(AB501="","الإغلاق",""),IF(AC501="","الخصم",""),IF(AND(COUNTA($O501:$U501)&gt;0,O501=""),"مدير المشروع",""),IF(AND(COUNTA($O501:$U501)&gt;0,P501=""),"المستفيدين",""),IF(AND(COUNTA($O501:$U501)&gt;0,Q501=""),"المناطق",""),IF(AND(COUNTA($O501:$U501)&gt;0,R501=""),"الميزانية",""),IF(AND(COUNTA($O501:$U501)&gt;0,S501=""),"نسبة الجاهزية",""),IF(AND(COUNTA($O501:$U501)&gt;0,T501=""),"حالة الجاهزية",""),IF(AND(COUNTA($O501:$U501)&gt;0,U501=""),"التوصيات","")))&gt;0,"✗ ناقص: "&amp;_xlfn.TEXTJOIN("، ",TRUE,IF(E501="","التاريخ",""),IF(F501="","الوقت",""),IF(G501="","المركز",""),IF(H501="","الدائرة",""),IF(I501="","القسم",""),IF(J501="","المسؤول",""),IF(K501="","نوع النشاط",""),IF(L501="","المشروع",""),IF(N501="","الممول",""),IF(V501="","الموضوع",""),IF(W501="","الملاحظة",""),IF(X501="","مشكلة",""),IF(Y501="","الإجراء",""),IF(Z501="","التنفيذ",""),IF(AA501="","الجودة",""),IF(AB501="","الإغلاق",""),IF(AC501="","الخصم",""),IF(AND(COUNTA($O501:$U501)&gt;0,O501=""),"مدير المشروع",""),IF(AND(COUNTA($O501:$U501)&gt;0,P501=""),"المستفيدين",""),IF(AND(COUNTA($O501:$U501)&gt;0,Q501=""),"المناطق",""),IF(AND(COUNTA($O501:$U501)&gt;0,R501=""),"الميزانية",""),IF(AND(COUNTA($O501:$U501)&gt;0,S501=""),"نسبة الجاهزية",""),IF(AND(COUNTA($O501:$U501)&gt;0,T501=""),"حالة الجاهزية",""),IF(AND(COUNTA($O501:$U501)&gt;0,U501=""),"التوصيات","")),"✓"),"✓"))))))))))</f>
        <v/>
      </c>
      <c r="E501" s="235"/>
      <c r="F501" s="236"/>
      <c r="G501" s="90"/>
      <c r="H501" s="239"/>
      <c r="I501" s="89"/>
      <c r="J501" s="142"/>
      <c r="K501" s="90"/>
      <c r="L501" s="90"/>
      <c r="M501" s="90"/>
      <c r="N501" s="89"/>
      <c r="O501" s="200"/>
      <c r="P501" s="201"/>
      <c r="Q501" s="201"/>
      <c r="R501" s="237"/>
      <c r="S501" s="202"/>
      <c r="T501" s="200"/>
      <c r="U501" s="203"/>
      <c r="V501" s="89"/>
      <c r="W501" s="89"/>
      <c r="X501" s="145"/>
      <c r="Y501" s="89"/>
      <c r="Z501" s="90"/>
      <c r="AA501" s="90"/>
      <c r="AB501" s="90"/>
      <c r="AC501" s="90"/>
      <c r="AD501" s="92"/>
      <c r="AE501" s="149" t="str">
        <f>IFERROR(VLOOKUP(Z501,LISTS!$AL$2:$AM$1000,2,FALSE()),"")</f>
        <v/>
      </c>
      <c r="AF501" s="151" t="str">
        <f>IFERROR(VLOOKUP(AA501,LISTS!$AO$2:$AP$1000,2,FALSE()),"")</f>
        <v/>
      </c>
      <c r="AG501" s="152" t="str">
        <f>IFERROR(VLOOKUP(AB501,LISTS!$AR$2:$AS$1000,2,FALSE()),"")</f>
        <v/>
      </c>
      <c r="AH501" s="154" t="str">
        <f>IFERROR(VLOOKUP(AC501,LISTS!$AU$2:$AV$1000,2,FALSE()),"")</f>
        <v/>
      </c>
      <c r="AI501" s="238" t="str">
        <f t="shared" si="38"/>
        <v>—</v>
      </c>
      <c r="AJ501" s="190" t="str">
        <f t="shared" si="39"/>
        <v>—</v>
      </c>
      <c r="AK501" s="157" t="str">
        <f t="shared" si="40"/>
        <v/>
      </c>
      <c r="AL501" s="160" t="str">
        <f t="shared" si="41"/>
        <v/>
      </c>
      <c r="AM501" s="210"/>
      <c r="AN501" s="209"/>
    </row>
    <row r="502" spans="1:40" ht="27.95" customHeight="1">
      <c r="A502" s="134" t="str">
        <f>IF(I502&lt;&gt;"",COUNTA($I$2:I502),"")</f>
        <v/>
      </c>
      <c r="B502" s="138" t="str">
        <f t="shared" si="42"/>
        <v/>
      </c>
      <c r="C502" s="93" t="str">
        <f t="array" ref="C502">IF(E502="","",IF(M502&lt;&gt;"",
M502&amp;"/"&amp;SUMPRODUCT((M$2:M502=M502)*1)&amp;" - "&amp;(ROW()-2),
"إداري/"&amp;SUMPRODUCT((M$2:M502="")*1)&amp;" - "&amp;(ROW()-2)))</f>
        <v/>
      </c>
      <c r="D502" s="141" t="str">
        <f>IF(AND(G502="",H502="",I502=""),"",IF(COUNTIFS(LISTS!$A$2:$A$67,G502,LISTS!$B$2:$B$67,H502,LISTS!$C$2:$C$67,I502)=0,"✗ هرم",IF(NOT(OR(Z502="ممتاز 100%",Z502="جيد 80%",Z502="مقبول 60%",Z502="خطر 40%",Z502="")),"✗ قائمة R",IF(NOT(OR(AA502="ممتاز 100%",AA502="جيد 85%",AA502="مقبول 70%",AA502="ضعيف 50%",AA502="")),"✗ قائمة S",IF(NOT(OR(AB502="مكتمل 100%",AB502="جزئي 60%",AB502="معلق 30%",AB502="مفتوح 0%",AB502="")),"✗ قائمة T",IF(NOT(OR(AC502="لا خصم 0",AC502="تأخير −5",AC502="عجز −10",AC502="جودة −15",AC502="امتثال −20",AC502="مخالفة −25",AC502="")),"✗ قائمة U",IF(AND(X502="لا",AC502&lt;&gt;"",AC502&lt;&gt;"لا خصم 0"),"✗ خصم",IF(AND(X502="نعم",AC502="لا خصم 0"),"✗ خصم",IF(AND(Z502="ممتاز 100%",AA502="ممتاز 100%",AB502&lt;&gt;"",AB502&lt;&gt;"مكتمل 100%"),"✗ إغلاق",IFERROR(IF(LEN(_xlfn.TEXTJOIN("، ",TRUE,IF(E502="","التاريخ",""),IF(F502="","الوقت",""),IF(G502="","المركز",""),IF(H502="","الدائرة",""),IF(I502="","القسم",""),IF(J502="","المسؤول",""),IF(K502="","نوع النشاط",""),IF(L502="","المشروع",""),IF(N502="","الممول",""),IF(V502="","الموضوع",""),IF(W502="","الملاحظة",""),IF(X502="","مشكلة",""),IF(Y502="","الإجراء",""),IF(Z502="","التنفيذ",""),IF(AA502="","الجودة",""),IF(AB502="","الإغلاق",""),IF(AC502="","الخصم",""),IF(AND(COUNTA($O502:$U502)&gt;0,O502=""),"مدير المشروع",""),IF(AND(COUNTA($O502:$U502)&gt;0,P502=""),"المستفيدين",""),IF(AND(COUNTA($O502:$U502)&gt;0,Q502=""),"المناطق",""),IF(AND(COUNTA($O502:$U502)&gt;0,R502=""),"الميزانية",""),IF(AND(COUNTA($O502:$U502)&gt;0,S502=""),"نسبة الجاهزية",""),IF(AND(COUNTA($O502:$U502)&gt;0,T502=""),"حالة الجاهزية",""),IF(AND(COUNTA($O502:$U502)&gt;0,U502=""),"التوصيات","")))&gt;0,"✗ ناقص: "&amp;_xlfn.TEXTJOIN("، ",TRUE,IF(E502="","التاريخ",""),IF(F502="","الوقت",""),IF(G502="","المركز",""),IF(H502="","الدائرة",""),IF(I502="","القسم",""),IF(J502="","المسؤول",""),IF(K502="","نوع النشاط",""),IF(L502="","المشروع",""),IF(N502="","الممول",""),IF(V502="","الموضوع",""),IF(W502="","الملاحظة",""),IF(X502="","مشكلة",""),IF(Y502="","الإجراء",""),IF(Z502="","التنفيذ",""),IF(AA502="","الجودة",""),IF(AB502="","الإغلاق",""),IF(AC502="","الخصم",""),IF(AND(COUNTA($O502:$U502)&gt;0,O502=""),"مدير المشروع",""),IF(AND(COUNTA($O502:$U502)&gt;0,P502=""),"المستفيدين",""),IF(AND(COUNTA($O502:$U502)&gt;0,Q502=""),"المناطق",""),IF(AND(COUNTA($O502:$U502)&gt;0,R502=""),"الميزانية",""),IF(AND(COUNTA($O502:$U502)&gt;0,S502=""),"نسبة الجاهزية",""),IF(AND(COUNTA($O502:$U502)&gt;0,T502=""),"حالة الجاهزية",""),IF(AND(COUNTA($O502:$U502)&gt;0,U502=""),"التوصيات","")),"✓"),"✓"))))))))))</f>
        <v/>
      </c>
      <c r="E502" s="235"/>
      <c r="F502" s="236"/>
      <c r="G502" s="90"/>
      <c r="H502" s="239"/>
      <c r="I502" s="89"/>
      <c r="J502" s="142"/>
      <c r="K502" s="90"/>
      <c r="L502" s="90"/>
      <c r="M502" s="90"/>
      <c r="N502" s="89"/>
      <c r="O502" s="200"/>
      <c r="P502" s="201"/>
      <c r="Q502" s="201"/>
      <c r="R502" s="237"/>
      <c r="S502" s="202"/>
      <c r="T502" s="200"/>
      <c r="U502" s="203"/>
      <c r="V502" s="89"/>
      <c r="W502" s="89"/>
      <c r="X502" s="145"/>
      <c r="Y502" s="89"/>
      <c r="Z502" s="90"/>
      <c r="AA502" s="90"/>
      <c r="AB502" s="90"/>
      <c r="AC502" s="90"/>
      <c r="AD502" s="92"/>
      <c r="AE502" s="149" t="str">
        <f>IFERROR(VLOOKUP(Z502,LISTS!$AL$2:$AM$1000,2,FALSE()),"")</f>
        <v/>
      </c>
      <c r="AF502" s="151" t="str">
        <f>IFERROR(VLOOKUP(AA502,LISTS!$AO$2:$AP$1000,2,FALSE()),"")</f>
        <v/>
      </c>
      <c r="AG502" s="152" t="str">
        <f>IFERROR(VLOOKUP(AB502,LISTS!$AR$2:$AS$1000,2,FALSE()),"")</f>
        <v/>
      </c>
      <c r="AH502" s="154" t="str">
        <f>IFERROR(VLOOKUP(AC502,LISTS!$AU$2:$AV$1000,2,FALSE()),"")</f>
        <v/>
      </c>
      <c r="AI502" s="238" t="str">
        <f t="shared" si="38"/>
        <v>—</v>
      </c>
      <c r="AJ502" s="190" t="str">
        <f t="shared" si="39"/>
        <v>—</v>
      </c>
      <c r="AK502" s="157" t="str">
        <f t="shared" si="40"/>
        <v/>
      </c>
      <c r="AL502" s="160" t="str">
        <f t="shared" si="41"/>
        <v/>
      </c>
      <c r="AM502" s="210"/>
      <c r="AN502" s="209"/>
    </row>
    <row r="503" spans="1:40" ht="27.95" customHeight="1">
      <c r="A503" s="134" t="str">
        <f>IF(I503&lt;&gt;"",COUNTA($I$2:I503),"")</f>
        <v/>
      </c>
      <c r="B503" s="138" t="str">
        <f t="shared" si="42"/>
        <v/>
      </c>
      <c r="C503" s="93" t="str">
        <f t="array" ref="C503">IF(E503="","",IF(M503&lt;&gt;"",
M503&amp;"/"&amp;SUMPRODUCT((M$2:M503=M503)*1)&amp;" - "&amp;(ROW()-2),
"إداري/"&amp;SUMPRODUCT((M$2:M503="")*1)&amp;" - "&amp;(ROW()-2)))</f>
        <v/>
      </c>
      <c r="D503" s="141" t="str">
        <f>IF(AND(G503="",H503="",I503=""),"",IF(COUNTIFS(LISTS!$A$2:$A$67,G503,LISTS!$B$2:$B$67,H503,LISTS!$C$2:$C$67,I503)=0,"✗ هرم",IF(NOT(OR(Z503="ممتاز 100%",Z503="جيد 80%",Z503="مقبول 60%",Z503="خطر 40%",Z503="")),"✗ قائمة R",IF(NOT(OR(AA503="ممتاز 100%",AA503="جيد 85%",AA503="مقبول 70%",AA503="ضعيف 50%",AA503="")),"✗ قائمة S",IF(NOT(OR(AB503="مكتمل 100%",AB503="جزئي 60%",AB503="معلق 30%",AB503="مفتوح 0%",AB503="")),"✗ قائمة T",IF(NOT(OR(AC503="لا خصم 0",AC503="تأخير −5",AC503="عجز −10",AC503="جودة −15",AC503="امتثال −20",AC503="مخالفة −25",AC503="")),"✗ قائمة U",IF(AND(X503="لا",AC503&lt;&gt;"",AC503&lt;&gt;"لا خصم 0"),"✗ خصم",IF(AND(X503="نعم",AC503="لا خصم 0"),"✗ خصم",IF(AND(Z503="ممتاز 100%",AA503="ممتاز 100%",AB503&lt;&gt;"",AB503&lt;&gt;"مكتمل 100%"),"✗ إغلاق",IFERROR(IF(LEN(_xlfn.TEXTJOIN("، ",TRUE,IF(E503="","التاريخ",""),IF(F503="","الوقت",""),IF(G503="","المركز",""),IF(H503="","الدائرة",""),IF(I503="","القسم",""),IF(J503="","المسؤول",""),IF(K503="","نوع النشاط",""),IF(L503="","المشروع",""),IF(N503="","الممول",""),IF(V503="","الموضوع",""),IF(W503="","الملاحظة",""),IF(X503="","مشكلة",""),IF(Y503="","الإجراء",""),IF(Z503="","التنفيذ",""),IF(AA503="","الجودة",""),IF(AB503="","الإغلاق",""),IF(AC503="","الخصم",""),IF(AND(COUNTA($O503:$U503)&gt;0,O503=""),"مدير المشروع",""),IF(AND(COUNTA($O503:$U503)&gt;0,P503=""),"المستفيدين",""),IF(AND(COUNTA($O503:$U503)&gt;0,Q503=""),"المناطق",""),IF(AND(COUNTA($O503:$U503)&gt;0,R503=""),"الميزانية",""),IF(AND(COUNTA($O503:$U503)&gt;0,S503=""),"نسبة الجاهزية",""),IF(AND(COUNTA($O503:$U503)&gt;0,T503=""),"حالة الجاهزية",""),IF(AND(COUNTA($O503:$U503)&gt;0,U503=""),"التوصيات","")))&gt;0,"✗ ناقص: "&amp;_xlfn.TEXTJOIN("، ",TRUE,IF(E503="","التاريخ",""),IF(F503="","الوقت",""),IF(G503="","المركز",""),IF(H503="","الدائرة",""),IF(I503="","القسم",""),IF(J503="","المسؤول",""),IF(K503="","نوع النشاط",""),IF(L503="","المشروع",""),IF(N503="","الممول",""),IF(V503="","الموضوع",""),IF(W503="","الملاحظة",""),IF(X503="","مشكلة",""),IF(Y503="","الإجراء",""),IF(Z503="","التنفيذ",""),IF(AA503="","الجودة",""),IF(AB503="","الإغلاق",""),IF(AC503="","الخصم",""),IF(AND(COUNTA($O503:$U503)&gt;0,O503=""),"مدير المشروع",""),IF(AND(COUNTA($O503:$U503)&gt;0,P503=""),"المستفيدين",""),IF(AND(COUNTA($O503:$U503)&gt;0,Q503=""),"المناطق",""),IF(AND(COUNTA($O503:$U503)&gt;0,R503=""),"الميزانية",""),IF(AND(COUNTA($O503:$U503)&gt;0,S503=""),"نسبة الجاهزية",""),IF(AND(COUNTA($O503:$U503)&gt;0,T503=""),"حالة الجاهزية",""),IF(AND(COUNTA($O503:$U503)&gt;0,U503=""),"التوصيات","")),"✓"),"✓"))))))))))</f>
        <v/>
      </c>
      <c r="E503" s="235"/>
      <c r="F503" s="236"/>
      <c r="G503" s="90"/>
      <c r="H503" s="239"/>
      <c r="I503" s="89"/>
      <c r="J503" s="142"/>
      <c r="K503" s="90"/>
      <c r="L503" s="90"/>
      <c r="M503" s="90"/>
      <c r="N503" s="89"/>
      <c r="O503" s="200"/>
      <c r="P503" s="201"/>
      <c r="Q503" s="201"/>
      <c r="R503" s="237"/>
      <c r="S503" s="202"/>
      <c r="T503" s="200"/>
      <c r="U503" s="203"/>
      <c r="V503" s="89"/>
      <c r="W503" s="89"/>
      <c r="X503" s="145"/>
      <c r="Y503" s="89"/>
      <c r="Z503" s="90"/>
      <c r="AA503" s="90"/>
      <c r="AB503" s="90"/>
      <c r="AC503" s="90"/>
      <c r="AD503" s="92"/>
      <c r="AE503" s="149" t="str">
        <f>IFERROR(VLOOKUP(Z503,LISTS!$AL$2:$AM$1000,2,FALSE()),"")</f>
        <v/>
      </c>
      <c r="AF503" s="151" t="str">
        <f>IFERROR(VLOOKUP(AA503,LISTS!$AO$2:$AP$1000,2,FALSE()),"")</f>
        <v/>
      </c>
      <c r="AG503" s="152" t="str">
        <f>IFERROR(VLOOKUP(AB503,LISTS!$AR$2:$AS$1000,2,FALSE()),"")</f>
        <v/>
      </c>
      <c r="AH503" s="154" t="str">
        <f>IFERROR(VLOOKUP(AC503,LISTS!$AU$2:$AV$1000,2,FALSE()),"")</f>
        <v/>
      </c>
      <c r="AI503" s="238" t="str">
        <f t="shared" si="38"/>
        <v>—</v>
      </c>
      <c r="AJ503" s="190" t="str">
        <f t="shared" si="39"/>
        <v>—</v>
      </c>
      <c r="AK503" s="157" t="str">
        <f t="shared" si="40"/>
        <v/>
      </c>
      <c r="AL503" s="160" t="str">
        <f t="shared" si="41"/>
        <v/>
      </c>
      <c r="AM503" s="210"/>
      <c r="AN503" s="209"/>
    </row>
    <row r="504" spans="1:40" ht="27.95" customHeight="1">
      <c r="A504" s="134" t="str">
        <f>IF(I504&lt;&gt;"",COUNTA($I$2:I504),"")</f>
        <v/>
      </c>
      <c r="B504" s="138" t="str">
        <f t="shared" si="42"/>
        <v/>
      </c>
      <c r="C504" s="93" t="str">
        <f t="array" ref="C504">IF(E504="","",IF(M504&lt;&gt;"",
M504&amp;"/"&amp;SUMPRODUCT((M$2:M504=M504)*1)&amp;" - "&amp;(ROW()-2),
"إداري/"&amp;SUMPRODUCT((M$2:M504="")*1)&amp;" - "&amp;(ROW()-2)))</f>
        <v/>
      </c>
      <c r="D504" s="141" t="str">
        <f>IF(AND(G504="",H504="",I504=""),"",IF(COUNTIFS(LISTS!$A$2:$A$67,G504,LISTS!$B$2:$B$67,H504,LISTS!$C$2:$C$67,I504)=0,"✗ هرم",IF(NOT(OR(Z504="ممتاز 100%",Z504="جيد 80%",Z504="مقبول 60%",Z504="خطر 40%",Z504="")),"✗ قائمة R",IF(NOT(OR(AA504="ممتاز 100%",AA504="جيد 85%",AA504="مقبول 70%",AA504="ضعيف 50%",AA504="")),"✗ قائمة S",IF(NOT(OR(AB504="مكتمل 100%",AB504="جزئي 60%",AB504="معلق 30%",AB504="مفتوح 0%",AB504="")),"✗ قائمة T",IF(NOT(OR(AC504="لا خصم 0",AC504="تأخير −5",AC504="عجز −10",AC504="جودة −15",AC504="امتثال −20",AC504="مخالفة −25",AC504="")),"✗ قائمة U",IF(AND(X504="لا",AC504&lt;&gt;"",AC504&lt;&gt;"لا خصم 0"),"✗ خصم",IF(AND(X504="نعم",AC504="لا خصم 0"),"✗ خصم",IF(AND(Z504="ممتاز 100%",AA504="ممتاز 100%",AB504&lt;&gt;"",AB504&lt;&gt;"مكتمل 100%"),"✗ إغلاق",IFERROR(IF(LEN(_xlfn.TEXTJOIN("، ",TRUE,IF(E504="","التاريخ",""),IF(F504="","الوقت",""),IF(G504="","المركز",""),IF(H504="","الدائرة",""),IF(I504="","القسم",""),IF(J504="","المسؤول",""),IF(K504="","نوع النشاط",""),IF(L504="","المشروع",""),IF(N504="","الممول",""),IF(V504="","الموضوع",""),IF(W504="","الملاحظة",""),IF(X504="","مشكلة",""),IF(Y504="","الإجراء",""),IF(Z504="","التنفيذ",""),IF(AA504="","الجودة",""),IF(AB504="","الإغلاق",""),IF(AC504="","الخصم",""),IF(AND(COUNTA($O504:$U504)&gt;0,O504=""),"مدير المشروع",""),IF(AND(COUNTA($O504:$U504)&gt;0,P504=""),"المستفيدين",""),IF(AND(COUNTA($O504:$U504)&gt;0,Q504=""),"المناطق",""),IF(AND(COUNTA($O504:$U504)&gt;0,R504=""),"الميزانية",""),IF(AND(COUNTA($O504:$U504)&gt;0,S504=""),"نسبة الجاهزية",""),IF(AND(COUNTA($O504:$U504)&gt;0,T504=""),"حالة الجاهزية",""),IF(AND(COUNTA($O504:$U504)&gt;0,U504=""),"التوصيات","")))&gt;0,"✗ ناقص: "&amp;_xlfn.TEXTJOIN("، ",TRUE,IF(E504="","التاريخ",""),IF(F504="","الوقت",""),IF(G504="","المركز",""),IF(H504="","الدائرة",""),IF(I504="","القسم",""),IF(J504="","المسؤول",""),IF(K504="","نوع النشاط",""),IF(L504="","المشروع",""),IF(N504="","الممول",""),IF(V504="","الموضوع",""),IF(W504="","الملاحظة",""),IF(X504="","مشكلة",""),IF(Y504="","الإجراء",""),IF(Z504="","التنفيذ",""),IF(AA504="","الجودة",""),IF(AB504="","الإغلاق",""),IF(AC504="","الخصم",""),IF(AND(COUNTA($O504:$U504)&gt;0,O504=""),"مدير المشروع",""),IF(AND(COUNTA($O504:$U504)&gt;0,P504=""),"المستفيدين",""),IF(AND(COUNTA($O504:$U504)&gt;0,Q504=""),"المناطق",""),IF(AND(COUNTA($O504:$U504)&gt;0,R504=""),"الميزانية",""),IF(AND(COUNTA($O504:$U504)&gt;0,S504=""),"نسبة الجاهزية",""),IF(AND(COUNTA($O504:$U504)&gt;0,T504=""),"حالة الجاهزية",""),IF(AND(COUNTA($O504:$U504)&gt;0,U504=""),"التوصيات","")),"✓"),"✓"))))))))))</f>
        <v/>
      </c>
      <c r="E504" s="235"/>
      <c r="F504" s="236"/>
      <c r="G504" s="90"/>
      <c r="H504" s="239"/>
      <c r="I504" s="89"/>
      <c r="J504" s="142"/>
      <c r="K504" s="90"/>
      <c r="L504" s="90"/>
      <c r="M504" s="90"/>
      <c r="N504" s="89"/>
      <c r="O504" s="200"/>
      <c r="P504" s="201"/>
      <c r="Q504" s="201"/>
      <c r="R504" s="237"/>
      <c r="S504" s="202"/>
      <c r="T504" s="200"/>
      <c r="U504" s="203"/>
      <c r="V504" s="89"/>
      <c r="W504" s="89"/>
      <c r="X504" s="145"/>
      <c r="Y504" s="89"/>
      <c r="Z504" s="90"/>
      <c r="AA504" s="90"/>
      <c r="AB504" s="90"/>
      <c r="AC504" s="90"/>
      <c r="AD504" s="92"/>
      <c r="AE504" s="149" t="str">
        <f>IFERROR(VLOOKUP(Z504,LISTS!$AL$2:$AM$1000,2,FALSE()),"")</f>
        <v/>
      </c>
      <c r="AF504" s="151" t="str">
        <f>IFERROR(VLOOKUP(AA504,LISTS!$AO$2:$AP$1000,2,FALSE()),"")</f>
        <v/>
      </c>
      <c r="AG504" s="152" t="str">
        <f>IFERROR(VLOOKUP(AB504,LISTS!$AR$2:$AS$1000,2,FALSE()),"")</f>
        <v/>
      </c>
      <c r="AH504" s="154" t="str">
        <f>IFERROR(VLOOKUP(AC504,LISTS!$AU$2:$AV$1000,2,FALSE()),"")</f>
        <v/>
      </c>
      <c r="AI504" s="238" t="str">
        <f t="shared" si="38"/>
        <v>—</v>
      </c>
      <c r="AJ504" s="190" t="str">
        <f t="shared" si="39"/>
        <v>—</v>
      </c>
      <c r="AK504" s="157" t="str">
        <f t="shared" si="40"/>
        <v/>
      </c>
      <c r="AL504" s="160" t="str">
        <f t="shared" si="41"/>
        <v/>
      </c>
      <c r="AM504" s="210"/>
      <c r="AN504" s="209"/>
    </row>
    <row r="505" spans="1:40" ht="27.95" customHeight="1">
      <c r="A505" s="134" t="str">
        <f>IF(I505&lt;&gt;"",COUNTA($I$2:I505),"")</f>
        <v/>
      </c>
      <c r="B505" s="138" t="str">
        <f t="shared" si="42"/>
        <v/>
      </c>
      <c r="C505" s="93" t="str">
        <f t="array" ref="C505">IF(E505="","",IF(M505&lt;&gt;"",
M505&amp;"/"&amp;SUMPRODUCT((M$2:M505=M505)*1)&amp;" - "&amp;(ROW()-2),
"إداري/"&amp;SUMPRODUCT((M$2:M505="")*1)&amp;" - "&amp;(ROW()-2)))</f>
        <v/>
      </c>
      <c r="D505" s="141" t="str">
        <f>IF(AND(G505="",H505="",I505=""),"",IF(COUNTIFS(LISTS!$A$2:$A$67,G505,LISTS!$B$2:$B$67,H505,LISTS!$C$2:$C$67,I505)=0,"✗ هرم",IF(NOT(OR(Z505="ممتاز 100%",Z505="جيد 80%",Z505="مقبول 60%",Z505="خطر 40%",Z505="")),"✗ قائمة R",IF(NOT(OR(AA505="ممتاز 100%",AA505="جيد 85%",AA505="مقبول 70%",AA505="ضعيف 50%",AA505="")),"✗ قائمة S",IF(NOT(OR(AB505="مكتمل 100%",AB505="جزئي 60%",AB505="معلق 30%",AB505="مفتوح 0%",AB505="")),"✗ قائمة T",IF(NOT(OR(AC505="لا خصم 0",AC505="تأخير −5",AC505="عجز −10",AC505="جودة −15",AC505="امتثال −20",AC505="مخالفة −25",AC505="")),"✗ قائمة U",IF(AND(X505="لا",AC505&lt;&gt;"",AC505&lt;&gt;"لا خصم 0"),"✗ خصم",IF(AND(X505="نعم",AC505="لا خصم 0"),"✗ خصم",IF(AND(Z505="ممتاز 100%",AA505="ممتاز 100%",AB505&lt;&gt;"",AB505&lt;&gt;"مكتمل 100%"),"✗ إغلاق",IFERROR(IF(LEN(_xlfn.TEXTJOIN("، ",TRUE,IF(E505="","التاريخ",""),IF(F505="","الوقت",""),IF(G505="","المركز",""),IF(H505="","الدائرة",""),IF(I505="","القسم",""),IF(J505="","المسؤول",""),IF(K505="","نوع النشاط",""),IF(L505="","المشروع",""),IF(N505="","الممول",""),IF(V505="","الموضوع",""),IF(W505="","الملاحظة",""),IF(X505="","مشكلة",""),IF(Y505="","الإجراء",""),IF(Z505="","التنفيذ",""),IF(AA505="","الجودة",""),IF(AB505="","الإغلاق",""),IF(AC505="","الخصم",""),IF(AND(COUNTA($O505:$U505)&gt;0,O505=""),"مدير المشروع",""),IF(AND(COUNTA($O505:$U505)&gt;0,P505=""),"المستفيدين",""),IF(AND(COUNTA($O505:$U505)&gt;0,Q505=""),"المناطق",""),IF(AND(COUNTA($O505:$U505)&gt;0,R505=""),"الميزانية",""),IF(AND(COUNTA($O505:$U505)&gt;0,S505=""),"نسبة الجاهزية",""),IF(AND(COUNTA($O505:$U505)&gt;0,T505=""),"حالة الجاهزية",""),IF(AND(COUNTA($O505:$U505)&gt;0,U505=""),"التوصيات","")))&gt;0,"✗ ناقص: "&amp;_xlfn.TEXTJOIN("، ",TRUE,IF(E505="","التاريخ",""),IF(F505="","الوقت",""),IF(G505="","المركز",""),IF(H505="","الدائرة",""),IF(I505="","القسم",""),IF(J505="","المسؤول",""),IF(K505="","نوع النشاط",""),IF(L505="","المشروع",""),IF(N505="","الممول",""),IF(V505="","الموضوع",""),IF(W505="","الملاحظة",""),IF(X505="","مشكلة",""),IF(Y505="","الإجراء",""),IF(Z505="","التنفيذ",""),IF(AA505="","الجودة",""),IF(AB505="","الإغلاق",""),IF(AC505="","الخصم",""),IF(AND(COUNTA($O505:$U505)&gt;0,O505=""),"مدير المشروع",""),IF(AND(COUNTA($O505:$U505)&gt;0,P505=""),"المستفيدين",""),IF(AND(COUNTA($O505:$U505)&gt;0,Q505=""),"المناطق",""),IF(AND(COUNTA($O505:$U505)&gt;0,R505=""),"الميزانية",""),IF(AND(COUNTA($O505:$U505)&gt;0,S505=""),"نسبة الجاهزية",""),IF(AND(COUNTA($O505:$U505)&gt;0,T505=""),"حالة الجاهزية",""),IF(AND(COUNTA($O505:$U505)&gt;0,U505=""),"التوصيات","")),"✓"),"✓"))))))))))</f>
        <v/>
      </c>
      <c r="E505" s="235"/>
      <c r="F505" s="236"/>
      <c r="G505" s="90"/>
      <c r="H505" s="239"/>
      <c r="I505" s="89"/>
      <c r="J505" s="142"/>
      <c r="K505" s="90"/>
      <c r="L505" s="90"/>
      <c r="M505" s="90"/>
      <c r="N505" s="89"/>
      <c r="O505" s="200"/>
      <c r="P505" s="201"/>
      <c r="Q505" s="201"/>
      <c r="R505" s="237"/>
      <c r="S505" s="202"/>
      <c r="T505" s="200"/>
      <c r="U505" s="203"/>
      <c r="V505" s="89"/>
      <c r="W505" s="89"/>
      <c r="X505" s="145"/>
      <c r="Y505" s="89"/>
      <c r="Z505" s="90"/>
      <c r="AA505" s="90"/>
      <c r="AB505" s="90"/>
      <c r="AC505" s="90"/>
      <c r="AD505" s="92"/>
      <c r="AE505" s="149" t="str">
        <f>IFERROR(VLOOKUP(Z505,LISTS!$AL$2:$AM$1000,2,FALSE()),"")</f>
        <v/>
      </c>
      <c r="AF505" s="151" t="str">
        <f>IFERROR(VLOOKUP(AA505,LISTS!$AO$2:$AP$1000,2,FALSE()),"")</f>
        <v/>
      </c>
      <c r="AG505" s="152" t="str">
        <f>IFERROR(VLOOKUP(AB505,LISTS!$AR$2:$AS$1000,2,FALSE()),"")</f>
        <v/>
      </c>
      <c r="AH505" s="154" t="str">
        <f>IFERROR(VLOOKUP(AC505,LISTS!$AU$2:$AV$1000,2,FALSE()),"")</f>
        <v/>
      </c>
      <c r="AI505" s="238" t="str">
        <f t="shared" si="38"/>
        <v>—</v>
      </c>
      <c r="AJ505" s="190" t="str">
        <f t="shared" si="39"/>
        <v>—</v>
      </c>
      <c r="AK505" s="157" t="str">
        <f t="shared" si="40"/>
        <v/>
      </c>
      <c r="AL505" s="160" t="str">
        <f t="shared" si="41"/>
        <v/>
      </c>
      <c r="AM505" s="210"/>
      <c r="AN505" s="209"/>
    </row>
    <row r="506" spans="1:40" ht="27.95" customHeight="1">
      <c r="A506" s="134" t="str">
        <f>IF(I506&lt;&gt;"",COUNTA($I$2:I506),"")</f>
        <v/>
      </c>
      <c r="B506" s="138" t="str">
        <f t="shared" si="42"/>
        <v/>
      </c>
      <c r="C506" s="93" t="str">
        <f t="array" ref="C506">IF(E506="","",IF(M506&lt;&gt;"",
M506&amp;"/"&amp;SUMPRODUCT((M$2:M506=M506)*1)&amp;" - "&amp;(ROW()-2),
"إداري/"&amp;SUMPRODUCT((M$2:M506="")*1)&amp;" - "&amp;(ROW()-2)))</f>
        <v/>
      </c>
      <c r="D506" s="141" t="str">
        <f>IF(AND(G506="",H506="",I506=""),"",IF(COUNTIFS(LISTS!$A$2:$A$67,G506,LISTS!$B$2:$B$67,H506,LISTS!$C$2:$C$67,I506)=0,"✗ هرم",IF(NOT(OR(Z506="ممتاز 100%",Z506="جيد 80%",Z506="مقبول 60%",Z506="خطر 40%",Z506="")),"✗ قائمة R",IF(NOT(OR(AA506="ممتاز 100%",AA506="جيد 85%",AA506="مقبول 70%",AA506="ضعيف 50%",AA506="")),"✗ قائمة S",IF(NOT(OR(AB506="مكتمل 100%",AB506="جزئي 60%",AB506="معلق 30%",AB506="مفتوح 0%",AB506="")),"✗ قائمة T",IF(NOT(OR(AC506="لا خصم 0",AC506="تأخير −5",AC506="عجز −10",AC506="جودة −15",AC506="امتثال −20",AC506="مخالفة −25",AC506="")),"✗ قائمة U",IF(AND(X506="لا",AC506&lt;&gt;"",AC506&lt;&gt;"لا خصم 0"),"✗ خصم",IF(AND(X506="نعم",AC506="لا خصم 0"),"✗ خصم",IF(AND(Z506="ممتاز 100%",AA506="ممتاز 100%",AB506&lt;&gt;"",AB506&lt;&gt;"مكتمل 100%"),"✗ إغلاق",IFERROR(IF(LEN(_xlfn.TEXTJOIN("، ",TRUE,IF(E506="","التاريخ",""),IF(F506="","الوقت",""),IF(G506="","المركز",""),IF(H506="","الدائرة",""),IF(I506="","القسم",""),IF(J506="","المسؤول",""),IF(K506="","نوع النشاط",""),IF(L506="","المشروع",""),IF(N506="","الممول",""),IF(V506="","الموضوع",""),IF(W506="","الملاحظة",""),IF(X506="","مشكلة",""),IF(Y506="","الإجراء",""),IF(Z506="","التنفيذ",""),IF(AA506="","الجودة",""),IF(AB506="","الإغلاق",""),IF(AC506="","الخصم",""),IF(AND(COUNTA($O506:$U506)&gt;0,O506=""),"مدير المشروع",""),IF(AND(COUNTA($O506:$U506)&gt;0,P506=""),"المستفيدين",""),IF(AND(COUNTA($O506:$U506)&gt;0,Q506=""),"المناطق",""),IF(AND(COUNTA($O506:$U506)&gt;0,R506=""),"الميزانية",""),IF(AND(COUNTA($O506:$U506)&gt;0,S506=""),"نسبة الجاهزية",""),IF(AND(COUNTA($O506:$U506)&gt;0,T506=""),"حالة الجاهزية",""),IF(AND(COUNTA($O506:$U506)&gt;0,U506=""),"التوصيات","")))&gt;0,"✗ ناقص: "&amp;_xlfn.TEXTJOIN("، ",TRUE,IF(E506="","التاريخ",""),IF(F506="","الوقت",""),IF(G506="","المركز",""),IF(H506="","الدائرة",""),IF(I506="","القسم",""),IF(J506="","المسؤول",""),IF(K506="","نوع النشاط",""),IF(L506="","المشروع",""),IF(N506="","الممول",""),IF(V506="","الموضوع",""),IF(W506="","الملاحظة",""),IF(X506="","مشكلة",""),IF(Y506="","الإجراء",""),IF(Z506="","التنفيذ",""),IF(AA506="","الجودة",""),IF(AB506="","الإغلاق",""),IF(AC506="","الخصم",""),IF(AND(COUNTA($O506:$U506)&gt;0,O506=""),"مدير المشروع",""),IF(AND(COUNTA($O506:$U506)&gt;0,P506=""),"المستفيدين",""),IF(AND(COUNTA($O506:$U506)&gt;0,Q506=""),"المناطق",""),IF(AND(COUNTA($O506:$U506)&gt;0,R506=""),"الميزانية",""),IF(AND(COUNTA($O506:$U506)&gt;0,S506=""),"نسبة الجاهزية",""),IF(AND(COUNTA($O506:$U506)&gt;0,T506=""),"حالة الجاهزية",""),IF(AND(COUNTA($O506:$U506)&gt;0,U506=""),"التوصيات","")),"✓"),"✓"))))))))))</f>
        <v/>
      </c>
      <c r="E506" s="235"/>
      <c r="F506" s="236"/>
      <c r="G506" s="90"/>
      <c r="H506" s="239"/>
      <c r="I506" s="89"/>
      <c r="J506" s="142"/>
      <c r="K506" s="90"/>
      <c r="L506" s="90"/>
      <c r="M506" s="90"/>
      <c r="N506" s="89"/>
      <c r="O506" s="200"/>
      <c r="P506" s="201"/>
      <c r="Q506" s="201"/>
      <c r="R506" s="237"/>
      <c r="S506" s="202"/>
      <c r="T506" s="200"/>
      <c r="U506" s="203"/>
      <c r="V506" s="89"/>
      <c r="W506" s="89"/>
      <c r="X506" s="145"/>
      <c r="Y506" s="89"/>
      <c r="Z506" s="90"/>
      <c r="AA506" s="90"/>
      <c r="AB506" s="90"/>
      <c r="AC506" s="90"/>
      <c r="AD506" s="92"/>
      <c r="AE506" s="149" t="str">
        <f>IFERROR(VLOOKUP(Z506,LISTS!$AL$2:$AM$1000,2,FALSE()),"")</f>
        <v/>
      </c>
      <c r="AF506" s="151" t="str">
        <f>IFERROR(VLOOKUP(AA506,LISTS!$AO$2:$AP$1000,2,FALSE()),"")</f>
        <v/>
      </c>
      <c r="AG506" s="152" t="str">
        <f>IFERROR(VLOOKUP(AB506,LISTS!$AR$2:$AS$1000,2,FALSE()),"")</f>
        <v/>
      </c>
      <c r="AH506" s="154" t="str">
        <f>IFERROR(VLOOKUP(AC506,LISTS!$AU$2:$AV$1000,2,FALSE()),"")</f>
        <v/>
      </c>
      <c r="AI506" s="238" t="str">
        <f t="shared" si="38"/>
        <v>—</v>
      </c>
      <c r="AJ506" s="190" t="str">
        <f t="shared" si="39"/>
        <v>—</v>
      </c>
      <c r="AK506" s="157" t="str">
        <f t="shared" si="40"/>
        <v/>
      </c>
      <c r="AL506" s="160" t="str">
        <f t="shared" si="41"/>
        <v/>
      </c>
      <c r="AM506" s="210"/>
      <c r="AN506" s="209"/>
    </row>
    <row r="507" spans="1:40" ht="27.95" customHeight="1">
      <c r="A507" s="134" t="str">
        <f>IF(I507&lt;&gt;"",COUNTA($I$2:I507),"")</f>
        <v/>
      </c>
      <c r="B507" s="138" t="str">
        <f t="shared" si="42"/>
        <v/>
      </c>
      <c r="C507" s="93" t="str">
        <f t="array" ref="C507">IF(E507="","",IF(M507&lt;&gt;"",
M507&amp;"/"&amp;SUMPRODUCT((M$2:M507=M507)*1)&amp;" - "&amp;(ROW()-2),
"إداري/"&amp;SUMPRODUCT((M$2:M507="")*1)&amp;" - "&amp;(ROW()-2)))</f>
        <v/>
      </c>
      <c r="D507" s="141" t="str">
        <f>IF(AND(G507="",H507="",I507=""),"",IF(COUNTIFS(LISTS!$A$2:$A$67,G507,LISTS!$B$2:$B$67,H507,LISTS!$C$2:$C$67,I507)=0,"✗ هرم",IF(NOT(OR(Z507="ممتاز 100%",Z507="جيد 80%",Z507="مقبول 60%",Z507="خطر 40%",Z507="")),"✗ قائمة R",IF(NOT(OR(AA507="ممتاز 100%",AA507="جيد 85%",AA507="مقبول 70%",AA507="ضعيف 50%",AA507="")),"✗ قائمة S",IF(NOT(OR(AB507="مكتمل 100%",AB507="جزئي 60%",AB507="معلق 30%",AB507="مفتوح 0%",AB507="")),"✗ قائمة T",IF(NOT(OR(AC507="لا خصم 0",AC507="تأخير −5",AC507="عجز −10",AC507="جودة −15",AC507="امتثال −20",AC507="مخالفة −25",AC507="")),"✗ قائمة U",IF(AND(X507="لا",AC507&lt;&gt;"",AC507&lt;&gt;"لا خصم 0"),"✗ خصم",IF(AND(X507="نعم",AC507="لا خصم 0"),"✗ خصم",IF(AND(Z507="ممتاز 100%",AA507="ممتاز 100%",AB507&lt;&gt;"",AB507&lt;&gt;"مكتمل 100%"),"✗ إغلاق",IFERROR(IF(LEN(_xlfn.TEXTJOIN("، ",TRUE,IF(E507="","التاريخ",""),IF(F507="","الوقت",""),IF(G507="","المركز",""),IF(H507="","الدائرة",""),IF(I507="","القسم",""),IF(J507="","المسؤول",""),IF(K507="","نوع النشاط",""),IF(L507="","المشروع",""),IF(N507="","الممول",""),IF(V507="","الموضوع",""),IF(W507="","الملاحظة",""),IF(X507="","مشكلة",""),IF(Y507="","الإجراء",""),IF(Z507="","التنفيذ",""),IF(AA507="","الجودة",""),IF(AB507="","الإغلاق",""),IF(AC507="","الخصم",""),IF(AND(COUNTA($O507:$U507)&gt;0,O507=""),"مدير المشروع",""),IF(AND(COUNTA($O507:$U507)&gt;0,P507=""),"المستفيدين",""),IF(AND(COUNTA($O507:$U507)&gt;0,Q507=""),"المناطق",""),IF(AND(COUNTA($O507:$U507)&gt;0,R507=""),"الميزانية",""),IF(AND(COUNTA($O507:$U507)&gt;0,S507=""),"نسبة الجاهزية",""),IF(AND(COUNTA($O507:$U507)&gt;0,T507=""),"حالة الجاهزية",""),IF(AND(COUNTA($O507:$U507)&gt;0,U507=""),"التوصيات","")))&gt;0,"✗ ناقص: "&amp;_xlfn.TEXTJOIN("، ",TRUE,IF(E507="","التاريخ",""),IF(F507="","الوقت",""),IF(G507="","المركز",""),IF(H507="","الدائرة",""),IF(I507="","القسم",""),IF(J507="","المسؤول",""),IF(K507="","نوع النشاط",""),IF(L507="","المشروع",""),IF(N507="","الممول",""),IF(V507="","الموضوع",""),IF(W507="","الملاحظة",""),IF(X507="","مشكلة",""),IF(Y507="","الإجراء",""),IF(Z507="","التنفيذ",""),IF(AA507="","الجودة",""),IF(AB507="","الإغلاق",""),IF(AC507="","الخصم",""),IF(AND(COUNTA($O507:$U507)&gt;0,O507=""),"مدير المشروع",""),IF(AND(COUNTA($O507:$U507)&gt;0,P507=""),"المستفيدين",""),IF(AND(COUNTA($O507:$U507)&gt;0,Q507=""),"المناطق",""),IF(AND(COUNTA($O507:$U507)&gt;0,R507=""),"الميزانية",""),IF(AND(COUNTA($O507:$U507)&gt;0,S507=""),"نسبة الجاهزية",""),IF(AND(COUNTA($O507:$U507)&gt;0,T507=""),"حالة الجاهزية",""),IF(AND(COUNTA($O507:$U507)&gt;0,U507=""),"التوصيات","")),"✓"),"✓"))))))))))</f>
        <v/>
      </c>
      <c r="E507" s="235"/>
      <c r="F507" s="236"/>
      <c r="G507" s="90"/>
      <c r="H507" s="239"/>
      <c r="I507" s="89"/>
      <c r="J507" s="142"/>
      <c r="K507" s="90"/>
      <c r="L507" s="90"/>
      <c r="M507" s="90"/>
      <c r="N507" s="89"/>
      <c r="O507" s="200"/>
      <c r="P507" s="201"/>
      <c r="Q507" s="201"/>
      <c r="R507" s="237"/>
      <c r="S507" s="202"/>
      <c r="T507" s="200"/>
      <c r="U507" s="203"/>
      <c r="V507" s="89"/>
      <c r="W507" s="89"/>
      <c r="X507" s="145"/>
      <c r="Y507" s="89"/>
      <c r="Z507" s="90"/>
      <c r="AA507" s="90"/>
      <c r="AB507" s="90"/>
      <c r="AC507" s="90"/>
      <c r="AD507" s="92"/>
      <c r="AE507" s="149" t="str">
        <f>IFERROR(VLOOKUP(Z507,LISTS!$AL$2:$AM$1000,2,FALSE()),"")</f>
        <v/>
      </c>
      <c r="AF507" s="151" t="str">
        <f>IFERROR(VLOOKUP(AA507,LISTS!$AO$2:$AP$1000,2,FALSE()),"")</f>
        <v/>
      </c>
      <c r="AG507" s="152" t="str">
        <f>IFERROR(VLOOKUP(AB507,LISTS!$AR$2:$AS$1000,2,FALSE()),"")</f>
        <v/>
      </c>
      <c r="AH507" s="154" t="str">
        <f>IFERROR(VLOOKUP(AC507,LISTS!$AU$2:$AV$1000,2,FALSE()),"")</f>
        <v/>
      </c>
      <c r="AI507" s="238" t="str">
        <f t="shared" si="38"/>
        <v>—</v>
      </c>
      <c r="AJ507" s="190" t="str">
        <f t="shared" si="39"/>
        <v>—</v>
      </c>
      <c r="AK507" s="157" t="str">
        <f t="shared" si="40"/>
        <v/>
      </c>
      <c r="AL507" s="160" t="str">
        <f t="shared" si="41"/>
        <v/>
      </c>
      <c r="AM507" s="210"/>
      <c r="AN507" s="209"/>
    </row>
    <row r="508" spans="1:40" ht="27.95" customHeight="1">
      <c r="A508" s="134" t="str">
        <f>IF(I508&lt;&gt;"",COUNTA($I$2:I508),"")</f>
        <v/>
      </c>
      <c r="B508" s="138" t="str">
        <f t="shared" si="42"/>
        <v/>
      </c>
      <c r="C508" s="93" t="str">
        <f t="array" ref="C508">IF(E508="","",IF(M508&lt;&gt;"",
M508&amp;"/"&amp;SUMPRODUCT((M$2:M508=M508)*1)&amp;" - "&amp;(ROW()-2),
"إداري/"&amp;SUMPRODUCT((M$2:M508="")*1)&amp;" - "&amp;(ROW()-2)))</f>
        <v/>
      </c>
      <c r="D508" s="141" t="str">
        <f>IF(AND(G508="",H508="",I508=""),"",IF(COUNTIFS(LISTS!$A$2:$A$67,G508,LISTS!$B$2:$B$67,H508,LISTS!$C$2:$C$67,I508)=0,"✗ هرم",IF(NOT(OR(Z508="ممتاز 100%",Z508="جيد 80%",Z508="مقبول 60%",Z508="خطر 40%",Z508="")),"✗ قائمة R",IF(NOT(OR(AA508="ممتاز 100%",AA508="جيد 85%",AA508="مقبول 70%",AA508="ضعيف 50%",AA508="")),"✗ قائمة S",IF(NOT(OR(AB508="مكتمل 100%",AB508="جزئي 60%",AB508="معلق 30%",AB508="مفتوح 0%",AB508="")),"✗ قائمة T",IF(NOT(OR(AC508="لا خصم 0",AC508="تأخير −5",AC508="عجز −10",AC508="جودة −15",AC508="امتثال −20",AC508="مخالفة −25",AC508="")),"✗ قائمة U",IF(AND(X508="لا",AC508&lt;&gt;"",AC508&lt;&gt;"لا خصم 0"),"✗ خصم",IF(AND(X508="نعم",AC508="لا خصم 0"),"✗ خصم",IF(AND(Z508="ممتاز 100%",AA508="ممتاز 100%",AB508&lt;&gt;"",AB508&lt;&gt;"مكتمل 100%"),"✗ إغلاق",IFERROR(IF(LEN(_xlfn.TEXTJOIN("، ",TRUE,IF(E508="","التاريخ",""),IF(F508="","الوقت",""),IF(G508="","المركز",""),IF(H508="","الدائرة",""),IF(I508="","القسم",""),IF(J508="","المسؤول",""),IF(K508="","نوع النشاط",""),IF(L508="","المشروع",""),IF(N508="","الممول",""),IF(V508="","الموضوع",""),IF(W508="","الملاحظة",""),IF(X508="","مشكلة",""),IF(Y508="","الإجراء",""),IF(Z508="","التنفيذ",""),IF(AA508="","الجودة",""),IF(AB508="","الإغلاق",""),IF(AC508="","الخصم",""),IF(AND(COUNTA($O508:$U508)&gt;0,O508=""),"مدير المشروع",""),IF(AND(COUNTA($O508:$U508)&gt;0,P508=""),"المستفيدين",""),IF(AND(COUNTA($O508:$U508)&gt;0,Q508=""),"المناطق",""),IF(AND(COUNTA($O508:$U508)&gt;0,R508=""),"الميزانية",""),IF(AND(COUNTA($O508:$U508)&gt;0,S508=""),"نسبة الجاهزية",""),IF(AND(COUNTA($O508:$U508)&gt;0,T508=""),"حالة الجاهزية",""),IF(AND(COUNTA($O508:$U508)&gt;0,U508=""),"التوصيات","")))&gt;0,"✗ ناقص: "&amp;_xlfn.TEXTJOIN("، ",TRUE,IF(E508="","التاريخ",""),IF(F508="","الوقت",""),IF(G508="","المركز",""),IF(H508="","الدائرة",""),IF(I508="","القسم",""),IF(J508="","المسؤول",""),IF(K508="","نوع النشاط",""),IF(L508="","المشروع",""),IF(N508="","الممول",""),IF(V508="","الموضوع",""),IF(W508="","الملاحظة",""),IF(X508="","مشكلة",""),IF(Y508="","الإجراء",""),IF(Z508="","التنفيذ",""),IF(AA508="","الجودة",""),IF(AB508="","الإغلاق",""),IF(AC508="","الخصم",""),IF(AND(COUNTA($O508:$U508)&gt;0,O508=""),"مدير المشروع",""),IF(AND(COUNTA($O508:$U508)&gt;0,P508=""),"المستفيدين",""),IF(AND(COUNTA($O508:$U508)&gt;0,Q508=""),"المناطق",""),IF(AND(COUNTA($O508:$U508)&gt;0,R508=""),"الميزانية",""),IF(AND(COUNTA($O508:$U508)&gt;0,S508=""),"نسبة الجاهزية",""),IF(AND(COUNTA($O508:$U508)&gt;0,T508=""),"حالة الجاهزية",""),IF(AND(COUNTA($O508:$U508)&gt;0,U508=""),"التوصيات","")),"✓"),"✓"))))))))))</f>
        <v/>
      </c>
      <c r="E508" s="235"/>
      <c r="F508" s="236"/>
      <c r="G508" s="90"/>
      <c r="H508" s="239"/>
      <c r="I508" s="89"/>
      <c r="J508" s="142"/>
      <c r="K508" s="90"/>
      <c r="L508" s="90"/>
      <c r="M508" s="90"/>
      <c r="N508" s="89"/>
      <c r="O508" s="200"/>
      <c r="P508" s="201"/>
      <c r="Q508" s="201"/>
      <c r="R508" s="237"/>
      <c r="S508" s="202"/>
      <c r="T508" s="200"/>
      <c r="U508" s="203"/>
      <c r="V508" s="89"/>
      <c r="W508" s="89"/>
      <c r="X508" s="145"/>
      <c r="Y508" s="89"/>
      <c r="Z508" s="90"/>
      <c r="AA508" s="90"/>
      <c r="AB508" s="90"/>
      <c r="AC508" s="90"/>
      <c r="AD508" s="92"/>
      <c r="AE508" s="149" t="str">
        <f>IFERROR(VLOOKUP(Z508,LISTS!$AL$2:$AM$1000,2,FALSE()),"")</f>
        <v/>
      </c>
      <c r="AF508" s="151" t="str">
        <f>IFERROR(VLOOKUP(AA508,LISTS!$AO$2:$AP$1000,2,FALSE()),"")</f>
        <v/>
      </c>
      <c r="AG508" s="152" t="str">
        <f>IFERROR(VLOOKUP(AB508,LISTS!$AR$2:$AS$1000,2,FALSE()),"")</f>
        <v/>
      </c>
      <c r="AH508" s="154" t="str">
        <f>IFERROR(VLOOKUP(AC508,LISTS!$AU$2:$AV$1000,2,FALSE()),"")</f>
        <v/>
      </c>
      <c r="AI508" s="238" t="str">
        <f t="shared" si="38"/>
        <v>—</v>
      </c>
      <c r="AJ508" s="190" t="str">
        <f t="shared" si="39"/>
        <v>—</v>
      </c>
      <c r="AK508" s="157" t="str">
        <f t="shared" si="40"/>
        <v/>
      </c>
      <c r="AL508" s="160" t="str">
        <f t="shared" si="41"/>
        <v/>
      </c>
      <c r="AM508" s="210"/>
      <c r="AN508" s="209"/>
    </row>
    <row r="509" spans="1:40" ht="27.95" customHeight="1">
      <c r="A509" s="134" t="str">
        <f>IF(I509&lt;&gt;"",COUNTA($I$2:I509),"")</f>
        <v/>
      </c>
      <c r="B509" s="138" t="str">
        <f t="shared" si="42"/>
        <v/>
      </c>
      <c r="C509" s="93" t="str">
        <f t="array" ref="C509">IF(E509="","",IF(M509&lt;&gt;"",
M509&amp;"/"&amp;SUMPRODUCT((M$2:M509=M509)*1)&amp;" - "&amp;(ROW()-2),
"إداري/"&amp;SUMPRODUCT((M$2:M509="")*1)&amp;" - "&amp;(ROW()-2)))</f>
        <v/>
      </c>
      <c r="D509" s="141" t="str">
        <f>IF(AND(G509="",H509="",I509=""),"",IF(COUNTIFS(LISTS!$A$2:$A$67,G509,LISTS!$B$2:$B$67,H509,LISTS!$C$2:$C$67,I509)=0,"✗ هرم",IF(NOT(OR(Z509="ممتاز 100%",Z509="جيد 80%",Z509="مقبول 60%",Z509="خطر 40%",Z509="")),"✗ قائمة R",IF(NOT(OR(AA509="ممتاز 100%",AA509="جيد 85%",AA509="مقبول 70%",AA509="ضعيف 50%",AA509="")),"✗ قائمة S",IF(NOT(OR(AB509="مكتمل 100%",AB509="جزئي 60%",AB509="معلق 30%",AB509="مفتوح 0%",AB509="")),"✗ قائمة T",IF(NOT(OR(AC509="لا خصم 0",AC509="تأخير −5",AC509="عجز −10",AC509="جودة −15",AC509="امتثال −20",AC509="مخالفة −25",AC509="")),"✗ قائمة U",IF(AND(X509="لا",AC509&lt;&gt;"",AC509&lt;&gt;"لا خصم 0"),"✗ خصم",IF(AND(X509="نعم",AC509="لا خصم 0"),"✗ خصم",IF(AND(Z509="ممتاز 100%",AA509="ممتاز 100%",AB509&lt;&gt;"",AB509&lt;&gt;"مكتمل 100%"),"✗ إغلاق",IFERROR(IF(LEN(_xlfn.TEXTJOIN("، ",TRUE,IF(E509="","التاريخ",""),IF(F509="","الوقت",""),IF(G509="","المركز",""),IF(H509="","الدائرة",""),IF(I509="","القسم",""),IF(J509="","المسؤول",""),IF(K509="","نوع النشاط",""),IF(L509="","المشروع",""),IF(N509="","الممول",""),IF(V509="","الموضوع",""),IF(W509="","الملاحظة",""),IF(X509="","مشكلة",""),IF(Y509="","الإجراء",""),IF(Z509="","التنفيذ",""),IF(AA509="","الجودة",""),IF(AB509="","الإغلاق",""),IF(AC509="","الخصم",""),IF(AND(COUNTA($O509:$U509)&gt;0,O509=""),"مدير المشروع",""),IF(AND(COUNTA($O509:$U509)&gt;0,P509=""),"المستفيدين",""),IF(AND(COUNTA($O509:$U509)&gt;0,Q509=""),"المناطق",""),IF(AND(COUNTA($O509:$U509)&gt;0,R509=""),"الميزانية",""),IF(AND(COUNTA($O509:$U509)&gt;0,S509=""),"نسبة الجاهزية",""),IF(AND(COUNTA($O509:$U509)&gt;0,T509=""),"حالة الجاهزية",""),IF(AND(COUNTA($O509:$U509)&gt;0,U509=""),"التوصيات","")))&gt;0,"✗ ناقص: "&amp;_xlfn.TEXTJOIN("، ",TRUE,IF(E509="","التاريخ",""),IF(F509="","الوقت",""),IF(G509="","المركز",""),IF(H509="","الدائرة",""),IF(I509="","القسم",""),IF(J509="","المسؤول",""),IF(K509="","نوع النشاط",""),IF(L509="","المشروع",""),IF(N509="","الممول",""),IF(V509="","الموضوع",""),IF(W509="","الملاحظة",""),IF(X509="","مشكلة",""),IF(Y509="","الإجراء",""),IF(Z509="","التنفيذ",""),IF(AA509="","الجودة",""),IF(AB509="","الإغلاق",""),IF(AC509="","الخصم",""),IF(AND(COUNTA($O509:$U509)&gt;0,O509=""),"مدير المشروع",""),IF(AND(COUNTA($O509:$U509)&gt;0,P509=""),"المستفيدين",""),IF(AND(COUNTA($O509:$U509)&gt;0,Q509=""),"المناطق",""),IF(AND(COUNTA($O509:$U509)&gt;0,R509=""),"الميزانية",""),IF(AND(COUNTA($O509:$U509)&gt;0,S509=""),"نسبة الجاهزية",""),IF(AND(COUNTA($O509:$U509)&gt;0,T509=""),"حالة الجاهزية",""),IF(AND(COUNTA($O509:$U509)&gt;0,U509=""),"التوصيات","")),"✓"),"✓"))))))))))</f>
        <v/>
      </c>
      <c r="E509" s="235"/>
      <c r="F509" s="236"/>
      <c r="G509" s="90"/>
      <c r="H509" s="239"/>
      <c r="I509" s="89"/>
      <c r="J509" s="142"/>
      <c r="K509" s="90"/>
      <c r="L509" s="90"/>
      <c r="M509" s="90"/>
      <c r="N509" s="89"/>
      <c r="O509" s="200"/>
      <c r="P509" s="201"/>
      <c r="Q509" s="201"/>
      <c r="R509" s="237"/>
      <c r="S509" s="202"/>
      <c r="T509" s="200"/>
      <c r="U509" s="203"/>
      <c r="V509" s="89"/>
      <c r="W509" s="89"/>
      <c r="X509" s="145"/>
      <c r="Y509" s="89"/>
      <c r="Z509" s="90"/>
      <c r="AA509" s="90"/>
      <c r="AB509" s="90"/>
      <c r="AC509" s="90"/>
      <c r="AD509" s="92"/>
      <c r="AE509" s="149" t="str">
        <f>IFERROR(VLOOKUP(Z509,LISTS!$AL$2:$AM$1000,2,FALSE()),"")</f>
        <v/>
      </c>
      <c r="AF509" s="151" t="str">
        <f>IFERROR(VLOOKUP(AA509,LISTS!$AO$2:$AP$1000,2,FALSE()),"")</f>
        <v/>
      </c>
      <c r="AG509" s="152" t="str">
        <f>IFERROR(VLOOKUP(AB509,LISTS!$AR$2:$AS$1000,2,FALSE()),"")</f>
        <v/>
      </c>
      <c r="AH509" s="154" t="str">
        <f>IFERROR(VLOOKUP(AC509,LISTS!$AU$2:$AV$1000,2,FALSE()),"")</f>
        <v/>
      </c>
      <c r="AI509" s="238" t="str">
        <f t="shared" si="38"/>
        <v>—</v>
      </c>
      <c r="AJ509" s="190" t="str">
        <f t="shared" si="39"/>
        <v>—</v>
      </c>
      <c r="AK509" s="157" t="str">
        <f t="shared" si="40"/>
        <v/>
      </c>
      <c r="AL509" s="160" t="str">
        <f t="shared" si="41"/>
        <v/>
      </c>
      <c r="AM509" s="210"/>
      <c r="AN509" s="209"/>
    </row>
    <row r="510" spans="1:40" ht="27.95" customHeight="1">
      <c r="A510" s="134" t="str">
        <f>IF(I510&lt;&gt;"",COUNTA($I$2:I510),"")</f>
        <v/>
      </c>
      <c r="B510" s="138" t="str">
        <f t="shared" si="42"/>
        <v/>
      </c>
      <c r="C510" s="93" t="str">
        <f t="array" ref="C510">IF(E510="","",IF(M510&lt;&gt;"",
M510&amp;"/"&amp;SUMPRODUCT((M$2:M510=M510)*1)&amp;" - "&amp;(ROW()-2),
"إداري/"&amp;SUMPRODUCT((M$2:M510="")*1)&amp;" - "&amp;(ROW()-2)))</f>
        <v/>
      </c>
      <c r="D510" s="141" t="str">
        <f>IF(AND(G510="",H510="",I510=""),"",IF(COUNTIFS(LISTS!$A$2:$A$67,G510,LISTS!$B$2:$B$67,H510,LISTS!$C$2:$C$67,I510)=0,"✗ هرم",IF(NOT(OR(Z510="ممتاز 100%",Z510="جيد 80%",Z510="مقبول 60%",Z510="خطر 40%",Z510="")),"✗ قائمة R",IF(NOT(OR(AA510="ممتاز 100%",AA510="جيد 85%",AA510="مقبول 70%",AA510="ضعيف 50%",AA510="")),"✗ قائمة S",IF(NOT(OR(AB510="مكتمل 100%",AB510="جزئي 60%",AB510="معلق 30%",AB510="مفتوح 0%",AB510="")),"✗ قائمة T",IF(NOT(OR(AC510="لا خصم 0",AC510="تأخير −5",AC510="عجز −10",AC510="جودة −15",AC510="امتثال −20",AC510="مخالفة −25",AC510="")),"✗ قائمة U",IF(AND(X510="لا",AC510&lt;&gt;"",AC510&lt;&gt;"لا خصم 0"),"✗ خصم",IF(AND(X510="نعم",AC510="لا خصم 0"),"✗ خصم",IF(AND(Z510="ممتاز 100%",AA510="ممتاز 100%",AB510&lt;&gt;"",AB510&lt;&gt;"مكتمل 100%"),"✗ إغلاق",IFERROR(IF(LEN(_xlfn.TEXTJOIN("، ",TRUE,IF(E510="","التاريخ",""),IF(F510="","الوقت",""),IF(G510="","المركز",""),IF(H510="","الدائرة",""),IF(I510="","القسم",""),IF(J510="","المسؤول",""),IF(K510="","نوع النشاط",""),IF(L510="","المشروع",""),IF(N510="","الممول",""),IF(V510="","الموضوع",""),IF(W510="","الملاحظة",""),IF(X510="","مشكلة",""),IF(Y510="","الإجراء",""),IF(Z510="","التنفيذ",""),IF(AA510="","الجودة",""),IF(AB510="","الإغلاق",""),IF(AC510="","الخصم",""),IF(AND(COUNTA($O510:$U510)&gt;0,O510=""),"مدير المشروع",""),IF(AND(COUNTA($O510:$U510)&gt;0,P510=""),"المستفيدين",""),IF(AND(COUNTA($O510:$U510)&gt;0,Q510=""),"المناطق",""),IF(AND(COUNTA($O510:$U510)&gt;0,R510=""),"الميزانية",""),IF(AND(COUNTA($O510:$U510)&gt;0,S510=""),"نسبة الجاهزية",""),IF(AND(COUNTA($O510:$U510)&gt;0,T510=""),"حالة الجاهزية",""),IF(AND(COUNTA($O510:$U510)&gt;0,U510=""),"التوصيات","")))&gt;0,"✗ ناقص: "&amp;_xlfn.TEXTJOIN("، ",TRUE,IF(E510="","التاريخ",""),IF(F510="","الوقت",""),IF(G510="","المركز",""),IF(H510="","الدائرة",""),IF(I510="","القسم",""),IF(J510="","المسؤول",""),IF(K510="","نوع النشاط",""),IF(L510="","المشروع",""),IF(N510="","الممول",""),IF(V510="","الموضوع",""),IF(W510="","الملاحظة",""),IF(X510="","مشكلة",""),IF(Y510="","الإجراء",""),IF(Z510="","التنفيذ",""),IF(AA510="","الجودة",""),IF(AB510="","الإغلاق",""),IF(AC510="","الخصم",""),IF(AND(COUNTA($O510:$U510)&gt;0,O510=""),"مدير المشروع",""),IF(AND(COUNTA($O510:$U510)&gt;0,P510=""),"المستفيدين",""),IF(AND(COUNTA($O510:$U510)&gt;0,Q510=""),"المناطق",""),IF(AND(COUNTA($O510:$U510)&gt;0,R510=""),"الميزانية",""),IF(AND(COUNTA($O510:$U510)&gt;0,S510=""),"نسبة الجاهزية",""),IF(AND(COUNTA($O510:$U510)&gt;0,T510=""),"حالة الجاهزية",""),IF(AND(COUNTA($O510:$U510)&gt;0,U510=""),"التوصيات","")),"✓"),"✓"))))))))))</f>
        <v/>
      </c>
      <c r="E510" s="235"/>
      <c r="F510" s="236"/>
      <c r="G510" s="90"/>
      <c r="H510" s="239"/>
      <c r="I510" s="89"/>
      <c r="J510" s="142"/>
      <c r="K510" s="90"/>
      <c r="L510" s="90"/>
      <c r="M510" s="90"/>
      <c r="N510" s="89"/>
      <c r="O510" s="200"/>
      <c r="P510" s="201"/>
      <c r="Q510" s="201"/>
      <c r="R510" s="237"/>
      <c r="S510" s="202"/>
      <c r="T510" s="200"/>
      <c r="U510" s="203"/>
      <c r="V510" s="89"/>
      <c r="W510" s="89"/>
      <c r="X510" s="145"/>
      <c r="Y510" s="89"/>
      <c r="Z510" s="90"/>
      <c r="AA510" s="90"/>
      <c r="AB510" s="90"/>
      <c r="AC510" s="90"/>
      <c r="AD510" s="92"/>
      <c r="AE510" s="149" t="str">
        <f>IFERROR(VLOOKUP(Z510,LISTS!$AL$2:$AM$1000,2,FALSE()),"")</f>
        <v/>
      </c>
      <c r="AF510" s="151" t="str">
        <f>IFERROR(VLOOKUP(AA510,LISTS!$AO$2:$AP$1000,2,FALSE()),"")</f>
        <v/>
      </c>
      <c r="AG510" s="152" t="str">
        <f>IFERROR(VLOOKUP(AB510,LISTS!$AR$2:$AS$1000,2,FALSE()),"")</f>
        <v/>
      </c>
      <c r="AH510" s="154" t="str">
        <f>IFERROR(VLOOKUP(AC510,LISTS!$AU$2:$AV$1000,2,FALSE()),"")</f>
        <v/>
      </c>
      <c r="AI510" s="238" t="str">
        <f t="shared" si="38"/>
        <v>—</v>
      </c>
      <c r="AJ510" s="190" t="str">
        <f t="shared" si="39"/>
        <v>—</v>
      </c>
      <c r="AK510" s="157" t="str">
        <f t="shared" si="40"/>
        <v/>
      </c>
      <c r="AL510" s="160" t="str">
        <f t="shared" si="41"/>
        <v/>
      </c>
      <c r="AM510" s="210"/>
      <c r="AN510" s="209"/>
    </row>
    <row r="511" spans="1:40" ht="27.95" customHeight="1">
      <c r="A511" s="134" t="str">
        <f>IF(I511&lt;&gt;"",COUNTA($I$2:I511),"")</f>
        <v/>
      </c>
      <c r="B511" s="138" t="str">
        <f t="shared" si="42"/>
        <v/>
      </c>
      <c r="C511" s="93" t="str">
        <f t="array" ref="C511">IF(E511="","",IF(M511&lt;&gt;"",
M511&amp;"/"&amp;SUMPRODUCT((M$2:M511=M511)*1)&amp;" - "&amp;(ROW()-2),
"إداري/"&amp;SUMPRODUCT((M$2:M511="")*1)&amp;" - "&amp;(ROW()-2)))</f>
        <v/>
      </c>
      <c r="D511" s="141" t="str">
        <f>IF(AND(G511="",H511="",I511=""),"",IF(COUNTIFS(LISTS!$A$2:$A$67,G511,LISTS!$B$2:$B$67,H511,LISTS!$C$2:$C$67,I511)=0,"✗ هرم",IF(NOT(OR(Z511="ممتاز 100%",Z511="جيد 80%",Z511="مقبول 60%",Z511="خطر 40%",Z511="")),"✗ قائمة R",IF(NOT(OR(AA511="ممتاز 100%",AA511="جيد 85%",AA511="مقبول 70%",AA511="ضعيف 50%",AA511="")),"✗ قائمة S",IF(NOT(OR(AB511="مكتمل 100%",AB511="جزئي 60%",AB511="معلق 30%",AB511="مفتوح 0%",AB511="")),"✗ قائمة T",IF(NOT(OR(AC511="لا خصم 0",AC511="تأخير −5",AC511="عجز −10",AC511="جودة −15",AC511="امتثال −20",AC511="مخالفة −25",AC511="")),"✗ قائمة U",IF(AND(X511="لا",AC511&lt;&gt;"",AC511&lt;&gt;"لا خصم 0"),"✗ خصم",IF(AND(X511="نعم",AC511="لا خصم 0"),"✗ خصم",IF(AND(Z511="ممتاز 100%",AA511="ممتاز 100%",AB511&lt;&gt;"",AB511&lt;&gt;"مكتمل 100%"),"✗ إغلاق",IFERROR(IF(LEN(_xlfn.TEXTJOIN("، ",TRUE,IF(E511="","التاريخ",""),IF(F511="","الوقت",""),IF(G511="","المركز",""),IF(H511="","الدائرة",""),IF(I511="","القسم",""),IF(J511="","المسؤول",""),IF(K511="","نوع النشاط",""),IF(L511="","المشروع",""),IF(N511="","الممول",""),IF(V511="","الموضوع",""),IF(W511="","الملاحظة",""),IF(X511="","مشكلة",""),IF(Y511="","الإجراء",""),IF(Z511="","التنفيذ",""),IF(AA511="","الجودة",""),IF(AB511="","الإغلاق",""),IF(AC511="","الخصم",""),IF(AND(COUNTA($O511:$U511)&gt;0,O511=""),"مدير المشروع",""),IF(AND(COUNTA($O511:$U511)&gt;0,P511=""),"المستفيدين",""),IF(AND(COUNTA($O511:$U511)&gt;0,Q511=""),"المناطق",""),IF(AND(COUNTA($O511:$U511)&gt;0,R511=""),"الميزانية",""),IF(AND(COUNTA($O511:$U511)&gt;0,S511=""),"نسبة الجاهزية",""),IF(AND(COUNTA($O511:$U511)&gt;0,T511=""),"حالة الجاهزية",""),IF(AND(COUNTA($O511:$U511)&gt;0,U511=""),"التوصيات","")))&gt;0,"✗ ناقص: "&amp;_xlfn.TEXTJOIN("، ",TRUE,IF(E511="","التاريخ",""),IF(F511="","الوقت",""),IF(G511="","المركز",""),IF(H511="","الدائرة",""),IF(I511="","القسم",""),IF(J511="","المسؤول",""),IF(K511="","نوع النشاط",""),IF(L511="","المشروع",""),IF(N511="","الممول",""),IF(V511="","الموضوع",""),IF(W511="","الملاحظة",""),IF(X511="","مشكلة",""),IF(Y511="","الإجراء",""),IF(Z511="","التنفيذ",""),IF(AA511="","الجودة",""),IF(AB511="","الإغلاق",""),IF(AC511="","الخصم",""),IF(AND(COUNTA($O511:$U511)&gt;0,O511=""),"مدير المشروع",""),IF(AND(COUNTA($O511:$U511)&gt;0,P511=""),"المستفيدين",""),IF(AND(COUNTA($O511:$U511)&gt;0,Q511=""),"المناطق",""),IF(AND(COUNTA($O511:$U511)&gt;0,R511=""),"الميزانية",""),IF(AND(COUNTA($O511:$U511)&gt;0,S511=""),"نسبة الجاهزية",""),IF(AND(COUNTA($O511:$U511)&gt;0,T511=""),"حالة الجاهزية",""),IF(AND(COUNTA($O511:$U511)&gt;0,U511=""),"التوصيات","")),"✓"),"✓"))))))))))</f>
        <v/>
      </c>
      <c r="E511" s="235"/>
      <c r="F511" s="236"/>
      <c r="G511" s="90"/>
      <c r="H511" s="239"/>
      <c r="I511" s="89"/>
      <c r="J511" s="142"/>
      <c r="K511" s="90"/>
      <c r="L511" s="90"/>
      <c r="M511" s="90"/>
      <c r="N511" s="89"/>
      <c r="O511" s="200"/>
      <c r="P511" s="201"/>
      <c r="Q511" s="201"/>
      <c r="R511" s="237"/>
      <c r="S511" s="202"/>
      <c r="T511" s="200"/>
      <c r="U511" s="203"/>
      <c r="V511" s="89"/>
      <c r="W511" s="89"/>
      <c r="X511" s="145"/>
      <c r="Y511" s="89"/>
      <c r="Z511" s="90"/>
      <c r="AA511" s="90"/>
      <c r="AB511" s="90"/>
      <c r="AC511" s="90"/>
      <c r="AD511" s="92"/>
      <c r="AE511" s="149" t="str">
        <f>IFERROR(VLOOKUP(Z511,LISTS!$AL$2:$AM$1000,2,FALSE()),"")</f>
        <v/>
      </c>
      <c r="AF511" s="151" t="str">
        <f>IFERROR(VLOOKUP(AA511,LISTS!$AO$2:$AP$1000,2,FALSE()),"")</f>
        <v/>
      </c>
      <c r="AG511" s="152" t="str">
        <f>IFERROR(VLOOKUP(AB511,LISTS!$AR$2:$AS$1000,2,FALSE()),"")</f>
        <v/>
      </c>
      <c r="AH511" s="154" t="str">
        <f>IFERROR(VLOOKUP(AC511,LISTS!$AU$2:$AV$1000,2,FALSE()),"")</f>
        <v/>
      </c>
      <c r="AI511" s="238" t="str">
        <f t="shared" si="38"/>
        <v>—</v>
      </c>
      <c r="AJ511" s="190" t="str">
        <f t="shared" si="39"/>
        <v>—</v>
      </c>
      <c r="AK511" s="157" t="str">
        <f t="shared" si="40"/>
        <v/>
      </c>
      <c r="AL511" s="160" t="str">
        <f t="shared" si="41"/>
        <v/>
      </c>
      <c r="AM511" s="210"/>
      <c r="AN511" s="209"/>
    </row>
    <row r="512" spans="1:40" ht="27.95" customHeight="1">
      <c r="A512" s="134" t="str">
        <f>IF(I512&lt;&gt;"",COUNTA($I$2:I512),"")</f>
        <v/>
      </c>
      <c r="B512" s="138" t="str">
        <f t="shared" si="42"/>
        <v/>
      </c>
      <c r="C512" s="93" t="str">
        <f t="array" ref="C512">IF(E512="","",IF(M512&lt;&gt;"",
M512&amp;"/"&amp;SUMPRODUCT((M$2:M512=M512)*1)&amp;" - "&amp;(ROW()-2),
"إداري/"&amp;SUMPRODUCT((M$2:M512="")*1)&amp;" - "&amp;(ROW()-2)))</f>
        <v/>
      </c>
      <c r="D512" s="141" t="str">
        <f>IF(AND(G512="",H512="",I512=""),"",IF(COUNTIFS(LISTS!$A$2:$A$67,G512,LISTS!$B$2:$B$67,H512,LISTS!$C$2:$C$67,I512)=0,"✗ هرم",IF(NOT(OR(Z512="ممتاز 100%",Z512="جيد 80%",Z512="مقبول 60%",Z512="خطر 40%",Z512="")),"✗ قائمة R",IF(NOT(OR(AA512="ممتاز 100%",AA512="جيد 85%",AA512="مقبول 70%",AA512="ضعيف 50%",AA512="")),"✗ قائمة S",IF(NOT(OR(AB512="مكتمل 100%",AB512="جزئي 60%",AB512="معلق 30%",AB512="مفتوح 0%",AB512="")),"✗ قائمة T",IF(NOT(OR(AC512="لا خصم 0",AC512="تأخير −5",AC512="عجز −10",AC512="جودة −15",AC512="امتثال −20",AC512="مخالفة −25",AC512="")),"✗ قائمة U",IF(AND(X512="لا",AC512&lt;&gt;"",AC512&lt;&gt;"لا خصم 0"),"✗ خصم",IF(AND(X512="نعم",AC512="لا خصم 0"),"✗ خصم",IF(AND(Z512="ممتاز 100%",AA512="ممتاز 100%",AB512&lt;&gt;"",AB512&lt;&gt;"مكتمل 100%"),"✗ إغلاق",IFERROR(IF(LEN(_xlfn.TEXTJOIN("، ",TRUE,IF(E512="","التاريخ",""),IF(F512="","الوقت",""),IF(G512="","المركز",""),IF(H512="","الدائرة",""),IF(I512="","القسم",""),IF(J512="","المسؤول",""),IF(K512="","نوع النشاط",""),IF(L512="","المشروع",""),IF(N512="","الممول",""),IF(V512="","الموضوع",""),IF(W512="","الملاحظة",""),IF(X512="","مشكلة",""),IF(Y512="","الإجراء",""),IF(Z512="","التنفيذ",""),IF(AA512="","الجودة",""),IF(AB512="","الإغلاق",""),IF(AC512="","الخصم",""),IF(AND(COUNTA($O512:$U512)&gt;0,O512=""),"مدير المشروع",""),IF(AND(COUNTA($O512:$U512)&gt;0,P512=""),"المستفيدين",""),IF(AND(COUNTA($O512:$U512)&gt;0,Q512=""),"المناطق",""),IF(AND(COUNTA($O512:$U512)&gt;0,R512=""),"الميزانية",""),IF(AND(COUNTA($O512:$U512)&gt;0,S512=""),"نسبة الجاهزية",""),IF(AND(COUNTA($O512:$U512)&gt;0,T512=""),"حالة الجاهزية",""),IF(AND(COUNTA($O512:$U512)&gt;0,U512=""),"التوصيات","")))&gt;0,"✗ ناقص: "&amp;_xlfn.TEXTJOIN("، ",TRUE,IF(E512="","التاريخ",""),IF(F512="","الوقت",""),IF(G512="","المركز",""),IF(H512="","الدائرة",""),IF(I512="","القسم",""),IF(J512="","المسؤول",""),IF(K512="","نوع النشاط",""),IF(L512="","المشروع",""),IF(N512="","الممول",""),IF(V512="","الموضوع",""),IF(W512="","الملاحظة",""),IF(X512="","مشكلة",""),IF(Y512="","الإجراء",""),IF(Z512="","التنفيذ",""),IF(AA512="","الجودة",""),IF(AB512="","الإغلاق",""),IF(AC512="","الخصم",""),IF(AND(COUNTA($O512:$U512)&gt;0,O512=""),"مدير المشروع",""),IF(AND(COUNTA($O512:$U512)&gt;0,P512=""),"المستفيدين",""),IF(AND(COUNTA($O512:$U512)&gt;0,Q512=""),"المناطق",""),IF(AND(COUNTA($O512:$U512)&gt;0,R512=""),"الميزانية",""),IF(AND(COUNTA($O512:$U512)&gt;0,S512=""),"نسبة الجاهزية",""),IF(AND(COUNTA($O512:$U512)&gt;0,T512=""),"حالة الجاهزية",""),IF(AND(COUNTA($O512:$U512)&gt;0,U512=""),"التوصيات","")),"✓"),"✓"))))))))))</f>
        <v/>
      </c>
      <c r="E512" s="235"/>
      <c r="F512" s="236"/>
      <c r="G512" s="90"/>
      <c r="H512" s="239"/>
      <c r="I512" s="89"/>
      <c r="J512" s="142"/>
      <c r="K512" s="90"/>
      <c r="L512" s="90"/>
      <c r="M512" s="90"/>
      <c r="N512" s="89"/>
      <c r="O512" s="200"/>
      <c r="P512" s="201"/>
      <c r="Q512" s="201"/>
      <c r="R512" s="237"/>
      <c r="S512" s="202"/>
      <c r="T512" s="200"/>
      <c r="U512" s="203"/>
      <c r="V512" s="89"/>
      <c r="W512" s="89"/>
      <c r="X512" s="145"/>
      <c r="Y512" s="89"/>
      <c r="Z512" s="90"/>
      <c r="AA512" s="90"/>
      <c r="AB512" s="90"/>
      <c r="AC512" s="90"/>
      <c r="AD512" s="92"/>
      <c r="AE512" s="149" t="str">
        <f>IFERROR(VLOOKUP(Z512,LISTS!$AL$2:$AM$1000,2,FALSE()),"")</f>
        <v/>
      </c>
      <c r="AF512" s="151" t="str">
        <f>IFERROR(VLOOKUP(AA512,LISTS!$AO$2:$AP$1000,2,FALSE()),"")</f>
        <v/>
      </c>
      <c r="AG512" s="152" t="str">
        <f>IFERROR(VLOOKUP(AB512,LISTS!$AR$2:$AS$1000,2,FALSE()),"")</f>
        <v/>
      </c>
      <c r="AH512" s="154" t="str">
        <f>IFERROR(VLOOKUP(AC512,LISTS!$AU$2:$AV$1000,2,FALSE()),"")</f>
        <v/>
      </c>
      <c r="AI512" s="238" t="str">
        <f t="shared" si="38"/>
        <v>—</v>
      </c>
      <c r="AJ512" s="190" t="str">
        <f t="shared" si="39"/>
        <v>—</v>
      </c>
      <c r="AK512" s="157" t="str">
        <f t="shared" si="40"/>
        <v/>
      </c>
      <c r="AL512" s="160" t="str">
        <f t="shared" si="41"/>
        <v/>
      </c>
      <c r="AM512" s="210"/>
      <c r="AN512" s="209"/>
    </row>
    <row r="513" spans="1:40" ht="27.95" customHeight="1">
      <c r="A513" s="134" t="str">
        <f>IF(I513&lt;&gt;"",COUNTA($I$2:I513),"")</f>
        <v/>
      </c>
      <c r="B513" s="138" t="str">
        <f t="shared" si="42"/>
        <v/>
      </c>
      <c r="C513" s="93" t="str">
        <f t="array" ref="C513">IF(E513="","",IF(M513&lt;&gt;"",
M513&amp;"/"&amp;SUMPRODUCT((M$2:M513=M513)*1)&amp;" - "&amp;(ROW()-2),
"إداري/"&amp;SUMPRODUCT((M$2:M513="")*1)&amp;" - "&amp;(ROW()-2)))</f>
        <v/>
      </c>
      <c r="D513" s="141" t="str">
        <f>IF(AND(G513="",H513="",I513=""),"",IF(COUNTIFS(LISTS!$A$2:$A$67,G513,LISTS!$B$2:$B$67,H513,LISTS!$C$2:$C$67,I513)=0,"✗ هرم",IF(NOT(OR(Z513="ممتاز 100%",Z513="جيد 80%",Z513="مقبول 60%",Z513="خطر 40%",Z513="")),"✗ قائمة R",IF(NOT(OR(AA513="ممتاز 100%",AA513="جيد 85%",AA513="مقبول 70%",AA513="ضعيف 50%",AA513="")),"✗ قائمة S",IF(NOT(OR(AB513="مكتمل 100%",AB513="جزئي 60%",AB513="معلق 30%",AB513="مفتوح 0%",AB513="")),"✗ قائمة T",IF(NOT(OR(AC513="لا خصم 0",AC513="تأخير −5",AC513="عجز −10",AC513="جودة −15",AC513="امتثال −20",AC513="مخالفة −25",AC513="")),"✗ قائمة U",IF(AND(X513="لا",AC513&lt;&gt;"",AC513&lt;&gt;"لا خصم 0"),"✗ خصم",IF(AND(X513="نعم",AC513="لا خصم 0"),"✗ خصم",IF(AND(Z513="ممتاز 100%",AA513="ممتاز 100%",AB513&lt;&gt;"",AB513&lt;&gt;"مكتمل 100%"),"✗ إغلاق",IFERROR(IF(LEN(_xlfn.TEXTJOIN("، ",TRUE,IF(E513="","التاريخ",""),IF(F513="","الوقت",""),IF(G513="","المركز",""),IF(H513="","الدائرة",""),IF(I513="","القسم",""),IF(J513="","المسؤول",""),IF(K513="","نوع النشاط",""),IF(L513="","المشروع",""),IF(N513="","الممول",""),IF(V513="","الموضوع",""),IF(W513="","الملاحظة",""),IF(X513="","مشكلة",""),IF(Y513="","الإجراء",""),IF(Z513="","التنفيذ",""),IF(AA513="","الجودة",""),IF(AB513="","الإغلاق",""),IF(AC513="","الخصم",""),IF(AND(COUNTA($O513:$U513)&gt;0,O513=""),"مدير المشروع",""),IF(AND(COUNTA($O513:$U513)&gt;0,P513=""),"المستفيدين",""),IF(AND(COUNTA($O513:$U513)&gt;0,Q513=""),"المناطق",""),IF(AND(COUNTA($O513:$U513)&gt;0,R513=""),"الميزانية",""),IF(AND(COUNTA($O513:$U513)&gt;0,S513=""),"نسبة الجاهزية",""),IF(AND(COUNTA($O513:$U513)&gt;0,T513=""),"حالة الجاهزية",""),IF(AND(COUNTA($O513:$U513)&gt;0,U513=""),"التوصيات","")))&gt;0,"✗ ناقص: "&amp;_xlfn.TEXTJOIN("، ",TRUE,IF(E513="","التاريخ",""),IF(F513="","الوقت",""),IF(G513="","المركز",""),IF(H513="","الدائرة",""),IF(I513="","القسم",""),IF(J513="","المسؤول",""),IF(K513="","نوع النشاط",""),IF(L513="","المشروع",""),IF(N513="","الممول",""),IF(V513="","الموضوع",""),IF(W513="","الملاحظة",""),IF(X513="","مشكلة",""),IF(Y513="","الإجراء",""),IF(Z513="","التنفيذ",""),IF(AA513="","الجودة",""),IF(AB513="","الإغلاق",""),IF(AC513="","الخصم",""),IF(AND(COUNTA($O513:$U513)&gt;0,O513=""),"مدير المشروع",""),IF(AND(COUNTA($O513:$U513)&gt;0,P513=""),"المستفيدين",""),IF(AND(COUNTA($O513:$U513)&gt;0,Q513=""),"المناطق",""),IF(AND(COUNTA($O513:$U513)&gt;0,R513=""),"الميزانية",""),IF(AND(COUNTA($O513:$U513)&gt;0,S513=""),"نسبة الجاهزية",""),IF(AND(COUNTA($O513:$U513)&gt;0,T513=""),"حالة الجاهزية",""),IF(AND(COUNTA($O513:$U513)&gt;0,U513=""),"التوصيات","")),"✓"),"✓"))))))))))</f>
        <v/>
      </c>
      <c r="E513" s="235"/>
      <c r="F513" s="236"/>
      <c r="G513" s="90"/>
      <c r="H513" s="239"/>
      <c r="I513" s="89"/>
      <c r="J513" s="142"/>
      <c r="K513" s="90"/>
      <c r="L513" s="90"/>
      <c r="M513" s="90"/>
      <c r="N513" s="89"/>
      <c r="O513" s="200"/>
      <c r="P513" s="201"/>
      <c r="Q513" s="201"/>
      <c r="R513" s="237"/>
      <c r="S513" s="202"/>
      <c r="T513" s="200"/>
      <c r="U513" s="203"/>
      <c r="V513" s="89"/>
      <c r="W513" s="89"/>
      <c r="X513" s="145"/>
      <c r="Y513" s="89"/>
      <c r="Z513" s="90"/>
      <c r="AA513" s="90"/>
      <c r="AB513" s="90"/>
      <c r="AC513" s="90"/>
      <c r="AD513" s="92"/>
      <c r="AE513" s="149" t="str">
        <f>IFERROR(VLOOKUP(Z513,LISTS!$AL$2:$AM$1000,2,FALSE()),"")</f>
        <v/>
      </c>
      <c r="AF513" s="151" t="str">
        <f>IFERROR(VLOOKUP(AA513,LISTS!$AO$2:$AP$1000,2,FALSE()),"")</f>
        <v/>
      </c>
      <c r="AG513" s="152" t="str">
        <f>IFERROR(VLOOKUP(AB513,LISTS!$AR$2:$AS$1000,2,FALSE()),"")</f>
        <v/>
      </c>
      <c r="AH513" s="154" t="str">
        <f>IFERROR(VLOOKUP(AC513,LISTS!$AU$2:$AV$1000,2,FALSE()),"")</f>
        <v/>
      </c>
      <c r="AI513" s="238" t="str">
        <f t="shared" si="38"/>
        <v>—</v>
      </c>
      <c r="AJ513" s="190" t="str">
        <f t="shared" si="39"/>
        <v>—</v>
      </c>
      <c r="AK513" s="157" t="str">
        <f t="shared" si="40"/>
        <v/>
      </c>
      <c r="AL513" s="160" t="str">
        <f t="shared" si="41"/>
        <v/>
      </c>
      <c r="AM513" s="210"/>
      <c r="AN513" s="209"/>
    </row>
    <row r="514" spans="1:40" ht="27.95" customHeight="1">
      <c r="A514" s="134" t="str">
        <f>IF(I514&lt;&gt;"",COUNTA($I$2:I514),"")</f>
        <v/>
      </c>
      <c r="B514" s="138" t="str">
        <f t="shared" si="42"/>
        <v/>
      </c>
      <c r="C514" s="93" t="str">
        <f t="array" ref="C514">IF(E514="","",IF(M514&lt;&gt;"",
M514&amp;"/"&amp;SUMPRODUCT((M$2:M514=M514)*1)&amp;" - "&amp;(ROW()-2),
"إداري/"&amp;SUMPRODUCT((M$2:M514="")*1)&amp;" - "&amp;(ROW()-2)))</f>
        <v/>
      </c>
      <c r="D514" s="141" t="str">
        <f>IF(AND(G514="",H514="",I514=""),"",IF(COUNTIFS(LISTS!$A$2:$A$67,G514,LISTS!$B$2:$B$67,H514,LISTS!$C$2:$C$67,I514)=0,"✗ هرم",IF(NOT(OR(Z514="ممتاز 100%",Z514="جيد 80%",Z514="مقبول 60%",Z514="خطر 40%",Z514="")),"✗ قائمة R",IF(NOT(OR(AA514="ممتاز 100%",AA514="جيد 85%",AA514="مقبول 70%",AA514="ضعيف 50%",AA514="")),"✗ قائمة S",IF(NOT(OR(AB514="مكتمل 100%",AB514="جزئي 60%",AB514="معلق 30%",AB514="مفتوح 0%",AB514="")),"✗ قائمة T",IF(NOT(OR(AC514="لا خصم 0",AC514="تأخير −5",AC514="عجز −10",AC514="جودة −15",AC514="امتثال −20",AC514="مخالفة −25",AC514="")),"✗ قائمة U",IF(AND(X514="لا",AC514&lt;&gt;"",AC514&lt;&gt;"لا خصم 0"),"✗ خصم",IF(AND(X514="نعم",AC514="لا خصم 0"),"✗ خصم",IF(AND(Z514="ممتاز 100%",AA514="ممتاز 100%",AB514&lt;&gt;"",AB514&lt;&gt;"مكتمل 100%"),"✗ إغلاق",IFERROR(IF(LEN(_xlfn.TEXTJOIN("، ",TRUE,IF(E514="","التاريخ",""),IF(F514="","الوقت",""),IF(G514="","المركز",""),IF(H514="","الدائرة",""),IF(I514="","القسم",""),IF(J514="","المسؤول",""),IF(K514="","نوع النشاط",""),IF(L514="","المشروع",""),IF(N514="","الممول",""),IF(V514="","الموضوع",""),IF(W514="","الملاحظة",""),IF(X514="","مشكلة",""),IF(Y514="","الإجراء",""),IF(Z514="","التنفيذ",""),IF(AA514="","الجودة",""),IF(AB514="","الإغلاق",""),IF(AC514="","الخصم",""),IF(AND(COUNTA($O514:$U514)&gt;0,O514=""),"مدير المشروع",""),IF(AND(COUNTA($O514:$U514)&gt;0,P514=""),"المستفيدين",""),IF(AND(COUNTA($O514:$U514)&gt;0,Q514=""),"المناطق",""),IF(AND(COUNTA($O514:$U514)&gt;0,R514=""),"الميزانية",""),IF(AND(COUNTA($O514:$U514)&gt;0,S514=""),"نسبة الجاهزية",""),IF(AND(COUNTA($O514:$U514)&gt;0,T514=""),"حالة الجاهزية",""),IF(AND(COUNTA($O514:$U514)&gt;0,U514=""),"التوصيات","")))&gt;0,"✗ ناقص: "&amp;_xlfn.TEXTJOIN("، ",TRUE,IF(E514="","التاريخ",""),IF(F514="","الوقت",""),IF(G514="","المركز",""),IF(H514="","الدائرة",""),IF(I514="","القسم",""),IF(J514="","المسؤول",""),IF(K514="","نوع النشاط",""),IF(L514="","المشروع",""),IF(N514="","الممول",""),IF(V514="","الموضوع",""),IF(W514="","الملاحظة",""),IF(X514="","مشكلة",""),IF(Y514="","الإجراء",""),IF(Z514="","التنفيذ",""),IF(AA514="","الجودة",""),IF(AB514="","الإغلاق",""),IF(AC514="","الخصم",""),IF(AND(COUNTA($O514:$U514)&gt;0,O514=""),"مدير المشروع",""),IF(AND(COUNTA($O514:$U514)&gt;0,P514=""),"المستفيدين",""),IF(AND(COUNTA($O514:$U514)&gt;0,Q514=""),"المناطق",""),IF(AND(COUNTA($O514:$U514)&gt;0,R514=""),"الميزانية",""),IF(AND(COUNTA($O514:$U514)&gt;0,S514=""),"نسبة الجاهزية",""),IF(AND(COUNTA($O514:$U514)&gt;0,T514=""),"حالة الجاهزية",""),IF(AND(COUNTA($O514:$U514)&gt;0,U514=""),"التوصيات","")),"✓"),"✓"))))))))))</f>
        <v/>
      </c>
      <c r="E514" s="235"/>
      <c r="F514" s="236"/>
      <c r="G514" s="90"/>
      <c r="H514" s="239"/>
      <c r="I514" s="89"/>
      <c r="J514" s="142"/>
      <c r="K514" s="90"/>
      <c r="L514" s="90"/>
      <c r="M514" s="90"/>
      <c r="N514" s="89"/>
      <c r="O514" s="200"/>
      <c r="P514" s="201"/>
      <c r="Q514" s="201"/>
      <c r="R514" s="237"/>
      <c r="S514" s="202"/>
      <c r="T514" s="200"/>
      <c r="U514" s="203"/>
      <c r="V514" s="89"/>
      <c r="W514" s="89"/>
      <c r="X514" s="145"/>
      <c r="Y514" s="89"/>
      <c r="Z514" s="90"/>
      <c r="AA514" s="90"/>
      <c r="AB514" s="90"/>
      <c r="AC514" s="90"/>
      <c r="AD514" s="92"/>
      <c r="AE514" s="149" t="str">
        <f>IFERROR(VLOOKUP(Z514,LISTS!$AL$2:$AM$1000,2,FALSE()),"")</f>
        <v/>
      </c>
      <c r="AF514" s="151" t="str">
        <f>IFERROR(VLOOKUP(AA514,LISTS!$AO$2:$AP$1000,2,FALSE()),"")</f>
        <v/>
      </c>
      <c r="AG514" s="152" t="str">
        <f>IFERROR(VLOOKUP(AB514,LISTS!$AR$2:$AS$1000,2,FALSE()),"")</f>
        <v/>
      </c>
      <c r="AH514" s="154" t="str">
        <f>IFERROR(VLOOKUP(AC514,LISTS!$AU$2:$AV$1000,2,FALSE()),"")</f>
        <v/>
      </c>
      <c r="AI514" s="238" t="str">
        <f t="shared" ref="AI514:AI577" si="43">IF(OR(AE514="",AF514="",AG514=""),"—",IFERROR(ROUND(AE514*0.4+AF514*0.3+AG514*0.3-IF(ISNUMBER(AH514),AH514,0),1),"⚠️"))</f>
        <v>—</v>
      </c>
      <c r="AJ514" s="190" t="str">
        <f t="shared" ref="AJ514:AJ577" si="44">IF(AI514="—","—",IF(NOT(ISNUMBER(AI514)),"⚠️",IF(AI514&gt;=98,"🌟 ممتاز جدًا",IF(AI514&gt;=90,"⭐ ممتاز",IF(AI514&gt;=75,"🟢 جيد",IF(AI514&gt;=60,"🟡 مقبول",IF(AI514&gt;=40,"🔴 ضعيف","🚨 خطر شديد")))))))</f>
        <v>—</v>
      </c>
      <c r="AK514" s="157" t="str">
        <f t="shared" si="40"/>
        <v/>
      </c>
      <c r="AL514" s="160" t="str">
        <f t="shared" si="41"/>
        <v/>
      </c>
      <c r="AM514" s="210"/>
      <c r="AN514" s="209"/>
    </row>
    <row r="515" spans="1:40" ht="27.95" customHeight="1">
      <c r="A515" s="134" t="str">
        <f>IF(I515&lt;&gt;"",COUNTA($I$2:I515),"")</f>
        <v/>
      </c>
      <c r="B515" s="138" t="str">
        <f t="shared" si="42"/>
        <v/>
      </c>
      <c r="C515" s="93" t="str">
        <f t="array" ref="C515">IF(E515="","",IF(M515&lt;&gt;"",
M515&amp;"/"&amp;SUMPRODUCT((M$2:M515=M515)*1)&amp;" - "&amp;(ROW()-2),
"إداري/"&amp;SUMPRODUCT((M$2:M515="")*1)&amp;" - "&amp;(ROW()-2)))</f>
        <v/>
      </c>
      <c r="D515" s="141" t="str">
        <f>IF(AND(G515="",H515="",I515=""),"",IF(COUNTIFS(LISTS!$A$2:$A$67,G515,LISTS!$B$2:$B$67,H515,LISTS!$C$2:$C$67,I515)=0,"✗ هرم",IF(NOT(OR(Z515="ممتاز 100%",Z515="جيد 80%",Z515="مقبول 60%",Z515="خطر 40%",Z515="")),"✗ قائمة R",IF(NOT(OR(AA515="ممتاز 100%",AA515="جيد 85%",AA515="مقبول 70%",AA515="ضعيف 50%",AA515="")),"✗ قائمة S",IF(NOT(OR(AB515="مكتمل 100%",AB515="جزئي 60%",AB515="معلق 30%",AB515="مفتوح 0%",AB515="")),"✗ قائمة T",IF(NOT(OR(AC515="لا خصم 0",AC515="تأخير −5",AC515="عجز −10",AC515="جودة −15",AC515="امتثال −20",AC515="مخالفة −25",AC515="")),"✗ قائمة U",IF(AND(X515="لا",AC515&lt;&gt;"",AC515&lt;&gt;"لا خصم 0"),"✗ خصم",IF(AND(X515="نعم",AC515="لا خصم 0"),"✗ خصم",IF(AND(Z515="ممتاز 100%",AA515="ممتاز 100%",AB515&lt;&gt;"",AB515&lt;&gt;"مكتمل 100%"),"✗ إغلاق",IFERROR(IF(LEN(_xlfn.TEXTJOIN("، ",TRUE,IF(E515="","التاريخ",""),IF(F515="","الوقت",""),IF(G515="","المركز",""),IF(H515="","الدائرة",""),IF(I515="","القسم",""),IF(J515="","المسؤول",""),IF(K515="","نوع النشاط",""),IF(L515="","المشروع",""),IF(N515="","الممول",""),IF(V515="","الموضوع",""),IF(W515="","الملاحظة",""),IF(X515="","مشكلة",""),IF(Y515="","الإجراء",""),IF(Z515="","التنفيذ",""),IF(AA515="","الجودة",""),IF(AB515="","الإغلاق",""),IF(AC515="","الخصم",""),IF(AND(COUNTA($O515:$U515)&gt;0,O515=""),"مدير المشروع",""),IF(AND(COUNTA($O515:$U515)&gt;0,P515=""),"المستفيدين",""),IF(AND(COUNTA($O515:$U515)&gt;0,Q515=""),"المناطق",""),IF(AND(COUNTA($O515:$U515)&gt;0,R515=""),"الميزانية",""),IF(AND(COUNTA($O515:$U515)&gt;0,S515=""),"نسبة الجاهزية",""),IF(AND(COUNTA($O515:$U515)&gt;0,T515=""),"حالة الجاهزية",""),IF(AND(COUNTA($O515:$U515)&gt;0,U515=""),"التوصيات","")))&gt;0,"✗ ناقص: "&amp;_xlfn.TEXTJOIN("، ",TRUE,IF(E515="","التاريخ",""),IF(F515="","الوقت",""),IF(G515="","المركز",""),IF(H515="","الدائرة",""),IF(I515="","القسم",""),IF(J515="","المسؤول",""),IF(K515="","نوع النشاط",""),IF(L515="","المشروع",""),IF(N515="","الممول",""),IF(V515="","الموضوع",""),IF(W515="","الملاحظة",""),IF(X515="","مشكلة",""),IF(Y515="","الإجراء",""),IF(Z515="","التنفيذ",""),IF(AA515="","الجودة",""),IF(AB515="","الإغلاق",""),IF(AC515="","الخصم",""),IF(AND(COUNTA($O515:$U515)&gt;0,O515=""),"مدير المشروع",""),IF(AND(COUNTA($O515:$U515)&gt;0,P515=""),"المستفيدين",""),IF(AND(COUNTA($O515:$U515)&gt;0,Q515=""),"المناطق",""),IF(AND(COUNTA($O515:$U515)&gt;0,R515=""),"الميزانية",""),IF(AND(COUNTA($O515:$U515)&gt;0,S515=""),"نسبة الجاهزية",""),IF(AND(COUNTA($O515:$U515)&gt;0,T515=""),"حالة الجاهزية",""),IF(AND(COUNTA($O515:$U515)&gt;0,U515=""),"التوصيات","")),"✓"),"✓"))))))))))</f>
        <v/>
      </c>
      <c r="E515" s="235"/>
      <c r="F515" s="236"/>
      <c r="G515" s="90"/>
      <c r="H515" s="239"/>
      <c r="I515" s="89"/>
      <c r="J515" s="142"/>
      <c r="K515" s="90"/>
      <c r="L515" s="90"/>
      <c r="M515" s="90"/>
      <c r="N515" s="89"/>
      <c r="O515" s="200"/>
      <c r="P515" s="201"/>
      <c r="Q515" s="201"/>
      <c r="R515" s="237"/>
      <c r="S515" s="202"/>
      <c r="T515" s="200"/>
      <c r="U515" s="203"/>
      <c r="V515" s="89"/>
      <c r="W515" s="89"/>
      <c r="X515" s="145"/>
      <c r="Y515" s="89"/>
      <c r="Z515" s="90"/>
      <c r="AA515" s="90"/>
      <c r="AB515" s="90"/>
      <c r="AC515" s="90"/>
      <c r="AD515" s="92"/>
      <c r="AE515" s="149" t="str">
        <f>IFERROR(VLOOKUP(Z515,LISTS!$AL$2:$AM$1000,2,FALSE()),"")</f>
        <v/>
      </c>
      <c r="AF515" s="151" t="str">
        <f>IFERROR(VLOOKUP(AA515,LISTS!$AO$2:$AP$1000,2,FALSE()),"")</f>
        <v/>
      </c>
      <c r="AG515" s="152" t="str">
        <f>IFERROR(VLOOKUP(AB515,LISTS!$AR$2:$AS$1000,2,FALSE()),"")</f>
        <v/>
      </c>
      <c r="AH515" s="154" t="str">
        <f>IFERROR(VLOOKUP(AC515,LISTS!$AU$2:$AV$1000,2,FALSE()),"")</f>
        <v/>
      </c>
      <c r="AI515" s="238" t="str">
        <f t="shared" si="43"/>
        <v>—</v>
      </c>
      <c r="AJ515" s="190" t="str">
        <f t="shared" si="44"/>
        <v>—</v>
      </c>
      <c r="AK515" s="157" t="str">
        <f t="shared" si="40"/>
        <v/>
      </c>
      <c r="AL515" s="160" t="str">
        <f t="shared" si="41"/>
        <v/>
      </c>
      <c r="AM515" s="210"/>
      <c r="AN515" s="209"/>
    </row>
    <row r="516" spans="1:40" ht="27.95" customHeight="1">
      <c r="A516" s="134" t="str">
        <f>IF(I516&lt;&gt;"",COUNTA($I$2:I516),"")</f>
        <v/>
      </c>
      <c r="B516" s="138" t="str">
        <f t="shared" si="42"/>
        <v/>
      </c>
      <c r="C516" s="93" t="str">
        <f t="array" ref="C516">IF(E516="","",IF(M516&lt;&gt;"",
M516&amp;"/"&amp;SUMPRODUCT((M$2:M516=M516)*1)&amp;" - "&amp;(ROW()-2),
"إداري/"&amp;SUMPRODUCT((M$2:M516="")*1)&amp;" - "&amp;(ROW()-2)))</f>
        <v/>
      </c>
      <c r="D516" s="141" t="str">
        <f>IF(AND(G516="",H516="",I516=""),"",IF(COUNTIFS(LISTS!$A$2:$A$67,G516,LISTS!$B$2:$B$67,H516,LISTS!$C$2:$C$67,I516)=0,"✗ هرم",IF(NOT(OR(Z516="ممتاز 100%",Z516="جيد 80%",Z516="مقبول 60%",Z516="خطر 40%",Z516="")),"✗ قائمة R",IF(NOT(OR(AA516="ممتاز 100%",AA516="جيد 85%",AA516="مقبول 70%",AA516="ضعيف 50%",AA516="")),"✗ قائمة S",IF(NOT(OR(AB516="مكتمل 100%",AB516="جزئي 60%",AB516="معلق 30%",AB516="مفتوح 0%",AB516="")),"✗ قائمة T",IF(NOT(OR(AC516="لا خصم 0",AC516="تأخير −5",AC516="عجز −10",AC516="جودة −15",AC516="امتثال −20",AC516="مخالفة −25",AC516="")),"✗ قائمة U",IF(AND(X516="لا",AC516&lt;&gt;"",AC516&lt;&gt;"لا خصم 0"),"✗ خصم",IF(AND(X516="نعم",AC516="لا خصم 0"),"✗ خصم",IF(AND(Z516="ممتاز 100%",AA516="ممتاز 100%",AB516&lt;&gt;"",AB516&lt;&gt;"مكتمل 100%"),"✗ إغلاق",IFERROR(IF(LEN(_xlfn.TEXTJOIN("، ",TRUE,IF(E516="","التاريخ",""),IF(F516="","الوقت",""),IF(G516="","المركز",""),IF(H516="","الدائرة",""),IF(I516="","القسم",""),IF(J516="","المسؤول",""),IF(K516="","نوع النشاط",""),IF(L516="","المشروع",""),IF(N516="","الممول",""),IF(V516="","الموضوع",""),IF(W516="","الملاحظة",""),IF(X516="","مشكلة",""),IF(Y516="","الإجراء",""),IF(Z516="","التنفيذ",""),IF(AA516="","الجودة",""),IF(AB516="","الإغلاق",""),IF(AC516="","الخصم",""),IF(AND(COUNTA($O516:$U516)&gt;0,O516=""),"مدير المشروع",""),IF(AND(COUNTA($O516:$U516)&gt;0,P516=""),"المستفيدين",""),IF(AND(COUNTA($O516:$U516)&gt;0,Q516=""),"المناطق",""),IF(AND(COUNTA($O516:$U516)&gt;0,R516=""),"الميزانية",""),IF(AND(COUNTA($O516:$U516)&gt;0,S516=""),"نسبة الجاهزية",""),IF(AND(COUNTA($O516:$U516)&gt;0,T516=""),"حالة الجاهزية",""),IF(AND(COUNTA($O516:$U516)&gt;0,U516=""),"التوصيات","")))&gt;0,"✗ ناقص: "&amp;_xlfn.TEXTJOIN("، ",TRUE,IF(E516="","التاريخ",""),IF(F516="","الوقت",""),IF(G516="","المركز",""),IF(H516="","الدائرة",""),IF(I516="","القسم",""),IF(J516="","المسؤول",""),IF(K516="","نوع النشاط",""),IF(L516="","المشروع",""),IF(N516="","الممول",""),IF(V516="","الموضوع",""),IF(W516="","الملاحظة",""),IF(X516="","مشكلة",""),IF(Y516="","الإجراء",""),IF(Z516="","التنفيذ",""),IF(AA516="","الجودة",""),IF(AB516="","الإغلاق",""),IF(AC516="","الخصم",""),IF(AND(COUNTA($O516:$U516)&gt;0,O516=""),"مدير المشروع",""),IF(AND(COUNTA($O516:$U516)&gt;0,P516=""),"المستفيدين",""),IF(AND(COUNTA($O516:$U516)&gt;0,Q516=""),"المناطق",""),IF(AND(COUNTA($O516:$U516)&gt;0,R516=""),"الميزانية",""),IF(AND(COUNTA($O516:$U516)&gt;0,S516=""),"نسبة الجاهزية",""),IF(AND(COUNTA($O516:$U516)&gt;0,T516=""),"حالة الجاهزية",""),IF(AND(COUNTA($O516:$U516)&gt;0,U516=""),"التوصيات","")),"✓"),"✓"))))))))))</f>
        <v/>
      </c>
      <c r="E516" s="235"/>
      <c r="F516" s="236"/>
      <c r="G516" s="90"/>
      <c r="H516" s="239"/>
      <c r="I516" s="89"/>
      <c r="J516" s="142"/>
      <c r="K516" s="90"/>
      <c r="L516" s="90"/>
      <c r="M516" s="90"/>
      <c r="N516" s="89"/>
      <c r="O516" s="200"/>
      <c r="P516" s="201"/>
      <c r="Q516" s="201"/>
      <c r="R516" s="237"/>
      <c r="S516" s="202"/>
      <c r="T516" s="200"/>
      <c r="U516" s="203"/>
      <c r="V516" s="89"/>
      <c r="W516" s="89"/>
      <c r="X516" s="145"/>
      <c r="Y516" s="89"/>
      <c r="Z516" s="90"/>
      <c r="AA516" s="90"/>
      <c r="AB516" s="90"/>
      <c r="AC516" s="90"/>
      <c r="AD516" s="92"/>
      <c r="AE516" s="149" t="str">
        <f>IFERROR(VLOOKUP(Z516,LISTS!$AL$2:$AM$1000,2,FALSE()),"")</f>
        <v/>
      </c>
      <c r="AF516" s="151" t="str">
        <f>IFERROR(VLOOKUP(AA516,LISTS!$AO$2:$AP$1000,2,FALSE()),"")</f>
        <v/>
      </c>
      <c r="AG516" s="152" t="str">
        <f>IFERROR(VLOOKUP(AB516,LISTS!$AR$2:$AS$1000,2,FALSE()),"")</f>
        <v/>
      </c>
      <c r="AH516" s="154" t="str">
        <f>IFERROR(VLOOKUP(AC516,LISTS!$AU$2:$AV$1000,2,FALSE()),"")</f>
        <v/>
      </c>
      <c r="AI516" s="238" t="str">
        <f t="shared" si="43"/>
        <v>—</v>
      </c>
      <c r="AJ516" s="190" t="str">
        <f t="shared" si="44"/>
        <v>—</v>
      </c>
      <c r="AK516" s="157" t="str">
        <f t="shared" si="40"/>
        <v/>
      </c>
      <c r="AL516" s="160" t="str">
        <f t="shared" si="41"/>
        <v/>
      </c>
      <c r="AM516" s="210"/>
      <c r="AN516" s="209"/>
    </row>
    <row r="517" spans="1:40" ht="27.95" customHeight="1">
      <c r="A517" s="134" t="str">
        <f>IF(I517&lt;&gt;"",COUNTA($I$2:I517),"")</f>
        <v/>
      </c>
      <c r="B517" s="138" t="str">
        <f t="shared" si="42"/>
        <v/>
      </c>
      <c r="C517" s="93" t="str">
        <f t="array" ref="C517">IF(E517="","",IF(M517&lt;&gt;"",
M517&amp;"/"&amp;SUMPRODUCT((M$2:M517=M517)*1)&amp;" - "&amp;(ROW()-2),
"إداري/"&amp;SUMPRODUCT((M$2:M517="")*1)&amp;" - "&amp;(ROW()-2)))</f>
        <v/>
      </c>
      <c r="D517" s="141" t="str">
        <f>IF(AND(G517="",H517="",I517=""),"",IF(COUNTIFS(LISTS!$A$2:$A$67,G517,LISTS!$B$2:$B$67,H517,LISTS!$C$2:$C$67,I517)=0,"✗ هرم",IF(NOT(OR(Z517="ممتاز 100%",Z517="جيد 80%",Z517="مقبول 60%",Z517="خطر 40%",Z517="")),"✗ قائمة R",IF(NOT(OR(AA517="ممتاز 100%",AA517="جيد 85%",AA517="مقبول 70%",AA517="ضعيف 50%",AA517="")),"✗ قائمة S",IF(NOT(OR(AB517="مكتمل 100%",AB517="جزئي 60%",AB517="معلق 30%",AB517="مفتوح 0%",AB517="")),"✗ قائمة T",IF(NOT(OR(AC517="لا خصم 0",AC517="تأخير −5",AC517="عجز −10",AC517="جودة −15",AC517="امتثال −20",AC517="مخالفة −25",AC517="")),"✗ قائمة U",IF(AND(X517="لا",AC517&lt;&gt;"",AC517&lt;&gt;"لا خصم 0"),"✗ خصم",IF(AND(X517="نعم",AC517="لا خصم 0"),"✗ خصم",IF(AND(Z517="ممتاز 100%",AA517="ممتاز 100%",AB517&lt;&gt;"",AB517&lt;&gt;"مكتمل 100%"),"✗ إغلاق",IFERROR(IF(LEN(_xlfn.TEXTJOIN("، ",TRUE,IF(E517="","التاريخ",""),IF(F517="","الوقت",""),IF(G517="","المركز",""),IF(H517="","الدائرة",""),IF(I517="","القسم",""),IF(J517="","المسؤول",""),IF(K517="","نوع النشاط",""),IF(L517="","المشروع",""),IF(N517="","الممول",""),IF(V517="","الموضوع",""),IF(W517="","الملاحظة",""),IF(X517="","مشكلة",""),IF(Y517="","الإجراء",""),IF(Z517="","التنفيذ",""),IF(AA517="","الجودة",""),IF(AB517="","الإغلاق",""),IF(AC517="","الخصم",""),IF(AND(COUNTA($O517:$U517)&gt;0,O517=""),"مدير المشروع",""),IF(AND(COUNTA($O517:$U517)&gt;0,P517=""),"المستفيدين",""),IF(AND(COUNTA($O517:$U517)&gt;0,Q517=""),"المناطق",""),IF(AND(COUNTA($O517:$U517)&gt;0,R517=""),"الميزانية",""),IF(AND(COUNTA($O517:$U517)&gt;0,S517=""),"نسبة الجاهزية",""),IF(AND(COUNTA($O517:$U517)&gt;0,T517=""),"حالة الجاهزية",""),IF(AND(COUNTA($O517:$U517)&gt;0,U517=""),"التوصيات","")))&gt;0,"✗ ناقص: "&amp;_xlfn.TEXTJOIN("، ",TRUE,IF(E517="","التاريخ",""),IF(F517="","الوقت",""),IF(G517="","المركز",""),IF(H517="","الدائرة",""),IF(I517="","القسم",""),IF(J517="","المسؤول",""),IF(K517="","نوع النشاط",""),IF(L517="","المشروع",""),IF(N517="","الممول",""),IF(V517="","الموضوع",""),IF(W517="","الملاحظة",""),IF(X517="","مشكلة",""),IF(Y517="","الإجراء",""),IF(Z517="","التنفيذ",""),IF(AA517="","الجودة",""),IF(AB517="","الإغلاق",""),IF(AC517="","الخصم",""),IF(AND(COUNTA($O517:$U517)&gt;0,O517=""),"مدير المشروع",""),IF(AND(COUNTA($O517:$U517)&gt;0,P517=""),"المستفيدين",""),IF(AND(COUNTA($O517:$U517)&gt;0,Q517=""),"المناطق",""),IF(AND(COUNTA($O517:$U517)&gt;0,R517=""),"الميزانية",""),IF(AND(COUNTA($O517:$U517)&gt;0,S517=""),"نسبة الجاهزية",""),IF(AND(COUNTA($O517:$U517)&gt;0,T517=""),"حالة الجاهزية",""),IF(AND(COUNTA($O517:$U517)&gt;0,U517=""),"التوصيات","")),"✓"),"✓"))))))))))</f>
        <v/>
      </c>
      <c r="E517" s="235"/>
      <c r="F517" s="236"/>
      <c r="G517" s="90"/>
      <c r="H517" s="239"/>
      <c r="I517" s="89"/>
      <c r="J517" s="142"/>
      <c r="K517" s="90"/>
      <c r="L517" s="90"/>
      <c r="M517" s="90"/>
      <c r="N517" s="89"/>
      <c r="O517" s="200"/>
      <c r="P517" s="201"/>
      <c r="Q517" s="201"/>
      <c r="R517" s="237"/>
      <c r="S517" s="202"/>
      <c r="T517" s="200"/>
      <c r="U517" s="203"/>
      <c r="V517" s="89"/>
      <c r="W517" s="89"/>
      <c r="X517" s="145"/>
      <c r="Y517" s="89"/>
      <c r="Z517" s="90"/>
      <c r="AA517" s="90"/>
      <c r="AB517" s="90"/>
      <c r="AC517" s="90"/>
      <c r="AD517" s="92"/>
      <c r="AE517" s="149" t="str">
        <f>IFERROR(VLOOKUP(Z517,LISTS!$AL$2:$AM$1000,2,FALSE()),"")</f>
        <v/>
      </c>
      <c r="AF517" s="151" t="str">
        <f>IFERROR(VLOOKUP(AA517,LISTS!$AO$2:$AP$1000,2,FALSE()),"")</f>
        <v/>
      </c>
      <c r="AG517" s="152" t="str">
        <f>IFERROR(VLOOKUP(AB517,LISTS!$AR$2:$AS$1000,2,FALSE()),"")</f>
        <v/>
      </c>
      <c r="AH517" s="154" t="str">
        <f>IFERROR(VLOOKUP(AC517,LISTS!$AU$2:$AV$1000,2,FALSE()),"")</f>
        <v/>
      </c>
      <c r="AI517" s="238" t="str">
        <f t="shared" si="43"/>
        <v>—</v>
      </c>
      <c r="AJ517" s="190" t="str">
        <f t="shared" si="44"/>
        <v>—</v>
      </c>
      <c r="AK517" s="157" t="str">
        <f t="shared" si="40"/>
        <v/>
      </c>
      <c r="AL517" s="160" t="str">
        <f t="shared" si="41"/>
        <v/>
      </c>
      <c r="AM517" s="210"/>
      <c r="AN517" s="209"/>
    </row>
    <row r="518" spans="1:40" ht="27.95" customHeight="1">
      <c r="A518" s="134" t="str">
        <f>IF(I518&lt;&gt;"",COUNTA($I$2:I518),"")</f>
        <v/>
      </c>
      <c r="B518" s="138" t="str">
        <f t="shared" si="42"/>
        <v/>
      </c>
      <c r="C518" s="93" t="str">
        <f t="array" ref="C518">IF(E518="","",IF(M518&lt;&gt;"",
M518&amp;"/"&amp;SUMPRODUCT((M$2:M518=M518)*1)&amp;" - "&amp;(ROW()-2),
"إداري/"&amp;SUMPRODUCT((M$2:M518="")*1)&amp;" - "&amp;(ROW()-2)))</f>
        <v/>
      </c>
      <c r="D518" s="141" t="str">
        <f>IF(AND(G518="",H518="",I518=""),"",IF(COUNTIFS(LISTS!$A$2:$A$67,G518,LISTS!$B$2:$B$67,H518,LISTS!$C$2:$C$67,I518)=0,"✗ هرم",IF(NOT(OR(Z518="ممتاز 100%",Z518="جيد 80%",Z518="مقبول 60%",Z518="خطر 40%",Z518="")),"✗ قائمة R",IF(NOT(OR(AA518="ممتاز 100%",AA518="جيد 85%",AA518="مقبول 70%",AA518="ضعيف 50%",AA518="")),"✗ قائمة S",IF(NOT(OR(AB518="مكتمل 100%",AB518="جزئي 60%",AB518="معلق 30%",AB518="مفتوح 0%",AB518="")),"✗ قائمة T",IF(NOT(OR(AC518="لا خصم 0",AC518="تأخير −5",AC518="عجز −10",AC518="جودة −15",AC518="امتثال −20",AC518="مخالفة −25",AC518="")),"✗ قائمة U",IF(AND(X518="لا",AC518&lt;&gt;"",AC518&lt;&gt;"لا خصم 0"),"✗ خصم",IF(AND(X518="نعم",AC518="لا خصم 0"),"✗ خصم",IF(AND(Z518="ممتاز 100%",AA518="ممتاز 100%",AB518&lt;&gt;"",AB518&lt;&gt;"مكتمل 100%"),"✗ إغلاق",IFERROR(IF(LEN(_xlfn.TEXTJOIN("، ",TRUE,IF(E518="","التاريخ",""),IF(F518="","الوقت",""),IF(G518="","المركز",""),IF(H518="","الدائرة",""),IF(I518="","القسم",""),IF(J518="","المسؤول",""),IF(K518="","نوع النشاط",""),IF(L518="","المشروع",""),IF(N518="","الممول",""),IF(V518="","الموضوع",""),IF(W518="","الملاحظة",""),IF(X518="","مشكلة",""),IF(Y518="","الإجراء",""),IF(Z518="","التنفيذ",""),IF(AA518="","الجودة",""),IF(AB518="","الإغلاق",""),IF(AC518="","الخصم",""),IF(AND(COUNTA($O518:$U518)&gt;0,O518=""),"مدير المشروع",""),IF(AND(COUNTA($O518:$U518)&gt;0,P518=""),"المستفيدين",""),IF(AND(COUNTA($O518:$U518)&gt;0,Q518=""),"المناطق",""),IF(AND(COUNTA($O518:$U518)&gt;0,R518=""),"الميزانية",""),IF(AND(COUNTA($O518:$U518)&gt;0,S518=""),"نسبة الجاهزية",""),IF(AND(COUNTA($O518:$U518)&gt;0,T518=""),"حالة الجاهزية",""),IF(AND(COUNTA($O518:$U518)&gt;0,U518=""),"التوصيات","")))&gt;0,"✗ ناقص: "&amp;_xlfn.TEXTJOIN("، ",TRUE,IF(E518="","التاريخ",""),IF(F518="","الوقت",""),IF(G518="","المركز",""),IF(H518="","الدائرة",""),IF(I518="","القسم",""),IF(J518="","المسؤول",""),IF(K518="","نوع النشاط",""),IF(L518="","المشروع",""),IF(N518="","الممول",""),IF(V518="","الموضوع",""),IF(W518="","الملاحظة",""),IF(X518="","مشكلة",""),IF(Y518="","الإجراء",""),IF(Z518="","التنفيذ",""),IF(AA518="","الجودة",""),IF(AB518="","الإغلاق",""),IF(AC518="","الخصم",""),IF(AND(COUNTA($O518:$U518)&gt;0,O518=""),"مدير المشروع",""),IF(AND(COUNTA($O518:$U518)&gt;0,P518=""),"المستفيدين",""),IF(AND(COUNTA($O518:$U518)&gt;0,Q518=""),"المناطق",""),IF(AND(COUNTA($O518:$U518)&gt;0,R518=""),"الميزانية",""),IF(AND(COUNTA($O518:$U518)&gt;0,S518=""),"نسبة الجاهزية",""),IF(AND(COUNTA($O518:$U518)&gt;0,T518=""),"حالة الجاهزية",""),IF(AND(COUNTA($O518:$U518)&gt;0,U518=""),"التوصيات","")),"✓"),"✓"))))))))))</f>
        <v/>
      </c>
      <c r="E518" s="235"/>
      <c r="F518" s="236"/>
      <c r="G518" s="90"/>
      <c r="H518" s="239"/>
      <c r="I518" s="89"/>
      <c r="J518" s="142"/>
      <c r="K518" s="90"/>
      <c r="L518" s="90"/>
      <c r="M518" s="90"/>
      <c r="N518" s="89"/>
      <c r="O518" s="200"/>
      <c r="P518" s="201"/>
      <c r="Q518" s="201"/>
      <c r="R518" s="237"/>
      <c r="S518" s="202"/>
      <c r="T518" s="200"/>
      <c r="U518" s="203"/>
      <c r="V518" s="89"/>
      <c r="W518" s="89"/>
      <c r="X518" s="145"/>
      <c r="Y518" s="89"/>
      <c r="Z518" s="90"/>
      <c r="AA518" s="90"/>
      <c r="AB518" s="90"/>
      <c r="AC518" s="90"/>
      <c r="AD518" s="92"/>
      <c r="AE518" s="149" t="str">
        <f>IFERROR(VLOOKUP(Z518,LISTS!$AL$2:$AM$1000,2,FALSE()),"")</f>
        <v/>
      </c>
      <c r="AF518" s="151" t="str">
        <f>IFERROR(VLOOKUP(AA518,LISTS!$AO$2:$AP$1000,2,FALSE()),"")</f>
        <v/>
      </c>
      <c r="AG518" s="152" t="str">
        <f>IFERROR(VLOOKUP(AB518,LISTS!$AR$2:$AS$1000,2,FALSE()),"")</f>
        <v/>
      </c>
      <c r="AH518" s="154" t="str">
        <f>IFERROR(VLOOKUP(AC518,LISTS!$AU$2:$AV$1000,2,FALSE()),"")</f>
        <v/>
      </c>
      <c r="AI518" s="238" t="str">
        <f t="shared" si="43"/>
        <v>—</v>
      </c>
      <c r="AJ518" s="190" t="str">
        <f t="shared" si="44"/>
        <v>—</v>
      </c>
      <c r="AK518" s="157" t="str">
        <f t="shared" si="40"/>
        <v/>
      </c>
      <c r="AL518" s="160" t="str">
        <f t="shared" si="41"/>
        <v/>
      </c>
      <c r="AM518" s="210"/>
      <c r="AN518" s="209"/>
    </row>
    <row r="519" spans="1:40" ht="27.95" customHeight="1">
      <c r="A519" s="134" t="str">
        <f>IF(I519&lt;&gt;"",COUNTA($I$2:I519),"")</f>
        <v/>
      </c>
      <c r="B519" s="138" t="str">
        <f t="shared" si="42"/>
        <v/>
      </c>
      <c r="C519" s="93" t="str">
        <f t="array" ref="C519">IF(E519="","",IF(M519&lt;&gt;"",
M519&amp;"/"&amp;SUMPRODUCT((M$2:M519=M519)*1)&amp;" - "&amp;(ROW()-2),
"إداري/"&amp;SUMPRODUCT((M$2:M519="")*1)&amp;" - "&amp;(ROW()-2)))</f>
        <v/>
      </c>
      <c r="D519" s="141" t="str">
        <f>IF(AND(G519="",H519="",I519=""),"",IF(COUNTIFS(LISTS!$A$2:$A$67,G519,LISTS!$B$2:$B$67,H519,LISTS!$C$2:$C$67,I519)=0,"✗ هرم",IF(NOT(OR(Z519="ممتاز 100%",Z519="جيد 80%",Z519="مقبول 60%",Z519="خطر 40%",Z519="")),"✗ قائمة R",IF(NOT(OR(AA519="ممتاز 100%",AA519="جيد 85%",AA519="مقبول 70%",AA519="ضعيف 50%",AA519="")),"✗ قائمة S",IF(NOT(OR(AB519="مكتمل 100%",AB519="جزئي 60%",AB519="معلق 30%",AB519="مفتوح 0%",AB519="")),"✗ قائمة T",IF(NOT(OR(AC519="لا خصم 0",AC519="تأخير −5",AC519="عجز −10",AC519="جودة −15",AC519="امتثال −20",AC519="مخالفة −25",AC519="")),"✗ قائمة U",IF(AND(X519="لا",AC519&lt;&gt;"",AC519&lt;&gt;"لا خصم 0"),"✗ خصم",IF(AND(X519="نعم",AC519="لا خصم 0"),"✗ خصم",IF(AND(Z519="ممتاز 100%",AA519="ممتاز 100%",AB519&lt;&gt;"",AB519&lt;&gt;"مكتمل 100%"),"✗ إغلاق",IFERROR(IF(LEN(_xlfn.TEXTJOIN("، ",TRUE,IF(E519="","التاريخ",""),IF(F519="","الوقت",""),IF(G519="","المركز",""),IF(H519="","الدائرة",""),IF(I519="","القسم",""),IF(J519="","المسؤول",""),IF(K519="","نوع النشاط",""),IF(L519="","المشروع",""),IF(N519="","الممول",""),IF(V519="","الموضوع",""),IF(W519="","الملاحظة",""),IF(X519="","مشكلة",""),IF(Y519="","الإجراء",""),IF(Z519="","التنفيذ",""),IF(AA519="","الجودة",""),IF(AB519="","الإغلاق",""),IF(AC519="","الخصم",""),IF(AND(COUNTA($O519:$U519)&gt;0,O519=""),"مدير المشروع",""),IF(AND(COUNTA($O519:$U519)&gt;0,P519=""),"المستفيدين",""),IF(AND(COUNTA($O519:$U519)&gt;0,Q519=""),"المناطق",""),IF(AND(COUNTA($O519:$U519)&gt;0,R519=""),"الميزانية",""),IF(AND(COUNTA($O519:$U519)&gt;0,S519=""),"نسبة الجاهزية",""),IF(AND(COUNTA($O519:$U519)&gt;0,T519=""),"حالة الجاهزية",""),IF(AND(COUNTA($O519:$U519)&gt;0,U519=""),"التوصيات","")))&gt;0,"✗ ناقص: "&amp;_xlfn.TEXTJOIN("، ",TRUE,IF(E519="","التاريخ",""),IF(F519="","الوقت",""),IF(G519="","المركز",""),IF(H519="","الدائرة",""),IF(I519="","القسم",""),IF(J519="","المسؤول",""),IF(K519="","نوع النشاط",""),IF(L519="","المشروع",""),IF(N519="","الممول",""),IF(V519="","الموضوع",""),IF(W519="","الملاحظة",""),IF(X519="","مشكلة",""),IF(Y519="","الإجراء",""),IF(Z519="","التنفيذ",""),IF(AA519="","الجودة",""),IF(AB519="","الإغلاق",""),IF(AC519="","الخصم",""),IF(AND(COUNTA($O519:$U519)&gt;0,O519=""),"مدير المشروع",""),IF(AND(COUNTA($O519:$U519)&gt;0,P519=""),"المستفيدين",""),IF(AND(COUNTA($O519:$U519)&gt;0,Q519=""),"المناطق",""),IF(AND(COUNTA($O519:$U519)&gt;0,R519=""),"الميزانية",""),IF(AND(COUNTA($O519:$U519)&gt;0,S519=""),"نسبة الجاهزية",""),IF(AND(COUNTA($O519:$U519)&gt;0,T519=""),"حالة الجاهزية",""),IF(AND(COUNTA($O519:$U519)&gt;0,U519=""),"التوصيات","")),"✓"),"✓"))))))))))</f>
        <v/>
      </c>
      <c r="E519" s="235"/>
      <c r="F519" s="236"/>
      <c r="G519" s="90"/>
      <c r="H519" s="239"/>
      <c r="I519" s="89"/>
      <c r="J519" s="142"/>
      <c r="K519" s="90"/>
      <c r="L519" s="90"/>
      <c r="M519" s="90"/>
      <c r="N519" s="89"/>
      <c r="O519" s="200"/>
      <c r="P519" s="201"/>
      <c r="Q519" s="201"/>
      <c r="R519" s="237"/>
      <c r="S519" s="202"/>
      <c r="T519" s="200"/>
      <c r="U519" s="203"/>
      <c r="V519" s="89"/>
      <c r="W519" s="89"/>
      <c r="X519" s="145"/>
      <c r="Y519" s="89"/>
      <c r="Z519" s="90"/>
      <c r="AA519" s="90"/>
      <c r="AB519" s="90"/>
      <c r="AC519" s="90"/>
      <c r="AD519" s="92"/>
      <c r="AE519" s="149" t="str">
        <f>IFERROR(VLOOKUP(Z519,LISTS!$AL$2:$AM$1000,2,FALSE()),"")</f>
        <v/>
      </c>
      <c r="AF519" s="151" t="str">
        <f>IFERROR(VLOOKUP(AA519,LISTS!$AO$2:$AP$1000,2,FALSE()),"")</f>
        <v/>
      </c>
      <c r="AG519" s="152" t="str">
        <f>IFERROR(VLOOKUP(AB519,LISTS!$AR$2:$AS$1000,2,FALSE()),"")</f>
        <v/>
      </c>
      <c r="AH519" s="154" t="str">
        <f>IFERROR(VLOOKUP(AC519,LISTS!$AU$2:$AV$1000,2,FALSE()),"")</f>
        <v/>
      </c>
      <c r="AI519" s="238" t="str">
        <f t="shared" si="43"/>
        <v>—</v>
      </c>
      <c r="AJ519" s="190" t="str">
        <f t="shared" si="44"/>
        <v>—</v>
      </c>
      <c r="AK519" s="157" t="str">
        <f t="shared" si="40"/>
        <v/>
      </c>
      <c r="AL519" s="160" t="str">
        <f t="shared" si="41"/>
        <v/>
      </c>
      <c r="AM519" s="210"/>
      <c r="AN519" s="209"/>
    </row>
    <row r="520" spans="1:40" ht="27.95" customHeight="1">
      <c r="A520" s="134" t="str">
        <f>IF(I520&lt;&gt;"",COUNTA($I$2:I520),"")</f>
        <v/>
      </c>
      <c r="B520" s="138" t="str">
        <f t="shared" si="42"/>
        <v/>
      </c>
      <c r="C520" s="93" t="str">
        <f t="array" ref="C520">IF(E520="","",IF(M520&lt;&gt;"",
M520&amp;"/"&amp;SUMPRODUCT((M$2:M520=M520)*1)&amp;" - "&amp;(ROW()-2),
"إداري/"&amp;SUMPRODUCT((M$2:M520="")*1)&amp;" - "&amp;(ROW()-2)))</f>
        <v/>
      </c>
      <c r="D520" s="141" t="str">
        <f>IF(AND(G520="",H520="",I520=""),"",IF(COUNTIFS(LISTS!$A$2:$A$67,G520,LISTS!$B$2:$B$67,H520,LISTS!$C$2:$C$67,I520)=0,"✗ هرم",IF(NOT(OR(Z520="ممتاز 100%",Z520="جيد 80%",Z520="مقبول 60%",Z520="خطر 40%",Z520="")),"✗ قائمة R",IF(NOT(OR(AA520="ممتاز 100%",AA520="جيد 85%",AA520="مقبول 70%",AA520="ضعيف 50%",AA520="")),"✗ قائمة S",IF(NOT(OR(AB520="مكتمل 100%",AB520="جزئي 60%",AB520="معلق 30%",AB520="مفتوح 0%",AB520="")),"✗ قائمة T",IF(NOT(OR(AC520="لا خصم 0",AC520="تأخير −5",AC520="عجز −10",AC520="جودة −15",AC520="امتثال −20",AC520="مخالفة −25",AC520="")),"✗ قائمة U",IF(AND(X520="لا",AC520&lt;&gt;"",AC520&lt;&gt;"لا خصم 0"),"✗ خصم",IF(AND(X520="نعم",AC520="لا خصم 0"),"✗ خصم",IF(AND(Z520="ممتاز 100%",AA520="ممتاز 100%",AB520&lt;&gt;"",AB520&lt;&gt;"مكتمل 100%"),"✗ إغلاق",IFERROR(IF(LEN(_xlfn.TEXTJOIN("، ",TRUE,IF(E520="","التاريخ",""),IF(F520="","الوقت",""),IF(G520="","المركز",""),IF(H520="","الدائرة",""),IF(I520="","القسم",""),IF(J520="","المسؤول",""),IF(K520="","نوع النشاط",""),IF(L520="","المشروع",""),IF(N520="","الممول",""),IF(V520="","الموضوع",""),IF(W520="","الملاحظة",""),IF(X520="","مشكلة",""),IF(Y520="","الإجراء",""),IF(Z520="","التنفيذ",""),IF(AA520="","الجودة",""),IF(AB520="","الإغلاق",""),IF(AC520="","الخصم",""),IF(AND(COUNTA($O520:$U520)&gt;0,O520=""),"مدير المشروع",""),IF(AND(COUNTA($O520:$U520)&gt;0,P520=""),"المستفيدين",""),IF(AND(COUNTA($O520:$U520)&gt;0,Q520=""),"المناطق",""),IF(AND(COUNTA($O520:$U520)&gt;0,R520=""),"الميزانية",""),IF(AND(COUNTA($O520:$U520)&gt;0,S520=""),"نسبة الجاهزية",""),IF(AND(COUNTA($O520:$U520)&gt;0,T520=""),"حالة الجاهزية",""),IF(AND(COUNTA($O520:$U520)&gt;0,U520=""),"التوصيات","")))&gt;0,"✗ ناقص: "&amp;_xlfn.TEXTJOIN("، ",TRUE,IF(E520="","التاريخ",""),IF(F520="","الوقت",""),IF(G520="","المركز",""),IF(H520="","الدائرة",""),IF(I520="","القسم",""),IF(J520="","المسؤول",""),IF(K520="","نوع النشاط",""),IF(L520="","المشروع",""),IF(N520="","الممول",""),IF(V520="","الموضوع",""),IF(W520="","الملاحظة",""),IF(X520="","مشكلة",""),IF(Y520="","الإجراء",""),IF(Z520="","التنفيذ",""),IF(AA520="","الجودة",""),IF(AB520="","الإغلاق",""),IF(AC520="","الخصم",""),IF(AND(COUNTA($O520:$U520)&gt;0,O520=""),"مدير المشروع",""),IF(AND(COUNTA($O520:$U520)&gt;0,P520=""),"المستفيدين",""),IF(AND(COUNTA($O520:$U520)&gt;0,Q520=""),"المناطق",""),IF(AND(COUNTA($O520:$U520)&gt;0,R520=""),"الميزانية",""),IF(AND(COUNTA($O520:$U520)&gt;0,S520=""),"نسبة الجاهزية",""),IF(AND(COUNTA($O520:$U520)&gt;0,T520=""),"حالة الجاهزية",""),IF(AND(COUNTA($O520:$U520)&gt;0,U520=""),"التوصيات","")),"✓"),"✓"))))))))))</f>
        <v/>
      </c>
      <c r="E520" s="235"/>
      <c r="F520" s="236"/>
      <c r="G520" s="90"/>
      <c r="H520" s="239"/>
      <c r="I520" s="89"/>
      <c r="J520" s="142"/>
      <c r="K520" s="90"/>
      <c r="L520" s="90"/>
      <c r="M520" s="90"/>
      <c r="N520" s="89"/>
      <c r="O520" s="200"/>
      <c r="P520" s="201"/>
      <c r="Q520" s="201"/>
      <c r="R520" s="237"/>
      <c r="S520" s="202"/>
      <c r="T520" s="200"/>
      <c r="U520" s="203"/>
      <c r="V520" s="89"/>
      <c r="W520" s="89"/>
      <c r="X520" s="145"/>
      <c r="Y520" s="89"/>
      <c r="Z520" s="90"/>
      <c r="AA520" s="90"/>
      <c r="AB520" s="90"/>
      <c r="AC520" s="90"/>
      <c r="AD520" s="92"/>
      <c r="AE520" s="149" t="str">
        <f>IFERROR(VLOOKUP(Z520,LISTS!$AL$2:$AM$1000,2,FALSE()),"")</f>
        <v/>
      </c>
      <c r="AF520" s="151" t="str">
        <f>IFERROR(VLOOKUP(AA520,LISTS!$AO$2:$AP$1000,2,FALSE()),"")</f>
        <v/>
      </c>
      <c r="AG520" s="152" t="str">
        <f>IFERROR(VLOOKUP(AB520,LISTS!$AR$2:$AS$1000,2,FALSE()),"")</f>
        <v/>
      </c>
      <c r="AH520" s="154" t="str">
        <f>IFERROR(VLOOKUP(AC520,LISTS!$AU$2:$AV$1000,2,FALSE()),"")</f>
        <v/>
      </c>
      <c r="AI520" s="238" t="str">
        <f t="shared" si="43"/>
        <v>—</v>
      </c>
      <c r="AJ520" s="190" t="str">
        <f t="shared" si="44"/>
        <v>—</v>
      </c>
      <c r="AK520" s="157" t="str">
        <f t="shared" si="40"/>
        <v/>
      </c>
      <c r="AL520" s="160" t="str">
        <f t="shared" si="41"/>
        <v/>
      </c>
      <c r="AM520" s="210"/>
      <c r="AN520" s="209"/>
    </row>
    <row r="521" spans="1:40" ht="27.95" customHeight="1">
      <c r="A521" s="134" t="str">
        <f>IF(I521&lt;&gt;"",COUNTA($I$2:I521),"")</f>
        <v/>
      </c>
      <c r="B521" s="138" t="str">
        <f t="shared" si="42"/>
        <v/>
      </c>
      <c r="C521" s="93" t="str">
        <f t="array" ref="C521">IF(E521="","",IF(M521&lt;&gt;"",
M521&amp;"/"&amp;SUMPRODUCT((M$2:M521=M521)*1)&amp;" - "&amp;(ROW()-2),
"إداري/"&amp;SUMPRODUCT((M$2:M521="")*1)&amp;" - "&amp;(ROW()-2)))</f>
        <v/>
      </c>
      <c r="D521" s="141" t="str">
        <f>IF(AND(G521="",H521="",I521=""),"",IF(COUNTIFS(LISTS!$A$2:$A$67,G521,LISTS!$B$2:$B$67,H521,LISTS!$C$2:$C$67,I521)=0,"✗ هرم",IF(NOT(OR(Z521="ممتاز 100%",Z521="جيد 80%",Z521="مقبول 60%",Z521="خطر 40%",Z521="")),"✗ قائمة R",IF(NOT(OR(AA521="ممتاز 100%",AA521="جيد 85%",AA521="مقبول 70%",AA521="ضعيف 50%",AA521="")),"✗ قائمة S",IF(NOT(OR(AB521="مكتمل 100%",AB521="جزئي 60%",AB521="معلق 30%",AB521="مفتوح 0%",AB521="")),"✗ قائمة T",IF(NOT(OR(AC521="لا خصم 0",AC521="تأخير −5",AC521="عجز −10",AC521="جودة −15",AC521="امتثال −20",AC521="مخالفة −25",AC521="")),"✗ قائمة U",IF(AND(X521="لا",AC521&lt;&gt;"",AC521&lt;&gt;"لا خصم 0"),"✗ خصم",IF(AND(X521="نعم",AC521="لا خصم 0"),"✗ خصم",IF(AND(Z521="ممتاز 100%",AA521="ممتاز 100%",AB521&lt;&gt;"",AB521&lt;&gt;"مكتمل 100%"),"✗ إغلاق",IFERROR(IF(LEN(_xlfn.TEXTJOIN("، ",TRUE,IF(E521="","التاريخ",""),IF(F521="","الوقت",""),IF(G521="","المركز",""),IF(H521="","الدائرة",""),IF(I521="","القسم",""),IF(J521="","المسؤول",""),IF(K521="","نوع النشاط",""),IF(L521="","المشروع",""),IF(N521="","الممول",""),IF(V521="","الموضوع",""),IF(W521="","الملاحظة",""),IF(X521="","مشكلة",""),IF(Y521="","الإجراء",""),IF(Z521="","التنفيذ",""),IF(AA521="","الجودة",""),IF(AB521="","الإغلاق",""),IF(AC521="","الخصم",""),IF(AND(COUNTA($O521:$U521)&gt;0,O521=""),"مدير المشروع",""),IF(AND(COUNTA($O521:$U521)&gt;0,P521=""),"المستفيدين",""),IF(AND(COUNTA($O521:$U521)&gt;0,Q521=""),"المناطق",""),IF(AND(COUNTA($O521:$U521)&gt;0,R521=""),"الميزانية",""),IF(AND(COUNTA($O521:$U521)&gt;0,S521=""),"نسبة الجاهزية",""),IF(AND(COUNTA($O521:$U521)&gt;0,T521=""),"حالة الجاهزية",""),IF(AND(COUNTA($O521:$U521)&gt;0,U521=""),"التوصيات","")))&gt;0,"✗ ناقص: "&amp;_xlfn.TEXTJOIN("، ",TRUE,IF(E521="","التاريخ",""),IF(F521="","الوقت",""),IF(G521="","المركز",""),IF(H521="","الدائرة",""),IF(I521="","القسم",""),IF(J521="","المسؤول",""),IF(K521="","نوع النشاط",""),IF(L521="","المشروع",""),IF(N521="","الممول",""),IF(V521="","الموضوع",""),IF(W521="","الملاحظة",""),IF(X521="","مشكلة",""),IF(Y521="","الإجراء",""),IF(Z521="","التنفيذ",""),IF(AA521="","الجودة",""),IF(AB521="","الإغلاق",""),IF(AC521="","الخصم",""),IF(AND(COUNTA($O521:$U521)&gt;0,O521=""),"مدير المشروع",""),IF(AND(COUNTA($O521:$U521)&gt;0,P521=""),"المستفيدين",""),IF(AND(COUNTA($O521:$U521)&gt;0,Q521=""),"المناطق",""),IF(AND(COUNTA($O521:$U521)&gt;0,R521=""),"الميزانية",""),IF(AND(COUNTA($O521:$U521)&gt;0,S521=""),"نسبة الجاهزية",""),IF(AND(COUNTA($O521:$U521)&gt;0,T521=""),"حالة الجاهزية",""),IF(AND(COUNTA($O521:$U521)&gt;0,U521=""),"التوصيات","")),"✓"),"✓"))))))))))</f>
        <v/>
      </c>
      <c r="E521" s="235"/>
      <c r="F521" s="236"/>
      <c r="G521" s="90"/>
      <c r="H521" s="239"/>
      <c r="I521" s="89"/>
      <c r="J521" s="142"/>
      <c r="K521" s="90"/>
      <c r="L521" s="90"/>
      <c r="M521" s="90"/>
      <c r="N521" s="89"/>
      <c r="O521" s="200"/>
      <c r="P521" s="201"/>
      <c r="Q521" s="201"/>
      <c r="R521" s="237"/>
      <c r="S521" s="202"/>
      <c r="T521" s="200"/>
      <c r="U521" s="203"/>
      <c r="V521" s="89"/>
      <c r="W521" s="89"/>
      <c r="X521" s="145"/>
      <c r="Y521" s="89"/>
      <c r="Z521" s="90"/>
      <c r="AA521" s="90"/>
      <c r="AB521" s="90"/>
      <c r="AC521" s="90"/>
      <c r="AD521" s="92"/>
      <c r="AE521" s="149" t="str">
        <f>IFERROR(VLOOKUP(Z521,LISTS!$AL$2:$AM$1000,2,FALSE()),"")</f>
        <v/>
      </c>
      <c r="AF521" s="151" t="str">
        <f>IFERROR(VLOOKUP(AA521,LISTS!$AO$2:$AP$1000,2,FALSE()),"")</f>
        <v/>
      </c>
      <c r="AG521" s="152" t="str">
        <f>IFERROR(VLOOKUP(AB521,LISTS!$AR$2:$AS$1000,2,FALSE()),"")</f>
        <v/>
      </c>
      <c r="AH521" s="154" t="str">
        <f>IFERROR(VLOOKUP(AC521,LISTS!$AU$2:$AV$1000,2,FALSE()),"")</f>
        <v/>
      </c>
      <c r="AI521" s="238" t="str">
        <f t="shared" si="43"/>
        <v>—</v>
      </c>
      <c r="AJ521" s="190" t="str">
        <f t="shared" si="44"/>
        <v>—</v>
      </c>
      <c r="AK521" s="157" t="str">
        <f t="shared" si="40"/>
        <v/>
      </c>
      <c r="AL521" s="160" t="str">
        <f t="shared" si="41"/>
        <v/>
      </c>
      <c r="AM521" s="210"/>
      <c r="AN521" s="209"/>
    </row>
    <row r="522" spans="1:40" ht="27.95" customHeight="1">
      <c r="A522" s="134" t="str">
        <f>IF(I522&lt;&gt;"",COUNTA($I$2:I522),"")</f>
        <v/>
      </c>
      <c r="B522" s="138" t="str">
        <f t="shared" si="42"/>
        <v/>
      </c>
      <c r="C522" s="93" t="str">
        <f t="array" ref="C522">IF(E522="","",IF(M522&lt;&gt;"",
M522&amp;"/"&amp;SUMPRODUCT((M$2:M522=M522)*1)&amp;" - "&amp;(ROW()-2),
"إداري/"&amp;SUMPRODUCT((M$2:M522="")*1)&amp;" - "&amp;(ROW()-2)))</f>
        <v/>
      </c>
      <c r="D522" s="141" t="str">
        <f>IF(AND(G522="",H522="",I522=""),"",IF(COUNTIFS(LISTS!$A$2:$A$67,G522,LISTS!$B$2:$B$67,H522,LISTS!$C$2:$C$67,I522)=0,"✗ هرم",IF(NOT(OR(Z522="ممتاز 100%",Z522="جيد 80%",Z522="مقبول 60%",Z522="خطر 40%",Z522="")),"✗ قائمة R",IF(NOT(OR(AA522="ممتاز 100%",AA522="جيد 85%",AA522="مقبول 70%",AA522="ضعيف 50%",AA522="")),"✗ قائمة S",IF(NOT(OR(AB522="مكتمل 100%",AB522="جزئي 60%",AB522="معلق 30%",AB522="مفتوح 0%",AB522="")),"✗ قائمة T",IF(NOT(OR(AC522="لا خصم 0",AC522="تأخير −5",AC522="عجز −10",AC522="جودة −15",AC522="امتثال −20",AC522="مخالفة −25",AC522="")),"✗ قائمة U",IF(AND(X522="لا",AC522&lt;&gt;"",AC522&lt;&gt;"لا خصم 0"),"✗ خصم",IF(AND(X522="نعم",AC522="لا خصم 0"),"✗ خصم",IF(AND(Z522="ممتاز 100%",AA522="ممتاز 100%",AB522&lt;&gt;"",AB522&lt;&gt;"مكتمل 100%"),"✗ إغلاق",IFERROR(IF(LEN(_xlfn.TEXTJOIN("، ",TRUE,IF(E522="","التاريخ",""),IF(F522="","الوقت",""),IF(G522="","المركز",""),IF(H522="","الدائرة",""),IF(I522="","القسم",""),IF(J522="","المسؤول",""),IF(K522="","نوع النشاط",""),IF(L522="","المشروع",""),IF(N522="","الممول",""),IF(V522="","الموضوع",""),IF(W522="","الملاحظة",""),IF(X522="","مشكلة",""),IF(Y522="","الإجراء",""),IF(Z522="","التنفيذ",""),IF(AA522="","الجودة",""),IF(AB522="","الإغلاق",""),IF(AC522="","الخصم",""),IF(AND(COUNTA($O522:$U522)&gt;0,O522=""),"مدير المشروع",""),IF(AND(COUNTA($O522:$U522)&gt;0,P522=""),"المستفيدين",""),IF(AND(COUNTA($O522:$U522)&gt;0,Q522=""),"المناطق",""),IF(AND(COUNTA($O522:$U522)&gt;0,R522=""),"الميزانية",""),IF(AND(COUNTA($O522:$U522)&gt;0,S522=""),"نسبة الجاهزية",""),IF(AND(COUNTA($O522:$U522)&gt;0,T522=""),"حالة الجاهزية",""),IF(AND(COUNTA($O522:$U522)&gt;0,U522=""),"التوصيات","")))&gt;0,"✗ ناقص: "&amp;_xlfn.TEXTJOIN("، ",TRUE,IF(E522="","التاريخ",""),IF(F522="","الوقت",""),IF(G522="","المركز",""),IF(H522="","الدائرة",""),IF(I522="","القسم",""),IF(J522="","المسؤول",""),IF(K522="","نوع النشاط",""),IF(L522="","المشروع",""),IF(N522="","الممول",""),IF(V522="","الموضوع",""),IF(W522="","الملاحظة",""),IF(X522="","مشكلة",""),IF(Y522="","الإجراء",""),IF(Z522="","التنفيذ",""),IF(AA522="","الجودة",""),IF(AB522="","الإغلاق",""),IF(AC522="","الخصم",""),IF(AND(COUNTA($O522:$U522)&gt;0,O522=""),"مدير المشروع",""),IF(AND(COUNTA($O522:$U522)&gt;0,P522=""),"المستفيدين",""),IF(AND(COUNTA($O522:$U522)&gt;0,Q522=""),"المناطق",""),IF(AND(COUNTA($O522:$U522)&gt;0,R522=""),"الميزانية",""),IF(AND(COUNTA($O522:$U522)&gt;0,S522=""),"نسبة الجاهزية",""),IF(AND(COUNTA($O522:$U522)&gt;0,T522=""),"حالة الجاهزية",""),IF(AND(COUNTA($O522:$U522)&gt;0,U522=""),"التوصيات","")),"✓"),"✓"))))))))))</f>
        <v/>
      </c>
      <c r="E522" s="235"/>
      <c r="F522" s="236"/>
      <c r="G522" s="90"/>
      <c r="H522" s="239"/>
      <c r="I522" s="89"/>
      <c r="J522" s="142"/>
      <c r="K522" s="90"/>
      <c r="L522" s="90"/>
      <c r="M522" s="90"/>
      <c r="N522" s="89"/>
      <c r="O522" s="200"/>
      <c r="P522" s="201"/>
      <c r="Q522" s="201"/>
      <c r="R522" s="237"/>
      <c r="S522" s="202"/>
      <c r="T522" s="200"/>
      <c r="U522" s="203"/>
      <c r="V522" s="89"/>
      <c r="W522" s="89"/>
      <c r="X522" s="145"/>
      <c r="Y522" s="89"/>
      <c r="Z522" s="90"/>
      <c r="AA522" s="90"/>
      <c r="AB522" s="90"/>
      <c r="AC522" s="90"/>
      <c r="AD522" s="92"/>
      <c r="AE522" s="149" t="str">
        <f>IFERROR(VLOOKUP(Z522,LISTS!$AL$2:$AM$1000,2,FALSE()),"")</f>
        <v/>
      </c>
      <c r="AF522" s="151" t="str">
        <f>IFERROR(VLOOKUP(AA522,LISTS!$AO$2:$AP$1000,2,FALSE()),"")</f>
        <v/>
      </c>
      <c r="AG522" s="152" t="str">
        <f>IFERROR(VLOOKUP(AB522,LISTS!$AR$2:$AS$1000,2,FALSE()),"")</f>
        <v/>
      </c>
      <c r="AH522" s="154" t="str">
        <f>IFERROR(VLOOKUP(AC522,LISTS!$AU$2:$AV$1000,2,FALSE()),"")</f>
        <v/>
      </c>
      <c r="AI522" s="238" t="str">
        <f t="shared" si="43"/>
        <v>—</v>
      </c>
      <c r="AJ522" s="190" t="str">
        <f t="shared" si="44"/>
        <v>—</v>
      </c>
      <c r="AK522" s="157" t="str">
        <f t="shared" si="40"/>
        <v/>
      </c>
      <c r="AL522" s="160" t="str">
        <f t="shared" si="41"/>
        <v/>
      </c>
      <c r="AM522" s="210"/>
      <c r="AN522" s="209"/>
    </row>
    <row r="523" spans="1:40" ht="27.95" customHeight="1">
      <c r="A523" s="134" t="str">
        <f>IF(I523&lt;&gt;"",COUNTA($I$2:I523),"")</f>
        <v/>
      </c>
      <c r="B523" s="138" t="str">
        <f t="shared" si="42"/>
        <v/>
      </c>
      <c r="C523" s="93" t="str">
        <f t="array" ref="C523">IF(E523="","",IF(M523&lt;&gt;"",
M523&amp;"/"&amp;SUMPRODUCT((M$2:M523=M523)*1)&amp;" - "&amp;(ROW()-2),
"إداري/"&amp;SUMPRODUCT((M$2:M523="")*1)&amp;" - "&amp;(ROW()-2)))</f>
        <v/>
      </c>
      <c r="D523" s="141" t="str">
        <f>IF(AND(G523="",H523="",I523=""),"",IF(COUNTIFS(LISTS!$A$2:$A$67,G523,LISTS!$B$2:$B$67,H523,LISTS!$C$2:$C$67,I523)=0,"✗ هرم",IF(NOT(OR(Z523="ممتاز 100%",Z523="جيد 80%",Z523="مقبول 60%",Z523="خطر 40%",Z523="")),"✗ قائمة R",IF(NOT(OR(AA523="ممتاز 100%",AA523="جيد 85%",AA523="مقبول 70%",AA523="ضعيف 50%",AA523="")),"✗ قائمة S",IF(NOT(OR(AB523="مكتمل 100%",AB523="جزئي 60%",AB523="معلق 30%",AB523="مفتوح 0%",AB523="")),"✗ قائمة T",IF(NOT(OR(AC523="لا خصم 0",AC523="تأخير −5",AC523="عجز −10",AC523="جودة −15",AC523="امتثال −20",AC523="مخالفة −25",AC523="")),"✗ قائمة U",IF(AND(X523="لا",AC523&lt;&gt;"",AC523&lt;&gt;"لا خصم 0"),"✗ خصم",IF(AND(X523="نعم",AC523="لا خصم 0"),"✗ خصم",IF(AND(Z523="ممتاز 100%",AA523="ممتاز 100%",AB523&lt;&gt;"",AB523&lt;&gt;"مكتمل 100%"),"✗ إغلاق",IFERROR(IF(LEN(_xlfn.TEXTJOIN("، ",TRUE,IF(E523="","التاريخ",""),IF(F523="","الوقت",""),IF(G523="","المركز",""),IF(H523="","الدائرة",""),IF(I523="","القسم",""),IF(J523="","المسؤول",""),IF(K523="","نوع النشاط",""),IF(L523="","المشروع",""),IF(N523="","الممول",""),IF(V523="","الموضوع",""),IF(W523="","الملاحظة",""),IF(X523="","مشكلة",""),IF(Y523="","الإجراء",""),IF(Z523="","التنفيذ",""),IF(AA523="","الجودة",""),IF(AB523="","الإغلاق",""),IF(AC523="","الخصم",""),IF(AND(COUNTA($O523:$U523)&gt;0,O523=""),"مدير المشروع",""),IF(AND(COUNTA($O523:$U523)&gt;0,P523=""),"المستفيدين",""),IF(AND(COUNTA($O523:$U523)&gt;0,Q523=""),"المناطق",""),IF(AND(COUNTA($O523:$U523)&gt;0,R523=""),"الميزانية",""),IF(AND(COUNTA($O523:$U523)&gt;0,S523=""),"نسبة الجاهزية",""),IF(AND(COUNTA($O523:$U523)&gt;0,T523=""),"حالة الجاهزية",""),IF(AND(COUNTA($O523:$U523)&gt;0,U523=""),"التوصيات","")))&gt;0,"✗ ناقص: "&amp;_xlfn.TEXTJOIN("، ",TRUE,IF(E523="","التاريخ",""),IF(F523="","الوقت",""),IF(G523="","المركز",""),IF(H523="","الدائرة",""),IF(I523="","القسم",""),IF(J523="","المسؤول",""),IF(K523="","نوع النشاط",""),IF(L523="","المشروع",""),IF(N523="","الممول",""),IF(V523="","الموضوع",""),IF(W523="","الملاحظة",""),IF(X523="","مشكلة",""),IF(Y523="","الإجراء",""),IF(Z523="","التنفيذ",""),IF(AA523="","الجودة",""),IF(AB523="","الإغلاق",""),IF(AC523="","الخصم",""),IF(AND(COUNTA($O523:$U523)&gt;0,O523=""),"مدير المشروع",""),IF(AND(COUNTA($O523:$U523)&gt;0,P523=""),"المستفيدين",""),IF(AND(COUNTA($O523:$U523)&gt;0,Q523=""),"المناطق",""),IF(AND(COUNTA($O523:$U523)&gt;0,R523=""),"الميزانية",""),IF(AND(COUNTA($O523:$U523)&gt;0,S523=""),"نسبة الجاهزية",""),IF(AND(COUNTA($O523:$U523)&gt;0,T523=""),"حالة الجاهزية",""),IF(AND(COUNTA($O523:$U523)&gt;0,U523=""),"التوصيات","")),"✓"),"✓"))))))))))</f>
        <v/>
      </c>
      <c r="E523" s="235"/>
      <c r="F523" s="236"/>
      <c r="G523" s="90"/>
      <c r="H523" s="239"/>
      <c r="I523" s="89"/>
      <c r="J523" s="142"/>
      <c r="K523" s="90"/>
      <c r="L523" s="90"/>
      <c r="M523" s="90"/>
      <c r="N523" s="89"/>
      <c r="O523" s="200"/>
      <c r="P523" s="201"/>
      <c r="Q523" s="201"/>
      <c r="R523" s="237"/>
      <c r="S523" s="202"/>
      <c r="T523" s="200"/>
      <c r="U523" s="203"/>
      <c r="V523" s="89"/>
      <c r="W523" s="89"/>
      <c r="X523" s="145"/>
      <c r="Y523" s="89"/>
      <c r="Z523" s="90"/>
      <c r="AA523" s="90"/>
      <c r="AB523" s="90"/>
      <c r="AC523" s="90"/>
      <c r="AD523" s="92"/>
      <c r="AE523" s="149" t="str">
        <f>IFERROR(VLOOKUP(Z523,LISTS!$AL$2:$AM$1000,2,FALSE()),"")</f>
        <v/>
      </c>
      <c r="AF523" s="151" t="str">
        <f>IFERROR(VLOOKUP(AA523,LISTS!$AO$2:$AP$1000,2,FALSE()),"")</f>
        <v/>
      </c>
      <c r="AG523" s="152" t="str">
        <f>IFERROR(VLOOKUP(AB523,LISTS!$AR$2:$AS$1000,2,FALSE()),"")</f>
        <v/>
      </c>
      <c r="AH523" s="154" t="str">
        <f>IFERROR(VLOOKUP(AC523,LISTS!$AU$2:$AV$1000,2,FALSE()),"")</f>
        <v/>
      </c>
      <c r="AI523" s="238" t="str">
        <f t="shared" si="43"/>
        <v>—</v>
      </c>
      <c r="AJ523" s="190" t="str">
        <f t="shared" si="44"/>
        <v>—</v>
      </c>
      <c r="AK523" s="157" t="str">
        <f t="shared" si="40"/>
        <v/>
      </c>
      <c r="AL523" s="160" t="str">
        <f t="shared" si="41"/>
        <v/>
      </c>
      <c r="AM523" s="210"/>
      <c r="AN523" s="209"/>
    </row>
    <row r="524" spans="1:40" ht="27.95" customHeight="1">
      <c r="A524" s="134" t="str">
        <f>IF(I524&lt;&gt;"",COUNTA($I$2:I524),"")</f>
        <v/>
      </c>
      <c r="B524" s="138" t="str">
        <f t="shared" si="42"/>
        <v/>
      </c>
      <c r="C524" s="93" t="str">
        <f t="array" ref="C524">IF(E524="","",IF(M524&lt;&gt;"",
M524&amp;"/"&amp;SUMPRODUCT((M$2:M524=M524)*1)&amp;" - "&amp;(ROW()-2),
"إداري/"&amp;SUMPRODUCT((M$2:M524="")*1)&amp;" - "&amp;(ROW()-2)))</f>
        <v/>
      </c>
      <c r="D524" s="141" t="str">
        <f>IF(AND(G524="",H524="",I524=""),"",IF(COUNTIFS(LISTS!$A$2:$A$67,G524,LISTS!$B$2:$B$67,H524,LISTS!$C$2:$C$67,I524)=0,"✗ هرم",IF(NOT(OR(Z524="ممتاز 100%",Z524="جيد 80%",Z524="مقبول 60%",Z524="خطر 40%",Z524="")),"✗ قائمة R",IF(NOT(OR(AA524="ممتاز 100%",AA524="جيد 85%",AA524="مقبول 70%",AA524="ضعيف 50%",AA524="")),"✗ قائمة S",IF(NOT(OR(AB524="مكتمل 100%",AB524="جزئي 60%",AB524="معلق 30%",AB524="مفتوح 0%",AB524="")),"✗ قائمة T",IF(NOT(OR(AC524="لا خصم 0",AC524="تأخير −5",AC524="عجز −10",AC524="جودة −15",AC524="امتثال −20",AC524="مخالفة −25",AC524="")),"✗ قائمة U",IF(AND(X524="لا",AC524&lt;&gt;"",AC524&lt;&gt;"لا خصم 0"),"✗ خصم",IF(AND(X524="نعم",AC524="لا خصم 0"),"✗ خصم",IF(AND(Z524="ممتاز 100%",AA524="ممتاز 100%",AB524&lt;&gt;"",AB524&lt;&gt;"مكتمل 100%"),"✗ إغلاق",IFERROR(IF(LEN(_xlfn.TEXTJOIN("، ",TRUE,IF(E524="","التاريخ",""),IF(F524="","الوقت",""),IF(G524="","المركز",""),IF(H524="","الدائرة",""),IF(I524="","القسم",""),IF(J524="","المسؤول",""),IF(K524="","نوع النشاط",""),IF(L524="","المشروع",""),IF(N524="","الممول",""),IF(V524="","الموضوع",""),IF(W524="","الملاحظة",""),IF(X524="","مشكلة",""),IF(Y524="","الإجراء",""),IF(Z524="","التنفيذ",""),IF(AA524="","الجودة",""),IF(AB524="","الإغلاق",""),IF(AC524="","الخصم",""),IF(AND(COUNTA($O524:$U524)&gt;0,O524=""),"مدير المشروع",""),IF(AND(COUNTA($O524:$U524)&gt;0,P524=""),"المستفيدين",""),IF(AND(COUNTA($O524:$U524)&gt;0,Q524=""),"المناطق",""),IF(AND(COUNTA($O524:$U524)&gt;0,R524=""),"الميزانية",""),IF(AND(COUNTA($O524:$U524)&gt;0,S524=""),"نسبة الجاهزية",""),IF(AND(COUNTA($O524:$U524)&gt;0,T524=""),"حالة الجاهزية",""),IF(AND(COUNTA($O524:$U524)&gt;0,U524=""),"التوصيات","")))&gt;0,"✗ ناقص: "&amp;_xlfn.TEXTJOIN("، ",TRUE,IF(E524="","التاريخ",""),IF(F524="","الوقت",""),IF(G524="","المركز",""),IF(H524="","الدائرة",""),IF(I524="","القسم",""),IF(J524="","المسؤول",""),IF(K524="","نوع النشاط",""),IF(L524="","المشروع",""),IF(N524="","الممول",""),IF(V524="","الموضوع",""),IF(W524="","الملاحظة",""),IF(X524="","مشكلة",""),IF(Y524="","الإجراء",""),IF(Z524="","التنفيذ",""),IF(AA524="","الجودة",""),IF(AB524="","الإغلاق",""),IF(AC524="","الخصم",""),IF(AND(COUNTA($O524:$U524)&gt;0,O524=""),"مدير المشروع",""),IF(AND(COUNTA($O524:$U524)&gt;0,P524=""),"المستفيدين",""),IF(AND(COUNTA($O524:$U524)&gt;0,Q524=""),"المناطق",""),IF(AND(COUNTA($O524:$U524)&gt;0,R524=""),"الميزانية",""),IF(AND(COUNTA($O524:$U524)&gt;0,S524=""),"نسبة الجاهزية",""),IF(AND(COUNTA($O524:$U524)&gt;0,T524=""),"حالة الجاهزية",""),IF(AND(COUNTA($O524:$U524)&gt;0,U524=""),"التوصيات","")),"✓"),"✓"))))))))))</f>
        <v/>
      </c>
      <c r="E524" s="235"/>
      <c r="F524" s="236"/>
      <c r="G524" s="90"/>
      <c r="H524" s="239"/>
      <c r="I524" s="89"/>
      <c r="J524" s="142"/>
      <c r="K524" s="90"/>
      <c r="L524" s="90"/>
      <c r="M524" s="90"/>
      <c r="N524" s="89"/>
      <c r="O524" s="200"/>
      <c r="P524" s="201"/>
      <c r="Q524" s="201"/>
      <c r="R524" s="237"/>
      <c r="S524" s="202"/>
      <c r="T524" s="200"/>
      <c r="U524" s="203"/>
      <c r="V524" s="89"/>
      <c r="W524" s="89"/>
      <c r="X524" s="145"/>
      <c r="Y524" s="89"/>
      <c r="Z524" s="90"/>
      <c r="AA524" s="90"/>
      <c r="AB524" s="90"/>
      <c r="AC524" s="90"/>
      <c r="AD524" s="92"/>
      <c r="AE524" s="149" t="str">
        <f>IFERROR(VLOOKUP(Z524,LISTS!$AL$2:$AM$1000,2,FALSE()),"")</f>
        <v/>
      </c>
      <c r="AF524" s="151" t="str">
        <f>IFERROR(VLOOKUP(AA524,LISTS!$AO$2:$AP$1000,2,FALSE()),"")</f>
        <v/>
      </c>
      <c r="AG524" s="152" t="str">
        <f>IFERROR(VLOOKUP(AB524,LISTS!$AR$2:$AS$1000,2,FALSE()),"")</f>
        <v/>
      </c>
      <c r="AH524" s="154" t="str">
        <f>IFERROR(VLOOKUP(AC524,LISTS!$AU$2:$AV$1000,2,FALSE()),"")</f>
        <v/>
      </c>
      <c r="AI524" s="238" t="str">
        <f t="shared" si="43"/>
        <v>—</v>
      </c>
      <c r="AJ524" s="190" t="str">
        <f t="shared" si="44"/>
        <v>—</v>
      </c>
      <c r="AK524" s="157" t="str">
        <f t="shared" si="40"/>
        <v/>
      </c>
      <c r="AL524" s="160" t="str">
        <f t="shared" si="41"/>
        <v/>
      </c>
      <c r="AM524" s="210"/>
      <c r="AN524" s="209"/>
    </row>
    <row r="525" spans="1:40" ht="27.95" customHeight="1">
      <c r="A525" s="134" t="str">
        <f>IF(I525&lt;&gt;"",COUNTA($I$2:I525),"")</f>
        <v/>
      </c>
      <c r="B525" s="138" t="str">
        <f t="shared" si="42"/>
        <v/>
      </c>
      <c r="C525" s="93" t="str">
        <f t="array" ref="C525">IF(E525="","",IF(M525&lt;&gt;"",
M525&amp;"/"&amp;SUMPRODUCT((M$2:M525=M525)*1)&amp;" - "&amp;(ROW()-2),
"إداري/"&amp;SUMPRODUCT((M$2:M525="")*1)&amp;" - "&amp;(ROW()-2)))</f>
        <v/>
      </c>
      <c r="D525" s="141" t="str">
        <f>IF(AND(G525="",H525="",I525=""),"",IF(COUNTIFS(LISTS!$A$2:$A$67,G525,LISTS!$B$2:$B$67,H525,LISTS!$C$2:$C$67,I525)=0,"✗ هرم",IF(NOT(OR(Z525="ممتاز 100%",Z525="جيد 80%",Z525="مقبول 60%",Z525="خطر 40%",Z525="")),"✗ قائمة R",IF(NOT(OR(AA525="ممتاز 100%",AA525="جيد 85%",AA525="مقبول 70%",AA525="ضعيف 50%",AA525="")),"✗ قائمة S",IF(NOT(OR(AB525="مكتمل 100%",AB525="جزئي 60%",AB525="معلق 30%",AB525="مفتوح 0%",AB525="")),"✗ قائمة T",IF(NOT(OR(AC525="لا خصم 0",AC525="تأخير −5",AC525="عجز −10",AC525="جودة −15",AC525="امتثال −20",AC525="مخالفة −25",AC525="")),"✗ قائمة U",IF(AND(X525="لا",AC525&lt;&gt;"",AC525&lt;&gt;"لا خصم 0"),"✗ خصم",IF(AND(X525="نعم",AC525="لا خصم 0"),"✗ خصم",IF(AND(Z525="ممتاز 100%",AA525="ممتاز 100%",AB525&lt;&gt;"",AB525&lt;&gt;"مكتمل 100%"),"✗ إغلاق",IFERROR(IF(LEN(_xlfn.TEXTJOIN("، ",TRUE,IF(E525="","التاريخ",""),IF(F525="","الوقت",""),IF(G525="","المركز",""),IF(H525="","الدائرة",""),IF(I525="","القسم",""),IF(J525="","المسؤول",""),IF(K525="","نوع النشاط",""),IF(L525="","المشروع",""),IF(N525="","الممول",""),IF(V525="","الموضوع",""),IF(W525="","الملاحظة",""),IF(X525="","مشكلة",""),IF(Y525="","الإجراء",""),IF(Z525="","التنفيذ",""),IF(AA525="","الجودة",""),IF(AB525="","الإغلاق",""),IF(AC525="","الخصم",""),IF(AND(COUNTA($O525:$U525)&gt;0,O525=""),"مدير المشروع",""),IF(AND(COUNTA($O525:$U525)&gt;0,P525=""),"المستفيدين",""),IF(AND(COUNTA($O525:$U525)&gt;0,Q525=""),"المناطق",""),IF(AND(COUNTA($O525:$U525)&gt;0,R525=""),"الميزانية",""),IF(AND(COUNTA($O525:$U525)&gt;0,S525=""),"نسبة الجاهزية",""),IF(AND(COUNTA($O525:$U525)&gt;0,T525=""),"حالة الجاهزية",""),IF(AND(COUNTA($O525:$U525)&gt;0,U525=""),"التوصيات","")))&gt;0,"✗ ناقص: "&amp;_xlfn.TEXTJOIN("، ",TRUE,IF(E525="","التاريخ",""),IF(F525="","الوقت",""),IF(G525="","المركز",""),IF(H525="","الدائرة",""),IF(I525="","القسم",""),IF(J525="","المسؤول",""),IF(K525="","نوع النشاط",""),IF(L525="","المشروع",""),IF(N525="","الممول",""),IF(V525="","الموضوع",""),IF(W525="","الملاحظة",""),IF(X525="","مشكلة",""),IF(Y525="","الإجراء",""),IF(Z525="","التنفيذ",""),IF(AA525="","الجودة",""),IF(AB525="","الإغلاق",""),IF(AC525="","الخصم",""),IF(AND(COUNTA($O525:$U525)&gt;0,O525=""),"مدير المشروع",""),IF(AND(COUNTA($O525:$U525)&gt;0,P525=""),"المستفيدين",""),IF(AND(COUNTA($O525:$U525)&gt;0,Q525=""),"المناطق",""),IF(AND(COUNTA($O525:$U525)&gt;0,R525=""),"الميزانية",""),IF(AND(COUNTA($O525:$U525)&gt;0,S525=""),"نسبة الجاهزية",""),IF(AND(COUNTA($O525:$U525)&gt;0,T525=""),"حالة الجاهزية",""),IF(AND(COUNTA($O525:$U525)&gt;0,U525=""),"التوصيات","")),"✓"),"✓"))))))))))</f>
        <v/>
      </c>
      <c r="E525" s="235"/>
      <c r="F525" s="236"/>
      <c r="G525" s="90"/>
      <c r="H525" s="239"/>
      <c r="I525" s="89"/>
      <c r="J525" s="142"/>
      <c r="K525" s="90"/>
      <c r="L525" s="90"/>
      <c r="M525" s="90"/>
      <c r="N525" s="89"/>
      <c r="O525" s="200"/>
      <c r="P525" s="201"/>
      <c r="Q525" s="201"/>
      <c r="R525" s="237"/>
      <c r="S525" s="202"/>
      <c r="T525" s="200"/>
      <c r="U525" s="203"/>
      <c r="V525" s="89"/>
      <c r="W525" s="89"/>
      <c r="X525" s="145"/>
      <c r="Y525" s="89"/>
      <c r="Z525" s="90"/>
      <c r="AA525" s="90"/>
      <c r="AB525" s="90"/>
      <c r="AC525" s="90"/>
      <c r="AD525" s="92"/>
      <c r="AE525" s="149" t="str">
        <f>IFERROR(VLOOKUP(Z525,LISTS!$AL$2:$AM$1000,2,FALSE()),"")</f>
        <v/>
      </c>
      <c r="AF525" s="151" t="str">
        <f>IFERROR(VLOOKUP(AA525,LISTS!$AO$2:$AP$1000,2,FALSE()),"")</f>
        <v/>
      </c>
      <c r="AG525" s="152" t="str">
        <f>IFERROR(VLOOKUP(AB525,LISTS!$AR$2:$AS$1000,2,FALSE()),"")</f>
        <v/>
      </c>
      <c r="AH525" s="154" t="str">
        <f>IFERROR(VLOOKUP(AC525,LISTS!$AU$2:$AV$1000,2,FALSE()),"")</f>
        <v/>
      </c>
      <c r="AI525" s="238" t="str">
        <f t="shared" si="43"/>
        <v>—</v>
      </c>
      <c r="AJ525" s="190" t="str">
        <f t="shared" si="44"/>
        <v>—</v>
      </c>
      <c r="AK525" s="157" t="str">
        <f t="shared" si="40"/>
        <v/>
      </c>
      <c r="AL525" s="160" t="str">
        <f t="shared" si="41"/>
        <v/>
      </c>
      <c r="AM525" s="210"/>
      <c r="AN525" s="209"/>
    </row>
    <row r="526" spans="1:40" ht="27.95" customHeight="1">
      <c r="A526" s="134" t="str">
        <f>IF(I526&lt;&gt;"",COUNTA($I$2:I526),"")</f>
        <v/>
      </c>
      <c r="B526" s="138" t="str">
        <f t="shared" si="42"/>
        <v/>
      </c>
      <c r="C526" s="93" t="str">
        <f t="array" ref="C526">IF(E526="","",IF(M526&lt;&gt;"",
M526&amp;"/"&amp;SUMPRODUCT((M$2:M526=M526)*1)&amp;" - "&amp;(ROW()-2),
"إداري/"&amp;SUMPRODUCT((M$2:M526="")*1)&amp;" - "&amp;(ROW()-2)))</f>
        <v/>
      </c>
      <c r="D526" s="141" t="str">
        <f>IF(AND(G526="",H526="",I526=""),"",IF(COUNTIFS(LISTS!$A$2:$A$67,G526,LISTS!$B$2:$B$67,H526,LISTS!$C$2:$C$67,I526)=0,"✗ هرم",IF(NOT(OR(Z526="ممتاز 100%",Z526="جيد 80%",Z526="مقبول 60%",Z526="خطر 40%",Z526="")),"✗ قائمة R",IF(NOT(OR(AA526="ممتاز 100%",AA526="جيد 85%",AA526="مقبول 70%",AA526="ضعيف 50%",AA526="")),"✗ قائمة S",IF(NOT(OR(AB526="مكتمل 100%",AB526="جزئي 60%",AB526="معلق 30%",AB526="مفتوح 0%",AB526="")),"✗ قائمة T",IF(NOT(OR(AC526="لا خصم 0",AC526="تأخير −5",AC526="عجز −10",AC526="جودة −15",AC526="امتثال −20",AC526="مخالفة −25",AC526="")),"✗ قائمة U",IF(AND(X526="لا",AC526&lt;&gt;"",AC526&lt;&gt;"لا خصم 0"),"✗ خصم",IF(AND(X526="نعم",AC526="لا خصم 0"),"✗ خصم",IF(AND(Z526="ممتاز 100%",AA526="ممتاز 100%",AB526&lt;&gt;"",AB526&lt;&gt;"مكتمل 100%"),"✗ إغلاق",IFERROR(IF(LEN(_xlfn.TEXTJOIN("، ",TRUE,IF(E526="","التاريخ",""),IF(F526="","الوقت",""),IF(G526="","المركز",""),IF(H526="","الدائرة",""),IF(I526="","القسم",""),IF(J526="","المسؤول",""),IF(K526="","نوع النشاط",""),IF(L526="","المشروع",""),IF(N526="","الممول",""),IF(V526="","الموضوع",""),IF(W526="","الملاحظة",""),IF(X526="","مشكلة",""),IF(Y526="","الإجراء",""),IF(Z526="","التنفيذ",""),IF(AA526="","الجودة",""),IF(AB526="","الإغلاق",""),IF(AC526="","الخصم",""),IF(AND(COUNTA($O526:$U526)&gt;0,O526=""),"مدير المشروع",""),IF(AND(COUNTA($O526:$U526)&gt;0,P526=""),"المستفيدين",""),IF(AND(COUNTA($O526:$U526)&gt;0,Q526=""),"المناطق",""),IF(AND(COUNTA($O526:$U526)&gt;0,R526=""),"الميزانية",""),IF(AND(COUNTA($O526:$U526)&gt;0,S526=""),"نسبة الجاهزية",""),IF(AND(COUNTA($O526:$U526)&gt;0,T526=""),"حالة الجاهزية",""),IF(AND(COUNTA($O526:$U526)&gt;0,U526=""),"التوصيات","")))&gt;0,"✗ ناقص: "&amp;_xlfn.TEXTJOIN("، ",TRUE,IF(E526="","التاريخ",""),IF(F526="","الوقت",""),IF(G526="","المركز",""),IF(H526="","الدائرة",""),IF(I526="","القسم",""),IF(J526="","المسؤول",""),IF(K526="","نوع النشاط",""),IF(L526="","المشروع",""),IF(N526="","الممول",""),IF(V526="","الموضوع",""),IF(W526="","الملاحظة",""),IF(X526="","مشكلة",""),IF(Y526="","الإجراء",""),IF(Z526="","التنفيذ",""),IF(AA526="","الجودة",""),IF(AB526="","الإغلاق",""),IF(AC526="","الخصم",""),IF(AND(COUNTA($O526:$U526)&gt;0,O526=""),"مدير المشروع",""),IF(AND(COUNTA($O526:$U526)&gt;0,P526=""),"المستفيدين",""),IF(AND(COUNTA($O526:$U526)&gt;0,Q526=""),"المناطق",""),IF(AND(COUNTA($O526:$U526)&gt;0,R526=""),"الميزانية",""),IF(AND(COUNTA($O526:$U526)&gt;0,S526=""),"نسبة الجاهزية",""),IF(AND(COUNTA($O526:$U526)&gt;0,T526=""),"حالة الجاهزية",""),IF(AND(COUNTA($O526:$U526)&gt;0,U526=""),"التوصيات","")),"✓"),"✓"))))))))))</f>
        <v/>
      </c>
      <c r="E526" s="235"/>
      <c r="F526" s="236"/>
      <c r="G526" s="90"/>
      <c r="H526" s="239"/>
      <c r="I526" s="89"/>
      <c r="J526" s="142"/>
      <c r="K526" s="90"/>
      <c r="L526" s="90"/>
      <c r="M526" s="90"/>
      <c r="N526" s="89"/>
      <c r="O526" s="200"/>
      <c r="P526" s="201"/>
      <c r="Q526" s="201"/>
      <c r="R526" s="237"/>
      <c r="S526" s="202"/>
      <c r="T526" s="200"/>
      <c r="U526" s="203"/>
      <c r="V526" s="89"/>
      <c r="W526" s="89"/>
      <c r="X526" s="145"/>
      <c r="Y526" s="89"/>
      <c r="Z526" s="90"/>
      <c r="AA526" s="90"/>
      <c r="AB526" s="90"/>
      <c r="AC526" s="90"/>
      <c r="AD526" s="92"/>
      <c r="AE526" s="149" t="str">
        <f>IFERROR(VLOOKUP(Z526,LISTS!$AL$2:$AM$1000,2,FALSE()),"")</f>
        <v/>
      </c>
      <c r="AF526" s="151" t="str">
        <f>IFERROR(VLOOKUP(AA526,LISTS!$AO$2:$AP$1000,2,FALSE()),"")</f>
        <v/>
      </c>
      <c r="AG526" s="152" t="str">
        <f>IFERROR(VLOOKUP(AB526,LISTS!$AR$2:$AS$1000,2,FALSE()),"")</f>
        <v/>
      </c>
      <c r="AH526" s="154" t="str">
        <f>IFERROR(VLOOKUP(AC526,LISTS!$AU$2:$AV$1000,2,FALSE()),"")</f>
        <v/>
      </c>
      <c r="AI526" s="238" t="str">
        <f t="shared" si="43"/>
        <v>—</v>
      </c>
      <c r="AJ526" s="190" t="str">
        <f t="shared" si="44"/>
        <v>—</v>
      </c>
      <c r="AK526" s="157" t="str">
        <f t="shared" si="40"/>
        <v/>
      </c>
      <c r="AL526" s="160" t="str">
        <f t="shared" si="41"/>
        <v/>
      </c>
      <c r="AM526" s="210"/>
      <c r="AN526" s="209"/>
    </row>
    <row r="527" spans="1:40" ht="27.95" customHeight="1">
      <c r="A527" s="134" t="str">
        <f>IF(I527&lt;&gt;"",COUNTA($I$2:I527),"")</f>
        <v/>
      </c>
      <c r="B527" s="138" t="str">
        <f t="shared" si="42"/>
        <v/>
      </c>
      <c r="C527" s="93" t="str">
        <f t="array" ref="C527">IF(E527="","",IF(M527&lt;&gt;"",
M527&amp;"/"&amp;SUMPRODUCT((M$2:M527=M527)*1)&amp;" - "&amp;(ROW()-2),
"إداري/"&amp;SUMPRODUCT((M$2:M527="")*1)&amp;" - "&amp;(ROW()-2)))</f>
        <v/>
      </c>
      <c r="D527" s="141" t="str">
        <f>IF(AND(G527="",H527="",I527=""),"",IF(COUNTIFS(LISTS!$A$2:$A$67,G527,LISTS!$B$2:$B$67,H527,LISTS!$C$2:$C$67,I527)=0,"✗ هرم",IF(NOT(OR(Z527="ممتاز 100%",Z527="جيد 80%",Z527="مقبول 60%",Z527="خطر 40%",Z527="")),"✗ قائمة R",IF(NOT(OR(AA527="ممتاز 100%",AA527="جيد 85%",AA527="مقبول 70%",AA527="ضعيف 50%",AA527="")),"✗ قائمة S",IF(NOT(OR(AB527="مكتمل 100%",AB527="جزئي 60%",AB527="معلق 30%",AB527="مفتوح 0%",AB527="")),"✗ قائمة T",IF(NOT(OR(AC527="لا خصم 0",AC527="تأخير −5",AC527="عجز −10",AC527="جودة −15",AC527="امتثال −20",AC527="مخالفة −25",AC527="")),"✗ قائمة U",IF(AND(X527="لا",AC527&lt;&gt;"",AC527&lt;&gt;"لا خصم 0"),"✗ خصم",IF(AND(X527="نعم",AC527="لا خصم 0"),"✗ خصم",IF(AND(Z527="ممتاز 100%",AA527="ممتاز 100%",AB527&lt;&gt;"",AB527&lt;&gt;"مكتمل 100%"),"✗ إغلاق",IFERROR(IF(LEN(_xlfn.TEXTJOIN("، ",TRUE,IF(E527="","التاريخ",""),IF(F527="","الوقت",""),IF(G527="","المركز",""),IF(H527="","الدائرة",""),IF(I527="","القسم",""),IF(J527="","المسؤول",""),IF(K527="","نوع النشاط",""),IF(L527="","المشروع",""),IF(N527="","الممول",""),IF(V527="","الموضوع",""),IF(W527="","الملاحظة",""),IF(X527="","مشكلة",""),IF(Y527="","الإجراء",""),IF(Z527="","التنفيذ",""),IF(AA527="","الجودة",""),IF(AB527="","الإغلاق",""),IF(AC527="","الخصم",""),IF(AND(COUNTA($O527:$U527)&gt;0,O527=""),"مدير المشروع",""),IF(AND(COUNTA($O527:$U527)&gt;0,P527=""),"المستفيدين",""),IF(AND(COUNTA($O527:$U527)&gt;0,Q527=""),"المناطق",""),IF(AND(COUNTA($O527:$U527)&gt;0,R527=""),"الميزانية",""),IF(AND(COUNTA($O527:$U527)&gt;0,S527=""),"نسبة الجاهزية",""),IF(AND(COUNTA($O527:$U527)&gt;0,T527=""),"حالة الجاهزية",""),IF(AND(COUNTA($O527:$U527)&gt;0,U527=""),"التوصيات","")))&gt;0,"✗ ناقص: "&amp;_xlfn.TEXTJOIN("، ",TRUE,IF(E527="","التاريخ",""),IF(F527="","الوقت",""),IF(G527="","المركز",""),IF(H527="","الدائرة",""),IF(I527="","القسم",""),IF(J527="","المسؤول",""),IF(K527="","نوع النشاط",""),IF(L527="","المشروع",""),IF(N527="","الممول",""),IF(V527="","الموضوع",""),IF(W527="","الملاحظة",""),IF(X527="","مشكلة",""),IF(Y527="","الإجراء",""),IF(Z527="","التنفيذ",""),IF(AA527="","الجودة",""),IF(AB527="","الإغلاق",""),IF(AC527="","الخصم",""),IF(AND(COUNTA($O527:$U527)&gt;0,O527=""),"مدير المشروع",""),IF(AND(COUNTA($O527:$U527)&gt;0,P527=""),"المستفيدين",""),IF(AND(COUNTA($O527:$U527)&gt;0,Q527=""),"المناطق",""),IF(AND(COUNTA($O527:$U527)&gt;0,R527=""),"الميزانية",""),IF(AND(COUNTA($O527:$U527)&gt;0,S527=""),"نسبة الجاهزية",""),IF(AND(COUNTA($O527:$U527)&gt;0,T527=""),"حالة الجاهزية",""),IF(AND(COUNTA($O527:$U527)&gt;0,U527=""),"التوصيات","")),"✓"),"✓"))))))))))</f>
        <v/>
      </c>
      <c r="E527" s="235"/>
      <c r="F527" s="236"/>
      <c r="G527" s="90"/>
      <c r="H527" s="239"/>
      <c r="I527" s="89"/>
      <c r="J527" s="142"/>
      <c r="K527" s="90"/>
      <c r="L527" s="90"/>
      <c r="M527" s="90"/>
      <c r="N527" s="89"/>
      <c r="O527" s="200"/>
      <c r="P527" s="201"/>
      <c r="Q527" s="201"/>
      <c r="R527" s="237"/>
      <c r="S527" s="202"/>
      <c r="T527" s="200"/>
      <c r="U527" s="203"/>
      <c r="V527" s="89"/>
      <c r="W527" s="89"/>
      <c r="X527" s="145"/>
      <c r="Y527" s="89"/>
      <c r="Z527" s="90"/>
      <c r="AA527" s="90"/>
      <c r="AB527" s="90"/>
      <c r="AC527" s="90"/>
      <c r="AD527" s="92"/>
      <c r="AE527" s="149" t="str">
        <f>IFERROR(VLOOKUP(Z527,LISTS!$AL$2:$AM$1000,2,FALSE()),"")</f>
        <v/>
      </c>
      <c r="AF527" s="151" t="str">
        <f>IFERROR(VLOOKUP(AA527,LISTS!$AO$2:$AP$1000,2,FALSE()),"")</f>
        <v/>
      </c>
      <c r="AG527" s="152" t="str">
        <f>IFERROR(VLOOKUP(AB527,LISTS!$AR$2:$AS$1000,2,FALSE()),"")</f>
        <v/>
      </c>
      <c r="AH527" s="154" t="str">
        <f>IFERROR(VLOOKUP(AC527,LISTS!$AU$2:$AV$1000,2,FALSE()),"")</f>
        <v/>
      </c>
      <c r="AI527" s="238" t="str">
        <f t="shared" si="43"/>
        <v>—</v>
      </c>
      <c r="AJ527" s="190" t="str">
        <f t="shared" si="44"/>
        <v>—</v>
      </c>
      <c r="AK527" s="157" t="str">
        <f t="shared" si="40"/>
        <v/>
      </c>
      <c r="AL527" s="160" t="str">
        <f t="shared" si="41"/>
        <v/>
      </c>
      <c r="AM527" s="210"/>
      <c r="AN527" s="209"/>
    </row>
    <row r="528" spans="1:40" ht="27.95" customHeight="1">
      <c r="A528" s="134" t="str">
        <f>IF(I528&lt;&gt;"",COUNTA($I$2:I528),"")</f>
        <v/>
      </c>
      <c r="B528" s="138" t="str">
        <f t="shared" si="42"/>
        <v/>
      </c>
      <c r="C528" s="93" t="str">
        <f t="array" ref="C528">IF(E528="","",IF(M528&lt;&gt;"",
M528&amp;"/"&amp;SUMPRODUCT((M$2:M528=M528)*1)&amp;" - "&amp;(ROW()-2),
"إداري/"&amp;SUMPRODUCT((M$2:M528="")*1)&amp;" - "&amp;(ROW()-2)))</f>
        <v/>
      </c>
      <c r="D528" s="141" t="str">
        <f>IF(AND(G528="",H528="",I528=""),"",IF(COUNTIFS(LISTS!$A$2:$A$67,G528,LISTS!$B$2:$B$67,H528,LISTS!$C$2:$C$67,I528)=0,"✗ هرم",IF(NOT(OR(Z528="ممتاز 100%",Z528="جيد 80%",Z528="مقبول 60%",Z528="خطر 40%",Z528="")),"✗ قائمة R",IF(NOT(OR(AA528="ممتاز 100%",AA528="جيد 85%",AA528="مقبول 70%",AA528="ضعيف 50%",AA528="")),"✗ قائمة S",IF(NOT(OR(AB528="مكتمل 100%",AB528="جزئي 60%",AB528="معلق 30%",AB528="مفتوح 0%",AB528="")),"✗ قائمة T",IF(NOT(OR(AC528="لا خصم 0",AC528="تأخير −5",AC528="عجز −10",AC528="جودة −15",AC528="امتثال −20",AC528="مخالفة −25",AC528="")),"✗ قائمة U",IF(AND(X528="لا",AC528&lt;&gt;"",AC528&lt;&gt;"لا خصم 0"),"✗ خصم",IF(AND(X528="نعم",AC528="لا خصم 0"),"✗ خصم",IF(AND(Z528="ممتاز 100%",AA528="ممتاز 100%",AB528&lt;&gt;"",AB528&lt;&gt;"مكتمل 100%"),"✗ إغلاق",IFERROR(IF(LEN(_xlfn.TEXTJOIN("، ",TRUE,IF(E528="","التاريخ",""),IF(F528="","الوقت",""),IF(G528="","المركز",""),IF(H528="","الدائرة",""),IF(I528="","القسم",""),IF(J528="","المسؤول",""),IF(K528="","نوع النشاط",""),IF(L528="","المشروع",""),IF(N528="","الممول",""),IF(V528="","الموضوع",""),IF(W528="","الملاحظة",""),IF(X528="","مشكلة",""),IF(Y528="","الإجراء",""),IF(Z528="","التنفيذ",""),IF(AA528="","الجودة",""),IF(AB528="","الإغلاق",""),IF(AC528="","الخصم",""),IF(AND(COUNTA($O528:$U528)&gt;0,O528=""),"مدير المشروع",""),IF(AND(COUNTA($O528:$U528)&gt;0,P528=""),"المستفيدين",""),IF(AND(COUNTA($O528:$U528)&gt;0,Q528=""),"المناطق",""),IF(AND(COUNTA($O528:$U528)&gt;0,R528=""),"الميزانية",""),IF(AND(COUNTA($O528:$U528)&gt;0,S528=""),"نسبة الجاهزية",""),IF(AND(COUNTA($O528:$U528)&gt;0,T528=""),"حالة الجاهزية",""),IF(AND(COUNTA($O528:$U528)&gt;0,U528=""),"التوصيات","")))&gt;0,"✗ ناقص: "&amp;_xlfn.TEXTJOIN("، ",TRUE,IF(E528="","التاريخ",""),IF(F528="","الوقت",""),IF(G528="","المركز",""),IF(H528="","الدائرة",""),IF(I528="","القسم",""),IF(J528="","المسؤول",""),IF(K528="","نوع النشاط",""),IF(L528="","المشروع",""),IF(N528="","الممول",""),IF(V528="","الموضوع",""),IF(W528="","الملاحظة",""),IF(X528="","مشكلة",""),IF(Y528="","الإجراء",""),IF(Z528="","التنفيذ",""),IF(AA528="","الجودة",""),IF(AB528="","الإغلاق",""),IF(AC528="","الخصم",""),IF(AND(COUNTA($O528:$U528)&gt;0,O528=""),"مدير المشروع",""),IF(AND(COUNTA($O528:$U528)&gt;0,P528=""),"المستفيدين",""),IF(AND(COUNTA($O528:$U528)&gt;0,Q528=""),"المناطق",""),IF(AND(COUNTA($O528:$U528)&gt;0,R528=""),"الميزانية",""),IF(AND(COUNTA($O528:$U528)&gt;0,S528=""),"نسبة الجاهزية",""),IF(AND(COUNTA($O528:$U528)&gt;0,T528=""),"حالة الجاهزية",""),IF(AND(COUNTA($O528:$U528)&gt;0,U528=""),"التوصيات","")),"✓"),"✓"))))))))))</f>
        <v/>
      </c>
      <c r="E528" s="235"/>
      <c r="F528" s="236"/>
      <c r="G528" s="90"/>
      <c r="H528" s="239"/>
      <c r="I528" s="89"/>
      <c r="J528" s="142"/>
      <c r="K528" s="90"/>
      <c r="L528" s="90"/>
      <c r="M528" s="90"/>
      <c r="N528" s="89"/>
      <c r="O528" s="200"/>
      <c r="P528" s="201"/>
      <c r="Q528" s="201"/>
      <c r="R528" s="237"/>
      <c r="S528" s="202"/>
      <c r="T528" s="200"/>
      <c r="U528" s="203"/>
      <c r="V528" s="89"/>
      <c r="W528" s="89"/>
      <c r="X528" s="145"/>
      <c r="Y528" s="89"/>
      <c r="Z528" s="90"/>
      <c r="AA528" s="90"/>
      <c r="AB528" s="90"/>
      <c r="AC528" s="90"/>
      <c r="AD528" s="92"/>
      <c r="AE528" s="149" t="str">
        <f>IFERROR(VLOOKUP(Z528,LISTS!$AL$2:$AM$1000,2,FALSE()),"")</f>
        <v/>
      </c>
      <c r="AF528" s="151" t="str">
        <f>IFERROR(VLOOKUP(AA528,LISTS!$AO$2:$AP$1000,2,FALSE()),"")</f>
        <v/>
      </c>
      <c r="AG528" s="152" t="str">
        <f>IFERROR(VLOOKUP(AB528,LISTS!$AR$2:$AS$1000,2,FALSE()),"")</f>
        <v/>
      </c>
      <c r="AH528" s="154" t="str">
        <f>IFERROR(VLOOKUP(AC528,LISTS!$AU$2:$AV$1000,2,FALSE()),"")</f>
        <v/>
      </c>
      <c r="AI528" s="238" t="str">
        <f t="shared" si="43"/>
        <v>—</v>
      </c>
      <c r="AJ528" s="190" t="str">
        <f t="shared" si="44"/>
        <v>—</v>
      </c>
      <c r="AK528" s="157" t="str">
        <f t="shared" si="40"/>
        <v/>
      </c>
      <c r="AL528" s="160" t="str">
        <f t="shared" si="41"/>
        <v/>
      </c>
      <c r="AM528" s="210"/>
      <c r="AN528" s="209"/>
    </row>
    <row r="529" spans="1:40" ht="27.95" customHeight="1">
      <c r="A529" s="134" t="str">
        <f>IF(I529&lt;&gt;"",COUNTA($I$2:I529),"")</f>
        <v/>
      </c>
      <c r="B529" s="138" t="str">
        <f t="shared" si="42"/>
        <v/>
      </c>
      <c r="C529" s="93" t="str">
        <f t="array" ref="C529">IF(E529="","",IF(M529&lt;&gt;"",
M529&amp;"/"&amp;SUMPRODUCT((M$2:M529=M529)*1)&amp;" - "&amp;(ROW()-2),
"إداري/"&amp;SUMPRODUCT((M$2:M529="")*1)&amp;" - "&amp;(ROW()-2)))</f>
        <v/>
      </c>
      <c r="D529" s="141" t="str">
        <f>IF(AND(G529="",H529="",I529=""),"",IF(COUNTIFS(LISTS!$A$2:$A$67,G529,LISTS!$B$2:$B$67,H529,LISTS!$C$2:$C$67,I529)=0,"✗ هرم",IF(NOT(OR(Z529="ممتاز 100%",Z529="جيد 80%",Z529="مقبول 60%",Z529="خطر 40%",Z529="")),"✗ قائمة R",IF(NOT(OR(AA529="ممتاز 100%",AA529="جيد 85%",AA529="مقبول 70%",AA529="ضعيف 50%",AA529="")),"✗ قائمة S",IF(NOT(OR(AB529="مكتمل 100%",AB529="جزئي 60%",AB529="معلق 30%",AB529="مفتوح 0%",AB529="")),"✗ قائمة T",IF(NOT(OR(AC529="لا خصم 0",AC529="تأخير −5",AC529="عجز −10",AC529="جودة −15",AC529="امتثال −20",AC529="مخالفة −25",AC529="")),"✗ قائمة U",IF(AND(X529="لا",AC529&lt;&gt;"",AC529&lt;&gt;"لا خصم 0"),"✗ خصم",IF(AND(X529="نعم",AC529="لا خصم 0"),"✗ خصم",IF(AND(Z529="ممتاز 100%",AA529="ممتاز 100%",AB529&lt;&gt;"",AB529&lt;&gt;"مكتمل 100%"),"✗ إغلاق",IFERROR(IF(LEN(_xlfn.TEXTJOIN("، ",TRUE,IF(E529="","التاريخ",""),IF(F529="","الوقت",""),IF(G529="","المركز",""),IF(H529="","الدائرة",""),IF(I529="","القسم",""),IF(J529="","المسؤول",""),IF(K529="","نوع النشاط",""),IF(L529="","المشروع",""),IF(N529="","الممول",""),IF(V529="","الموضوع",""),IF(W529="","الملاحظة",""),IF(X529="","مشكلة",""),IF(Y529="","الإجراء",""),IF(Z529="","التنفيذ",""),IF(AA529="","الجودة",""),IF(AB529="","الإغلاق",""),IF(AC529="","الخصم",""),IF(AND(COUNTA($O529:$U529)&gt;0,O529=""),"مدير المشروع",""),IF(AND(COUNTA($O529:$U529)&gt;0,P529=""),"المستفيدين",""),IF(AND(COUNTA($O529:$U529)&gt;0,Q529=""),"المناطق",""),IF(AND(COUNTA($O529:$U529)&gt;0,R529=""),"الميزانية",""),IF(AND(COUNTA($O529:$U529)&gt;0,S529=""),"نسبة الجاهزية",""),IF(AND(COUNTA($O529:$U529)&gt;0,T529=""),"حالة الجاهزية",""),IF(AND(COUNTA($O529:$U529)&gt;0,U529=""),"التوصيات","")))&gt;0,"✗ ناقص: "&amp;_xlfn.TEXTJOIN("، ",TRUE,IF(E529="","التاريخ",""),IF(F529="","الوقت",""),IF(G529="","المركز",""),IF(H529="","الدائرة",""),IF(I529="","القسم",""),IF(J529="","المسؤول",""),IF(K529="","نوع النشاط",""),IF(L529="","المشروع",""),IF(N529="","الممول",""),IF(V529="","الموضوع",""),IF(W529="","الملاحظة",""),IF(X529="","مشكلة",""),IF(Y529="","الإجراء",""),IF(Z529="","التنفيذ",""),IF(AA529="","الجودة",""),IF(AB529="","الإغلاق",""),IF(AC529="","الخصم",""),IF(AND(COUNTA($O529:$U529)&gt;0,O529=""),"مدير المشروع",""),IF(AND(COUNTA($O529:$U529)&gt;0,P529=""),"المستفيدين",""),IF(AND(COUNTA($O529:$U529)&gt;0,Q529=""),"المناطق",""),IF(AND(COUNTA($O529:$U529)&gt;0,R529=""),"الميزانية",""),IF(AND(COUNTA($O529:$U529)&gt;0,S529=""),"نسبة الجاهزية",""),IF(AND(COUNTA($O529:$U529)&gt;0,T529=""),"حالة الجاهزية",""),IF(AND(COUNTA($O529:$U529)&gt;0,U529=""),"التوصيات","")),"✓"),"✓"))))))))))</f>
        <v/>
      </c>
      <c r="E529" s="235"/>
      <c r="F529" s="236"/>
      <c r="G529" s="90"/>
      <c r="H529" s="239"/>
      <c r="I529" s="89"/>
      <c r="J529" s="142"/>
      <c r="K529" s="90"/>
      <c r="L529" s="90"/>
      <c r="M529" s="90"/>
      <c r="N529" s="89"/>
      <c r="O529" s="200"/>
      <c r="P529" s="201"/>
      <c r="Q529" s="201"/>
      <c r="R529" s="237"/>
      <c r="S529" s="202"/>
      <c r="T529" s="200"/>
      <c r="U529" s="203"/>
      <c r="V529" s="89"/>
      <c r="W529" s="89"/>
      <c r="X529" s="145"/>
      <c r="Y529" s="89"/>
      <c r="Z529" s="90"/>
      <c r="AA529" s="90"/>
      <c r="AB529" s="90"/>
      <c r="AC529" s="90"/>
      <c r="AD529" s="92"/>
      <c r="AE529" s="149" t="str">
        <f>IFERROR(VLOOKUP(Z529,LISTS!$AL$2:$AM$1000,2,FALSE()),"")</f>
        <v/>
      </c>
      <c r="AF529" s="151" t="str">
        <f>IFERROR(VLOOKUP(AA529,LISTS!$AO$2:$AP$1000,2,FALSE()),"")</f>
        <v/>
      </c>
      <c r="AG529" s="152" t="str">
        <f>IFERROR(VLOOKUP(AB529,LISTS!$AR$2:$AS$1000,2,FALSE()),"")</f>
        <v/>
      </c>
      <c r="AH529" s="154" t="str">
        <f>IFERROR(VLOOKUP(AC529,LISTS!$AU$2:$AV$1000,2,FALSE()),"")</f>
        <v/>
      </c>
      <c r="AI529" s="238" t="str">
        <f t="shared" si="43"/>
        <v>—</v>
      </c>
      <c r="AJ529" s="190" t="str">
        <f t="shared" si="44"/>
        <v>—</v>
      </c>
      <c r="AK529" s="157" t="str">
        <f t="shared" si="40"/>
        <v/>
      </c>
      <c r="AL529" s="160" t="str">
        <f t="shared" si="41"/>
        <v/>
      </c>
      <c r="AM529" s="210"/>
      <c r="AN529" s="209"/>
    </row>
    <row r="530" spans="1:40" ht="27.95" customHeight="1">
      <c r="A530" s="134" t="str">
        <f>IF(I530&lt;&gt;"",COUNTA($I$2:I530),"")</f>
        <v/>
      </c>
      <c r="B530" s="138" t="str">
        <f t="shared" si="42"/>
        <v/>
      </c>
      <c r="C530" s="93" t="str">
        <f t="array" ref="C530">IF(E530="","",IF(M530&lt;&gt;"",
M530&amp;"/"&amp;SUMPRODUCT((M$2:M530=M530)*1)&amp;" - "&amp;(ROW()-2),
"إداري/"&amp;SUMPRODUCT((M$2:M530="")*1)&amp;" - "&amp;(ROW()-2)))</f>
        <v/>
      </c>
      <c r="D530" s="141" t="str">
        <f>IF(AND(G530="",H530="",I530=""),"",IF(COUNTIFS(LISTS!$A$2:$A$67,G530,LISTS!$B$2:$B$67,H530,LISTS!$C$2:$C$67,I530)=0,"✗ هرم",IF(NOT(OR(Z530="ممتاز 100%",Z530="جيد 80%",Z530="مقبول 60%",Z530="خطر 40%",Z530="")),"✗ قائمة R",IF(NOT(OR(AA530="ممتاز 100%",AA530="جيد 85%",AA530="مقبول 70%",AA530="ضعيف 50%",AA530="")),"✗ قائمة S",IF(NOT(OR(AB530="مكتمل 100%",AB530="جزئي 60%",AB530="معلق 30%",AB530="مفتوح 0%",AB530="")),"✗ قائمة T",IF(NOT(OR(AC530="لا خصم 0",AC530="تأخير −5",AC530="عجز −10",AC530="جودة −15",AC530="امتثال −20",AC530="مخالفة −25",AC530="")),"✗ قائمة U",IF(AND(X530="لا",AC530&lt;&gt;"",AC530&lt;&gt;"لا خصم 0"),"✗ خصم",IF(AND(X530="نعم",AC530="لا خصم 0"),"✗ خصم",IF(AND(Z530="ممتاز 100%",AA530="ممتاز 100%",AB530&lt;&gt;"",AB530&lt;&gt;"مكتمل 100%"),"✗ إغلاق",IFERROR(IF(LEN(_xlfn.TEXTJOIN("، ",TRUE,IF(E530="","التاريخ",""),IF(F530="","الوقت",""),IF(G530="","المركز",""),IF(H530="","الدائرة",""),IF(I530="","القسم",""),IF(J530="","المسؤول",""),IF(K530="","نوع النشاط",""),IF(L530="","المشروع",""),IF(N530="","الممول",""),IF(V530="","الموضوع",""),IF(W530="","الملاحظة",""),IF(X530="","مشكلة",""),IF(Y530="","الإجراء",""),IF(Z530="","التنفيذ",""),IF(AA530="","الجودة",""),IF(AB530="","الإغلاق",""),IF(AC530="","الخصم",""),IF(AND(COUNTA($O530:$U530)&gt;0,O530=""),"مدير المشروع",""),IF(AND(COUNTA($O530:$U530)&gt;0,P530=""),"المستفيدين",""),IF(AND(COUNTA($O530:$U530)&gt;0,Q530=""),"المناطق",""),IF(AND(COUNTA($O530:$U530)&gt;0,R530=""),"الميزانية",""),IF(AND(COUNTA($O530:$U530)&gt;0,S530=""),"نسبة الجاهزية",""),IF(AND(COUNTA($O530:$U530)&gt;0,T530=""),"حالة الجاهزية",""),IF(AND(COUNTA($O530:$U530)&gt;0,U530=""),"التوصيات","")))&gt;0,"✗ ناقص: "&amp;_xlfn.TEXTJOIN("، ",TRUE,IF(E530="","التاريخ",""),IF(F530="","الوقت",""),IF(G530="","المركز",""),IF(H530="","الدائرة",""),IF(I530="","القسم",""),IF(J530="","المسؤول",""),IF(K530="","نوع النشاط",""),IF(L530="","المشروع",""),IF(N530="","الممول",""),IF(V530="","الموضوع",""),IF(W530="","الملاحظة",""),IF(X530="","مشكلة",""),IF(Y530="","الإجراء",""),IF(Z530="","التنفيذ",""),IF(AA530="","الجودة",""),IF(AB530="","الإغلاق",""),IF(AC530="","الخصم",""),IF(AND(COUNTA($O530:$U530)&gt;0,O530=""),"مدير المشروع",""),IF(AND(COUNTA($O530:$U530)&gt;0,P530=""),"المستفيدين",""),IF(AND(COUNTA($O530:$U530)&gt;0,Q530=""),"المناطق",""),IF(AND(COUNTA($O530:$U530)&gt;0,R530=""),"الميزانية",""),IF(AND(COUNTA($O530:$U530)&gt;0,S530=""),"نسبة الجاهزية",""),IF(AND(COUNTA($O530:$U530)&gt;0,T530=""),"حالة الجاهزية",""),IF(AND(COUNTA($O530:$U530)&gt;0,U530=""),"التوصيات","")),"✓"),"✓"))))))))))</f>
        <v/>
      </c>
      <c r="E530" s="235"/>
      <c r="F530" s="236"/>
      <c r="G530" s="90"/>
      <c r="H530" s="239"/>
      <c r="I530" s="89"/>
      <c r="J530" s="142"/>
      <c r="K530" s="90"/>
      <c r="L530" s="90"/>
      <c r="M530" s="90"/>
      <c r="N530" s="89"/>
      <c r="O530" s="200"/>
      <c r="P530" s="201"/>
      <c r="Q530" s="201"/>
      <c r="R530" s="237"/>
      <c r="S530" s="202"/>
      <c r="T530" s="200"/>
      <c r="U530" s="203"/>
      <c r="V530" s="89"/>
      <c r="W530" s="89"/>
      <c r="X530" s="145"/>
      <c r="Y530" s="89"/>
      <c r="Z530" s="90"/>
      <c r="AA530" s="90"/>
      <c r="AB530" s="90"/>
      <c r="AC530" s="90"/>
      <c r="AD530" s="92"/>
      <c r="AE530" s="149" t="str">
        <f>IFERROR(VLOOKUP(Z530,LISTS!$AL$2:$AM$1000,2,FALSE()),"")</f>
        <v/>
      </c>
      <c r="AF530" s="151" t="str">
        <f>IFERROR(VLOOKUP(AA530,LISTS!$AO$2:$AP$1000,2,FALSE()),"")</f>
        <v/>
      </c>
      <c r="AG530" s="152" t="str">
        <f>IFERROR(VLOOKUP(AB530,LISTS!$AR$2:$AS$1000,2,FALSE()),"")</f>
        <v/>
      </c>
      <c r="AH530" s="154" t="str">
        <f>IFERROR(VLOOKUP(AC530,LISTS!$AU$2:$AV$1000,2,FALSE()),"")</f>
        <v/>
      </c>
      <c r="AI530" s="238" t="str">
        <f t="shared" si="43"/>
        <v>—</v>
      </c>
      <c r="AJ530" s="190" t="str">
        <f t="shared" si="44"/>
        <v>—</v>
      </c>
      <c r="AK530" s="157" t="str">
        <f t="shared" si="40"/>
        <v/>
      </c>
      <c r="AL530" s="160" t="str">
        <f t="shared" si="41"/>
        <v/>
      </c>
      <c r="AM530" s="210"/>
      <c r="AN530" s="209"/>
    </row>
    <row r="531" spans="1:40" ht="27.95" customHeight="1">
      <c r="A531" s="134" t="str">
        <f>IF(I531&lt;&gt;"",COUNTA($I$2:I531),"")</f>
        <v/>
      </c>
      <c r="B531" s="138" t="str">
        <f t="shared" si="42"/>
        <v/>
      </c>
      <c r="C531" s="93" t="str">
        <f t="array" ref="C531">IF(E531="","",IF(M531&lt;&gt;"",
M531&amp;"/"&amp;SUMPRODUCT((M$2:M531=M531)*1)&amp;" - "&amp;(ROW()-2),
"إداري/"&amp;SUMPRODUCT((M$2:M531="")*1)&amp;" - "&amp;(ROW()-2)))</f>
        <v/>
      </c>
      <c r="D531" s="141" t="str">
        <f>IF(AND(G531="",H531="",I531=""),"",IF(COUNTIFS(LISTS!$A$2:$A$67,G531,LISTS!$B$2:$B$67,H531,LISTS!$C$2:$C$67,I531)=0,"✗ هرم",IF(NOT(OR(Z531="ممتاز 100%",Z531="جيد 80%",Z531="مقبول 60%",Z531="خطر 40%",Z531="")),"✗ قائمة R",IF(NOT(OR(AA531="ممتاز 100%",AA531="جيد 85%",AA531="مقبول 70%",AA531="ضعيف 50%",AA531="")),"✗ قائمة S",IF(NOT(OR(AB531="مكتمل 100%",AB531="جزئي 60%",AB531="معلق 30%",AB531="مفتوح 0%",AB531="")),"✗ قائمة T",IF(NOT(OR(AC531="لا خصم 0",AC531="تأخير −5",AC531="عجز −10",AC531="جودة −15",AC531="امتثال −20",AC531="مخالفة −25",AC531="")),"✗ قائمة U",IF(AND(X531="لا",AC531&lt;&gt;"",AC531&lt;&gt;"لا خصم 0"),"✗ خصم",IF(AND(X531="نعم",AC531="لا خصم 0"),"✗ خصم",IF(AND(Z531="ممتاز 100%",AA531="ممتاز 100%",AB531&lt;&gt;"",AB531&lt;&gt;"مكتمل 100%"),"✗ إغلاق",IFERROR(IF(LEN(_xlfn.TEXTJOIN("، ",TRUE,IF(E531="","التاريخ",""),IF(F531="","الوقت",""),IF(G531="","المركز",""),IF(H531="","الدائرة",""),IF(I531="","القسم",""),IF(J531="","المسؤول",""),IF(K531="","نوع النشاط",""),IF(L531="","المشروع",""),IF(N531="","الممول",""),IF(V531="","الموضوع",""),IF(W531="","الملاحظة",""),IF(X531="","مشكلة",""),IF(Y531="","الإجراء",""),IF(Z531="","التنفيذ",""),IF(AA531="","الجودة",""),IF(AB531="","الإغلاق",""),IF(AC531="","الخصم",""),IF(AND(COUNTA($O531:$U531)&gt;0,O531=""),"مدير المشروع",""),IF(AND(COUNTA($O531:$U531)&gt;0,P531=""),"المستفيدين",""),IF(AND(COUNTA($O531:$U531)&gt;0,Q531=""),"المناطق",""),IF(AND(COUNTA($O531:$U531)&gt;0,R531=""),"الميزانية",""),IF(AND(COUNTA($O531:$U531)&gt;0,S531=""),"نسبة الجاهزية",""),IF(AND(COUNTA($O531:$U531)&gt;0,T531=""),"حالة الجاهزية",""),IF(AND(COUNTA($O531:$U531)&gt;0,U531=""),"التوصيات","")))&gt;0,"✗ ناقص: "&amp;_xlfn.TEXTJOIN("، ",TRUE,IF(E531="","التاريخ",""),IF(F531="","الوقت",""),IF(G531="","المركز",""),IF(H531="","الدائرة",""),IF(I531="","القسم",""),IF(J531="","المسؤول",""),IF(K531="","نوع النشاط",""),IF(L531="","المشروع",""),IF(N531="","الممول",""),IF(V531="","الموضوع",""),IF(W531="","الملاحظة",""),IF(X531="","مشكلة",""),IF(Y531="","الإجراء",""),IF(Z531="","التنفيذ",""),IF(AA531="","الجودة",""),IF(AB531="","الإغلاق",""),IF(AC531="","الخصم",""),IF(AND(COUNTA($O531:$U531)&gt;0,O531=""),"مدير المشروع",""),IF(AND(COUNTA($O531:$U531)&gt;0,P531=""),"المستفيدين",""),IF(AND(COUNTA($O531:$U531)&gt;0,Q531=""),"المناطق",""),IF(AND(COUNTA($O531:$U531)&gt;0,R531=""),"الميزانية",""),IF(AND(COUNTA($O531:$U531)&gt;0,S531=""),"نسبة الجاهزية",""),IF(AND(COUNTA($O531:$U531)&gt;0,T531=""),"حالة الجاهزية",""),IF(AND(COUNTA($O531:$U531)&gt;0,U531=""),"التوصيات","")),"✓"),"✓"))))))))))</f>
        <v/>
      </c>
      <c r="E531" s="235"/>
      <c r="F531" s="236"/>
      <c r="G531" s="90"/>
      <c r="H531" s="239"/>
      <c r="I531" s="89"/>
      <c r="J531" s="142"/>
      <c r="K531" s="90"/>
      <c r="L531" s="90"/>
      <c r="M531" s="90"/>
      <c r="N531" s="89"/>
      <c r="O531" s="200"/>
      <c r="P531" s="201"/>
      <c r="Q531" s="201"/>
      <c r="R531" s="237"/>
      <c r="S531" s="202"/>
      <c r="T531" s="200"/>
      <c r="U531" s="203"/>
      <c r="V531" s="89"/>
      <c r="W531" s="89"/>
      <c r="X531" s="145"/>
      <c r="Y531" s="89"/>
      <c r="Z531" s="90"/>
      <c r="AA531" s="90"/>
      <c r="AB531" s="90"/>
      <c r="AC531" s="90"/>
      <c r="AD531" s="92"/>
      <c r="AE531" s="149" t="str">
        <f>IFERROR(VLOOKUP(Z531,LISTS!$AL$2:$AM$1000,2,FALSE()),"")</f>
        <v/>
      </c>
      <c r="AF531" s="151" t="str">
        <f>IFERROR(VLOOKUP(AA531,LISTS!$AO$2:$AP$1000,2,FALSE()),"")</f>
        <v/>
      </c>
      <c r="AG531" s="152" t="str">
        <f>IFERROR(VLOOKUP(AB531,LISTS!$AR$2:$AS$1000,2,FALSE()),"")</f>
        <v/>
      </c>
      <c r="AH531" s="154" t="str">
        <f>IFERROR(VLOOKUP(AC531,LISTS!$AU$2:$AV$1000,2,FALSE()),"")</f>
        <v/>
      </c>
      <c r="AI531" s="238" t="str">
        <f t="shared" si="43"/>
        <v>—</v>
      </c>
      <c r="AJ531" s="190" t="str">
        <f t="shared" si="44"/>
        <v>—</v>
      </c>
      <c r="AK531" s="157" t="str">
        <f t="shared" si="40"/>
        <v/>
      </c>
      <c r="AL531" s="160" t="str">
        <f t="shared" si="41"/>
        <v/>
      </c>
      <c r="AM531" s="210"/>
      <c r="AN531" s="209"/>
    </row>
    <row r="532" spans="1:40" ht="27.95" customHeight="1">
      <c r="A532" s="134" t="str">
        <f>IF(I532&lt;&gt;"",COUNTA($I$2:I532),"")</f>
        <v/>
      </c>
      <c r="B532" s="138" t="str">
        <f t="shared" si="42"/>
        <v/>
      </c>
      <c r="C532" s="93" t="str">
        <f t="array" ref="C532">IF(E532="","",IF(M532&lt;&gt;"",
M532&amp;"/"&amp;SUMPRODUCT((M$2:M532=M532)*1)&amp;" - "&amp;(ROW()-2),
"إداري/"&amp;SUMPRODUCT((M$2:M532="")*1)&amp;" - "&amp;(ROW()-2)))</f>
        <v/>
      </c>
      <c r="D532" s="141" t="str">
        <f>IF(AND(G532="",H532="",I532=""),"",IF(COUNTIFS(LISTS!$A$2:$A$67,G532,LISTS!$B$2:$B$67,H532,LISTS!$C$2:$C$67,I532)=0,"✗ هرم",IF(NOT(OR(Z532="ممتاز 100%",Z532="جيد 80%",Z532="مقبول 60%",Z532="خطر 40%",Z532="")),"✗ قائمة R",IF(NOT(OR(AA532="ممتاز 100%",AA532="جيد 85%",AA532="مقبول 70%",AA532="ضعيف 50%",AA532="")),"✗ قائمة S",IF(NOT(OR(AB532="مكتمل 100%",AB532="جزئي 60%",AB532="معلق 30%",AB532="مفتوح 0%",AB532="")),"✗ قائمة T",IF(NOT(OR(AC532="لا خصم 0",AC532="تأخير −5",AC532="عجز −10",AC532="جودة −15",AC532="امتثال −20",AC532="مخالفة −25",AC532="")),"✗ قائمة U",IF(AND(X532="لا",AC532&lt;&gt;"",AC532&lt;&gt;"لا خصم 0"),"✗ خصم",IF(AND(X532="نعم",AC532="لا خصم 0"),"✗ خصم",IF(AND(Z532="ممتاز 100%",AA532="ممتاز 100%",AB532&lt;&gt;"",AB532&lt;&gt;"مكتمل 100%"),"✗ إغلاق",IFERROR(IF(LEN(_xlfn.TEXTJOIN("، ",TRUE,IF(E532="","التاريخ",""),IF(F532="","الوقت",""),IF(G532="","المركز",""),IF(H532="","الدائرة",""),IF(I532="","القسم",""),IF(J532="","المسؤول",""),IF(K532="","نوع النشاط",""),IF(L532="","المشروع",""),IF(N532="","الممول",""),IF(V532="","الموضوع",""),IF(W532="","الملاحظة",""),IF(X532="","مشكلة",""),IF(Y532="","الإجراء",""),IF(Z532="","التنفيذ",""),IF(AA532="","الجودة",""),IF(AB532="","الإغلاق",""),IF(AC532="","الخصم",""),IF(AND(COUNTA($O532:$U532)&gt;0,O532=""),"مدير المشروع",""),IF(AND(COUNTA($O532:$U532)&gt;0,P532=""),"المستفيدين",""),IF(AND(COUNTA($O532:$U532)&gt;0,Q532=""),"المناطق",""),IF(AND(COUNTA($O532:$U532)&gt;0,R532=""),"الميزانية",""),IF(AND(COUNTA($O532:$U532)&gt;0,S532=""),"نسبة الجاهزية",""),IF(AND(COUNTA($O532:$U532)&gt;0,T532=""),"حالة الجاهزية",""),IF(AND(COUNTA($O532:$U532)&gt;0,U532=""),"التوصيات","")))&gt;0,"✗ ناقص: "&amp;_xlfn.TEXTJOIN("، ",TRUE,IF(E532="","التاريخ",""),IF(F532="","الوقت",""),IF(G532="","المركز",""),IF(H532="","الدائرة",""),IF(I532="","القسم",""),IF(J532="","المسؤول",""),IF(K532="","نوع النشاط",""),IF(L532="","المشروع",""),IF(N532="","الممول",""),IF(V532="","الموضوع",""),IF(W532="","الملاحظة",""),IF(X532="","مشكلة",""),IF(Y532="","الإجراء",""),IF(Z532="","التنفيذ",""),IF(AA532="","الجودة",""),IF(AB532="","الإغلاق",""),IF(AC532="","الخصم",""),IF(AND(COUNTA($O532:$U532)&gt;0,O532=""),"مدير المشروع",""),IF(AND(COUNTA($O532:$U532)&gt;0,P532=""),"المستفيدين",""),IF(AND(COUNTA($O532:$U532)&gt;0,Q532=""),"المناطق",""),IF(AND(COUNTA($O532:$U532)&gt;0,R532=""),"الميزانية",""),IF(AND(COUNTA($O532:$U532)&gt;0,S532=""),"نسبة الجاهزية",""),IF(AND(COUNTA($O532:$U532)&gt;0,T532=""),"حالة الجاهزية",""),IF(AND(COUNTA($O532:$U532)&gt;0,U532=""),"التوصيات","")),"✓"),"✓"))))))))))</f>
        <v/>
      </c>
      <c r="E532" s="235"/>
      <c r="F532" s="236"/>
      <c r="G532" s="90"/>
      <c r="H532" s="239"/>
      <c r="I532" s="89"/>
      <c r="J532" s="142"/>
      <c r="K532" s="90"/>
      <c r="L532" s="90"/>
      <c r="M532" s="90"/>
      <c r="N532" s="89"/>
      <c r="O532" s="200"/>
      <c r="P532" s="201"/>
      <c r="Q532" s="201"/>
      <c r="R532" s="237"/>
      <c r="S532" s="202"/>
      <c r="T532" s="200"/>
      <c r="U532" s="203"/>
      <c r="V532" s="89"/>
      <c r="W532" s="89"/>
      <c r="X532" s="145"/>
      <c r="Y532" s="89"/>
      <c r="Z532" s="90"/>
      <c r="AA532" s="90"/>
      <c r="AB532" s="90"/>
      <c r="AC532" s="90"/>
      <c r="AD532" s="92"/>
      <c r="AE532" s="149" t="str">
        <f>IFERROR(VLOOKUP(Z532,LISTS!$AL$2:$AM$1000,2,FALSE()),"")</f>
        <v/>
      </c>
      <c r="AF532" s="151" t="str">
        <f>IFERROR(VLOOKUP(AA532,LISTS!$AO$2:$AP$1000,2,FALSE()),"")</f>
        <v/>
      </c>
      <c r="AG532" s="152" t="str">
        <f>IFERROR(VLOOKUP(AB532,LISTS!$AR$2:$AS$1000,2,FALSE()),"")</f>
        <v/>
      </c>
      <c r="AH532" s="154" t="str">
        <f>IFERROR(VLOOKUP(AC532,LISTS!$AU$2:$AV$1000,2,FALSE()),"")</f>
        <v/>
      </c>
      <c r="AI532" s="238" t="str">
        <f t="shared" si="43"/>
        <v>—</v>
      </c>
      <c r="AJ532" s="190" t="str">
        <f t="shared" si="44"/>
        <v>—</v>
      </c>
      <c r="AK532" s="157" t="str">
        <f t="shared" si="40"/>
        <v/>
      </c>
      <c r="AL532" s="160" t="str">
        <f t="shared" si="41"/>
        <v/>
      </c>
      <c r="AM532" s="210"/>
      <c r="AN532" s="209"/>
    </row>
    <row r="533" spans="1:40" ht="27.95" customHeight="1">
      <c r="A533" s="134" t="str">
        <f>IF(I533&lt;&gt;"",COUNTA($I$2:I533),"")</f>
        <v/>
      </c>
      <c r="B533" s="138" t="str">
        <f t="shared" si="42"/>
        <v/>
      </c>
      <c r="C533" s="93" t="str">
        <f t="array" ref="C533">IF(E533="","",IF(M533&lt;&gt;"",
M533&amp;"/"&amp;SUMPRODUCT((M$2:M533=M533)*1)&amp;" - "&amp;(ROW()-2),
"إداري/"&amp;SUMPRODUCT((M$2:M533="")*1)&amp;" - "&amp;(ROW()-2)))</f>
        <v/>
      </c>
      <c r="D533" s="141" t="str">
        <f>IF(AND(G533="",H533="",I533=""),"",IF(COUNTIFS(LISTS!$A$2:$A$67,G533,LISTS!$B$2:$B$67,H533,LISTS!$C$2:$C$67,I533)=0,"✗ هرم",IF(NOT(OR(Z533="ممتاز 100%",Z533="جيد 80%",Z533="مقبول 60%",Z533="خطر 40%",Z533="")),"✗ قائمة R",IF(NOT(OR(AA533="ممتاز 100%",AA533="جيد 85%",AA533="مقبول 70%",AA533="ضعيف 50%",AA533="")),"✗ قائمة S",IF(NOT(OR(AB533="مكتمل 100%",AB533="جزئي 60%",AB533="معلق 30%",AB533="مفتوح 0%",AB533="")),"✗ قائمة T",IF(NOT(OR(AC533="لا خصم 0",AC533="تأخير −5",AC533="عجز −10",AC533="جودة −15",AC533="امتثال −20",AC533="مخالفة −25",AC533="")),"✗ قائمة U",IF(AND(X533="لا",AC533&lt;&gt;"",AC533&lt;&gt;"لا خصم 0"),"✗ خصم",IF(AND(X533="نعم",AC533="لا خصم 0"),"✗ خصم",IF(AND(Z533="ممتاز 100%",AA533="ممتاز 100%",AB533&lt;&gt;"",AB533&lt;&gt;"مكتمل 100%"),"✗ إغلاق",IFERROR(IF(LEN(_xlfn.TEXTJOIN("، ",TRUE,IF(E533="","التاريخ",""),IF(F533="","الوقت",""),IF(G533="","المركز",""),IF(H533="","الدائرة",""),IF(I533="","القسم",""),IF(J533="","المسؤول",""),IF(K533="","نوع النشاط",""),IF(L533="","المشروع",""),IF(N533="","الممول",""),IF(V533="","الموضوع",""),IF(W533="","الملاحظة",""),IF(X533="","مشكلة",""),IF(Y533="","الإجراء",""),IF(Z533="","التنفيذ",""),IF(AA533="","الجودة",""),IF(AB533="","الإغلاق",""),IF(AC533="","الخصم",""),IF(AND(COUNTA($O533:$U533)&gt;0,O533=""),"مدير المشروع",""),IF(AND(COUNTA($O533:$U533)&gt;0,P533=""),"المستفيدين",""),IF(AND(COUNTA($O533:$U533)&gt;0,Q533=""),"المناطق",""),IF(AND(COUNTA($O533:$U533)&gt;0,R533=""),"الميزانية",""),IF(AND(COUNTA($O533:$U533)&gt;0,S533=""),"نسبة الجاهزية",""),IF(AND(COUNTA($O533:$U533)&gt;0,T533=""),"حالة الجاهزية",""),IF(AND(COUNTA($O533:$U533)&gt;0,U533=""),"التوصيات","")))&gt;0,"✗ ناقص: "&amp;_xlfn.TEXTJOIN("، ",TRUE,IF(E533="","التاريخ",""),IF(F533="","الوقت",""),IF(G533="","المركز",""),IF(H533="","الدائرة",""),IF(I533="","القسم",""),IF(J533="","المسؤول",""),IF(K533="","نوع النشاط",""),IF(L533="","المشروع",""),IF(N533="","الممول",""),IF(V533="","الموضوع",""),IF(W533="","الملاحظة",""),IF(X533="","مشكلة",""),IF(Y533="","الإجراء",""),IF(Z533="","التنفيذ",""),IF(AA533="","الجودة",""),IF(AB533="","الإغلاق",""),IF(AC533="","الخصم",""),IF(AND(COUNTA($O533:$U533)&gt;0,O533=""),"مدير المشروع",""),IF(AND(COUNTA($O533:$U533)&gt;0,P533=""),"المستفيدين",""),IF(AND(COUNTA($O533:$U533)&gt;0,Q533=""),"المناطق",""),IF(AND(COUNTA($O533:$U533)&gt;0,R533=""),"الميزانية",""),IF(AND(COUNTA($O533:$U533)&gt;0,S533=""),"نسبة الجاهزية",""),IF(AND(COUNTA($O533:$U533)&gt;0,T533=""),"حالة الجاهزية",""),IF(AND(COUNTA($O533:$U533)&gt;0,U533=""),"التوصيات","")),"✓"),"✓"))))))))))</f>
        <v/>
      </c>
      <c r="E533" s="235"/>
      <c r="F533" s="236"/>
      <c r="G533" s="90"/>
      <c r="H533" s="239"/>
      <c r="I533" s="89"/>
      <c r="J533" s="142"/>
      <c r="K533" s="90"/>
      <c r="L533" s="90"/>
      <c r="M533" s="90"/>
      <c r="N533" s="89"/>
      <c r="O533" s="200"/>
      <c r="P533" s="201"/>
      <c r="Q533" s="201"/>
      <c r="R533" s="237"/>
      <c r="S533" s="202"/>
      <c r="T533" s="200"/>
      <c r="U533" s="203"/>
      <c r="V533" s="89"/>
      <c r="W533" s="89"/>
      <c r="X533" s="145"/>
      <c r="Y533" s="89"/>
      <c r="Z533" s="90"/>
      <c r="AA533" s="90"/>
      <c r="AB533" s="90"/>
      <c r="AC533" s="90"/>
      <c r="AD533" s="92"/>
      <c r="AE533" s="149" t="str">
        <f>IFERROR(VLOOKUP(Z533,LISTS!$AL$2:$AM$1000,2,FALSE()),"")</f>
        <v/>
      </c>
      <c r="AF533" s="151" t="str">
        <f>IFERROR(VLOOKUP(AA533,LISTS!$AO$2:$AP$1000,2,FALSE()),"")</f>
        <v/>
      </c>
      <c r="AG533" s="152" t="str">
        <f>IFERROR(VLOOKUP(AB533,LISTS!$AR$2:$AS$1000,2,FALSE()),"")</f>
        <v/>
      </c>
      <c r="AH533" s="154" t="str">
        <f>IFERROR(VLOOKUP(AC533,LISTS!$AU$2:$AV$1000,2,FALSE()),"")</f>
        <v/>
      </c>
      <c r="AI533" s="238" t="str">
        <f t="shared" si="43"/>
        <v>—</v>
      </c>
      <c r="AJ533" s="190" t="str">
        <f t="shared" si="44"/>
        <v>—</v>
      </c>
      <c r="AK533" s="157" t="str">
        <f t="shared" si="40"/>
        <v/>
      </c>
      <c r="AL533" s="160" t="str">
        <f t="shared" si="41"/>
        <v/>
      </c>
      <c r="AM533" s="210"/>
      <c r="AN533" s="209"/>
    </row>
    <row r="534" spans="1:40" ht="27.95" customHeight="1">
      <c r="A534" s="134" t="str">
        <f>IF(I534&lt;&gt;"",COUNTA($I$2:I534),"")</f>
        <v/>
      </c>
      <c r="B534" s="138" t="str">
        <f t="shared" si="42"/>
        <v/>
      </c>
      <c r="C534" s="93" t="str">
        <f t="array" ref="C534">IF(E534="","",IF(M534&lt;&gt;"",
M534&amp;"/"&amp;SUMPRODUCT((M$2:M534=M534)*1)&amp;" - "&amp;(ROW()-2),
"إداري/"&amp;SUMPRODUCT((M$2:M534="")*1)&amp;" - "&amp;(ROW()-2)))</f>
        <v/>
      </c>
      <c r="D534" s="141" t="str">
        <f>IF(AND(G534="",H534="",I534=""),"",IF(COUNTIFS(LISTS!$A$2:$A$67,G534,LISTS!$B$2:$B$67,H534,LISTS!$C$2:$C$67,I534)=0,"✗ هرم",IF(NOT(OR(Z534="ممتاز 100%",Z534="جيد 80%",Z534="مقبول 60%",Z534="خطر 40%",Z534="")),"✗ قائمة R",IF(NOT(OR(AA534="ممتاز 100%",AA534="جيد 85%",AA534="مقبول 70%",AA534="ضعيف 50%",AA534="")),"✗ قائمة S",IF(NOT(OR(AB534="مكتمل 100%",AB534="جزئي 60%",AB534="معلق 30%",AB534="مفتوح 0%",AB534="")),"✗ قائمة T",IF(NOT(OR(AC534="لا خصم 0",AC534="تأخير −5",AC534="عجز −10",AC534="جودة −15",AC534="امتثال −20",AC534="مخالفة −25",AC534="")),"✗ قائمة U",IF(AND(X534="لا",AC534&lt;&gt;"",AC534&lt;&gt;"لا خصم 0"),"✗ خصم",IF(AND(X534="نعم",AC534="لا خصم 0"),"✗ خصم",IF(AND(Z534="ممتاز 100%",AA534="ممتاز 100%",AB534&lt;&gt;"",AB534&lt;&gt;"مكتمل 100%"),"✗ إغلاق",IFERROR(IF(LEN(_xlfn.TEXTJOIN("، ",TRUE,IF(E534="","التاريخ",""),IF(F534="","الوقت",""),IF(G534="","المركز",""),IF(H534="","الدائرة",""),IF(I534="","القسم",""),IF(J534="","المسؤول",""),IF(K534="","نوع النشاط",""),IF(L534="","المشروع",""),IF(N534="","الممول",""),IF(V534="","الموضوع",""),IF(W534="","الملاحظة",""),IF(X534="","مشكلة",""),IF(Y534="","الإجراء",""),IF(Z534="","التنفيذ",""),IF(AA534="","الجودة",""),IF(AB534="","الإغلاق",""),IF(AC534="","الخصم",""),IF(AND(COUNTA($O534:$U534)&gt;0,O534=""),"مدير المشروع",""),IF(AND(COUNTA($O534:$U534)&gt;0,P534=""),"المستفيدين",""),IF(AND(COUNTA($O534:$U534)&gt;0,Q534=""),"المناطق",""),IF(AND(COUNTA($O534:$U534)&gt;0,R534=""),"الميزانية",""),IF(AND(COUNTA($O534:$U534)&gt;0,S534=""),"نسبة الجاهزية",""),IF(AND(COUNTA($O534:$U534)&gt;0,T534=""),"حالة الجاهزية",""),IF(AND(COUNTA($O534:$U534)&gt;0,U534=""),"التوصيات","")))&gt;0,"✗ ناقص: "&amp;_xlfn.TEXTJOIN("، ",TRUE,IF(E534="","التاريخ",""),IF(F534="","الوقت",""),IF(G534="","المركز",""),IF(H534="","الدائرة",""),IF(I534="","القسم",""),IF(J534="","المسؤول",""),IF(K534="","نوع النشاط",""),IF(L534="","المشروع",""),IF(N534="","الممول",""),IF(V534="","الموضوع",""),IF(W534="","الملاحظة",""),IF(X534="","مشكلة",""),IF(Y534="","الإجراء",""),IF(Z534="","التنفيذ",""),IF(AA534="","الجودة",""),IF(AB534="","الإغلاق",""),IF(AC534="","الخصم",""),IF(AND(COUNTA($O534:$U534)&gt;0,O534=""),"مدير المشروع",""),IF(AND(COUNTA($O534:$U534)&gt;0,P534=""),"المستفيدين",""),IF(AND(COUNTA($O534:$U534)&gt;0,Q534=""),"المناطق",""),IF(AND(COUNTA($O534:$U534)&gt;0,R534=""),"الميزانية",""),IF(AND(COUNTA($O534:$U534)&gt;0,S534=""),"نسبة الجاهزية",""),IF(AND(COUNTA($O534:$U534)&gt;0,T534=""),"حالة الجاهزية",""),IF(AND(COUNTA($O534:$U534)&gt;0,U534=""),"التوصيات","")),"✓"),"✓"))))))))))</f>
        <v/>
      </c>
      <c r="E534" s="235"/>
      <c r="F534" s="236"/>
      <c r="G534" s="90"/>
      <c r="H534" s="239"/>
      <c r="I534" s="89"/>
      <c r="J534" s="142"/>
      <c r="K534" s="90"/>
      <c r="L534" s="90"/>
      <c r="M534" s="90"/>
      <c r="N534" s="89"/>
      <c r="O534" s="200"/>
      <c r="P534" s="201"/>
      <c r="Q534" s="201"/>
      <c r="R534" s="237"/>
      <c r="S534" s="202"/>
      <c r="T534" s="200"/>
      <c r="U534" s="203"/>
      <c r="V534" s="89"/>
      <c r="W534" s="89"/>
      <c r="X534" s="145"/>
      <c r="Y534" s="89"/>
      <c r="Z534" s="90"/>
      <c r="AA534" s="90"/>
      <c r="AB534" s="90"/>
      <c r="AC534" s="90"/>
      <c r="AD534" s="92"/>
      <c r="AE534" s="149" t="str">
        <f>IFERROR(VLOOKUP(Z534,LISTS!$AL$2:$AM$1000,2,FALSE()),"")</f>
        <v/>
      </c>
      <c r="AF534" s="151" t="str">
        <f>IFERROR(VLOOKUP(AA534,LISTS!$AO$2:$AP$1000,2,FALSE()),"")</f>
        <v/>
      </c>
      <c r="AG534" s="152" t="str">
        <f>IFERROR(VLOOKUP(AB534,LISTS!$AR$2:$AS$1000,2,FALSE()),"")</f>
        <v/>
      </c>
      <c r="AH534" s="154" t="str">
        <f>IFERROR(VLOOKUP(AC534,LISTS!$AU$2:$AV$1000,2,FALSE()),"")</f>
        <v/>
      </c>
      <c r="AI534" s="238" t="str">
        <f t="shared" si="43"/>
        <v>—</v>
      </c>
      <c r="AJ534" s="190" t="str">
        <f t="shared" si="44"/>
        <v>—</v>
      </c>
      <c r="AK534" s="157" t="str">
        <f t="shared" si="40"/>
        <v/>
      </c>
      <c r="AL534" s="160" t="str">
        <f t="shared" si="41"/>
        <v/>
      </c>
      <c r="AM534" s="210"/>
      <c r="AN534" s="209"/>
    </row>
    <row r="535" spans="1:40" ht="27.95" customHeight="1">
      <c r="A535" s="134" t="str">
        <f>IF(I535&lt;&gt;"",COUNTA($I$2:I535),"")</f>
        <v/>
      </c>
      <c r="B535" s="138" t="str">
        <f t="shared" si="42"/>
        <v/>
      </c>
      <c r="C535" s="93" t="str">
        <f t="array" ref="C535">IF(E535="","",IF(M535&lt;&gt;"",
M535&amp;"/"&amp;SUMPRODUCT((M$2:M535=M535)*1)&amp;" - "&amp;(ROW()-2),
"إداري/"&amp;SUMPRODUCT((M$2:M535="")*1)&amp;" - "&amp;(ROW()-2)))</f>
        <v/>
      </c>
      <c r="D535" s="141" t="str">
        <f>IF(AND(G535="",H535="",I535=""),"",IF(COUNTIFS(LISTS!$A$2:$A$67,G535,LISTS!$B$2:$B$67,H535,LISTS!$C$2:$C$67,I535)=0,"✗ هرم",IF(NOT(OR(Z535="ممتاز 100%",Z535="جيد 80%",Z535="مقبول 60%",Z535="خطر 40%",Z535="")),"✗ قائمة R",IF(NOT(OR(AA535="ممتاز 100%",AA535="جيد 85%",AA535="مقبول 70%",AA535="ضعيف 50%",AA535="")),"✗ قائمة S",IF(NOT(OR(AB535="مكتمل 100%",AB535="جزئي 60%",AB535="معلق 30%",AB535="مفتوح 0%",AB535="")),"✗ قائمة T",IF(NOT(OR(AC535="لا خصم 0",AC535="تأخير −5",AC535="عجز −10",AC535="جودة −15",AC535="امتثال −20",AC535="مخالفة −25",AC535="")),"✗ قائمة U",IF(AND(X535="لا",AC535&lt;&gt;"",AC535&lt;&gt;"لا خصم 0"),"✗ خصم",IF(AND(X535="نعم",AC535="لا خصم 0"),"✗ خصم",IF(AND(Z535="ممتاز 100%",AA535="ممتاز 100%",AB535&lt;&gt;"",AB535&lt;&gt;"مكتمل 100%"),"✗ إغلاق",IFERROR(IF(LEN(_xlfn.TEXTJOIN("، ",TRUE,IF(E535="","التاريخ",""),IF(F535="","الوقت",""),IF(G535="","المركز",""),IF(H535="","الدائرة",""),IF(I535="","القسم",""),IF(J535="","المسؤول",""),IF(K535="","نوع النشاط",""),IF(L535="","المشروع",""),IF(N535="","الممول",""),IF(V535="","الموضوع",""),IF(W535="","الملاحظة",""),IF(X535="","مشكلة",""),IF(Y535="","الإجراء",""),IF(Z535="","التنفيذ",""),IF(AA535="","الجودة",""),IF(AB535="","الإغلاق",""),IF(AC535="","الخصم",""),IF(AND(COUNTA($O535:$U535)&gt;0,O535=""),"مدير المشروع",""),IF(AND(COUNTA($O535:$U535)&gt;0,P535=""),"المستفيدين",""),IF(AND(COUNTA($O535:$U535)&gt;0,Q535=""),"المناطق",""),IF(AND(COUNTA($O535:$U535)&gt;0,R535=""),"الميزانية",""),IF(AND(COUNTA($O535:$U535)&gt;0,S535=""),"نسبة الجاهزية",""),IF(AND(COUNTA($O535:$U535)&gt;0,T535=""),"حالة الجاهزية",""),IF(AND(COUNTA($O535:$U535)&gt;0,U535=""),"التوصيات","")))&gt;0,"✗ ناقص: "&amp;_xlfn.TEXTJOIN("، ",TRUE,IF(E535="","التاريخ",""),IF(F535="","الوقت",""),IF(G535="","المركز",""),IF(H535="","الدائرة",""),IF(I535="","القسم",""),IF(J535="","المسؤول",""),IF(K535="","نوع النشاط",""),IF(L535="","المشروع",""),IF(N535="","الممول",""),IF(V535="","الموضوع",""),IF(W535="","الملاحظة",""),IF(X535="","مشكلة",""),IF(Y535="","الإجراء",""),IF(Z535="","التنفيذ",""),IF(AA535="","الجودة",""),IF(AB535="","الإغلاق",""),IF(AC535="","الخصم",""),IF(AND(COUNTA($O535:$U535)&gt;0,O535=""),"مدير المشروع",""),IF(AND(COUNTA($O535:$U535)&gt;0,P535=""),"المستفيدين",""),IF(AND(COUNTA($O535:$U535)&gt;0,Q535=""),"المناطق",""),IF(AND(COUNTA($O535:$U535)&gt;0,R535=""),"الميزانية",""),IF(AND(COUNTA($O535:$U535)&gt;0,S535=""),"نسبة الجاهزية",""),IF(AND(COUNTA($O535:$U535)&gt;0,T535=""),"حالة الجاهزية",""),IF(AND(COUNTA($O535:$U535)&gt;0,U535=""),"التوصيات","")),"✓"),"✓"))))))))))</f>
        <v/>
      </c>
      <c r="E535" s="235"/>
      <c r="F535" s="236"/>
      <c r="G535" s="90"/>
      <c r="H535" s="239"/>
      <c r="I535" s="89"/>
      <c r="J535" s="142"/>
      <c r="K535" s="90"/>
      <c r="L535" s="90"/>
      <c r="M535" s="90"/>
      <c r="N535" s="89"/>
      <c r="O535" s="200"/>
      <c r="P535" s="201"/>
      <c r="Q535" s="201"/>
      <c r="R535" s="237"/>
      <c r="S535" s="202"/>
      <c r="T535" s="200"/>
      <c r="U535" s="203"/>
      <c r="V535" s="89"/>
      <c r="W535" s="89"/>
      <c r="X535" s="145"/>
      <c r="Y535" s="89"/>
      <c r="Z535" s="90"/>
      <c r="AA535" s="90"/>
      <c r="AB535" s="90"/>
      <c r="AC535" s="90"/>
      <c r="AD535" s="92"/>
      <c r="AE535" s="149" t="str">
        <f>IFERROR(VLOOKUP(Z535,LISTS!$AL$2:$AM$1000,2,FALSE()),"")</f>
        <v/>
      </c>
      <c r="AF535" s="151" t="str">
        <f>IFERROR(VLOOKUP(AA535,LISTS!$AO$2:$AP$1000,2,FALSE()),"")</f>
        <v/>
      </c>
      <c r="AG535" s="152" t="str">
        <f>IFERROR(VLOOKUP(AB535,LISTS!$AR$2:$AS$1000,2,FALSE()),"")</f>
        <v/>
      </c>
      <c r="AH535" s="154" t="str">
        <f>IFERROR(VLOOKUP(AC535,LISTS!$AU$2:$AV$1000,2,FALSE()),"")</f>
        <v/>
      </c>
      <c r="AI535" s="238" t="str">
        <f t="shared" si="43"/>
        <v>—</v>
      </c>
      <c r="AJ535" s="190" t="str">
        <f t="shared" si="44"/>
        <v>—</v>
      </c>
      <c r="AK535" s="157" t="str">
        <f t="shared" si="40"/>
        <v/>
      </c>
      <c r="AL535" s="160" t="str">
        <f t="shared" si="41"/>
        <v/>
      </c>
      <c r="AM535" s="210"/>
      <c r="AN535" s="209"/>
    </row>
    <row r="536" spans="1:40" ht="27.95" customHeight="1">
      <c r="A536" s="134" t="str">
        <f>IF(I536&lt;&gt;"",COUNTA($I$2:I536),"")</f>
        <v/>
      </c>
      <c r="B536" s="138" t="str">
        <f t="shared" si="42"/>
        <v/>
      </c>
      <c r="C536" s="93" t="str">
        <f t="array" ref="C536">IF(E536="","",IF(M536&lt;&gt;"",
M536&amp;"/"&amp;SUMPRODUCT((M$2:M536=M536)*1)&amp;" - "&amp;(ROW()-2),
"إداري/"&amp;SUMPRODUCT((M$2:M536="")*1)&amp;" - "&amp;(ROW()-2)))</f>
        <v/>
      </c>
      <c r="D536" s="141" t="str">
        <f>IF(AND(G536="",H536="",I536=""),"",IF(COUNTIFS(LISTS!$A$2:$A$67,G536,LISTS!$B$2:$B$67,H536,LISTS!$C$2:$C$67,I536)=0,"✗ هرم",IF(NOT(OR(Z536="ممتاز 100%",Z536="جيد 80%",Z536="مقبول 60%",Z536="خطر 40%",Z536="")),"✗ قائمة R",IF(NOT(OR(AA536="ممتاز 100%",AA536="جيد 85%",AA536="مقبول 70%",AA536="ضعيف 50%",AA536="")),"✗ قائمة S",IF(NOT(OR(AB536="مكتمل 100%",AB536="جزئي 60%",AB536="معلق 30%",AB536="مفتوح 0%",AB536="")),"✗ قائمة T",IF(NOT(OR(AC536="لا خصم 0",AC536="تأخير −5",AC536="عجز −10",AC536="جودة −15",AC536="امتثال −20",AC536="مخالفة −25",AC536="")),"✗ قائمة U",IF(AND(X536="لا",AC536&lt;&gt;"",AC536&lt;&gt;"لا خصم 0"),"✗ خصم",IF(AND(X536="نعم",AC536="لا خصم 0"),"✗ خصم",IF(AND(Z536="ممتاز 100%",AA536="ممتاز 100%",AB536&lt;&gt;"",AB536&lt;&gt;"مكتمل 100%"),"✗ إغلاق",IFERROR(IF(LEN(_xlfn.TEXTJOIN("، ",TRUE,IF(E536="","التاريخ",""),IF(F536="","الوقت",""),IF(G536="","المركز",""),IF(H536="","الدائرة",""),IF(I536="","القسم",""),IF(J536="","المسؤول",""),IF(K536="","نوع النشاط",""),IF(L536="","المشروع",""),IF(N536="","الممول",""),IF(V536="","الموضوع",""),IF(W536="","الملاحظة",""),IF(X536="","مشكلة",""),IF(Y536="","الإجراء",""),IF(Z536="","التنفيذ",""),IF(AA536="","الجودة",""),IF(AB536="","الإغلاق",""),IF(AC536="","الخصم",""),IF(AND(COUNTA($O536:$U536)&gt;0,O536=""),"مدير المشروع",""),IF(AND(COUNTA($O536:$U536)&gt;0,P536=""),"المستفيدين",""),IF(AND(COUNTA($O536:$U536)&gt;0,Q536=""),"المناطق",""),IF(AND(COUNTA($O536:$U536)&gt;0,R536=""),"الميزانية",""),IF(AND(COUNTA($O536:$U536)&gt;0,S536=""),"نسبة الجاهزية",""),IF(AND(COUNTA($O536:$U536)&gt;0,T536=""),"حالة الجاهزية",""),IF(AND(COUNTA($O536:$U536)&gt;0,U536=""),"التوصيات","")))&gt;0,"✗ ناقص: "&amp;_xlfn.TEXTJOIN("، ",TRUE,IF(E536="","التاريخ",""),IF(F536="","الوقت",""),IF(G536="","المركز",""),IF(H536="","الدائرة",""),IF(I536="","القسم",""),IF(J536="","المسؤول",""),IF(K536="","نوع النشاط",""),IF(L536="","المشروع",""),IF(N536="","الممول",""),IF(V536="","الموضوع",""),IF(W536="","الملاحظة",""),IF(X536="","مشكلة",""),IF(Y536="","الإجراء",""),IF(Z536="","التنفيذ",""),IF(AA536="","الجودة",""),IF(AB536="","الإغلاق",""),IF(AC536="","الخصم",""),IF(AND(COUNTA($O536:$U536)&gt;0,O536=""),"مدير المشروع",""),IF(AND(COUNTA($O536:$U536)&gt;0,P536=""),"المستفيدين",""),IF(AND(COUNTA($O536:$U536)&gt;0,Q536=""),"المناطق",""),IF(AND(COUNTA($O536:$U536)&gt;0,R536=""),"الميزانية",""),IF(AND(COUNTA($O536:$U536)&gt;0,S536=""),"نسبة الجاهزية",""),IF(AND(COUNTA($O536:$U536)&gt;0,T536=""),"حالة الجاهزية",""),IF(AND(COUNTA($O536:$U536)&gt;0,U536=""),"التوصيات","")),"✓"),"✓"))))))))))</f>
        <v/>
      </c>
      <c r="E536" s="235"/>
      <c r="F536" s="236"/>
      <c r="G536" s="90"/>
      <c r="H536" s="239"/>
      <c r="I536" s="89"/>
      <c r="J536" s="142"/>
      <c r="K536" s="90"/>
      <c r="L536" s="90"/>
      <c r="M536" s="90"/>
      <c r="N536" s="89"/>
      <c r="O536" s="200"/>
      <c r="P536" s="201"/>
      <c r="Q536" s="201"/>
      <c r="R536" s="237"/>
      <c r="S536" s="202"/>
      <c r="T536" s="200"/>
      <c r="U536" s="203"/>
      <c r="V536" s="89"/>
      <c r="W536" s="89"/>
      <c r="X536" s="145"/>
      <c r="Y536" s="89"/>
      <c r="Z536" s="90"/>
      <c r="AA536" s="90"/>
      <c r="AB536" s="90"/>
      <c r="AC536" s="90"/>
      <c r="AD536" s="92"/>
      <c r="AE536" s="149" t="str">
        <f>IFERROR(VLOOKUP(Z536,LISTS!$AL$2:$AM$1000,2,FALSE()),"")</f>
        <v/>
      </c>
      <c r="AF536" s="151" t="str">
        <f>IFERROR(VLOOKUP(AA536,LISTS!$AO$2:$AP$1000,2,FALSE()),"")</f>
        <v/>
      </c>
      <c r="AG536" s="152" t="str">
        <f>IFERROR(VLOOKUP(AB536,LISTS!$AR$2:$AS$1000,2,FALSE()),"")</f>
        <v/>
      </c>
      <c r="AH536" s="154" t="str">
        <f>IFERROR(VLOOKUP(AC536,LISTS!$AU$2:$AV$1000,2,FALSE()),"")</f>
        <v/>
      </c>
      <c r="AI536" s="238" t="str">
        <f t="shared" si="43"/>
        <v>—</v>
      </c>
      <c r="AJ536" s="190" t="str">
        <f t="shared" si="44"/>
        <v>—</v>
      </c>
      <c r="AK536" s="157" t="str">
        <f t="shared" si="40"/>
        <v/>
      </c>
      <c r="AL536" s="160" t="str">
        <f t="shared" si="41"/>
        <v/>
      </c>
      <c r="AM536" s="210"/>
      <c r="AN536" s="209"/>
    </row>
    <row r="537" spans="1:40" ht="27.95" customHeight="1">
      <c r="A537" s="134" t="str">
        <f>IF(I537&lt;&gt;"",COUNTA($I$2:I537),"")</f>
        <v/>
      </c>
      <c r="B537" s="138" t="str">
        <f t="shared" si="42"/>
        <v/>
      </c>
      <c r="C537" s="93" t="str">
        <f t="array" ref="C537">IF(E537="","",IF(M537&lt;&gt;"",
M537&amp;"/"&amp;SUMPRODUCT((M$2:M537=M537)*1)&amp;" - "&amp;(ROW()-2),
"إداري/"&amp;SUMPRODUCT((M$2:M537="")*1)&amp;" - "&amp;(ROW()-2)))</f>
        <v/>
      </c>
      <c r="D537" s="141" t="str">
        <f>IF(AND(G537="",H537="",I537=""),"",IF(COUNTIFS(LISTS!$A$2:$A$67,G537,LISTS!$B$2:$B$67,H537,LISTS!$C$2:$C$67,I537)=0,"✗ هرم",IF(NOT(OR(Z537="ممتاز 100%",Z537="جيد 80%",Z537="مقبول 60%",Z537="خطر 40%",Z537="")),"✗ قائمة R",IF(NOT(OR(AA537="ممتاز 100%",AA537="جيد 85%",AA537="مقبول 70%",AA537="ضعيف 50%",AA537="")),"✗ قائمة S",IF(NOT(OR(AB537="مكتمل 100%",AB537="جزئي 60%",AB537="معلق 30%",AB537="مفتوح 0%",AB537="")),"✗ قائمة T",IF(NOT(OR(AC537="لا خصم 0",AC537="تأخير −5",AC537="عجز −10",AC537="جودة −15",AC537="امتثال −20",AC537="مخالفة −25",AC537="")),"✗ قائمة U",IF(AND(X537="لا",AC537&lt;&gt;"",AC537&lt;&gt;"لا خصم 0"),"✗ خصم",IF(AND(X537="نعم",AC537="لا خصم 0"),"✗ خصم",IF(AND(Z537="ممتاز 100%",AA537="ممتاز 100%",AB537&lt;&gt;"",AB537&lt;&gt;"مكتمل 100%"),"✗ إغلاق",IFERROR(IF(LEN(_xlfn.TEXTJOIN("، ",TRUE,IF(E537="","التاريخ",""),IF(F537="","الوقت",""),IF(G537="","المركز",""),IF(H537="","الدائرة",""),IF(I537="","القسم",""),IF(J537="","المسؤول",""),IF(K537="","نوع النشاط",""),IF(L537="","المشروع",""),IF(N537="","الممول",""),IF(V537="","الموضوع",""),IF(W537="","الملاحظة",""),IF(X537="","مشكلة",""),IF(Y537="","الإجراء",""),IF(Z537="","التنفيذ",""),IF(AA537="","الجودة",""),IF(AB537="","الإغلاق",""),IF(AC537="","الخصم",""),IF(AND(COUNTA($O537:$U537)&gt;0,O537=""),"مدير المشروع",""),IF(AND(COUNTA($O537:$U537)&gt;0,P537=""),"المستفيدين",""),IF(AND(COUNTA($O537:$U537)&gt;0,Q537=""),"المناطق",""),IF(AND(COUNTA($O537:$U537)&gt;0,R537=""),"الميزانية",""),IF(AND(COUNTA($O537:$U537)&gt;0,S537=""),"نسبة الجاهزية",""),IF(AND(COUNTA($O537:$U537)&gt;0,T537=""),"حالة الجاهزية",""),IF(AND(COUNTA($O537:$U537)&gt;0,U537=""),"التوصيات","")))&gt;0,"✗ ناقص: "&amp;_xlfn.TEXTJOIN("، ",TRUE,IF(E537="","التاريخ",""),IF(F537="","الوقت",""),IF(G537="","المركز",""),IF(H537="","الدائرة",""),IF(I537="","القسم",""),IF(J537="","المسؤول",""),IF(K537="","نوع النشاط",""),IF(L537="","المشروع",""),IF(N537="","الممول",""),IF(V537="","الموضوع",""),IF(W537="","الملاحظة",""),IF(X537="","مشكلة",""),IF(Y537="","الإجراء",""),IF(Z537="","التنفيذ",""),IF(AA537="","الجودة",""),IF(AB537="","الإغلاق",""),IF(AC537="","الخصم",""),IF(AND(COUNTA($O537:$U537)&gt;0,O537=""),"مدير المشروع",""),IF(AND(COUNTA($O537:$U537)&gt;0,P537=""),"المستفيدين",""),IF(AND(COUNTA($O537:$U537)&gt;0,Q537=""),"المناطق",""),IF(AND(COUNTA($O537:$U537)&gt;0,R537=""),"الميزانية",""),IF(AND(COUNTA($O537:$U537)&gt;0,S537=""),"نسبة الجاهزية",""),IF(AND(COUNTA($O537:$U537)&gt;0,T537=""),"حالة الجاهزية",""),IF(AND(COUNTA($O537:$U537)&gt;0,U537=""),"التوصيات","")),"✓"),"✓"))))))))))</f>
        <v/>
      </c>
      <c r="E537" s="235"/>
      <c r="F537" s="236"/>
      <c r="G537" s="90"/>
      <c r="H537" s="239"/>
      <c r="I537" s="89"/>
      <c r="J537" s="142"/>
      <c r="K537" s="90"/>
      <c r="L537" s="90"/>
      <c r="M537" s="90"/>
      <c r="N537" s="89"/>
      <c r="O537" s="200"/>
      <c r="P537" s="201"/>
      <c r="Q537" s="201"/>
      <c r="R537" s="237"/>
      <c r="S537" s="202"/>
      <c r="T537" s="200"/>
      <c r="U537" s="203"/>
      <c r="V537" s="89"/>
      <c r="W537" s="89"/>
      <c r="X537" s="145"/>
      <c r="Y537" s="89"/>
      <c r="Z537" s="90"/>
      <c r="AA537" s="90"/>
      <c r="AB537" s="90"/>
      <c r="AC537" s="90"/>
      <c r="AD537" s="92"/>
      <c r="AE537" s="149" t="str">
        <f>IFERROR(VLOOKUP(Z537,LISTS!$AL$2:$AM$1000,2,FALSE()),"")</f>
        <v/>
      </c>
      <c r="AF537" s="151" t="str">
        <f>IFERROR(VLOOKUP(AA537,LISTS!$AO$2:$AP$1000,2,FALSE()),"")</f>
        <v/>
      </c>
      <c r="AG537" s="152" t="str">
        <f>IFERROR(VLOOKUP(AB537,LISTS!$AR$2:$AS$1000,2,FALSE()),"")</f>
        <v/>
      </c>
      <c r="AH537" s="154" t="str">
        <f>IFERROR(VLOOKUP(AC537,LISTS!$AU$2:$AV$1000,2,FALSE()),"")</f>
        <v/>
      </c>
      <c r="AI537" s="238" t="str">
        <f t="shared" si="43"/>
        <v>—</v>
      </c>
      <c r="AJ537" s="190" t="str">
        <f t="shared" si="44"/>
        <v>—</v>
      </c>
      <c r="AK537" s="157" t="str">
        <f t="shared" si="40"/>
        <v/>
      </c>
      <c r="AL537" s="160" t="str">
        <f t="shared" si="41"/>
        <v/>
      </c>
      <c r="AM537" s="210"/>
      <c r="AN537" s="209"/>
    </row>
    <row r="538" spans="1:40" ht="27.95" customHeight="1">
      <c r="A538" s="134" t="str">
        <f>IF(I538&lt;&gt;"",COUNTA($I$2:I538),"")</f>
        <v/>
      </c>
      <c r="B538" s="138" t="str">
        <f t="shared" si="42"/>
        <v/>
      </c>
      <c r="C538" s="93" t="str">
        <f t="array" ref="C538">IF(E538="","",IF(M538&lt;&gt;"",
M538&amp;"/"&amp;SUMPRODUCT((M$2:M538=M538)*1)&amp;" - "&amp;(ROW()-2),
"إداري/"&amp;SUMPRODUCT((M$2:M538="")*1)&amp;" - "&amp;(ROW()-2)))</f>
        <v/>
      </c>
      <c r="D538" s="141" t="str">
        <f>IF(AND(G538="",H538="",I538=""),"",IF(COUNTIFS(LISTS!$A$2:$A$67,G538,LISTS!$B$2:$B$67,H538,LISTS!$C$2:$C$67,I538)=0,"✗ هرم",IF(NOT(OR(Z538="ممتاز 100%",Z538="جيد 80%",Z538="مقبول 60%",Z538="خطر 40%",Z538="")),"✗ قائمة R",IF(NOT(OR(AA538="ممتاز 100%",AA538="جيد 85%",AA538="مقبول 70%",AA538="ضعيف 50%",AA538="")),"✗ قائمة S",IF(NOT(OR(AB538="مكتمل 100%",AB538="جزئي 60%",AB538="معلق 30%",AB538="مفتوح 0%",AB538="")),"✗ قائمة T",IF(NOT(OR(AC538="لا خصم 0",AC538="تأخير −5",AC538="عجز −10",AC538="جودة −15",AC538="امتثال −20",AC538="مخالفة −25",AC538="")),"✗ قائمة U",IF(AND(X538="لا",AC538&lt;&gt;"",AC538&lt;&gt;"لا خصم 0"),"✗ خصم",IF(AND(X538="نعم",AC538="لا خصم 0"),"✗ خصم",IF(AND(Z538="ممتاز 100%",AA538="ممتاز 100%",AB538&lt;&gt;"",AB538&lt;&gt;"مكتمل 100%"),"✗ إغلاق",IFERROR(IF(LEN(_xlfn.TEXTJOIN("، ",TRUE,IF(E538="","التاريخ",""),IF(F538="","الوقت",""),IF(G538="","المركز",""),IF(H538="","الدائرة",""),IF(I538="","القسم",""),IF(J538="","المسؤول",""),IF(K538="","نوع النشاط",""),IF(L538="","المشروع",""),IF(N538="","الممول",""),IF(V538="","الموضوع",""),IF(W538="","الملاحظة",""),IF(X538="","مشكلة",""),IF(Y538="","الإجراء",""),IF(Z538="","التنفيذ",""),IF(AA538="","الجودة",""),IF(AB538="","الإغلاق",""),IF(AC538="","الخصم",""),IF(AND(COUNTA($O538:$U538)&gt;0,O538=""),"مدير المشروع",""),IF(AND(COUNTA($O538:$U538)&gt;0,P538=""),"المستفيدين",""),IF(AND(COUNTA($O538:$U538)&gt;0,Q538=""),"المناطق",""),IF(AND(COUNTA($O538:$U538)&gt;0,R538=""),"الميزانية",""),IF(AND(COUNTA($O538:$U538)&gt;0,S538=""),"نسبة الجاهزية",""),IF(AND(COUNTA($O538:$U538)&gt;0,T538=""),"حالة الجاهزية",""),IF(AND(COUNTA($O538:$U538)&gt;0,U538=""),"التوصيات","")))&gt;0,"✗ ناقص: "&amp;_xlfn.TEXTJOIN("، ",TRUE,IF(E538="","التاريخ",""),IF(F538="","الوقت",""),IF(G538="","المركز",""),IF(H538="","الدائرة",""),IF(I538="","القسم",""),IF(J538="","المسؤول",""),IF(K538="","نوع النشاط",""),IF(L538="","المشروع",""),IF(N538="","الممول",""),IF(V538="","الموضوع",""),IF(W538="","الملاحظة",""),IF(X538="","مشكلة",""),IF(Y538="","الإجراء",""),IF(Z538="","التنفيذ",""),IF(AA538="","الجودة",""),IF(AB538="","الإغلاق",""),IF(AC538="","الخصم",""),IF(AND(COUNTA($O538:$U538)&gt;0,O538=""),"مدير المشروع",""),IF(AND(COUNTA($O538:$U538)&gt;0,P538=""),"المستفيدين",""),IF(AND(COUNTA($O538:$U538)&gt;0,Q538=""),"المناطق",""),IF(AND(COUNTA($O538:$U538)&gt;0,R538=""),"الميزانية",""),IF(AND(COUNTA($O538:$U538)&gt;0,S538=""),"نسبة الجاهزية",""),IF(AND(COUNTA($O538:$U538)&gt;0,T538=""),"حالة الجاهزية",""),IF(AND(COUNTA($O538:$U538)&gt;0,U538=""),"التوصيات","")),"✓"),"✓"))))))))))</f>
        <v/>
      </c>
      <c r="E538" s="235"/>
      <c r="F538" s="236"/>
      <c r="G538" s="90"/>
      <c r="H538" s="239"/>
      <c r="I538" s="89"/>
      <c r="J538" s="142"/>
      <c r="K538" s="90"/>
      <c r="L538" s="90"/>
      <c r="M538" s="90"/>
      <c r="N538" s="89"/>
      <c r="O538" s="200"/>
      <c r="P538" s="201"/>
      <c r="Q538" s="201"/>
      <c r="R538" s="237"/>
      <c r="S538" s="202"/>
      <c r="T538" s="200"/>
      <c r="U538" s="203"/>
      <c r="V538" s="89"/>
      <c r="W538" s="89"/>
      <c r="X538" s="145"/>
      <c r="Y538" s="89"/>
      <c r="Z538" s="90"/>
      <c r="AA538" s="90"/>
      <c r="AB538" s="90"/>
      <c r="AC538" s="90"/>
      <c r="AD538" s="92"/>
      <c r="AE538" s="149" t="str">
        <f>IFERROR(VLOOKUP(Z538,LISTS!$AL$2:$AM$1000,2,FALSE()),"")</f>
        <v/>
      </c>
      <c r="AF538" s="151" t="str">
        <f>IFERROR(VLOOKUP(AA538,LISTS!$AO$2:$AP$1000,2,FALSE()),"")</f>
        <v/>
      </c>
      <c r="AG538" s="152" t="str">
        <f>IFERROR(VLOOKUP(AB538,LISTS!$AR$2:$AS$1000,2,FALSE()),"")</f>
        <v/>
      </c>
      <c r="AH538" s="154" t="str">
        <f>IFERROR(VLOOKUP(AC538,LISTS!$AU$2:$AV$1000,2,FALSE()),"")</f>
        <v/>
      </c>
      <c r="AI538" s="238" t="str">
        <f t="shared" si="43"/>
        <v>—</v>
      </c>
      <c r="AJ538" s="190" t="str">
        <f t="shared" si="44"/>
        <v>—</v>
      </c>
      <c r="AK538" s="157" t="str">
        <f t="shared" si="40"/>
        <v/>
      </c>
      <c r="AL538" s="160" t="str">
        <f t="shared" si="41"/>
        <v/>
      </c>
      <c r="AM538" s="210"/>
      <c r="AN538" s="209"/>
    </row>
    <row r="539" spans="1:40" ht="27.95" customHeight="1">
      <c r="A539" s="134" t="str">
        <f>IF(I539&lt;&gt;"",COUNTA($I$2:I539),"")</f>
        <v/>
      </c>
      <c r="B539" s="138" t="str">
        <f t="shared" si="42"/>
        <v/>
      </c>
      <c r="C539" s="93" t="str">
        <f t="array" ref="C539">IF(E539="","",IF(M539&lt;&gt;"",
M539&amp;"/"&amp;SUMPRODUCT((M$2:M539=M539)*1)&amp;" - "&amp;(ROW()-2),
"إداري/"&amp;SUMPRODUCT((M$2:M539="")*1)&amp;" - "&amp;(ROW()-2)))</f>
        <v/>
      </c>
      <c r="D539" s="141" t="str">
        <f>IF(AND(G539="",H539="",I539=""),"",IF(COUNTIFS(LISTS!$A$2:$A$67,G539,LISTS!$B$2:$B$67,H539,LISTS!$C$2:$C$67,I539)=0,"✗ هرم",IF(NOT(OR(Z539="ممتاز 100%",Z539="جيد 80%",Z539="مقبول 60%",Z539="خطر 40%",Z539="")),"✗ قائمة R",IF(NOT(OR(AA539="ممتاز 100%",AA539="جيد 85%",AA539="مقبول 70%",AA539="ضعيف 50%",AA539="")),"✗ قائمة S",IF(NOT(OR(AB539="مكتمل 100%",AB539="جزئي 60%",AB539="معلق 30%",AB539="مفتوح 0%",AB539="")),"✗ قائمة T",IF(NOT(OR(AC539="لا خصم 0",AC539="تأخير −5",AC539="عجز −10",AC539="جودة −15",AC539="امتثال −20",AC539="مخالفة −25",AC539="")),"✗ قائمة U",IF(AND(X539="لا",AC539&lt;&gt;"",AC539&lt;&gt;"لا خصم 0"),"✗ خصم",IF(AND(X539="نعم",AC539="لا خصم 0"),"✗ خصم",IF(AND(Z539="ممتاز 100%",AA539="ممتاز 100%",AB539&lt;&gt;"",AB539&lt;&gt;"مكتمل 100%"),"✗ إغلاق",IFERROR(IF(LEN(_xlfn.TEXTJOIN("، ",TRUE,IF(E539="","التاريخ",""),IF(F539="","الوقت",""),IF(G539="","المركز",""),IF(H539="","الدائرة",""),IF(I539="","القسم",""),IF(J539="","المسؤول",""),IF(K539="","نوع النشاط",""),IF(L539="","المشروع",""),IF(N539="","الممول",""),IF(V539="","الموضوع",""),IF(W539="","الملاحظة",""),IF(X539="","مشكلة",""),IF(Y539="","الإجراء",""),IF(Z539="","التنفيذ",""),IF(AA539="","الجودة",""),IF(AB539="","الإغلاق",""),IF(AC539="","الخصم",""),IF(AND(COUNTA($O539:$U539)&gt;0,O539=""),"مدير المشروع",""),IF(AND(COUNTA($O539:$U539)&gt;0,P539=""),"المستفيدين",""),IF(AND(COUNTA($O539:$U539)&gt;0,Q539=""),"المناطق",""),IF(AND(COUNTA($O539:$U539)&gt;0,R539=""),"الميزانية",""),IF(AND(COUNTA($O539:$U539)&gt;0,S539=""),"نسبة الجاهزية",""),IF(AND(COUNTA($O539:$U539)&gt;0,T539=""),"حالة الجاهزية",""),IF(AND(COUNTA($O539:$U539)&gt;0,U539=""),"التوصيات","")))&gt;0,"✗ ناقص: "&amp;_xlfn.TEXTJOIN("، ",TRUE,IF(E539="","التاريخ",""),IF(F539="","الوقت",""),IF(G539="","المركز",""),IF(H539="","الدائرة",""),IF(I539="","القسم",""),IF(J539="","المسؤول",""),IF(K539="","نوع النشاط",""),IF(L539="","المشروع",""),IF(N539="","الممول",""),IF(V539="","الموضوع",""),IF(W539="","الملاحظة",""),IF(X539="","مشكلة",""),IF(Y539="","الإجراء",""),IF(Z539="","التنفيذ",""),IF(AA539="","الجودة",""),IF(AB539="","الإغلاق",""),IF(AC539="","الخصم",""),IF(AND(COUNTA($O539:$U539)&gt;0,O539=""),"مدير المشروع",""),IF(AND(COUNTA($O539:$U539)&gt;0,P539=""),"المستفيدين",""),IF(AND(COUNTA($O539:$U539)&gt;0,Q539=""),"المناطق",""),IF(AND(COUNTA($O539:$U539)&gt;0,R539=""),"الميزانية",""),IF(AND(COUNTA($O539:$U539)&gt;0,S539=""),"نسبة الجاهزية",""),IF(AND(COUNTA($O539:$U539)&gt;0,T539=""),"حالة الجاهزية",""),IF(AND(COUNTA($O539:$U539)&gt;0,U539=""),"التوصيات","")),"✓"),"✓"))))))))))</f>
        <v/>
      </c>
      <c r="E539" s="235"/>
      <c r="F539" s="236"/>
      <c r="G539" s="90"/>
      <c r="H539" s="239"/>
      <c r="I539" s="89"/>
      <c r="J539" s="142"/>
      <c r="K539" s="90"/>
      <c r="L539" s="90"/>
      <c r="M539" s="90"/>
      <c r="N539" s="89"/>
      <c r="O539" s="200"/>
      <c r="P539" s="201"/>
      <c r="Q539" s="201"/>
      <c r="R539" s="237"/>
      <c r="S539" s="202"/>
      <c r="T539" s="200"/>
      <c r="U539" s="203"/>
      <c r="V539" s="89"/>
      <c r="W539" s="89"/>
      <c r="X539" s="145"/>
      <c r="Y539" s="89"/>
      <c r="Z539" s="90"/>
      <c r="AA539" s="90"/>
      <c r="AB539" s="90"/>
      <c r="AC539" s="90"/>
      <c r="AD539" s="92"/>
      <c r="AE539" s="149" t="str">
        <f>IFERROR(VLOOKUP(Z539,LISTS!$AL$2:$AM$1000,2,FALSE()),"")</f>
        <v/>
      </c>
      <c r="AF539" s="151" t="str">
        <f>IFERROR(VLOOKUP(AA539,LISTS!$AO$2:$AP$1000,2,FALSE()),"")</f>
        <v/>
      </c>
      <c r="AG539" s="152" t="str">
        <f>IFERROR(VLOOKUP(AB539,LISTS!$AR$2:$AS$1000,2,FALSE()),"")</f>
        <v/>
      </c>
      <c r="AH539" s="154" t="str">
        <f>IFERROR(VLOOKUP(AC539,LISTS!$AU$2:$AV$1000,2,FALSE()),"")</f>
        <v/>
      </c>
      <c r="AI539" s="238" t="str">
        <f t="shared" si="43"/>
        <v>—</v>
      </c>
      <c r="AJ539" s="190" t="str">
        <f t="shared" si="44"/>
        <v>—</v>
      </c>
      <c r="AK539" s="157" t="str">
        <f t="shared" si="40"/>
        <v/>
      </c>
      <c r="AL539" s="160" t="str">
        <f t="shared" si="41"/>
        <v/>
      </c>
      <c r="AM539" s="210"/>
      <c r="AN539" s="209"/>
    </row>
    <row r="540" spans="1:40" ht="27.95" customHeight="1">
      <c r="A540" s="134" t="str">
        <f>IF(I540&lt;&gt;"",COUNTA($I$2:I540),"")</f>
        <v/>
      </c>
      <c r="B540" s="138" t="str">
        <f t="shared" si="42"/>
        <v/>
      </c>
      <c r="C540" s="93" t="str">
        <f t="array" ref="C540">IF(E540="","",IF(M540&lt;&gt;"",
M540&amp;"/"&amp;SUMPRODUCT((M$2:M540=M540)*1)&amp;" - "&amp;(ROW()-2),
"إداري/"&amp;SUMPRODUCT((M$2:M540="")*1)&amp;" - "&amp;(ROW()-2)))</f>
        <v/>
      </c>
      <c r="D540" s="141" t="str">
        <f>IF(AND(G540="",H540="",I540=""),"",IF(COUNTIFS(LISTS!$A$2:$A$67,G540,LISTS!$B$2:$B$67,H540,LISTS!$C$2:$C$67,I540)=0,"✗ هرم",IF(NOT(OR(Z540="ممتاز 100%",Z540="جيد 80%",Z540="مقبول 60%",Z540="خطر 40%",Z540="")),"✗ قائمة R",IF(NOT(OR(AA540="ممتاز 100%",AA540="جيد 85%",AA540="مقبول 70%",AA540="ضعيف 50%",AA540="")),"✗ قائمة S",IF(NOT(OR(AB540="مكتمل 100%",AB540="جزئي 60%",AB540="معلق 30%",AB540="مفتوح 0%",AB540="")),"✗ قائمة T",IF(NOT(OR(AC540="لا خصم 0",AC540="تأخير −5",AC540="عجز −10",AC540="جودة −15",AC540="امتثال −20",AC540="مخالفة −25",AC540="")),"✗ قائمة U",IF(AND(X540="لا",AC540&lt;&gt;"",AC540&lt;&gt;"لا خصم 0"),"✗ خصم",IF(AND(X540="نعم",AC540="لا خصم 0"),"✗ خصم",IF(AND(Z540="ممتاز 100%",AA540="ممتاز 100%",AB540&lt;&gt;"",AB540&lt;&gt;"مكتمل 100%"),"✗ إغلاق",IFERROR(IF(LEN(_xlfn.TEXTJOIN("، ",TRUE,IF(E540="","التاريخ",""),IF(F540="","الوقت",""),IF(G540="","المركز",""),IF(H540="","الدائرة",""),IF(I540="","القسم",""),IF(J540="","المسؤول",""),IF(K540="","نوع النشاط",""),IF(L540="","المشروع",""),IF(N540="","الممول",""),IF(V540="","الموضوع",""),IF(W540="","الملاحظة",""),IF(X540="","مشكلة",""),IF(Y540="","الإجراء",""),IF(Z540="","التنفيذ",""),IF(AA540="","الجودة",""),IF(AB540="","الإغلاق",""),IF(AC540="","الخصم",""),IF(AND(COUNTA($O540:$U540)&gt;0,O540=""),"مدير المشروع",""),IF(AND(COUNTA($O540:$U540)&gt;0,P540=""),"المستفيدين",""),IF(AND(COUNTA($O540:$U540)&gt;0,Q540=""),"المناطق",""),IF(AND(COUNTA($O540:$U540)&gt;0,R540=""),"الميزانية",""),IF(AND(COUNTA($O540:$U540)&gt;0,S540=""),"نسبة الجاهزية",""),IF(AND(COUNTA($O540:$U540)&gt;0,T540=""),"حالة الجاهزية",""),IF(AND(COUNTA($O540:$U540)&gt;0,U540=""),"التوصيات","")))&gt;0,"✗ ناقص: "&amp;_xlfn.TEXTJOIN("، ",TRUE,IF(E540="","التاريخ",""),IF(F540="","الوقت",""),IF(G540="","المركز",""),IF(H540="","الدائرة",""),IF(I540="","القسم",""),IF(J540="","المسؤول",""),IF(K540="","نوع النشاط",""),IF(L540="","المشروع",""),IF(N540="","الممول",""),IF(V540="","الموضوع",""),IF(W540="","الملاحظة",""),IF(X540="","مشكلة",""),IF(Y540="","الإجراء",""),IF(Z540="","التنفيذ",""),IF(AA540="","الجودة",""),IF(AB540="","الإغلاق",""),IF(AC540="","الخصم",""),IF(AND(COUNTA($O540:$U540)&gt;0,O540=""),"مدير المشروع",""),IF(AND(COUNTA($O540:$U540)&gt;0,P540=""),"المستفيدين",""),IF(AND(COUNTA($O540:$U540)&gt;0,Q540=""),"المناطق",""),IF(AND(COUNTA($O540:$U540)&gt;0,R540=""),"الميزانية",""),IF(AND(COUNTA($O540:$U540)&gt;0,S540=""),"نسبة الجاهزية",""),IF(AND(COUNTA($O540:$U540)&gt;0,T540=""),"حالة الجاهزية",""),IF(AND(COUNTA($O540:$U540)&gt;0,U540=""),"التوصيات","")),"✓"),"✓"))))))))))</f>
        <v/>
      </c>
      <c r="E540" s="235"/>
      <c r="F540" s="236"/>
      <c r="G540" s="90"/>
      <c r="H540" s="239"/>
      <c r="I540" s="89"/>
      <c r="J540" s="142"/>
      <c r="K540" s="90"/>
      <c r="L540" s="90"/>
      <c r="M540" s="90"/>
      <c r="N540" s="89"/>
      <c r="O540" s="200"/>
      <c r="P540" s="201"/>
      <c r="Q540" s="201"/>
      <c r="R540" s="237"/>
      <c r="S540" s="202"/>
      <c r="T540" s="200"/>
      <c r="U540" s="203"/>
      <c r="V540" s="89"/>
      <c r="W540" s="89"/>
      <c r="X540" s="145"/>
      <c r="Y540" s="89"/>
      <c r="Z540" s="90"/>
      <c r="AA540" s="90"/>
      <c r="AB540" s="90"/>
      <c r="AC540" s="90"/>
      <c r="AD540" s="92"/>
      <c r="AE540" s="149" t="str">
        <f>IFERROR(VLOOKUP(Z540,LISTS!$AL$2:$AM$1000,2,FALSE()),"")</f>
        <v/>
      </c>
      <c r="AF540" s="151" t="str">
        <f>IFERROR(VLOOKUP(AA540,LISTS!$AO$2:$AP$1000,2,FALSE()),"")</f>
        <v/>
      </c>
      <c r="AG540" s="152" t="str">
        <f>IFERROR(VLOOKUP(AB540,LISTS!$AR$2:$AS$1000,2,FALSE()),"")</f>
        <v/>
      </c>
      <c r="AH540" s="154" t="str">
        <f>IFERROR(VLOOKUP(AC540,LISTS!$AU$2:$AV$1000,2,FALSE()),"")</f>
        <v/>
      </c>
      <c r="AI540" s="238" t="str">
        <f t="shared" si="43"/>
        <v>—</v>
      </c>
      <c r="AJ540" s="190" t="str">
        <f t="shared" si="44"/>
        <v>—</v>
      </c>
      <c r="AK540" s="157" t="str">
        <f t="shared" si="40"/>
        <v/>
      </c>
      <c r="AL540" s="160" t="str">
        <f t="shared" si="41"/>
        <v/>
      </c>
      <c r="AM540" s="210"/>
      <c r="AN540" s="209"/>
    </row>
    <row r="541" spans="1:40" ht="27.95" customHeight="1">
      <c r="A541" s="134" t="str">
        <f>IF(I541&lt;&gt;"",COUNTA($I$2:I541),"")</f>
        <v/>
      </c>
      <c r="B541" s="138" t="str">
        <f t="shared" si="42"/>
        <v/>
      </c>
      <c r="C541" s="93" t="str">
        <f t="array" ref="C541">IF(E541="","",IF(M541&lt;&gt;"",
M541&amp;"/"&amp;SUMPRODUCT((M$2:M541=M541)*1)&amp;" - "&amp;(ROW()-2),
"إداري/"&amp;SUMPRODUCT((M$2:M541="")*1)&amp;" - "&amp;(ROW()-2)))</f>
        <v/>
      </c>
      <c r="D541" s="141" t="str">
        <f>IF(AND(G541="",H541="",I541=""),"",IF(COUNTIFS(LISTS!$A$2:$A$67,G541,LISTS!$B$2:$B$67,H541,LISTS!$C$2:$C$67,I541)=0,"✗ هرم",IF(NOT(OR(Z541="ممتاز 100%",Z541="جيد 80%",Z541="مقبول 60%",Z541="خطر 40%",Z541="")),"✗ قائمة R",IF(NOT(OR(AA541="ممتاز 100%",AA541="جيد 85%",AA541="مقبول 70%",AA541="ضعيف 50%",AA541="")),"✗ قائمة S",IF(NOT(OR(AB541="مكتمل 100%",AB541="جزئي 60%",AB541="معلق 30%",AB541="مفتوح 0%",AB541="")),"✗ قائمة T",IF(NOT(OR(AC541="لا خصم 0",AC541="تأخير −5",AC541="عجز −10",AC541="جودة −15",AC541="امتثال −20",AC541="مخالفة −25",AC541="")),"✗ قائمة U",IF(AND(X541="لا",AC541&lt;&gt;"",AC541&lt;&gt;"لا خصم 0"),"✗ خصم",IF(AND(X541="نعم",AC541="لا خصم 0"),"✗ خصم",IF(AND(Z541="ممتاز 100%",AA541="ممتاز 100%",AB541&lt;&gt;"",AB541&lt;&gt;"مكتمل 100%"),"✗ إغلاق",IFERROR(IF(LEN(_xlfn.TEXTJOIN("، ",TRUE,IF(E541="","التاريخ",""),IF(F541="","الوقت",""),IF(G541="","المركز",""),IF(H541="","الدائرة",""),IF(I541="","القسم",""),IF(J541="","المسؤول",""),IF(K541="","نوع النشاط",""),IF(L541="","المشروع",""),IF(N541="","الممول",""),IF(V541="","الموضوع",""),IF(W541="","الملاحظة",""),IF(X541="","مشكلة",""),IF(Y541="","الإجراء",""),IF(Z541="","التنفيذ",""),IF(AA541="","الجودة",""),IF(AB541="","الإغلاق",""),IF(AC541="","الخصم",""),IF(AND(COUNTA($O541:$U541)&gt;0,O541=""),"مدير المشروع",""),IF(AND(COUNTA($O541:$U541)&gt;0,P541=""),"المستفيدين",""),IF(AND(COUNTA($O541:$U541)&gt;0,Q541=""),"المناطق",""),IF(AND(COUNTA($O541:$U541)&gt;0,R541=""),"الميزانية",""),IF(AND(COUNTA($O541:$U541)&gt;0,S541=""),"نسبة الجاهزية",""),IF(AND(COUNTA($O541:$U541)&gt;0,T541=""),"حالة الجاهزية",""),IF(AND(COUNTA($O541:$U541)&gt;0,U541=""),"التوصيات","")))&gt;0,"✗ ناقص: "&amp;_xlfn.TEXTJOIN("، ",TRUE,IF(E541="","التاريخ",""),IF(F541="","الوقت",""),IF(G541="","المركز",""),IF(H541="","الدائرة",""),IF(I541="","القسم",""),IF(J541="","المسؤول",""),IF(K541="","نوع النشاط",""),IF(L541="","المشروع",""),IF(N541="","الممول",""),IF(V541="","الموضوع",""),IF(W541="","الملاحظة",""),IF(X541="","مشكلة",""),IF(Y541="","الإجراء",""),IF(Z541="","التنفيذ",""),IF(AA541="","الجودة",""),IF(AB541="","الإغلاق",""),IF(AC541="","الخصم",""),IF(AND(COUNTA($O541:$U541)&gt;0,O541=""),"مدير المشروع",""),IF(AND(COUNTA($O541:$U541)&gt;0,P541=""),"المستفيدين",""),IF(AND(COUNTA($O541:$U541)&gt;0,Q541=""),"المناطق",""),IF(AND(COUNTA($O541:$U541)&gt;0,R541=""),"الميزانية",""),IF(AND(COUNTA($O541:$U541)&gt;0,S541=""),"نسبة الجاهزية",""),IF(AND(COUNTA($O541:$U541)&gt;0,T541=""),"حالة الجاهزية",""),IF(AND(COUNTA($O541:$U541)&gt;0,U541=""),"التوصيات","")),"✓"),"✓"))))))))))</f>
        <v/>
      </c>
      <c r="E541" s="235"/>
      <c r="F541" s="236"/>
      <c r="G541" s="90"/>
      <c r="H541" s="239"/>
      <c r="I541" s="89"/>
      <c r="J541" s="142"/>
      <c r="K541" s="90"/>
      <c r="L541" s="90"/>
      <c r="M541" s="90"/>
      <c r="N541" s="89"/>
      <c r="O541" s="200"/>
      <c r="P541" s="201"/>
      <c r="Q541" s="201"/>
      <c r="R541" s="237"/>
      <c r="S541" s="202"/>
      <c r="T541" s="200"/>
      <c r="U541" s="203"/>
      <c r="V541" s="89"/>
      <c r="W541" s="89"/>
      <c r="X541" s="145"/>
      <c r="Y541" s="89"/>
      <c r="Z541" s="90"/>
      <c r="AA541" s="90"/>
      <c r="AB541" s="90"/>
      <c r="AC541" s="90"/>
      <c r="AD541" s="92"/>
      <c r="AE541" s="149" t="str">
        <f>IFERROR(VLOOKUP(Z541,LISTS!$AL$2:$AM$1000,2,FALSE()),"")</f>
        <v/>
      </c>
      <c r="AF541" s="151" t="str">
        <f>IFERROR(VLOOKUP(AA541,LISTS!$AO$2:$AP$1000,2,FALSE()),"")</f>
        <v/>
      </c>
      <c r="AG541" s="152" t="str">
        <f>IFERROR(VLOOKUP(AB541,LISTS!$AR$2:$AS$1000,2,FALSE()),"")</f>
        <v/>
      </c>
      <c r="AH541" s="154" t="str">
        <f>IFERROR(VLOOKUP(AC541,LISTS!$AU$2:$AV$1000,2,FALSE()),"")</f>
        <v/>
      </c>
      <c r="AI541" s="238" t="str">
        <f t="shared" si="43"/>
        <v>—</v>
      </c>
      <c r="AJ541" s="190" t="str">
        <f t="shared" si="44"/>
        <v>—</v>
      </c>
      <c r="AK541" s="157" t="str">
        <f t="shared" si="40"/>
        <v/>
      </c>
      <c r="AL541" s="160" t="str">
        <f t="shared" si="41"/>
        <v/>
      </c>
      <c r="AM541" s="210"/>
      <c r="AN541" s="209"/>
    </row>
    <row r="542" spans="1:40" ht="27.95" customHeight="1">
      <c r="A542" s="134" t="str">
        <f>IF(I542&lt;&gt;"",COUNTA($I$2:I542),"")</f>
        <v/>
      </c>
      <c r="B542" s="138" t="str">
        <f t="shared" si="42"/>
        <v/>
      </c>
      <c r="C542" s="93" t="str">
        <f t="array" ref="C542">IF(E542="","",IF(M542&lt;&gt;"",
M542&amp;"/"&amp;SUMPRODUCT((M$2:M542=M542)*1)&amp;" - "&amp;(ROW()-2),
"إداري/"&amp;SUMPRODUCT((M$2:M542="")*1)&amp;" - "&amp;(ROW()-2)))</f>
        <v/>
      </c>
      <c r="D542" s="141" t="str">
        <f>IF(AND(G542="",H542="",I542=""),"",IF(COUNTIFS(LISTS!$A$2:$A$67,G542,LISTS!$B$2:$B$67,H542,LISTS!$C$2:$C$67,I542)=0,"✗ هرم",IF(NOT(OR(Z542="ممتاز 100%",Z542="جيد 80%",Z542="مقبول 60%",Z542="خطر 40%",Z542="")),"✗ قائمة R",IF(NOT(OR(AA542="ممتاز 100%",AA542="جيد 85%",AA542="مقبول 70%",AA542="ضعيف 50%",AA542="")),"✗ قائمة S",IF(NOT(OR(AB542="مكتمل 100%",AB542="جزئي 60%",AB542="معلق 30%",AB542="مفتوح 0%",AB542="")),"✗ قائمة T",IF(NOT(OR(AC542="لا خصم 0",AC542="تأخير −5",AC542="عجز −10",AC542="جودة −15",AC542="امتثال −20",AC542="مخالفة −25",AC542="")),"✗ قائمة U",IF(AND(X542="لا",AC542&lt;&gt;"",AC542&lt;&gt;"لا خصم 0"),"✗ خصم",IF(AND(X542="نعم",AC542="لا خصم 0"),"✗ خصم",IF(AND(Z542="ممتاز 100%",AA542="ممتاز 100%",AB542&lt;&gt;"",AB542&lt;&gt;"مكتمل 100%"),"✗ إغلاق",IFERROR(IF(LEN(_xlfn.TEXTJOIN("، ",TRUE,IF(E542="","التاريخ",""),IF(F542="","الوقت",""),IF(G542="","المركز",""),IF(H542="","الدائرة",""),IF(I542="","القسم",""),IF(J542="","المسؤول",""),IF(K542="","نوع النشاط",""),IF(L542="","المشروع",""),IF(N542="","الممول",""),IF(V542="","الموضوع",""),IF(W542="","الملاحظة",""),IF(X542="","مشكلة",""),IF(Y542="","الإجراء",""),IF(Z542="","التنفيذ",""),IF(AA542="","الجودة",""),IF(AB542="","الإغلاق",""),IF(AC542="","الخصم",""),IF(AND(COUNTA($O542:$U542)&gt;0,O542=""),"مدير المشروع",""),IF(AND(COUNTA($O542:$U542)&gt;0,P542=""),"المستفيدين",""),IF(AND(COUNTA($O542:$U542)&gt;0,Q542=""),"المناطق",""),IF(AND(COUNTA($O542:$U542)&gt;0,R542=""),"الميزانية",""),IF(AND(COUNTA($O542:$U542)&gt;0,S542=""),"نسبة الجاهزية",""),IF(AND(COUNTA($O542:$U542)&gt;0,T542=""),"حالة الجاهزية",""),IF(AND(COUNTA($O542:$U542)&gt;0,U542=""),"التوصيات","")))&gt;0,"✗ ناقص: "&amp;_xlfn.TEXTJOIN("، ",TRUE,IF(E542="","التاريخ",""),IF(F542="","الوقت",""),IF(G542="","المركز",""),IF(H542="","الدائرة",""),IF(I542="","القسم",""),IF(J542="","المسؤول",""),IF(K542="","نوع النشاط",""),IF(L542="","المشروع",""),IF(N542="","الممول",""),IF(V542="","الموضوع",""),IF(W542="","الملاحظة",""),IF(X542="","مشكلة",""),IF(Y542="","الإجراء",""),IF(Z542="","التنفيذ",""),IF(AA542="","الجودة",""),IF(AB542="","الإغلاق",""),IF(AC542="","الخصم",""),IF(AND(COUNTA($O542:$U542)&gt;0,O542=""),"مدير المشروع",""),IF(AND(COUNTA($O542:$U542)&gt;0,P542=""),"المستفيدين",""),IF(AND(COUNTA($O542:$U542)&gt;0,Q542=""),"المناطق",""),IF(AND(COUNTA($O542:$U542)&gt;0,R542=""),"الميزانية",""),IF(AND(COUNTA($O542:$U542)&gt;0,S542=""),"نسبة الجاهزية",""),IF(AND(COUNTA($O542:$U542)&gt;0,T542=""),"حالة الجاهزية",""),IF(AND(COUNTA($O542:$U542)&gt;0,U542=""),"التوصيات","")),"✓"),"✓"))))))))))</f>
        <v/>
      </c>
      <c r="E542" s="235"/>
      <c r="F542" s="236"/>
      <c r="G542" s="90"/>
      <c r="H542" s="239"/>
      <c r="I542" s="89"/>
      <c r="J542" s="142"/>
      <c r="K542" s="90"/>
      <c r="L542" s="90"/>
      <c r="M542" s="90"/>
      <c r="N542" s="89"/>
      <c r="O542" s="200"/>
      <c r="P542" s="201"/>
      <c r="Q542" s="201"/>
      <c r="R542" s="237"/>
      <c r="S542" s="202"/>
      <c r="T542" s="200"/>
      <c r="U542" s="203"/>
      <c r="V542" s="89"/>
      <c r="W542" s="89"/>
      <c r="X542" s="145"/>
      <c r="Y542" s="89"/>
      <c r="Z542" s="90"/>
      <c r="AA542" s="90"/>
      <c r="AB542" s="90"/>
      <c r="AC542" s="90"/>
      <c r="AD542" s="92"/>
      <c r="AE542" s="149" t="str">
        <f>IFERROR(VLOOKUP(Z542,LISTS!$AL$2:$AM$1000,2,FALSE()),"")</f>
        <v/>
      </c>
      <c r="AF542" s="151" t="str">
        <f>IFERROR(VLOOKUP(AA542,LISTS!$AO$2:$AP$1000,2,FALSE()),"")</f>
        <v/>
      </c>
      <c r="AG542" s="152" t="str">
        <f>IFERROR(VLOOKUP(AB542,LISTS!$AR$2:$AS$1000,2,FALSE()),"")</f>
        <v/>
      </c>
      <c r="AH542" s="154" t="str">
        <f>IFERROR(VLOOKUP(AC542,LISTS!$AU$2:$AV$1000,2,FALSE()),"")</f>
        <v/>
      </c>
      <c r="AI542" s="238" t="str">
        <f t="shared" si="43"/>
        <v>—</v>
      </c>
      <c r="AJ542" s="190" t="str">
        <f t="shared" si="44"/>
        <v>—</v>
      </c>
      <c r="AK542" s="157" t="str">
        <f t="shared" ref="AK542:AK605" si="45">IF(E542="","",MONTH(E542))</f>
        <v/>
      </c>
      <c r="AL542" s="160" t="str">
        <f t="shared" ref="AL542:AL605" si="46">IF(E542="","",YEAR(E542))</f>
        <v/>
      </c>
      <c r="AM542" s="210"/>
      <c r="AN542" s="209"/>
    </row>
    <row r="543" spans="1:40" ht="27.95" customHeight="1">
      <c r="A543" s="134" t="str">
        <f>IF(I543&lt;&gt;"",COUNTA($I$2:I543),"")</f>
        <v/>
      </c>
      <c r="B543" s="138" t="str">
        <f t="shared" ref="B543:B606" si="47">IF(E543="","",CHOOSE(WEEKDAY(E543,2),"الاثنين","الثلاثاء","الأربعاء","الخميس","الجمعة","السبت","الأحد"))</f>
        <v/>
      </c>
      <c r="C543" s="93" t="str">
        <f t="array" ref="C543">IF(E543="","",IF(M543&lt;&gt;"",
M543&amp;"/"&amp;SUMPRODUCT((M$2:M543=M543)*1)&amp;" - "&amp;(ROW()-2),
"إداري/"&amp;SUMPRODUCT((M$2:M543="")*1)&amp;" - "&amp;(ROW()-2)))</f>
        <v/>
      </c>
      <c r="D543" s="141" t="str">
        <f>IF(AND(G543="",H543="",I543=""),"",IF(COUNTIFS(LISTS!$A$2:$A$67,G543,LISTS!$B$2:$B$67,H543,LISTS!$C$2:$C$67,I543)=0,"✗ هرم",IF(NOT(OR(Z543="ممتاز 100%",Z543="جيد 80%",Z543="مقبول 60%",Z543="خطر 40%",Z543="")),"✗ قائمة R",IF(NOT(OR(AA543="ممتاز 100%",AA543="جيد 85%",AA543="مقبول 70%",AA543="ضعيف 50%",AA543="")),"✗ قائمة S",IF(NOT(OR(AB543="مكتمل 100%",AB543="جزئي 60%",AB543="معلق 30%",AB543="مفتوح 0%",AB543="")),"✗ قائمة T",IF(NOT(OR(AC543="لا خصم 0",AC543="تأخير −5",AC543="عجز −10",AC543="جودة −15",AC543="امتثال −20",AC543="مخالفة −25",AC543="")),"✗ قائمة U",IF(AND(X543="لا",AC543&lt;&gt;"",AC543&lt;&gt;"لا خصم 0"),"✗ خصم",IF(AND(X543="نعم",AC543="لا خصم 0"),"✗ خصم",IF(AND(Z543="ممتاز 100%",AA543="ممتاز 100%",AB543&lt;&gt;"",AB543&lt;&gt;"مكتمل 100%"),"✗ إغلاق",IFERROR(IF(LEN(_xlfn.TEXTJOIN("، ",TRUE,IF(E543="","التاريخ",""),IF(F543="","الوقت",""),IF(G543="","المركز",""),IF(H543="","الدائرة",""),IF(I543="","القسم",""),IF(J543="","المسؤول",""),IF(K543="","نوع النشاط",""),IF(L543="","المشروع",""),IF(N543="","الممول",""),IF(V543="","الموضوع",""),IF(W543="","الملاحظة",""),IF(X543="","مشكلة",""),IF(Y543="","الإجراء",""),IF(Z543="","التنفيذ",""),IF(AA543="","الجودة",""),IF(AB543="","الإغلاق",""),IF(AC543="","الخصم",""),IF(AND(COUNTA($O543:$U543)&gt;0,O543=""),"مدير المشروع",""),IF(AND(COUNTA($O543:$U543)&gt;0,P543=""),"المستفيدين",""),IF(AND(COUNTA($O543:$U543)&gt;0,Q543=""),"المناطق",""),IF(AND(COUNTA($O543:$U543)&gt;0,R543=""),"الميزانية",""),IF(AND(COUNTA($O543:$U543)&gt;0,S543=""),"نسبة الجاهزية",""),IF(AND(COUNTA($O543:$U543)&gt;0,T543=""),"حالة الجاهزية",""),IF(AND(COUNTA($O543:$U543)&gt;0,U543=""),"التوصيات","")))&gt;0,"✗ ناقص: "&amp;_xlfn.TEXTJOIN("، ",TRUE,IF(E543="","التاريخ",""),IF(F543="","الوقت",""),IF(G543="","المركز",""),IF(H543="","الدائرة",""),IF(I543="","القسم",""),IF(J543="","المسؤول",""),IF(K543="","نوع النشاط",""),IF(L543="","المشروع",""),IF(N543="","الممول",""),IF(V543="","الموضوع",""),IF(W543="","الملاحظة",""),IF(X543="","مشكلة",""),IF(Y543="","الإجراء",""),IF(Z543="","التنفيذ",""),IF(AA543="","الجودة",""),IF(AB543="","الإغلاق",""),IF(AC543="","الخصم",""),IF(AND(COUNTA($O543:$U543)&gt;0,O543=""),"مدير المشروع",""),IF(AND(COUNTA($O543:$U543)&gt;0,P543=""),"المستفيدين",""),IF(AND(COUNTA($O543:$U543)&gt;0,Q543=""),"المناطق",""),IF(AND(COUNTA($O543:$U543)&gt;0,R543=""),"الميزانية",""),IF(AND(COUNTA($O543:$U543)&gt;0,S543=""),"نسبة الجاهزية",""),IF(AND(COUNTA($O543:$U543)&gt;0,T543=""),"حالة الجاهزية",""),IF(AND(COUNTA($O543:$U543)&gt;0,U543=""),"التوصيات","")),"✓"),"✓"))))))))))</f>
        <v/>
      </c>
      <c r="E543" s="235"/>
      <c r="F543" s="236"/>
      <c r="G543" s="90"/>
      <c r="H543" s="239"/>
      <c r="I543" s="89"/>
      <c r="J543" s="142"/>
      <c r="K543" s="90"/>
      <c r="L543" s="90"/>
      <c r="M543" s="90"/>
      <c r="N543" s="89"/>
      <c r="O543" s="200"/>
      <c r="P543" s="201"/>
      <c r="Q543" s="201"/>
      <c r="R543" s="237"/>
      <c r="S543" s="202"/>
      <c r="T543" s="200"/>
      <c r="U543" s="203"/>
      <c r="V543" s="89"/>
      <c r="W543" s="89"/>
      <c r="X543" s="145"/>
      <c r="Y543" s="89"/>
      <c r="Z543" s="90"/>
      <c r="AA543" s="90"/>
      <c r="AB543" s="90"/>
      <c r="AC543" s="90"/>
      <c r="AD543" s="92"/>
      <c r="AE543" s="149" t="str">
        <f>IFERROR(VLOOKUP(Z543,LISTS!$AL$2:$AM$1000,2,FALSE()),"")</f>
        <v/>
      </c>
      <c r="AF543" s="151" t="str">
        <f>IFERROR(VLOOKUP(AA543,LISTS!$AO$2:$AP$1000,2,FALSE()),"")</f>
        <v/>
      </c>
      <c r="AG543" s="152" t="str">
        <f>IFERROR(VLOOKUP(AB543,LISTS!$AR$2:$AS$1000,2,FALSE()),"")</f>
        <v/>
      </c>
      <c r="AH543" s="154" t="str">
        <f>IFERROR(VLOOKUP(AC543,LISTS!$AU$2:$AV$1000,2,FALSE()),"")</f>
        <v/>
      </c>
      <c r="AI543" s="238" t="str">
        <f t="shared" si="43"/>
        <v>—</v>
      </c>
      <c r="AJ543" s="190" t="str">
        <f t="shared" si="44"/>
        <v>—</v>
      </c>
      <c r="AK543" s="157" t="str">
        <f t="shared" si="45"/>
        <v/>
      </c>
      <c r="AL543" s="160" t="str">
        <f t="shared" si="46"/>
        <v/>
      </c>
      <c r="AM543" s="210"/>
      <c r="AN543" s="209"/>
    </row>
    <row r="544" spans="1:40" ht="27.95" customHeight="1">
      <c r="A544" s="134" t="str">
        <f>IF(I544&lt;&gt;"",COUNTA($I$2:I544),"")</f>
        <v/>
      </c>
      <c r="B544" s="138" t="str">
        <f t="shared" si="47"/>
        <v/>
      </c>
      <c r="C544" s="93" t="str">
        <f t="array" ref="C544">IF(E544="","",IF(M544&lt;&gt;"",
M544&amp;"/"&amp;SUMPRODUCT((M$2:M544=M544)*1)&amp;" - "&amp;(ROW()-2),
"إداري/"&amp;SUMPRODUCT((M$2:M544="")*1)&amp;" - "&amp;(ROW()-2)))</f>
        <v/>
      </c>
      <c r="D544" s="141" t="str">
        <f>IF(AND(G544="",H544="",I544=""),"",IF(COUNTIFS(LISTS!$A$2:$A$67,G544,LISTS!$B$2:$B$67,H544,LISTS!$C$2:$C$67,I544)=0,"✗ هرم",IF(NOT(OR(Z544="ممتاز 100%",Z544="جيد 80%",Z544="مقبول 60%",Z544="خطر 40%",Z544="")),"✗ قائمة R",IF(NOT(OR(AA544="ممتاز 100%",AA544="جيد 85%",AA544="مقبول 70%",AA544="ضعيف 50%",AA544="")),"✗ قائمة S",IF(NOT(OR(AB544="مكتمل 100%",AB544="جزئي 60%",AB544="معلق 30%",AB544="مفتوح 0%",AB544="")),"✗ قائمة T",IF(NOT(OR(AC544="لا خصم 0",AC544="تأخير −5",AC544="عجز −10",AC544="جودة −15",AC544="امتثال −20",AC544="مخالفة −25",AC544="")),"✗ قائمة U",IF(AND(X544="لا",AC544&lt;&gt;"",AC544&lt;&gt;"لا خصم 0"),"✗ خصم",IF(AND(X544="نعم",AC544="لا خصم 0"),"✗ خصم",IF(AND(Z544="ممتاز 100%",AA544="ممتاز 100%",AB544&lt;&gt;"",AB544&lt;&gt;"مكتمل 100%"),"✗ إغلاق",IFERROR(IF(LEN(_xlfn.TEXTJOIN("، ",TRUE,IF(E544="","التاريخ",""),IF(F544="","الوقت",""),IF(G544="","المركز",""),IF(H544="","الدائرة",""),IF(I544="","القسم",""),IF(J544="","المسؤول",""),IF(K544="","نوع النشاط",""),IF(L544="","المشروع",""),IF(N544="","الممول",""),IF(V544="","الموضوع",""),IF(W544="","الملاحظة",""),IF(X544="","مشكلة",""),IF(Y544="","الإجراء",""),IF(Z544="","التنفيذ",""),IF(AA544="","الجودة",""),IF(AB544="","الإغلاق",""),IF(AC544="","الخصم",""),IF(AND(COUNTA($O544:$U544)&gt;0,O544=""),"مدير المشروع",""),IF(AND(COUNTA($O544:$U544)&gt;0,P544=""),"المستفيدين",""),IF(AND(COUNTA($O544:$U544)&gt;0,Q544=""),"المناطق",""),IF(AND(COUNTA($O544:$U544)&gt;0,R544=""),"الميزانية",""),IF(AND(COUNTA($O544:$U544)&gt;0,S544=""),"نسبة الجاهزية",""),IF(AND(COUNTA($O544:$U544)&gt;0,T544=""),"حالة الجاهزية",""),IF(AND(COUNTA($O544:$U544)&gt;0,U544=""),"التوصيات","")))&gt;0,"✗ ناقص: "&amp;_xlfn.TEXTJOIN("، ",TRUE,IF(E544="","التاريخ",""),IF(F544="","الوقت",""),IF(G544="","المركز",""),IF(H544="","الدائرة",""),IF(I544="","القسم",""),IF(J544="","المسؤول",""),IF(K544="","نوع النشاط",""),IF(L544="","المشروع",""),IF(N544="","الممول",""),IF(V544="","الموضوع",""),IF(W544="","الملاحظة",""),IF(X544="","مشكلة",""),IF(Y544="","الإجراء",""),IF(Z544="","التنفيذ",""),IF(AA544="","الجودة",""),IF(AB544="","الإغلاق",""),IF(AC544="","الخصم",""),IF(AND(COUNTA($O544:$U544)&gt;0,O544=""),"مدير المشروع",""),IF(AND(COUNTA($O544:$U544)&gt;0,P544=""),"المستفيدين",""),IF(AND(COUNTA($O544:$U544)&gt;0,Q544=""),"المناطق",""),IF(AND(COUNTA($O544:$U544)&gt;0,R544=""),"الميزانية",""),IF(AND(COUNTA($O544:$U544)&gt;0,S544=""),"نسبة الجاهزية",""),IF(AND(COUNTA($O544:$U544)&gt;0,T544=""),"حالة الجاهزية",""),IF(AND(COUNTA($O544:$U544)&gt;0,U544=""),"التوصيات","")),"✓"),"✓"))))))))))</f>
        <v/>
      </c>
      <c r="E544" s="235"/>
      <c r="F544" s="236"/>
      <c r="G544" s="90"/>
      <c r="H544" s="239"/>
      <c r="I544" s="89"/>
      <c r="J544" s="142"/>
      <c r="K544" s="90"/>
      <c r="L544" s="90"/>
      <c r="M544" s="90"/>
      <c r="N544" s="89"/>
      <c r="O544" s="200"/>
      <c r="P544" s="201"/>
      <c r="Q544" s="201"/>
      <c r="R544" s="237"/>
      <c r="S544" s="202"/>
      <c r="T544" s="200"/>
      <c r="U544" s="203"/>
      <c r="V544" s="89"/>
      <c r="W544" s="89"/>
      <c r="X544" s="145"/>
      <c r="Y544" s="89"/>
      <c r="Z544" s="90"/>
      <c r="AA544" s="90"/>
      <c r="AB544" s="90"/>
      <c r="AC544" s="90"/>
      <c r="AD544" s="92"/>
      <c r="AE544" s="149" t="str">
        <f>IFERROR(VLOOKUP(Z544,LISTS!$AL$2:$AM$1000,2,FALSE()),"")</f>
        <v/>
      </c>
      <c r="AF544" s="151" t="str">
        <f>IFERROR(VLOOKUP(AA544,LISTS!$AO$2:$AP$1000,2,FALSE()),"")</f>
        <v/>
      </c>
      <c r="AG544" s="152" t="str">
        <f>IFERROR(VLOOKUP(AB544,LISTS!$AR$2:$AS$1000,2,FALSE()),"")</f>
        <v/>
      </c>
      <c r="AH544" s="154" t="str">
        <f>IFERROR(VLOOKUP(AC544,LISTS!$AU$2:$AV$1000,2,FALSE()),"")</f>
        <v/>
      </c>
      <c r="AI544" s="238" t="str">
        <f t="shared" si="43"/>
        <v>—</v>
      </c>
      <c r="AJ544" s="190" t="str">
        <f t="shared" si="44"/>
        <v>—</v>
      </c>
      <c r="AK544" s="157" t="str">
        <f t="shared" si="45"/>
        <v/>
      </c>
      <c r="AL544" s="160" t="str">
        <f t="shared" si="46"/>
        <v/>
      </c>
      <c r="AM544" s="210"/>
      <c r="AN544" s="209"/>
    </row>
    <row r="545" spans="1:40" ht="27.95" customHeight="1">
      <c r="A545" s="134" t="str">
        <f>IF(I545&lt;&gt;"",COUNTA($I$2:I545),"")</f>
        <v/>
      </c>
      <c r="B545" s="138" t="str">
        <f t="shared" si="47"/>
        <v/>
      </c>
      <c r="C545" s="93" t="str">
        <f t="array" ref="C545">IF(E545="","",IF(M545&lt;&gt;"",
M545&amp;"/"&amp;SUMPRODUCT((M$2:M545=M545)*1)&amp;" - "&amp;(ROW()-2),
"إداري/"&amp;SUMPRODUCT((M$2:M545="")*1)&amp;" - "&amp;(ROW()-2)))</f>
        <v/>
      </c>
      <c r="D545" s="141" t="str">
        <f>IF(AND(G545="",H545="",I545=""),"",IF(COUNTIFS(LISTS!$A$2:$A$67,G545,LISTS!$B$2:$B$67,H545,LISTS!$C$2:$C$67,I545)=0,"✗ هرم",IF(NOT(OR(Z545="ممتاز 100%",Z545="جيد 80%",Z545="مقبول 60%",Z545="خطر 40%",Z545="")),"✗ قائمة R",IF(NOT(OR(AA545="ممتاز 100%",AA545="جيد 85%",AA545="مقبول 70%",AA545="ضعيف 50%",AA545="")),"✗ قائمة S",IF(NOT(OR(AB545="مكتمل 100%",AB545="جزئي 60%",AB545="معلق 30%",AB545="مفتوح 0%",AB545="")),"✗ قائمة T",IF(NOT(OR(AC545="لا خصم 0",AC545="تأخير −5",AC545="عجز −10",AC545="جودة −15",AC545="امتثال −20",AC545="مخالفة −25",AC545="")),"✗ قائمة U",IF(AND(X545="لا",AC545&lt;&gt;"",AC545&lt;&gt;"لا خصم 0"),"✗ خصم",IF(AND(X545="نعم",AC545="لا خصم 0"),"✗ خصم",IF(AND(Z545="ممتاز 100%",AA545="ممتاز 100%",AB545&lt;&gt;"",AB545&lt;&gt;"مكتمل 100%"),"✗ إغلاق",IFERROR(IF(LEN(_xlfn.TEXTJOIN("، ",TRUE,IF(E545="","التاريخ",""),IF(F545="","الوقت",""),IF(G545="","المركز",""),IF(H545="","الدائرة",""),IF(I545="","القسم",""),IF(J545="","المسؤول",""),IF(K545="","نوع النشاط",""),IF(L545="","المشروع",""),IF(N545="","الممول",""),IF(V545="","الموضوع",""),IF(W545="","الملاحظة",""),IF(X545="","مشكلة",""),IF(Y545="","الإجراء",""),IF(Z545="","التنفيذ",""),IF(AA545="","الجودة",""),IF(AB545="","الإغلاق",""),IF(AC545="","الخصم",""),IF(AND(COUNTA($O545:$U545)&gt;0,O545=""),"مدير المشروع",""),IF(AND(COUNTA($O545:$U545)&gt;0,P545=""),"المستفيدين",""),IF(AND(COUNTA($O545:$U545)&gt;0,Q545=""),"المناطق",""),IF(AND(COUNTA($O545:$U545)&gt;0,R545=""),"الميزانية",""),IF(AND(COUNTA($O545:$U545)&gt;0,S545=""),"نسبة الجاهزية",""),IF(AND(COUNTA($O545:$U545)&gt;0,T545=""),"حالة الجاهزية",""),IF(AND(COUNTA($O545:$U545)&gt;0,U545=""),"التوصيات","")))&gt;0,"✗ ناقص: "&amp;_xlfn.TEXTJOIN("، ",TRUE,IF(E545="","التاريخ",""),IF(F545="","الوقت",""),IF(G545="","المركز",""),IF(H545="","الدائرة",""),IF(I545="","القسم",""),IF(J545="","المسؤول",""),IF(K545="","نوع النشاط",""),IF(L545="","المشروع",""),IF(N545="","الممول",""),IF(V545="","الموضوع",""),IF(W545="","الملاحظة",""),IF(X545="","مشكلة",""),IF(Y545="","الإجراء",""),IF(Z545="","التنفيذ",""),IF(AA545="","الجودة",""),IF(AB545="","الإغلاق",""),IF(AC545="","الخصم",""),IF(AND(COUNTA($O545:$U545)&gt;0,O545=""),"مدير المشروع",""),IF(AND(COUNTA($O545:$U545)&gt;0,P545=""),"المستفيدين",""),IF(AND(COUNTA($O545:$U545)&gt;0,Q545=""),"المناطق",""),IF(AND(COUNTA($O545:$U545)&gt;0,R545=""),"الميزانية",""),IF(AND(COUNTA($O545:$U545)&gt;0,S545=""),"نسبة الجاهزية",""),IF(AND(COUNTA($O545:$U545)&gt;0,T545=""),"حالة الجاهزية",""),IF(AND(COUNTA($O545:$U545)&gt;0,U545=""),"التوصيات","")),"✓"),"✓"))))))))))</f>
        <v/>
      </c>
      <c r="E545" s="235"/>
      <c r="F545" s="236"/>
      <c r="G545" s="90"/>
      <c r="H545" s="239"/>
      <c r="I545" s="89"/>
      <c r="J545" s="142"/>
      <c r="K545" s="90"/>
      <c r="L545" s="90"/>
      <c r="M545" s="90"/>
      <c r="N545" s="89"/>
      <c r="O545" s="200"/>
      <c r="P545" s="201"/>
      <c r="Q545" s="201"/>
      <c r="R545" s="237"/>
      <c r="S545" s="202"/>
      <c r="T545" s="200"/>
      <c r="U545" s="203"/>
      <c r="V545" s="89"/>
      <c r="W545" s="89"/>
      <c r="X545" s="145"/>
      <c r="Y545" s="89"/>
      <c r="Z545" s="90"/>
      <c r="AA545" s="90"/>
      <c r="AB545" s="90"/>
      <c r="AC545" s="90"/>
      <c r="AD545" s="92"/>
      <c r="AE545" s="149" t="str">
        <f>IFERROR(VLOOKUP(Z545,LISTS!$AL$2:$AM$1000,2,FALSE()),"")</f>
        <v/>
      </c>
      <c r="AF545" s="151" t="str">
        <f>IFERROR(VLOOKUP(AA545,LISTS!$AO$2:$AP$1000,2,FALSE()),"")</f>
        <v/>
      </c>
      <c r="AG545" s="152" t="str">
        <f>IFERROR(VLOOKUP(AB545,LISTS!$AR$2:$AS$1000,2,FALSE()),"")</f>
        <v/>
      </c>
      <c r="AH545" s="154" t="str">
        <f>IFERROR(VLOOKUP(AC545,LISTS!$AU$2:$AV$1000,2,FALSE()),"")</f>
        <v/>
      </c>
      <c r="AI545" s="238" t="str">
        <f t="shared" si="43"/>
        <v>—</v>
      </c>
      <c r="AJ545" s="190" t="str">
        <f t="shared" si="44"/>
        <v>—</v>
      </c>
      <c r="AK545" s="157" t="str">
        <f t="shared" si="45"/>
        <v/>
      </c>
      <c r="AL545" s="160" t="str">
        <f t="shared" si="46"/>
        <v/>
      </c>
      <c r="AM545" s="210"/>
      <c r="AN545" s="209"/>
    </row>
    <row r="546" spans="1:40" ht="27.95" customHeight="1">
      <c r="A546" s="134" t="str">
        <f>IF(I546&lt;&gt;"",COUNTA($I$2:I546),"")</f>
        <v/>
      </c>
      <c r="B546" s="138" t="str">
        <f t="shared" si="47"/>
        <v/>
      </c>
      <c r="C546" s="93" t="str">
        <f t="array" ref="C546">IF(E546="","",IF(M546&lt;&gt;"",
M546&amp;"/"&amp;SUMPRODUCT((M$2:M546=M546)*1)&amp;" - "&amp;(ROW()-2),
"إداري/"&amp;SUMPRODUCT((M$2:M546="")*1)&amp;" - "&amp;(ROW()-2)))</f>
        <v/>
      </c>
      <c r="D546" s="141" t="str">
        <f>IF(AND(G546="",H546="",I546=""),"",IF(COUNTIFS(LISTS!$A$2:$A$67,G546,LISTS!$B$2:$B$67,H546,LISTS!$C$2:$C$67,I546)=0,"✗ هرم",IF(NOT(OR(Z546="ممتاز 100%",Z546="جيد 80%",Z546="مقبول 60%",Z546="خطر 40%",Z546="")),"✗ قائمة R",IF(NOT(OR(AA546="ممتاز 100%",AA546="جيد 85%",AA546="مقبول 70%",AA546="ضعيف 50%",AA546="")),"✗ قائمة S",IF(NOT(OR(AB546="مكتمل 100%",AB546="جزئي 60%",AB546="معلق 30%",AB546="مفتوح 0%",AB546="")),"✗ قائمة T",IF(NOT(OR(AC546="لا خصم 0",AC546="تأخير −5",AC546="عجز −10",AC546="جودة −15",AC546="امتثال −20",AC546="مخالفة −25",AC546="")),"✗ قائمة U",IF(AND(X546="لا",AC546&lt;&gt;"",AC546&lt;&gt;"لا خصم 0"),"✗ خصم",IF(AND(X546="نعم",AC546="لا خصم 0"),"✗ خصم",IF(AND(Z546="ممتاز 100%",AA546="ممتاز 100%",AB546&lt;&gt;"",AB546&lt;&gt;"مكتمل 100%"),"✗ إغلاق",IFERROR(IF(LEN(_xlfn.TEXTJOIN("، ",TRUE,IF(E546="","التاريخ",""),IF(F546="","الوقت",""),IF(G546="","المركز",""),IF(H546="","الدائرة",""),IF(I546="","القسم",""),IF(J546="","المسؤول",""),IF(K546="","نوع النشاط",""),IF(L546="","المشروع",""),IF(N546="","الممول",""),IF(V546="","الموضوع",""),IF(W546="","الملاحظة",""),IF(X546="","مشكلة",""),IF(Y546="","الإجراء",""),IF(Z546="","التنفيذ",""),IF(AA546="","الجودة",""),IF(AB546="","الإغلاق",""),IF(AC546="","الخصم",""),IF(AND(COUNTA($O546:$U546)&gt;0,O546=""),"مدير المشروع",""),IF(AND(COUNTA($O546:$U546)&gt;0,P546=""),"المستفيدين",""),IF(AND(COUNTA($O546:$U546)&gt;0,Q546=""),"المناطق",""),IF(AND(COUNTA($O546:$U546)&gt;0,R546=""),"الميزانية",""),IF(AND(COUNTA($O546:$U546)&gt;0,S546=""),"نسبة الجاهزية",""),IF(AND(COUNTA($O546:$U546)&gt;0,T546=""),"حالة الجاهزية",""),IF(AND(COUNTA($O546:$U546)&gt;0,U546=""),"التوصيات","")))&gt;0,"✗ ناقص: "&amp;_xlfn.TEXTJOIN("، ",TRUE,IF(E546="","التاريخ",""),IF(F546="","الوقت",""),IF(G546="","المركز",""),IF(H546="","الدائرة",""),IF(I546="","القسم",""),IF(J546="","المسؤول",""),IF(K546="","نوع النشاط",""),IF(L546="","المشروع",""),IF(N546="","الممول",""),IF(V546="","الموضوع",""),IF(W546="","الملاحظة",""),IF(X546="","مشكلة",""),IF(Y546="","الإجراء",""),IF(Z546="","التنفيذ",""),IF(AA546="","الجودة",""),IF(AB546="","الإغلاق",""),IF(AC546="","الخصم",""),IF(AND(COUNTA($O546:$U546)&gt;0,O546=""),"مدير المشروع",""),IF(AND(COUNTA($O546:$U546)&gt;0,P546=""),"المستفيدين",""),IF(AND(COUNTA($O546:$U546)&gt;0,Q546=""),"المناطق",""),IF(AND(COUNTA($O546:$U546)&gt;0,R546=""),"الميزانية",""),IF(AND(COUNTA($O546:$U546)&gt;0,S546=""),"نسبة الجاهزية",""),IF(AND(COUNTA($O546:$U546)&gt;0,T546=""),"حالة الجاهزية",""),IF(AND(COUNTA($O546:$U546)&gt;0,U546=""),"التوصيات","")),"✓"),"✓"))))))))))</f>
        <v/>
      </c>
      <c r="E546" s="235"/>
      <c r="F546" s="236"/>
      <c r="G546" s="90"/>
      <c r="H546" s="239"/>
      <c r="I546" s="89"/>
      <c r="J546" s="142"/>
      <c r="K546" s="90"/>
      <c r="L546" s="90"/>
      <c r="M546" s="90"/>
      <c r="N546" s="89"/>
      <c r="O546" s="200"/>
      <c r="P546" s="201"/>
      <c r="Q546" s="201"/>
      <c r="R546" s="237"/>
      <c r="S546" s="202"/>
      <c r="T546" s="200"/>
      <c r="U546" s="203"/>
      <c r="V546" s="89"/>
      <c r="W546" s="89"/>
      <c r="X546" s="145"/>
      <c r="Y546" s="89"/>
      <c r="Z546" s="90"/>
      <c r="AA546" s="90"/>
      <c r="AB546" s="90"/>
      <c r="AC546" s="90"/>
      <c r="AD546" s="92"/>
      <c r="AE546" s="149" t="str">
        <f>IFERROR(VLOOKUP(Z546,LISTS!$AL$2:$AM$1000,2,FALSE()),"")</f>
        <v/>
      </c>
      <c r="AF546" s="151" t="str">
        <f>IFERROR(VLOOKUP(AA546,LISTS!$AO$2:$AP$1000,2,FALSE()),"")</f>
        <v/>
      </c>
      <c r="AG546" s="152" t="str">
        <f>IFERROR(VLOOKUP(AB546,LISTS!$AR$2:$AS$1000,2,FALSE()),"")</f>
        <v/>
      </c>
      <c r="AH546" s="154" t="str">
        <f>IFERROR(VLOOKUP(AC546,LISTS!$AU$2:$AV$1000,2,FALSE()),"")</f>
        <v/>
      </c>
      <c r="AI546" s="238" t="str">
        <f t="shared" si="43"/>
        <v>—</v>
      </c>
      <c r="AJ546" s="190" t="str">
        <f t="shared" si="44"/>
        <v>—</v>
      </c>
      <c r="AK546" s="157" t="str">
        <f t="shared" si="45"/>
        <v/>
      </c>
      <c r="AL546" s="160" t="str">
        <f t="shared" si="46"/>
        <v/>
      </c>
      <c r="AM546" s="210"/>
      <c r="AN546" s="209"/>
    </row>
    <row r="547" spans="1:40" ht="27.95" customHeight="1">
      <c r="A547" s="134" t="str">
        <f>IF(I547&lt;&gt;"",COUNTA($I$2:I547),"")</f>
        <v/>
      </c>
      <c r="B547" s="138" t="str">
        <f t="shared" si="47"/>
        <v/>
      </c>
      <c r="C547" s="93" t="str">
        <f t="array" ref="C547">IF(E547="","",IF(M547&lt;&gt;"",
M547&amp;"/"&amp;SUMPRODUCT((M$2:M547=M547)*1)&amp;" - "&amp;(ROW()-2),
"إداري/"&amp;SUMPRODUCT((M$2:M547="")*1)&amp;" - "&amp;(ROW()-2)))</f>
        <v/>
      </c>
      <c r="D547" s="141" t="str">
        <f>IF(AND(G547="",H547="",I547=""),"",IF(COUNTIFS(LISTS!$A$2:$A$67,G547,LISTS!$B$2:$B$67,H547,LISTS!$C$2:$C$67,I547)=0,"✗ هرم",IF(NOT(OR(Z547="ممتاز 100%",Z547="جيد 80%",Z547="مقبول 60%",Z547="خطر 40%",Z547="")),"✗ قائمة R",IF(NOT(OR(AA547="ممتاز 100%",AA547="جيد 85%",AA547="مقبول 70%",AA547="ضعيف 50%",AA547="")),"✗ قائمة S",IF(NOT(OR(AB547="مكتمل 100%",AB547="جزئي 60%",AB547="معلق 30%",AB547="مفتوح 0%",AB547="")),"✗ قائمة T",IF(NOT(OR(AC547="لا خصم 0",AC547="تأخير −5",AC547="عجز −10",AC547="جودة −15",AC547="امتثال −20",AC547="مخالفة −25",AC547="")),"✗ قائمة U",IF(AND(X547="لا",AC547&lt;&gt;"",AC547&lt;&gt;"لا خصم 0"),"✗ خصم",IF(AND(X547="نعم",AC547="لا خصم 0"),"✗ خصم",IF(AND(Z547="ممتاز 100%",AA547="ممتاز 100%",AB547&lt;&gt;"",AB547&lt;&gt;"مكتمل 100%"),"✗ إغلاق",IFERROR(IF(LEN(_xlfn.TEXTJOIN("، ",TRUE,IF(E547="","التاريخ",""),IF(F547="","الوقت",""),IF(G547="","المركز",""),IF(H547="","الدائرة",""),IF(I547="","القسم",""),IF(J547="","المسؤول",""),IF(K547="","نوع النشاط",""),IF(L547="","المشروع",""),IF(N547="","الممول",""),IF(V547="","الموضوع",""),IF(W547="","الملاحظة",""),IF(X547="","مشكلة",""),IF(Y547="","الإجراء",""),IF(Z547="","التنفيذ",""),IF(AA547="","الجودة",""),IF(AB547="","الإغلاق",""),IF(AC547="","الخصم",""),IF(AND(COUNTA($O547:$U547)&gt;0,O547=""),"مدير المشروع",""),IF(AND(COUNTA($O547:$U547)&gt;0,P547=""),"المستفيدين",""),IF(AND(COUNTA($O547:$U547)&gt;0,Q547=""),"المناطق",""),IF(AND(COUNTA($O547:$U547)&gt;0,R547=""),"الميزانية",""),IF(AND(COUNTA($O547:$U547)&gt;0,S547=""),"نسبة الجاهزية",""),IF(AND(COUNTA($O547:$U547)&gt;0,T547=""),"حالة الجاهزية",""),IF(AND(COUNTA($O547:$U547)&gt;0,U547=""),"التوصيات","")))&gt;0,"✗ ناقص: "&amp;_xlfn.TEXTJOIN("، ",TRUE,IF(E547="","التاريخ",""),IF(F547="","الوقت",""),IF(G547="","المركز",""),IF(H547="","الدائرة",""),IF(I547="","القسم",""),IF(J547="","المسؤول",""),IF(K547="","نوع النشاط",""),IF(L547="","المشروع",""),IF(N547="","الممول",""),IF(V547="","الموضوع",""),IF(W547="","الملاحظة",""),IF(X547="","مشكلة",""),IF(Y547="","الإجراء",""),IF(Z547="","التنفيذ",""),IF(AA547="","الجودة",""),IF(AB547="","الإغلاق",""),IF(AC547="","الخصم",""),IF(AND(COUNTA($O547:$U547)&gt;0,O547=""),"مدير المشروع",""),IF(AND(COUNTA($O547:$U547)&gt;0,P547=""),"المستفيدين",""),IF(AND(COUNTA($O547:$U547)&gt;0,Q547=""),"المناطق",""),IF(AND(COUNTA($O547:$U547)&gt;0,R547=""),"الميزانية",""),IF(AND(COUNTA($O547:$U547)&gt;0,S547=""),"نسبة الجاهزية",""),IF(AND(COUNTA($O547:$U547)&gt;0,T547=""),"حالة الجاهزية",""),IF(AND(COUNTA($O547:$U547)&gt;0,U547=""),"التوصيات","")),"✓"),"✓"))))))))))</f>
        <v/>
      </c>
      <c r="E547" s="235"/>
      <c r="F547" s="236"/>
      <c r="G547" s="90"/>
      <c r="H547" s="239"/>
      <c r="I547" s="89"/>
      <c r="J547" s="142"/>
      <c r="K547" s="90"/>
      <c r="L547" s="90"/>
      <c r="M547" s="90"/>
      <c r="N547" s="89"/>
      <c r="O547" s="200"/>
      <c r="P547" s="201"/>
      <c r="Q547" s="201"/>
      <c r="R547" s="237"/>
      <c r="S547" s="202"/>
      <c r="T547" s="200"/>
      <c r="U547" s="203"/>
      <c r="V547" s="89"/>
      <c r="W547" s="89"/>
      <c r="X547" s="145"/>
      <c r="Y547" s="89"/>
      <c r="Z547" s="90"/>
      <c r="AA547" s="90"/>
      <c r="AB547" s="90"/>
      <c r="AC547" s="90"/>
      <c r="AD547" s="92"/>
      <c r="AE547" s="149" t="str">
        <f>IFERROR(VLOOKUP(Z547,LISTS!$AL$2:$AM$1000,2,FALSE()),"")</f>
        <v/>
      </c>
      <c r="AF547" s="151" t="str">
        <f>IFERROR(VLOOKUP(AA547,LISTS!$AO$2:$AP$1000,2,FALSE()),"")</f>
        <v/>
      </c>
      <c r="AG547" s="152" t="str">
        <f>IFERROR(VLOOKUP(AB547,LISTS!$AR$2:$AS$1000,2,FALSE()),"")</f>
        <v/>
      </c>
      <c r="AH547" s="154" t="str">
        <f>IFERROR(VLOOKUP(AC547,LISTS!$AU$2:$AV$1000,2,FALSE()),"")</f>
        <v/>
      </c>
      <c r="AI547" s="238" t="str">
        <f t="shared" si="43"/>
        <v>—</v>
      </c>
      <c r="AJ547" s="190" t="str">
        <f t="shared" si="44"/>
        <v>—</v>
      </c>
      <c r="AK547" s="157" t="str">
        <f t="shared" si="45"/>
        <v/>
      </c>
      <c r="AL547" s="160" t="str">
        <f t="shared" si="46"/>
        <v/>
      </c>
      <c r="AM547" s="210"/>
      <c r="AN547" s="209"/>
    </row>
    <row r="548" spans="1:40" ht="27.95" customHeight="1">
      <c r="A548" s="134" t="str">
        <f>IF(I548&lt;&gt;"",COUNTA($I$2:I548),"")</f>
        <v/>
      </c>
      <c r="B548" s="138" t="str">
        <f t="shared" si="47"/>
        <v/>
      </c>
      <c r="C548" s="93" t="str">
        <f t="array" ref="C548">IF(E548="","",IF(M548&lt;&gt;"",
M548&amp;"/"&amp;SUMPRODUCT((M$2:M548=M548)*1)&amp;" - "&amp;(ROW()-2),
"إداري/"&amp;SUMPRODUCT((M$2:M548="")*1)&amp;" - "&amp;(ROW()-2)))</f>
        <v/>
      </c>
      <c r="D548" s="141" t="str">
        <f>IF(AND(G548="",H548="",I548=""),"",IF(COUNTIFS(LISTS!$A$2:$A$67,G548,LISTS!$B$2:$B$67,H548,LISTS!$C$2:$C$67,I548)=0,"✗ هرم",IF(NOT(OR(Z548="ممتاز 100%",Z548="جيد 80%",Z548="مقبول 60%",Z548="خطر 40%",Z548="")),"✗ قائمة R",IF(NOT(OR(AA548="ممتاز 100%",AA548="جيد 85%",AA548="مقبول 70%",AA548="ضعيف 50%",AA548="")),"✗ قائمة S",IF(NOT(OR(AB548="مكتمل 100%",AB548="جزئي 60%",AB548="معلق 30%",AB548="مفتوح 0%",AB548="")),"✗ قائمة T",IF(NOT(OR(AC548="لا خصم 0",AC548="تأخير −5",AC548="عجز −10",AC548="جودة −15",AC548="امتثال −20",AC548="مخالفة −25",AC548="")),"✗ قائمة U",IF(AND(X548="لا",AC548&lt;&gt;"",AC548&lt;&gt;"لا خصم 0"),"✗ خصم",IF(AND(X548="نعم",AC548="لا خصم 0"),"✗ خصم",IF(AND(Z548="ممتاز 100%",AA548="ممتاز 100%",AB548&lt;&gt;"",AB548&lt;&gt;"مكتمل 100%"),"✗ إغلاق",IFERROR(IF(LEN(_xlfn.TEXTJOIN("، ",TRUE,IF(E548="","التاريخ",""),IF(F548="","الوقت",""),IF(G548="","المركز",""),IF(H548="","الدائرة",""),IF(I548="","القسم",""),IF(J548="","المسؤول",""),IF(K548="","نوع النشاط",""),IF(L548="","المشروع",""),IF(N548="","الممول",""),IF(V548="","الموضوع",""),IF(W548="","الملاحظة",""),IF(X548="","مشكلة",""),IF(Y548="","الإجراء",""),IF(Z548="","التنفيذ",""),IF(AA548="","الجودة",""),IF(AB548="","الإغلاق",""),IF(AC548="","الخصم",""),IF(AND(COUNTA($O548:$U548)&gt;0,O548=""),"مدير المشروع",""),IF(AND(COUNTA($O548:$U548)&gt;0,P548=""),"المستفيدين",""),IF(AND(COUNTA($O548:$U548)&gt;0,Q548=""),"المناطق",""),IF(AND(COUNTA($O548:$U548)&gt;0,R548=""),"الميزانية",""),IF(AND(COUNTA($O548:$U548)&gt;0,S548=""),"نسبة الجاهزية",""),IF(AND(COUNTA($O548:$U548)&gt;0,T548=""),"حالة الجاهزية",""),IF(AND(COUNTA($O548:$U548)&gt;0,U548=""),"التوصيات","")))&gt;0,"✗ ناقص: "&amp;_xlfn.TEXTJOIN("، ",TRUE,IF(E548="","التاريخ",""),IF(F548="","الوقت",""),IF(G548="","المركز",""),IF(H548="","الدائرة",""),IF(I548="","القسم",""),IF(J548="","المسؤول",""),IF(K548="","نوع النشاط",""),IF(L548="","المشروع",""),IF(N548="","الممول",""),IF(V548="","الموضوع",""),IF(W548="","الملاحظة",""),IF(X548="","مشكلة",""),IF(Y548="","الإجراء",""),IF(Z548="","التنفيذ",""),IF(AA548="","الجودة",""),IF(AB548="","الإغلاق",""),IF(AC548="","الخصم",""),IF(AND(COUNTA($O548:$U548)&gt;0,O548=""),"مدير المشروع",""),IF(AND(COUNTA($O548:$U548)&gt;0,P548=""),"المستفيدين",""),IF(AND(COUNTA($O548:$U548)&gt;0,Q548=""),"المناطق",""),IF(AND(COUNTA($O548:$U548)&gt;0,R548=""),"الميزانية",""),IF(AND(COUNTA($O548:$U548)&gt;0,S548=""),"نسبة الجاهزية",""),IF(AND(COUNTA($O548:$U548)&gt;0,T548=""),"حالة الجاهزية",""),IF(AND(COUNTA($O548:$U548)&gt;0,U548=""),"التوصيات","")),"✓"),"✓"))))))))))</f>
        <v/>
      </c>
      <c r="E548" s="235"/>
      <c r="F548" s="236"/>
      <c r="G548" s="90"/>
      <c r="H548" s="239"/>
      <c r="I548" s="89"/>
      <c r="J548" s="142"/>
      <c r="K548" s="90"/>
      <c r="L548" s="90"/>
      <c r="M548" s="90"/>
      <c r="N548" s="89"/>
      <c r="O548" s="200"/>
      <c r="P548" s="201"/>
      <c r="Q548" s="201"/>
      <c r="R548" s="237"/>
      <c r="S548" s="202"/>
      <c r="T548" s="200"/>
      <c r="U548" s="203"/>
      <c r="V548" s="89"/>
      <c r="W548" s="89"/>
      <c r="X548" s="145"/>
      <c r="Y548" s="89"/>
      <c r="Z548" s="90"/>
      <c r="AA548" s="90"/>
      <c r="AB548" s="90"/>
      <c r="AC548" s="90"/>
      <c r="AD548" s="92"/>
      <c r="AE548" s="149" t="str">
        <f>IFERROR(VLOOKUP(Z548,LISTS!$AL$2:$AM$1000,2,FALSE()),"")</f>
        <v/>
      </c>
      <c r="AF548" s="151" t="str">
        <f>IFERROR(VLOOKUP(AA548,LISTS!$AO$2:$AP$1000,2,FALSE()),"")</f>
        <v/>
      </c>
      <c r="AG548" s="152" t="str">
        <f>IFERROR(VLOOKUP(AB548,LISTS!$AR$2:$AS$1000,2,FALSE()),"")</f>
        <v/>
      </c>
      <c r="AH548" s="154" t="str">
        <f>IFERROR(VLOOKUP(AC548,LISTS!$AU$2:$AV$1000,2,FALSE()),"")</f>
        <v/>
      </c>
      <c r="AI548" s="238" t="str">
        <f t="shared" si="43"/>
        <v>—</v>
      </c>
      <c r="AJ548" s="190" t="str">
        <f t="shared" si="44"/>
        <v>—</v>
      </c>
      <c r="AK548" s="157" t="str">
        <f t="shared" si="45"/>
        <v/>
      </c>
      <c r="AL548" s="160" t="str">
        <f t="shared" si="46"/>
        <v/>
      </c>
      <c r="AM548" s="210"/>
      <c r="AN548" s="209"/>
    </row>
    <row r="549" spans="1:40" ht="27.95" customHeight="1">
      <c r="A549" s="134" t="str">
        <f>IF(I549&lt;&gt;"",COUNTA($I$2:I549),"")</f>
        <v/>
      </c>
      <c r="B549" s="138" t="str">
        <f t="shared" si="47"/>
        <v/>
      </c>
      <c r="C549" s="93" t="str">
        <f t="array" ref="C549">IF(E549="","",IF(M549&lt;&gt;"",
M549&amp;"/"&amp;SUMPRODUCT((M$2:M549=M549)*1)&amp;" - "&amp;(ROW()-2),
"إداري/"&amp;SUMPRODUCT((M$2:M549="")*1)&amp;" - "&amp;(ROW()-2)))</f>
        <v/>
      </c>
      <c r="D549" s="141" t="str">
        <f>IF(AND(G549="",H549="",I549=""),"",IF(COUNTIFS(LISTS!$A$2:$A$67,G549,LISTS!$B$2:$B$67,H549,LISTS!$C$2:$C$67,I549)=0,"✗ هرم",IF(NOT(OR(Z549="ممتاز 100%",Z549="جيد 80%",Z549="مقبول 60%",Z549="خطر 40%",Z549="")),"✗ قائمة R",IF(NOT(OR(AA549="ممتاز 100%",AA549="جيد 85%",AA549="مقبول 70%",AA549="ضعيف 50%",AA549="")),"✗ قائمة S",IF(NOT(OR(AB549="مكتمل 100%",AB549="جزئي 60%",AB549="معلق 30%",AB549="مفتوح 0%",AB549="")),"✗ قائمة T",IF(NOT(OR(AC549="لا خصم 0",AC549="تأخير −5",AC549="عجز −10",AC549="جودة −15",AC549="امتثال −20",AC549="مخالفة −25",AC549="")),"✗ قائمة U",IF(AND(X549="لا",AC549&lt;&gt;"",AC549&lt;&gt;"لا خصم 0"),"✗ خصم",IF(AND(X549="نعم",AC549="لا خصم 0"),"✗ خصم",IF(AND(Z549="ممتاز 100%",AA549="ممتاز 100%",AB549&lt;&gt;"",AB549&lt;&gt;"مكتمل 100%"),"✗ إغلاق",IFERROR(IF(LEN(_xlfn.TEXTJOIN("، ",TRUE,IF(E549="","التاريخ",""),IF(F549="","الوقت",""),IF(G549="","المركز",""),IF(H549="","الدائرة",""),IF(I549="","القسم",""),IF(J549="","المسؤول",""),IF(K549="","نوع النشاط",""),IF(L549="","المشروع",""),IF(N549="","الممول",""),IF(V549="","الموضوع",""),IF(W549="","الملاحظة",""),IF(X549="","مشكلة",""),IF(Y549="","الإجراء",""),IF(Z549="","التنفيذ",""),IF(AA549="","الجودة",""),IF(AB549="","الإغلاق",""),IF(AC549="","الخصم",""),IF(AND(COUNTA($O549:$U549)&gt;0,O549=""),"مدير المشروع",""),IF(AND(COUNTA($O549:$U549)&gt;0,P549=""),"المستفيدين",""),IF(AND(COUNTA($O549:$U549)&gt;0,Q549=""),"المناطق",""),IF(AND(COUNTA($O549:$U549)&gt;0,R549=""),"الميزانية",""),IF(AND(COUNTA($O549:$U549)&gt;0,S549=""),"نسبة الجاهزية",""),IF(AND(COUNTA($O549:$U549)&gt;0,T549=""),"حالة الجاهزية",""),IF(AND(COUNTA($O549:$U549)&gt;0,U549=""),"التوصيات","")))&gt;0,"✗ ناقص: "&amp;_xlfn.TEXTJOIN("، ",TRUE,IF(E549="","التاريخ",""),IF(F549="","الوقت",""),IF(G549="","المركز",""),IF(H549="","الدائرة",""),IF(I549="","القسم",""),IF(J549="","المسؤول",""),IF(K549="","نوع النشاط",""),IF(L549="","المشروع",""),IF(N549="","الممول",""),IF(V549="","الموضوع",""),IF(W549="","الملاحظة",""),IF(X549="","مشكلة",""),IF(Y549="","الإجراء",""),IF(Z549="","التنفيذ",""),IF(AA549="","الجودة",""),IF(AB549="","الإغلاق",""),IF(AC549="","الخصم",""),IF(AND(COUNTA($O549:$U549)&gt;0,O549=""),"مدير المشروع",""),IF(AND(COUNTA($O549:$U549)&gt;0,P549=""),"المستفيدين",""),IF(AND(COUNTA($O549:$U549)&gt;0,Q549=""),"المناطق",""),IF(AND(COUNTA($O549:$U549)&gt;0,R549=""),"الميزانية",""),IF(AND(COUNTA($O549:$U549)&gt;0,S549=""),"نسبة الجاهزية",""),IF(AND(COUNTA($O549:$U549)&gt;0,T549=""),"حالة الجاهزية",""),IF(AND(COUNTA($O549:$U549)&gt;0,U549=""),"التوصيات","")),"✓"),"✓"))))))))))</f>
        <v/>
      </c>
      <c r="E549" s="235"/>
      <c r="F549" s="236"/>
      <c r="G549" s="90"/>
      <c r="H549" s="239"/>
      <c r="I549" s="89"/>
      <c r="J549" s="142"/>
      <c r="K549" s="90"/>
      <c r="L549" s="90"/>
      <c r="M549" s="90"/>
      <c r="N549" s="89"/>
      <c r="O549" s="200"/>
      <c r="P549" s="201"/>
      <c r="Q549" s="201"/>
      <c r="R549" s="237"/>
      <c r="S549" s="202"/>
      <c r="T549" s="200"/>
      <c r="U549" s="203"/>
      <c r="V549" s="89"/>
      <c r="W549" s="89"/>
      <c r="X549" s="145"/>
      <c r="Y549" s="89"/>
      <c r="Z549" s="90"/>
      <c r="AA549" s="90"/>
      <c r="AB549" s="90"/>
      <c r="AC549" s="90"/>
      <c r="AD549" s="92"/>
      <c r="AE549" s="149" t="str">
        <f>IFERROR(VLOOKUP(Z549,LISTS!$AL$2:$AM$1000,2,FALSE()),"")</f>
        <v/>
      </c>
      <c r="AF549" s="151" t="str">
        <f>IFERROR(VLOOKUP(AA549,LISTS!$AO$2:$AP$1000,2,FALSE()),"")</f>
        <v/>
      </c>
      <c r="AG549" s="152" t="str">
        <f>IFERROR(VLOOKUP(AB549,LISTS!$AR$2:$AS$1000,2,FALSE()),"")</f>
        <v/>
      </c>
      <c r="AH549" s="154" t="str">
        <f>IFERROR(VLOOKUP(AC549,LISTS!$AU$2:$AV$1000,2,FALSE()),"")</f>
        <v/>
      </c>
      <c r="AI549" s="238" t="str">
        <f t="shared" si="43"/>
        <v>—</v>
      </c>
      <c r="AJ549" s="190" t="str">
        <f t="shared" si="44"/>
        <v>—</v>
      </c>
      <c r="AK549" s="157" t="str">
        <f t="shared" si="45"/>
        <v/>
      </c>
      <c r="AL549" s="160" t="str">
        <f t="shared" si="46"/>
        <v/>
      </c>
      <c r="AM549" s="210"/>
      <c r="AN549" s="209"/>
    </row>
    <row r="550" spans="1:40" ht="27.95" customHeight="1">
      <c r="A550" s="134" t="str">
        <f>IF(I550&lt;&gt;"",COUNTA($I$2:I550),"")</f>
        <v/>
      </c>
      <c r="B550" s="138" t="str">
        <f t="shared" si="47"/>
        <v/>
      </c>
      <c r="C550" s="93" t="str">
        <f t="array" ref="C550">IF(E550="","",IF(M550&lt;&gt;"",
M550&amp;"/"&amp;SUMPRODUCT((M$2:M550=M550)*1)&amp;" - "&amp;(ROW()-2),
"إداري/"&amp;SUMPRODUCT((M$2:M550="")*1)&amp;" - "&amp;(ROW()-2)))</f>
        <v/>
      </c>
      <c r="D550" s="141" t="str">
        <f>IF(AND(G550="",H550="",I550=""),"",IF(COUNTIFS(LISTS!$A$2:$A$67,G550,LISTS!$B$2:$B$67,H550,LISTS!$C$2:$C$67,I550)=0,"✗ هرم",IF(NOT(OR(Z550="ممتاز 100%",Z550="جيد 80%",Z550="مقبول 60%",Z550="خطر 40%",Z550="")),"✗ قائمة R",IF(NOT(OR(AA550="ممتاز 100%",AA550="جيد 85%",AA550="مقبول 70%",AA550="ضعيف 50%",AA550="")),"✗ قائمة S",IF(NOT(OR(AB550="مكتمل 100%",AB550="جزئي 60%",AB550="معلق 30%",AB550="مفتوح 0%",AB550="")),"✗ قائمة T",IF(NOT(OR(AC550="لا خصم 0",AC550="تأخير −5",AC550="عجز −10",AC550="جودة −15",AC550="امتثال −20",AC550="مخالفة −25",AC550="")),"✗ قائمة U",IF(AND(X550="لا",AC550&lt;&gt;"",AC550&lt;&gt;"لا خصم 0"),"✗ خصم",IF(AND(X550="نعم",AC550="لا خصم 0"),"✗ خصم",IF(AND(Z550="ممتاز 100%",AA550="ممتاز 100%",AB550&lt;&gt;"",AB550&lt;&gt;"مكتمل 100%"),"✗ إغلاق",IFERROR(IF(LEN(_xlfn.TEXTJOIN("، ",TRUE,IF(E550="","التاريخ",""),IF(F550="","الوقت",""),IF(G550="","المركز",""),IF(H550="","الدائرة",""),IF(I550="","القسم",""),IF(J550="","المسؤول",""),IF(K550="","نوع النشاط",""),IF(L550="","المشروع",""),IF(N550="","الممول",""),IF(V550="","الموضوع",""),IF(W550="","الملاحظة",""),IF(X550="","مشكلة",""),IF(Y550="","الإجراء",""),IF(Z550="","التنفيذ",""),IF(AA550="","الجودة",""),IF(AB550="","الإغلاق",""),IF(AC550="","الخصم",""),IF(AND(COUNTA($O550:$U550)&gt;0,O550=""),"مدير المشروع",""),IF(AND(COUNTA($O550:$U550)&gt;0,P550=""),"المستفيدين",""),IF(AND(COUNTA($O550:$U550)&gt;0,Q550=""),"المناطق",""),IF(AND(COUNTA($O550:$U550)&gt;0,R550=""),"الميزانية",""),IF(AND(COUNTA($O550:$U550)&gt;0,S550=""),"نسبة الجاهزية",""),IF(AND(COUNTA($O550:$U550)&gt;0,T550=""),"حالة الجاهزية",""),IF(AND(COUNTA($O550:$U550)&gt;0,U550=""),"التوصيات","")))&gt;0,"✗ ناقص: "&amp;_xlfn.TEXTJOIN("، ",TRUE,IF(E550="","التاريخ",""),IF(F550="","الوقت",""),IF(G550="","المركز",""),IF(H550="","الدائرة",""),IF(I550="","القسم",""),IF(J550="","المسؤول",""),IF(K550="","نوع النشاط",""),IF(L550="","المشروع",""),IF(N550="","الممول",""),IF(V550="","الموضوع",""),IF(W550="","الملاحظة",""),IF(X550="","مشكلة",""),IF(Y550="","الإجراء",""),IF(Z550="","التنفيذ",""),IF(AA550="","الجودة",""),IF(AB550="","الإغلاق",""),IF(AC550="","الخصم",""),IF(AND(COUNTA($O550:$U550)&gt;0,O550=""),"مدير المشروع",""),IF(AND(COUNTA($O550:$U550)&gt;0,P550=""),"المستفيدين",""),IF(AND(COUNTA($O550:$U550)&gt;0,Q550=""),"المناطق",""),IF(AND(COUNTA($O550:$U550)&gt;0,R550=""),"الميزانية",""),IF(AND(COUNTA($O550:$U550)&gt;0,S550=""),"نسبة الجاهزية",""),IF(AND(COUNTA($O550:$U550)&gt;0,T550=""),"حالة الجاهزية",""),IF(AND(COUNTA($O550:$U550)&gt;0,U550=""),"التوصيات","")),"✓"),"✓"))))))))))</f>
        <v/>
      </c>
      <c r="E550" s="235"/>
      <c r="F550" s="236"/>
      <c r="G550" s="90"/>
      <c r="H550" s="239"/>
      <c r="I550" s="89"/>
      <c r="J550" s="142"/>
      <c r="K550" s="90"/>
      <c r="L550" s="90"/>
      <c r="M550" s="90"/>
      <c r="N550" s="89"/>
      <c r="O550" s="200"/>
      <c r="P550" s="201"/>
      <c r="Q550" s="201"/>
      <c r="R550" s="237"/>
      <c r="S550" s="202"/>
      <c r="T550" s="200"/>
      <c r="U550" s="203"/>
      <c r="V550" s="89"/>
      <c r="W550" s="89"/>
      <c r="X550" s="145"/>
      <c r="Y550" s="89"/>
      <c r="Z550" s="90"/>
      <c r="AA550" s="90"/>
      <c r="AB550" s="90"/>
      <c r="AC550" s="90"/>
      <c r="AD550" s="92"/>
      <c r="AE550" s="149" t="str">
        <f>IFERROR(VLOOKUP(Z550,LISTS!$AL$2:$AM$1000,2,FALSE()),"")</f>
        <v/>
      </c>
      <c r="AF550" s="151" t="str">
        <f>IFERROR(VLOOKUP(AA550,LISTS!$AO$2:$AP$1000,2,FALSE()),"")</f>
        <v/>
      </c>
      <c r="AG550" s="152" t="str">
        <f>IFERROR(VLOOKUP(AB550,LISTS!$AR$2:$AS$1000,2,FALSE()),"")</f>
        <v/>
      </c>
      <c r="AH550" s="154" t="str">
        <f>IFERROR(VLOOKUP(AC550,LISTS!$AU$2:$AV$1000,2,FALSE()),"")</f>
        <v/>
      </c>
      <c r="AI550" s="238" t="str">
        <f t="shared" si="43"/>
        <v>—</v>
      </c>
      <c r="AJ550" s="190" t="str">
        <f t="shared" si="44"/>
        <v>—</v>
      </c>
      <c r="AK550" s="157" t="str">
        <f t="shared" si="45"/>
        <v/>
      </c>
      <c r="AL550" s="160" t="str">
        <f t="shared" si="46"/>
        <v/>
      </c>
      <c r="AM550" s="210"/>
      <c r="AN550" s="209"/>
    </row>
    <row r="551" spans="1:40" ht="27.95" customHeight="1">
      <c r="A551" s="134" t="str">
        <f>IF(I551&lt;&gt;"",COUNTA($I$2:I551),"")</f>
        <v/>
      </c>
      <c r="B551" s="138" t="str">
        <f t="shared" si="47"/>
        <v/>
      </c>
      <c r="C551" s="93" t="str">
        <f t="array" ref="C551">IF(E551="","",IF(M551&lt;&gt;"",
M551&amp;"/"&amp;SUMPRODUCT((M$2:M551=M551)*1)&amp;" - "&amp;(ROW()-2),
"إداري/"&amp;SUMPRODUCT((M$2:M551="")*1)&amp;" - "&amp;(ROW()-2)))</f>
        <v/>
      </c>
      <c r="D551" s="141" t="str">
        <f>IF(AND(G551="",H551="",I551=""),"",IF(COUNTIFS(LISTS!$A$2:$A$67,G551,LISTS!$B$2:$B$67,H551,LISTS!$C$2:$C$67,I551)=0,"✗ هرم",IF(NOT(OR(Z551="ممتاز 100%",Z551="جيد 80%",Z551="مقبول 60%",Z551="خطر 40%",Z551="")),"✗ قائمة R",IF(NOT(OR(AA551="ممتاز 100%",AA551="جيد 85%",AA551="مقبول 70%",AA551="ضعيف 50%",AA551="")),"✗ قائمة S",IF(NOT(OR(AB551="مكتمل 100%",AB551="جزئي 60%",AB551="معلق 30%",AB551="مفتوح 0%",AB551="")),"✗ قائمة T",IF(NOT(OR(AC551="لا خصم 0",AC551="تأخير −5",AC551="عجز −10",AC551="جودة −15",AC551="امتثال −20",AC551="مخالفة −25",AC551="")),"✗ قائمة U",IF(AND(X551="لا",AC551&lt;&gt;"",AC551&lt;&gt;"لا خصم 0"),"✗ خصم",IF(AND(X551="نعم",AC551="لا خصم 0"),"✗ خصم",IF(AND(Z551="ممتاز 100%",AA551="ممتاز 100%",AB551&lt;&gt;"",AB551&lt;&gt;"مكتمل 100%"),"✗ إغلاق",IFERROR(IF(LEN(_xlfn.TEXTJOIN("، ",TRUE,IF(E551="","التاريخ",""),IF(F551="","الوقت",""),IF(G551="","المركز",""),IF(H551="","الدائرة",""),IF(I551="","القسم",""),IF(J551="","المسؤول",""),IF(K551="","نوع النشاط",""),IF(L551="","المشروع",""),IF(N551="","الممول",""),IF(V551="","الموضوع",""),IF(W551="","الملاحظة",""),IF(X551="","مشكلة",""),IF(Y551="","الإجراء",""),IF(Z551="","التنفيذ",""),IF(AA551="","الجودة",""),IF(AB551="","الإغلاق",""),IF(AC551="","الخصم",""),IF(AND(COUNTA($O551:$U551)&gt;0,O551=""),"مدير المشروع",""),IF(AND(COUNTA($O551:$U551)&gt;0,P551=""),"المستفيدين",""),IF(AND(COUNTA($O551:$U551)&gt;0,Q551=""),"المناطق",""),IF(AND(COUNTA($O551:$U551)&gt;0,R551=""),"الميزانية",""),IF(AND(COUNTA($O551:$U551)&gt;0,S551=""),"نسبة الجاهزية",""),IF(AND(COUNTA($O551:$U551)&gt;0,T551=""),"حالة الجاهزية",""),IF(AND(COUNTA($O551:$U551)&gt;0,U551=""),"التوصيات","")))&gt;0,"✗ ناقص: "&amp;_xlfn.TEXTJOIN("، ",TRUE,IF(E551="","التاريخ",""),IF(F551="","الوقت",""),IF(G551="","المركز",""),IF(H551="","الدائرة",""),IF(I551="","القسم",""),IF(J551="","المسؤول",""),IF(K551="","نوع النشاط",""),IF(L551="","المشروع",""),IF(N551="","الممول",""),IF(V551="","الموضوع",""),IF(W551="","الملاحظة",""),IF(X551="","مشكلة",""),IF(Y551="","الإجراء",""),IF(Z551="","التنفيذ",""),IF(AA551="","الجودة",""),IF(AB551="","الإغلاق",""),IF(AC551="","الخصم",""),IF(AND(COUNTA($O551:$U551)&gt;0,O551=""),"مدير المشروع",""),IF(AND(COUNTA($O551:$U551)&gt;0,P551=""),"المستفيدين",""),IF(AND(COUNTA($O551:$U551)&gt;0,Q551=""),"المناطق",""),IF(AND(COUNTA($O551:$U551)&gt;0,R551=""),"الميزانية",""),IF(AND(COUNTA($O551:$U551)&gt;0,S551=""),"نسبة الجاهزية",""),IF(AND(COUNTA($O551:$U551)&gt;0,T551=""),"حالة الجاهزية",""),IF(AND(COUNTA($O551:$U551)&gt;0,U551=""),"التوصيات","")),"✓"),"✓"))))))))))</f>
        <v/>
      </c>
      <c r="E551" s="235"/>
      <c r="F551" s="236"/>
      <c r="G551" s="90"/>
      <c r="H551" s="239"/>
      <c r="I551" s="89"/>
      <c r="J551" s="142"/>
      <c r="K551" s="90"/>
      <c r="L551" s="90"/>
      <c r="M551" s="90"/>
      <c r="N551" s="89"/>
      <c r="O551" s="200"/>
      <c r="P551" s="201"/>
      <c r="Q551" s="201"/>
      <c r="R551" s="237"/>
      <c r="S551" s="202"/>
      <c r="T551" s="200"/>
      <c r="U551" s="203"/>
      <c r="V551" s="89"/>
      <c r="W551" s="89"/>
      <c r="X551" s="145"/>
      <c r="Y551" s="89"/>
      <c r="Z551" s="90"/>
      <c r="AA551" s="90"/>
      <c r="AB551" s="90"/>
      <c r="AC551" s="90"/>
      <c r="AD551" s="92"/>
      <c r="AE551" s="149" t="str">
        <f>IFERROR(VLOOKUP(Z551,LISTS!$AL$2:$AM$1000,2,FALSE()),"")</f>
        <v/>
      </c>
      <c r="AF551" s="151" t="str">
        <f>IFERROR(VLOOKUP(AA551,LISTS!$AO$2:$AP$1000,2,FALSE()),"")</f>
        <v/>
      </c>
      <c r="AG551" s="152" t="str">
        <f>IFERROR(VLOOKUP(AB551,LISTS!$AR$2:$AS$1000,2,FALSE()),"")</f>
        <v/>
      </c>
      <c r="AH551" s="154" t="str">
        <f>IFERROR(VLOOKUP(AC551,LISTS!$AU$2:$AV$1000,2,FALSE()),"")</f>
        <v/>
      </c>
      <c r="AI551" s="238" t="str">
        <f t="shared" si="43"/>
        <v>—</v>
      </c>
      <c r="AJ551" s="190" t="str">
        <f t="shared" si="44"/>
        <v>—</v>
      </c>
      <c r="AK551" s="157" t="str">
        <f t="shared" si="45"/>
        <v/>
      </c>
      <c r="AL551" s="160" t="str">
        <f t="shared" si="46"/>
        <v/>
      </c>
      <c r="AM551" s="210"/>
      <c r="AN551" s="209"/>
    </row>
    <row r="552" spans="1:40" ht="27.95" customHeight="1">
      <c r="A552" s="134" t="str">
        <f>IF(I552&lt;&gt;"",COUNTA($I$2:I552),"")</f>
        <v/>
      </c>
      <c r="B552" s="138" t="str">
        <f t="shared" si="47"/>
        <v/>
      </c>
      <c r="C552" s="93" t="str">
        <f t="array" ref="C552">IF(E552="","",IF(M552&lt;&gt;"",
M552&amp;"/"&amp;SUMPRODUCT((M$2:M552=M552)*1)&amp;" - "&amp;(ROW()-2),
"إداري/"&amp;SUMPRODUCT((M$2:M552="")*1)&amp;" - "&amp;(ROW()-2)))</f>
        <v/>
      </c>
      <c r="D552" s="141" t="str">
        <f>IF(AND(G552="",H552="",I552=""),"",IF(COUNTIFS(LISTS!$A$2:$A$67,G552,LISTS!$B$2:$B$67,H552,LISTS!$C$2:$C$67,I552)=0,"✗ هرم",IF(NOT(OR(Z552="ممتاز 100%",Z552="جيد 80%",Z552="مقبول 60%",Z552="خطر 40%",Z552="")),"✗ قائمة R",IF(NOT(OR(AA552="ممتاز 100%",AA552="جيد 85%",AA552="مقبول 70%",AA552="ضعيف 50%",AA552="")),"✗ قائمة S",IF(NOT(OR(AB552="مكتمل 100%",AB552="جزئي 60%",AB552="معلق 30%",AB552="مفتوح 0%",AB552="")),"✗ قائمة T",IF(NOT(OR(AC552="لا خصم 0",AC552="تأخير −5",AC552="عجز −10",AC552="جودة −15",AC552="امتثال −20",AC552="مخالفة −25",AC552="")),"✗ قائمة U",IF(AND(X552="لا",AC552&lt;&gt;"",AC552&lt;&gt;"لا خصم 0"),"✗ خصم",IF(AND(X552="نعم",AC552="لا خصم 0"),"✗ خصم",IF(AND(Z552="ممتاز 100%",AA552="ممتاز 100%",AB552&lt;&gt;"",AB552&lt;&gt;"مكتمل 100%"),"✗ إغلاق",IFERROR(IF(LEN(_xlfn.TEXTJOIN("، ",TRUE,IF(E552="","التاريخ",""),IF(F552="","الوقت",""),IF(G552="","المركز",""),IF(H552="","الدائرة",""),IF(I552="","القسم",""),IF(J552="","المسؤول",""),IF(K552="","نوع النشاط",""),IF(L552="","المشروع",""),IF(N552="","الممول",""),IF(V552="","الموضوع",""),IF(W552="","الملاحظة",""),IF(X552="","مشكلة",""),IF(Y552="","الإجراء",""),IF(Z552="","التنفيذ",""),IF(AA552="","الجودة",""),IF(AB552="","الإغلاق",""),IF(AC552="","الخصم",""),IF(AND(COUNTA($O552:$U552)&gt;0,O552=""),"مدير المشروع",""),IF(AND(COUNTA($O552:$U552)&gt;0,P552=""),"المستفيدين",""),IF(AND(COUNTA($O552:$U552)&gt;0,Q552=""),"المناطق",""),IF(AND(COUNTA($O552:$U552)&gt;0,R552=""),"الميزانية",""),IF(AND(COUNTA($O552:$U552)&gt;0,S552=""),"نسبة الجاهزية",""),IF(AND(COUNTA($O552:$U552)&gt;0,T552=""),"حالة الجاهزية",""),IF(AND(COUNTA($O552:$U552)&gt;0,U552=""),"التوصيات","")))&gt;0,"✗ ناقص: "&amp;_xlfn.TEXTJOIN("، ",TRUE,IF(E552="","التاريخ",""),IF(F552="","الوقت",""),IF(G552="","المركز",""),IF(H552="","الدائرة",""),IF(I552="","القسم",""),IF(J552="","المسؤول",""),IF(K552="","نوع النشاط",""),IF(L552="","المشروع",""),IF(N552="","الممول",""),IF(V552="","الموضوع",""),IF(W552="","الملاحظة",""),IF(X552="","مشكلة",""),IF(Y552="","الإجراء",""),IF(Z552="","التنفيذ",""),IF(AA552="","الجودة",""),IF(AB552="","الإغلاق",""),IF(AC552="","الخصم",""),IF(AND(COUNTA($O552:$U552)&gt;0,O552=""),"مدير المشروع",""),IF(AND(COUNTA($O552:$U552)&gt;0,P552=""),"المستفيدين",""),IF(AND(COUNTA($O552:$U552)&gt;0,Q552=""),"المناطق",""),IF(AND(COUNTA($O552:$U552)&gt;0,R552=""),"الميزانية",""),IF(AND(COUNTA($O552:$U552)&gt;0,S552=""),"نسبة الجاهزية",""),IF(AND(COUNTA($O552:$U552)&gt;0,T552=""),"حالة الجاهزية",""),IF(AND(COUNTA($O552:$U552)&gt;0,U552=""),"التوصيات","")),"✓"),"✓"))))))))))</f>
        <v/>
      </c>
      <c r="E552" s="235"/>
      <c r="F552" s="236"/>
      <c r="G552" s="90"/>
      <c r="H552" s="239"/>
      <c r="I552" s="89"/>
      <c r="J552" s="142"/>
      <c r="K552" s="90"/>
      <c r="L552" s="90"/>
      <c r="M552" s="90"/>
      <c r="N552" s="89"/>
      <c r="O552" s="200"/>
      <c r="P552" s="201"/>
      <c r="Q552" s="201"/>
      <c r="R552" s="237"/>
      <c r="S552" s="202"/>
      <c r="T552" s="200"/>
      <c r="U552" s="203"/>
      <c r="V552" s="89"/>
      <c r="W552" s="89"/>
      <c r="X552" s="145"/>
      <c r="Y552" s="89"/>
      <c r="Z552" s="90"/>
      <c r="AA552" s="90"/>
      <c r="AB552" s="90"/>
      <c r="AC552" s="90"/>
      <c r="AD552" s="92"/>
      <c r="AE552" s="149" t="str">
        <f>IFERROR(VLOOKUP(Z552,LISTS!$AL$2:$AM$1000,2,FALSE()),"")</f>
        <v/>
      </c>
      <c r="AF552" s="151" t="str">
        <f>IFERROR(VLOOKUP(AA552,LISTS!$AO$2:$AP$1000,2,FALSE()),"")</f>
        <v/>
      </c>
      <c r="AG552" s="152" t="str">
        <f>IFERROR(VLOOKUP(AB552,LISTS!$AR$2:$AS$1000,2,FALSE()),"")</f>
        <v/>
      </c>
      <c r="AH552" s="154" t="str">
        <f>IFERROR(VLOOKUP(AC552,LISTS!$AU$2:$AV$1000,2,FALSE()),"")</f>
        <v/>
      </c>
      <c r="AI552" s="238" t="str">
        <f t="shared" si="43"/>
        <v>—</v>
      </c>
      <c r="AJ552" s="190" t="str">
        <f t="shared" si="44"/>
        <v>—</v>
      </c>
      <c r="AK552" s="157" t="str">
        <f t="shared" si="45"/>
        <v/>
      </c>
      <c r="AL552" s="160" t="str">
        <f t="shared" si="46"/>
        <v/>
      </c>
      <c r="AM552" s="210"/>
      <c r="AN552" s="209"/>
    </row>
    <row r="553" spans="1:40" ht="27.95" customHeight="1">
      <c r="A553" s="134" t="str">
        <f>IF(I553&lt;&gt;"",COUNTA($I$2:I553),"")</f>
        <v/>
      </c>
      <c r="B553" s="138" t="str">
        <f t="shared" si="47"/>
        <v/>
      </c>
      <c r="C553" s="93" t="str">
        <f t="array" ref="C553">IF(E553="","",IF(M553&lt;&gt;"",
M553&amp;"/"&amp;SUMPRODUCT((M$2:M553=M553)*1)&amp;" - "&amp;(ROW()-2),
"إداري/"&amp;SUMPRODUCT((M$2:M553="")*1)&amp;" - "&amp;(ROW()-2)))</f>
        <v/>
      </c>
      <c r="D553" s="141" t="str">
        <f>IF(AND(G553="",H553="",I553=""),"",IF(COUNTIFS(LISTS!$A$2:$A$67,G553,LISTS!$B$2:$B$67,H553,LISTS!$C$2:$C$67,I553)=0,"✗ هرم",IF(NOT(OR(Z553="ممتاز 100%",Z553="جيد 80%",Z553="مقبول 60%",Z553="خطر 40%",Z553="")),"✗ قائمة R",IF(NOT(OR(AA553="ممتاز 100%",AA553="جيد 85%",AA553="مقبول 70%",AA553="ضعيف 50%",AA553="")),"✗ قائمة S",IF(NOT(OR(AB553="مكتمل 100%",AB553="جزئي 60%",AB553="معلق 30%",AB553="مفتوح 0%",AB553="")),"✗ قائمة T",IF(NOT(OR(AC553="لا خصم 0",AC553="تأخير −5",AC553="عجز −10",AC553="جودة −15",AC553="امتثال −20",AC553="مخالفة −25",AC553="")),"✗ قائمة U",IF(AND(X553="لا",AC553&lt;&gt;"",AC553&lt;&gt;"لا خصم 0"),"✗ خصم",IF(AND(X553="نعم",AC553="لا خصم 0"),"✗ خصم",IF(AND(Z553="ممتاز 100%",AA553="ممتاز 100%",AB553&lt;&gt;"",AB553&lt;&gt;"مكتمل 100%"),"✗ إغلاق",IFERROR(IF(LEN(_xlfn.TEXTJOIN("، ",TRUE,IF(E553="","التاريخ",""),IF(F553="","الوقت",""),IF(G553="","المركز",""),IF(H553="","الدائرة",""),IF(I553="","القسم",""),IF(J553="","المسؤول",""),IF(K553="","نوع النشاط",""),IF(L553="","المشروع",""),IF(N553="","الممول",""),IF(V553="","الموضوع",""),IF(W553="","الملاحظة",""),IF(X553="","مشكلة",""),IF(Y553="","الإجراء",""),IF(Z553="","التنفيذ",""),IF(AA553="","الجودة",""),IF(AB553="","الإغلاق",""),IF(AC553="","الخصم",""),IF(AND(COUNTA($O553:$U553)&gt;0,O553=""),"مدير المشروع",""),IF(AND(COUNTA($O553:$U553)&gt;0,P553=""),"المستفيدين",""),IF(AND(COUNTA($O553:$U553)&gt;0,Q553=""),"المناطق",""),IF(AND(COUNTA($O553:$U553)&gt;0,R553=""),"الميزانية",""),IF(AND(COUNTA($O553:$U553)&gt;0,S553=""),"نسبة الجاهزية",""),IF(AND(COUNTA($O553:$U553)&gt;0,T553=""),"حالة الجاهزية",""),IF(AND(COUNTA($O553:$U553)&gt;0,U553=""),"التوصيات","")))&gt;0,"✗ ناقص: "&amp;_xlfn.TEXTJOIN("، ",TRUE,IF(E553="","التاريخ",""),IF(F553="","الوقت",""),IF(G553="","المركز",""),IF(H553="","الدائرة",""),IF(I553="","القسم",""),IF(J553="","المسؤول",""),IF(K553="","نوع النشاط",""),IF(L553="","المشروع",""),IF(N553="","الممول",""),IF(V553="","الموضوع",""),IF(W553="","الملاحظة",""),IF(X553="","مشكلة",""),IF(Y553="","الإجراء",""),IF(Z553="","التنفيذ",""),IF(AA553="","الجودة",""),IF(AB553="","الإغلاق",""),IF(AC553="","الخصم",""),IF(AND(COUNTA($O553:$U553)&gt;0,O553=""),"مدير المشروع",""),IF(AND(COUNTA($O553:$U553)&gt;0,P553=""),"المستفيدين",""),IF(AND(COUNTA($O553:$U553)&gt;0,Q553=""),"المناطق",""),IF(AND(COUNTA($O553:$U553)&gt;0,R553=""),"الميزانية",""),IF(AND(COUNTA($O553:$U553)&gt;0,S553=""),"نسبة الجاهزية",""),IF(AND(COUNTA($O553:$U553)&gt;0,T553=""),"حالة الجاهزية",""),IF(AND(COUNTA($O553:$U553)&gt;0,U553=""),"التوصيات","")),"✓"),"✓"))))))))))</f>
        <v/>
      </c>
      <c r="E553" s="235"/>
      <c r="F553" s="236"/>
      <c r="G553" s="90"/>
      <c r="H553" s="239"/>
      <c r="I553" s="89"/>
      <c r="J553" s="142"/>
      <c r="K553" s="90"/>
      <c r="L553" s="90"/>
      <c r="M553" s="90"/>
      <c r="N553" s="89"/>
      <c r="O553" s="200"/>
      <c r="P553" s="201"/>
      <c r="Q553" s="201"/>
      <c r="R553" s="237"/>
      <c r="S553" s="202"/>
      <c r="T553" s="200"/>
      <c r="U553" s="203"/>
      <c r="V553" s="89"/>
      <c r="W553" s="89"/>
      <c r="X553" s="145"/>
      <c r="Y553" s="89"/>
      <c r="Z553" s="90"/>
      <c r="AA553" s="90"/>
      <c r="AB553" s="90"/>
      <c r="AC553" s="90"/>
      <c r="AD553" s="92"/>
      <c r="AE553" s="149" t="str">
        <f>IFERROR(VLOOKUP(Z553,LISTS!$AL$2:$AM$1000,2,FALSE()),"")</f>
        <v/>
      </c>
      <c r="AF553" s="151" t="str">
        <f>IFERROR(VLOOKUP(AA553,LISTS!$AO$2:$AP$1000,2,FALSE()),"")</f>
        <v/>
      </c>
      <c r="AG553" s="152" t="str">
        <f>IFERROR(VLOOKUP(AB553,LISTS!$AR$2:$AS$1000,2,FALSE()),"")</f>
        <v/>
      </c>
      <c r="AH553" s="154" t="str">
        <f>IFERROR(VLOOKUP(AC553,LISTS!$AU$2:$AV$1000,2,FALSE()),"")</f>
        <v/>
      </c>
      <c r="AI553" s="238" t="str">
        <f t="shared" si="43"/>
        <v>—</v>
      </c>
      <c r="AJ553" s="190" t="str">
        <f t="shared" si="44"/>
        <v>—</v>
      </c>
      <c r="AK553" s="157" t="str">
        <f t="shared" si="45"/>
        <v/>
      </c>
      <c r="AL553" s="160" t="str">
        <f t="shared" si="46"/>
        <v/>
      </c>
      <c r="AM553" s="210"/>
      <c r="AN553" s="209"/>
    </row>
    <row r="554" spans="1:40" ht="27.95" customHeight="1">
      <c r="A554" s="134" t="str">
        <f>IF(I554&lt;&gt;"",COUNTA($I$2:I554),"")</f>
        <v/>
      </c>
      <c r="B554" s="138" t="str">
        <f t="shared" si="47"/>
        <v/>
      </c>
      <c r="C554" s="93" t="str">
        <f t="array" ref="C554">IF(E554="","",IF(M554&lt;&gt;"",
M554&amp;"/"&amp;SUMPRODUCT((M$2:M554=M554)*1)&amp;" - "&amp;(ROW()-2),
"إداري/"&amp;SUMPRODUCT((M$2:M554="")*1)&amp;" - "&amp;(ROW()-2)))</f>
        <v/>
      </c>
      <c r="D554" s="141" t="str">
        <f>IF(AND(G554="",H554="",I554=""),"",IF(COUNTIFS(LISTS!$A$2:$A$67,G554,LISTS!$B$2:$B$67,H554,LISTS!$C$2:$C$67,I554)=0,"✗ هرم",IF(NOT(OR(Z554="ممتاز 100%",Z554="جيد 80%",Z554="مقبول 60%",Z554="خطر 40%",Z554="")),"✗ قائمة R",IF(NOT(OR(AA554="ممتاز 100%",AA554="جيد 85%",AA554="مقبول 70%",AA554="ضعيف 50%",AA554="")),"✗ قائمة S",IF(NOT(OR(AB554="مكتمل 100%",AB554="جزئي 60%",AB554="معلق 30%",AB554="مفتوح 0%",AB554="")),"✗ قائمة T",IF(NOT(OR(AC554="لا خصم 0",AC554="تأخير −5",AC554="عجز −10",AC554="جودة −15",AC554="امتثال −20",AC554="مخالفة −25",AC554="")),"✗ قائمة U",IF(AND(X554="لا",AC554&lt;&gt;"",AC554&lt;&gt;"لا خصم 0"),"✗ خصم",IF(AND(X554="نعم",AC554="لا خصم 0"),"✗ خصم",IF(AND(Z554="ممتاز 100%",AA554="ممتاز 100%",AB554&lt;&gt;"",AB554&lt;&gt;"مكتمل 100%"),"✗ إغلاق",IFERROR(IF(LEN(_xlfn.TEXTJOIN("، ",TRUE,IF(E554="","التاريخ",""),IF(F554="","الوقت",""),IF(G554="","المركز",""),IF(H554="","الدائرة",""),IF(I554="","القسم",""),IF(J554="","المسؤول",""),IF(K554="","نوع النشاط",""),IF(L554="","المشروع",""),IF(N554="","الممول",""),IF(V554="","الموضوع",""),IF(W554="","الملاحظة",""),IF(X554="","مشكلة",""),IF(Y554="","الإجراء",""),IF(Z554="","التنفيذ",""),IF(AA554="","الجودة",""),IF(AB554="","الإغلاق",""),IF(AC554="","الخصم",""),IF(AND(COUNTA($O554:$U554)&gt;0,O554=""),"مدير المشروع",""),IF(AND(COUNTA($O554:$U554)&gt;0,P554=""),"المستفيدين",""),IF(AND(COUNTA($O554:$U554)&gt;0,Q554=""),"المناطق",""),IF(AND(COUNTA($O554:$U554)&gt;0,R554=""),"الميزانية",""),IF(AND(COUNTA($O554:$U554)&gt;0,S554=""),"نسبة الجاهزية",""),IF(AND(COUNTA($O554:$U554)&gt;0,T554=""),"حالة الجاهزية",""),IF(AND(COUNTA($O554:$U554)&gt;0,U554=""),"التوصيات","")))&gt;0,"✗ ناقص: "&amp;_xlfn.TEXTJOIN("، ",TRUE,IF(E554="","التاريخ",""),IF(F554="","الوقت",""),IF(G554="","المركز",""),IF(H554="","الدائرة",""),IF(I554="","القسم",""),IF(J554="","المسؤول",""),IF(K554="","نوع النشاط",""),IF(L554="","المشروع",""),IF(N554="","الممول",""),IF(V554="","الموضوع",""),IF(W554="","الملاحظة",""),IF(X554="","مشكلة",""),IF(Y554="","الإجراء",""),IF(Z554="","التنفيذ",""),IF(AA554="","الجودة",""),IF(AB554="","الإغلاق",""),IF(AC554="","الخصم",""),IF(AND(COUNTA($O554:$U554)&gt;0,O554=""),"مدير المشروع",""),IF(AND(COUNTA($O554:$U554)&gt;0,P554=""),"المستفيدين",""),IF(AND(COUNTA($O554:$U554)&gt;0,Q554=""),"المناطق",""),IF(AND(COUNTA($O554:$U554)&gt;0,R554=""),"الميزانية",""),IF(AND(COUNTA($O554:$U554)&gt;0,S554=""),"نسبة الجاهزية",""),IF(AND(COUNTA($O554:$U554)&gt;0,T554=""),"حالة الجاهزية",""),IF(AND(COUNTA($O554:$U554)&gt;0,U554=""),"التوصيات","")),"✓"),"✓"))))))))))</f>
        <v/>
      </c>
      <c r="E554" s="235"/>
      <c r="F554" s="236"/>
      <c r="G554" s="90"/>
      <c r="H554" s="239"/>
      <c r="I554" s="89"/>
      <c r="J554" s="142"/>
      <c r="K554" s="90"/>
      <c r="L554" s="90"/>
      <c r="M554" s="90"/>
      <c r="N554" s="89"/>
      <c r="O554" s="200"/>
      <c r="P554" s="201"/>
      <c r="Q554" s="201"/>
      <c r="R554" s="237"/>
      <c r="S554" s="202"/>
      <c r="T554" s="200"/>
      <c r="U554" s="203"/>
      <c r="V554" s="89"/>
      <c r="W554" s="89"/>
      <c r="X554" s="145"/>
      <c r="Y554" s="89"/>
      <c r="Z554" s="90"/>
      <c r="AA554" s="90"/>
      <c r="AB554" s="90"/>
      <c r="AC554" s="90"/>
      <c r="AD554" s="92"/>
      <c r="AE554" s="149" t="str">
        <f>IFERROR(VLOOKUP(Z554,LISTS!$AL$2:$AM$1000,2,FALSE()),"")</f>
        <v/>
      </c>
      <c r="AF554" s="151" t="str">
        <f>IFERROR(VLOOKUP(AA554,LISTS!$AO$2:$AP$1000,2,FALSE()),"")</f>
        <v/>
      </c>
      <c r="AG554" s="152" t="str">
        <f>IFERROR(VLOOKUP(AB554,LISTS!$AR$2:$AS$1000,2,FALSE()),"")</f>
        <v/>
      </c>
      <c r="AH554" s="154" t="str">
        <f>IFERROR(VLOOKUP(AC554,LISTS!$AU$2:$AV$1000,2,FALSE()),"")</f>
        <v/>
      </c>
      <c r="AI554" s="238" t="str">
        <f t="shared" si="43"/>
        <v>—</v>
      </c>
      <c r="AJ554" s="190" t="str">
        <f t="shared" si="44"/>
        <v>—</v>
      </c>
      <c r="AK554" s="157" t="str">
        <f t="shared" si="45"/>
        <v/>
      </c>
      <c r="AL554" s="160" t="str">
        <f t="shared" si="46"/>
        <v/>
      </c>
      <c r="AM554" s="210"/>
      <c r="AN554" s="209"/>
    </row>
    <row r="555" spans="1:40" ht="27.95" customHeight="1">
      <c r="A555" s="134" t="str">
        <f>IF(I555&lt;&gt;"",COUNTA($I$2:I555),"")</f>
        <v/>
      </c>
      <c r="B555" s="138" t="str">
        <f t="shared" si="47"/>
        <v/>
      </c>
      <c r="C555" s="93" t="str">
        <f t="array" ref="C555">IF(E555="","",IF(M555&lt;&gt;"",
M555&amp;"/"&amp;SUMPRODUCT((M$2:M555=M555)*1)&amp;" - "&amp;(ROW()-2),
"إداري/"&amp;SUMPRODUCT((M$2:M555="")*1)&amp;" - "&amp;(ROW()-2)))</f>
        <v/>
      </c>
      <c r="D555" s="141" t="str">
        <f>IF(AND(G555="",H555="",I555=""),"",IF(COUNTIFS(LISTS!$A$2:$A$67,G555,LISTS!$B$2:$B$67,H555,LISTS!$C$2:$C$67,I555)=0,"✗ هرم",IF(NOT(OR(Z555="ممتاز 100%",Z555="جيد 80%",Z555="مقبول 60%",Z555="خطر 40%",Z555="")),"✗ قائمة R",IF(NOT(OR(AA555="ممتاز 100%",AA555="جيد 85%",AA555="مقبول 70%",AA555="ضعيف 50%",AA555="")),"✗ قائمة S",IF(NOT(OR(AB555="مكتمل 100%",AB555="جزئي 60%",AB555="معلق 30%",AB555="مفتوح 0%",AB555="")),"✗ قائمة T",IF(NOT(OR(AC555="لا خصم 0",AC555="تأخير −5",AC555="عجز −10",AC555="جودة −15",AC555="امتثال −20",AC555="مخالفة −25",AC555="")),"✗ قائمة U",IF(AND(X555="لا",AC555&lt;&gt;"",AC555&lt;&gt;"لا خصم 0"),"✗ خصم",IF(AND(X555="نعم",AC555="لا خصم 0"),"✗ خصم",IF(AND(Z555="ممتاز 100%",AA555="ممتاز 100%",AB555&lt;&gt;"",AB555&lt;&gt;"مكتمل 100%"),"✗ إغلاق",IFERROR(IF(LEN(_xlfn.TEXTJOIN("، ",TRUE,IF(E555="","التاريخ",""),IF(F555="","الوقت",""),IF(G555="","المركز",""),IF(H555="","الدائرة",""),IF(I555="","القسم",""),IF(J555="","المسؤول",""),IF(K555="","نوع النشاط",""),IF(L555="","المشروع",""),IF(N555="","الممول",""),IF(V555="","الموضوع",""),IF(W555="","الملاحظة",""),IF(X555="","مشكلة",""),IF(Y555="","الإجراء",""),IF(Z555="","التنفيذ",""),IF(AA555="","الجودة",""),IF(AB555="","الإغلاق",""),IF(AC555="","الخصم",""),IF(AND(COUNTA($O555:$U555)&gt;0,O555=""),"مدير المشروع",""),IF(AND(COUNTA($O555:$U555)&gt;0,P555=""),"المستفيدين",""),IF(AND(COUNTA($O555:$U555)&gt;0,Q555=""),"المناطق",""),IF(AND(COUNTA($O555:$U555)&gt;0,R555=""),"الميزانية",""),IF(AND(COUNTA($O555:$U555)&gt;0,S555=""),"نسبة الجاهزية",""),IF(AND(COUNTA($O555:$U555)&gt;0,T555=""),"حالة الجاهزية",""),IF(AND(COUNTA($O555:$U555)&gt;0,U555=""),"التوصيات","")))&gt;0,"✗ ناقص: "&amp;_xlfn.TEXTJOIN("، ",TRUE,IF(E555="","التاريخ",""),IF(F555="","الوقت",""),IF(G555="","المركز",""),IF(H555="","الدائرة",""),IF(I555="","القسم",""),IF(J555="","المسؤول",""),IF(K555="","نوع النشاط",""),IF(L555="","المشروع",""),IF(N555="","الممول",""),IF(V555="","الموضوع",""),IF(W555="","الملاحظة",""),IF(X555="","مشكلة",""),IF(Y555="","الإجراء",""),IF(Z555="","التنفيذ",""),IF(AA555="","الجودة",""),IF(AB555="","الإغلاق",""),IF(AC555="","الخصم",""),IF(AND(COUNTA($O555:$U555)&gt;0,O555=""),"مدير المشروع",""),IF(AND(COUNTA($O555:$U555)&gt;0,P555=""),"المستفيدين",""),IF(AND(COUNTA($O555:$U555)&gt;0,Q555=""),"المناطق",""),IF(AND(COUNTA($O555:$U555)&gt;0,R555=""),"الميزانية",""),IF(AND(COUNTA($O555:$U555)&gt;0,S555=""),"نسبة الجاهزية",""),IF(AND(COUNTA($O555:$U555)&gt;0,T555=""),"حالة الجاهزية",""),IF(AND(COUNTA($O555:$U555)&gt;0,U555=""),"التوصيات","")),"✓"),"✓"))))))))))</f>
        <v/>
      </c>
      <c r="E555" s="235"/>
      <c r="F555" s="236"/>
      <c r="G555" s="90"/>
      <c r="H555" s="239"/>
      <c r="I555" s="89"/>
      <c r="J555" s="142"/>
      <c r="K555" s="90"/>
      <c r="L555" s="90"/>
      <c r="M555" s="90"/>
      <c r="N555" s="89"/>
      <c r="O555" s="200"/>
      <c r="P555" s="201"/>
      <c r="Q555" s="201"/>
      <c r="R555" s="237"/>
      <c r="S555" s="202"/>
      <c r="T555" s="200"/>
      <c r="U555" s="203"/>
      <c r="V555" s="89"/>
      <c r="W555" s="89"/>
      <c r="X555" s="145"/>
      <c r="Y555" s="89"/>
      <c r="Z555" s="90"/>
      <c r="AA555" s="90"/>
      <c r="AB555" s="90"/>
      <c r="AC555" s="90"/>
      <c r="AD555" s="92"/>
      <c r="AE555" s="149" t="str">
        <f>IFERROR(VLOOKUP(Z555,LISTS!$AL$2:$AM$1000,2,FALSE()),"")</f>
        <v/>
      </c>
      <c r="AF555" s="151" t="str">
        <f>IFERROR(VLOOKUP(AA555,LISTS!$AO$2:$AP$1000,2,FALSE()),"")</f>
        <v/>
      </c>
      <c r="AG555" s="152" t="str">
        <f>IFERROR(VLOOKUP(AB555,LISTS!$AR$2:$AS$1000,2,FALSE()),"")</f>
        <v/>
      </c>
      <c r="AH555" s="154" t="str">
        <f>IFERROR(VLOOKUP(AC555,LISTS!$AU$2:$AV$1000,2,FALSE()),"")</f>
        <v/>
      </c>
      <c r="AI555" s="238" t="str">
        <f t="shared" si="43"/>
        <v>—</v>
      </c>
      <c r="AJ555" s="190" t="str">
        <f t="shared" si="44"/>
        <v>—</v>
      </c>
      <c r="AK555" s="157" t="str">
        <f t="shared" si="45"/>
        <v/>
      </c>
      <c r="AL555" s="160" t="str">
        <f t="shared" si="46"/>
        <v/>
      </c>
      <c r="AM555" s="210"/>
      <c r="AN555" s="209"/>
    </row>
    <row r="556" spans="1:40" ht="27.95" customHeight="1">
      <c r="A556" s="134" t="str">
        <f>IF(I556&lt;&gt;"",COUNTA($I$2:I556),"")</f>
        <v/>
      </c>
      <c r="B556" s="138" t="str">
        <f t="shared" si="47"/>
        <v/>
      </c>
      <c r="C556" s="93" t="str">
        <f t="array" ref="C556">IF(E556="","",IF(M556&lt;&gt;"",
M556&amp;"/"&amp;SUMPRODUCT((M$2:M556=M556)*1)&amp;" - "&amp;(ROW()-2),
"إداري/"&amp;SUMPRODUCT((M$2:M556="")*1)&amp;" - "&amp;(ROW()-2)))</f>
        <v/>
      </c>
      <c r="D556" s="141" t="str">
        <f>IF(AND(G556="",H556="",I556=""),"",IF(COUNTIFS(LISTS!$A$2:$A$67,G556,LISTS!$B$2:$B$67,H556,LISTS!$C$2:$C$67,I556)=0,"✗ هرم",IF(NOT(OR(Z556="ممتاز 100%",Z556="جيد 80%",Z556="مقبول 60%",Z556="خطر 40%",Z556="")),"✗ قائمة R",IF(NOT(OR(AA556="ممتاز 100%",AA556="جيد 85%",AA556="مقبول 70%",AA556="ضعيف 50%",AA556="")),"✗ قائمة S",IF(NOT(OR(AB556="مكتمل 100%",AB556="جزئي 60%",AB556="معلق 30%",AB556="مفتوح 0%",AB556="")),"✗ قائمة T",IF(NOT(OR(AC556="لا خصم 0",AC556="تأخير −5",AC556="عجز −10",AC556="جودة −15",AC556="امتثال −20",AC556="مخالفة −25",AC556="")),"✗ قائمة U",IF(AND(X556="لا",AC556&lt;&gt;"",AC556&lt;&gt;"لا خصم 0"),"✗ خصم",IF(AND(X556="نعم",AC556="لا خصم 0"),"✗ خصم",IF(AND(Z556="ممتاز 100%",AA556="ممتاز 100%",AB556&lt;&gt;"",AB556&lt;&gt;"مكتمل 100%"),"✗ إغلاق",IFERROR(IF(LEN(_xlfn.TEXTJOIN("، ",TRUE,IF(E556="","التاريخ",""),IF(F556="","الوقت",""),IF(G556="","المركز",""),IF(H556="","الدائرة",""),IF(I556="","القسم",""),IF(J556="","المسؤول",""),IF(K556="","نوع النشاط",""),IF(L556="","المشروع",""),IF(N556="","الممول",""),IF(V556="","الموضوع",""),IF(W556="","الملاحظة",""),IF(X556="","مشكلة",""),IF(Y556="","الإجراء",""),IF(Z556="","التنفيذ",""),IF(AA556="","الجودة",""),IF(AB556="","الإغلاق",""),IF(AC556="","الخصم",""),IF(AND(COUNTA($O556:$U556)&gt;0,O556=""),"مدير المشروع",""),IF(AND(COUNTA($O556:$U556)&gt;0,P556=""),"المستفيدين",""),IF(AND(COUNTA($O556:$U556)&gt;0,Q556=""),"المناطق",""),IF(AND(COUNTA($O556:$U556)&gt;0,R556=""),"الميزانية",""),IF(AND(COUNTA($O556:$U556)&gt;0,S556=""),"نسبة الجاهزية",""),IF(AND(COUNTA($O556:$U556)&gt;0,T556=""),"حالة الجاهزية",""),IF(AND(COUNTA($O556:$U556)&gt;0,U556=""),"التوصيات","")))&gt;0,"✗ ناقص: "&amp;_xlfn.TEXTJOIN("، ",TRUE,IF(E556="","التاريخ",""),IF(F556="","الوقت",""),IF(G556="","المركز",""),IF(H556="","الدائرة",""),IF(I556="","القسم",""),IF(J556="","المسؤول",""),IF(K556="","نوع النشاط",""),IF(L556="","المشروع",""),IF(N556="","الممول",""),IF(V556="","الموضوع",""),IF(W556="","الملاحظة",""),IF(X556="","مشكلة",""),IF(Y556="","الإجراء",""),IF(Z556="","التنفيذ",""),IF(AA556="","الجودة",""),IF(AB556="","الإغلاق",""),IF(AC556="","الخصم",""),IF(AND(COUNTA($O556:$U556)&gt;0,O556=""),"مدير المشروع",""),IF(AND(COUNTA($O556:$U556)&gt;0,P556=""),"المستفيدين",""),IF(AND(COUNTA($O556:$U556)&gt;0,Q556=""),"المناطق",""),IF(AND(COUNTA($O556:$U556)&gt;0,R556=""),"الميزانية",""),IF(AND(COUNTA($O556:$U556)&gt;0,S556=""),"نسبة الجاهزية",""),IF(AND(COUNTA($O556:$U556)&gt;0,T556=""),"حالة الجاهزية",""),IF(AND(COUNTA($O556:$U556)&gt;0,U556=""),"التوصيات","")),"✓"),"✓"))))))))))</f>
        <v/>
      </c>
      <c r="E556" s="235"/>
      <c r="F556" s="236"/>
      <c r="G556" s="90"/>
      <c r="H556" s="239"/>
      <c r="I556" s="89"/>
      <c r="J556" s="142"/>
      <c r="K556" s="90"/>
      <c r="L556" s="90"/>
      <c r="M556" s="90"/>
      <c r="N556" s="89"/>
      <c r="O556" s="200"/>
      <c r="P556" s="201"/>
      <c r="Q556" s="201"/>
      <c r="R556" s="237"/>
      <c r="S556" s="202"/>
      <c r="T556" s="200"/>
      <c r="U556" s="203"/>
      <c r="V556" s="89"/>
      <c r="W556" s="89"/>
      <c r="X556" s="145"/>
      <c r="Y556" s="89"/>
      <c r="Z556" s="90"/>
      <c r="AA556" s="90"/>
      <c r="AB556" s="90"/>
      <c r="AC556" s="90"/>
      <c r="AD556" s="92"/>
      <c r="AE556" s="149" t="str">
        <f>IFERROR(VLOOKUP(Z556,LISTS!$AL$2:$AM$1000,2,FALSE()),"")</f>
        <v/>
      </c>
      <c r="AF556" s="151" t="str">
        <f>IFERROR(VLOOKUP(AA556,LISTS!$AO$2:$AP$1000,2,FALSE()),"")</f>
        <v/>
      </c>
      <c r="AG556" s="152" t="str">
        <f>IFERROR(VLOOKUP(AB556,LISTS!$AR$2:$AS$1000,2,FALSE()),"")</f>
        <v/>
      </c>
      <c r="AH556" s="154" t="str">
        <f>IFERROR(VLOOKUP(AC556,LISTS!$AU$2:$AV$1000,2,FALSE()),"")</f>
        <v/>
      </c>
      <c r="AI556" s="238" t="str">
        <f t="shared" si="43"/>
        <v>—</v>
      </c>
      <c r="AJ556" s="190" t="str">
        <f t="shared" si="44"/>
        <v>—</v>
      </c>
      <c r="AK556" s="157" t="str">
        <f t="shared" si="45"/>
        <v/>
      </c>
      <c r="AL556" s="160" t="str">
        <f t="shared" si="46"/>
        <v/>
      </c>
      <c r="AM556" s="210"/>
      <c r="AN556" s="209"/>
    </row>
    <row r="557" spans="1:40" ht="27.95" customHeight="1">
      <c r="A557" s="134" t="str">
        <f>IF(I557&lt;&gt;"",COUNTA($I$2:I557),"")</f>
        <v/>
      </c>
      <c r="B557" s="138" t="str">
        <f t="shared" si="47"/>
        <v/>
      </c>
      <c r="C557" s="93" t="str">
        <f t="array" ref="C557">IF(E557="","",IF(M557&lt;&gt;"",
M557&amp;"/"&amp;SUMPRODUCT((M$2:M557=M557)*1)&amp;" - "&amp;(ROW()-2),
"إداري/"&amp;SUMPRODUCT((M$2:M557="")*1)&amp;" - "&amp;(ROW()-2)))</f>
        <v/>
      </c>
      <c r="D557" s="141" t="str">
        <f>IF(AND(G557="",H557="",I557=""),"",IF(COUNTIFS(LISTS!$A$2:$A$67,G557,LISTS!$B$2:$B$67,H557,LISTS!$C$2:$C$67,I557)=0,"✗ هرم",IF(NOT(OR(Z557="ممتاز 100%",Z557="جيد 80%",Z557="مقبول 60%",Z557="خطر 40%",Z557="")),"✗ قائمة R",IF(NOT(OR(AA557="ممتاز 100%",AA557="جيد 85%",AA557="مقبول 70%",AA557="ضعيف 50%",AA557="")),"✗ قائمة S",IF(NOT(OR(AB557="مكتمل 100%",AB557="جزئي 60%",AB557="معلق 30%",AB557="مفتوح 0%",AB557="")),"✗ قائمة T",IF(NOT(OR(AC557="لا خصم 0",AC557="تأخير −5",AC557="عجز −10",AC557="جودة −15",AC557="امتثال −20",AC557="مخالفة −25",AC557="")),"✗ قائمة U",IF(AND(X557="لا",AC557&lt;&gt;"",AC557&lt;&gt;"لا خصم 0"),"✗ خصم",IF(AND(X557="نعم",AC557="لا خصم 0"),"✗ خصم",IF(AND(Z557="ممتاز 100%",AA557="ممتاز 100%",AB557&lt;&gt;"",AB557&lt;&gt;"مكتمل 100%"),"✗ إغلاق",IFERROR(IF(LEN(_xlfn.TEXTJOIN("، ",TRUE,IF(E557="","التاريخ",""),IF(F557="","الوقت",""),IF(G557="","المركز",""),IF(H557="","الدائرة",""),IF(I557="","القسم",""),IF(J557="","المسؤول",""),IF(K557="","نوع النشاط",""),IF(L557="","المشروع",""),IF(N557="","الممول",""),IF(V557="","الموضوع",""),IF(W557="","الملاحظة",""),IF(X557="","مشكلة",""),IF(Y557="","الإجراء",""),IF(Z557="","التنفيذ",""),IF(AA557="","الجودة",""),IF(AB557="","الإغلاق",""),IF(AC557="","الخصم",""),IF(AND(COUNTA($O557:$U557)&gt;0,O557=""),"مدير المشروع",""),IF(AND(COUNTA($O557:$U557)&gt;0,P557=""),"المستفيدين",""),IF(AND(COUNTA($O557:$U557)&gt;0,Q557=""),"المناطق",""),IF(AND(COUNTA($O557:$U557)&gt;0,R557=""),"الميزانية",""),IF(AND(COUNTA($O557:$U557)&gt;0,S557=""),"نسبة الجاهزية",""),IF(AND(COUNTA($O557:$U557)&gt;0,T557=""),"حالة الجاهزية",""),IF(AND(COUNTA($O557:$U557)&gt;0,U557=""),"التوصيات","")))&gt;0,"✗ ناقص: "&amp;_xlfn.TEXTJOIN("، ",TRUE,IF(E557="","التاريخ",""),IF(F557="","الوقت",""),IF(G557="","المركز",""),IF(H557="","الدائرة",""),IF(I557="","القسم",""),IF(J557="","المسؤول",""),IF(K557="","نوع النشاط",""),IF(L557="","المشروع",""),IF(N557="","الممول",""),IF(V557="","الموضوع",""),IF(W557="","الملاحظة",""),IF(X557="","مشكلة",""),IF(Y557="","الإجراء",""),IF(Z557="","التنفيذ",""),IF(AA557="","الجودة",""),IF(AB557="","الإغلاق",""),IF(AC557="","الخصم",""),IF(AND(COUNTA($O557:$U557)&gt;0,O557=""),"مدير المشروع",""),IF(AND(COUNTA($O557:$U557)&gt;0,P557=""),"المستفيدين",""),IF(AND(COUNTA($O557:$U557)&gt;0,Q557=""),"المناطق",""),IF(AND(COUNTA($O557:$U557)&gt;0,R557=""),"الميزانية",""),IF(AND(COUNTA($O557:$U557)&gt;0,S557=""),"نسبة الجاهزية",""),IF(AND(COUNTA($O557:$U557)&gt;0,T557=""),"حالة الجاهزية",""),IF(AND(COUNTA($O557:$U557)&gt;0,U557=""),"التوصيات","")),"✓"),"✓"))))))))))</f>
        <v/>
      </c>
      <c r="E557" s="235"/>
      <c r="F557" s="236"/>
      <c r="G557" s="90"/>
      <c r="H557" s="239"/>
      <c r="I557" s="89"/>
      <c r="J557" s="142"/>
      <c r="K557" s="90"/>
      <c r="L557" s="90"/>
      <c r="M557" s="90"/>
      <c r="N557" s="89"/>
      <c r="O557" s="200"/>
      <c r="P557" s="201"/>
      <c r="Q557" s="201"/>
      <c r="R557" s="237"/>
      <c r="S557" s="202"/>
      <c r="T557" s="200"/>
      <c r="U557" s="203"/>
      <c r="V557" s="89"/>
      <c r="W557" s="89"/>
      <c r="X557" s="145"/>
      <c r="Y557" s="89"/>
      <c r="Z557" s="90"/>
      <c r="AA557" s="90"/>
      <c r="AB557" s="90"/>
      <c r="AC557" s="90"/>
      <c r="AD557" s="92"/>
      <c r="AE557" s="149" t="str">
        <f>IFERROR(VLOOKUP(Z557,LISTS!$AL$2:$AM$1000,2,FALSE()),"")</f>
        <v/>
      </c>
      <c r="AF557" s="151" t="str">
        <f>IFERROR(VLOOKUP(AA557,LISTS!$AO$2:$AP$1000,2,FALSE()),"")</f>
        <v/>
      </c>
      <c r="AG557" s="152" t="str">
        <f>IFERROR(VLOOKUP(AB557,LISTS!$AR$2:$AS$1000,2,FALSE()),"")</f>
        <v/>
      </c>
      <c r="AH557" s="154" t="str">
        <f>IFERROR(VLOOKUP(AC557,LISTS!$AU$2:$AV$1000,2,FALSE()),"")</f>
        <v/>
      </c>
      <c r="AI557" s="238" t="str">
        <f t="shared" si="43"/>
        <v>—</v>
      </c>
      <c r="AJ557" s="190" t="str">
        <f t="shared" si="44"/>
        <v>—</v>
      </c>
      <c r="AK557" s="157" t="str">
        <f t="shared" si="45"/>
        <v/>
      </c>
      <c r="AL557" s="160" t="str">
        <f t="shared" si="46"/>
        <v/>
      </c>
      <c r="AM557" s="210"/>
      <c r="AN557" s="209"/>
    </row>
    <row r="558" spans="1:40" ht="27.95" customHeight="1">
      <c r="A558" s="134" t="str">
        <f>IF(I558&lt;&gt;"",COUNTA($I$2:I558),"")</f>
        <v/>
      </c>
      <c r="B558" s="138" t="str">
        <f t="shared" si="47"/>
        <v/>
      </c>
      <c r="C558" s="93" t="str">
        <f t="array" ref="C558">IF(E558="","",IF(M558&lt;&gt;"",
M558&amp;"/"&amp;SUMPRODUCT((M$2:M558=M558)*1)&amp;" - "&amp;(ROW()-2),
"إداري/"&amp;SUMPRODUCT((M$2:M558="")*1)&amp;" - "&amp;(ROW()-2)))</f>
        <v/>
      </c>
      <c r="D558" s="141" t="str">
        <f>IF(AND(G558="",H558="",I558=""),"",IF(COUNTIFS(LISTS!$A$2:$A$67,G558,LISTS!$B$2:$B$67,H558,LISTS!$C$2:$C$67,I558)=0,"✗ هرم",IF(NOT(OR(Z558="ممتاز 100%",Z558="جيد 80%",Z558="مقبول 60%",Z558="خطر 40%",Z558="")),"✗ قائمة R",IF(NOT(OR(AA558="ممتاز 100%",AA558="جيد 85%",AA558="مقبول 70%",AA558="ضعيف 50%",AA558="")),"✗ قائمة S",IF(NOT(OR(AB558="مكتمل 100%",AB558="جزئي 60%",AB558="معلق 30%",AB558="مفتوح 0%",AB558="")),"✗ قائمة T",IF(NOT(OR(AC558="لا خصم 0",AC558="تأخير −5",AC558="عجز −10",AC558="جودة −15",AC558="امتثال −20",AC558="مخالفة −25",AC558="")),"✗ قائمة U",IF(AND(X558="لا",AC558&lt;&gt;"",AC558&lt;&gt;"لا خصم 0"),"✗ خصم",IF(AND(X558="نعم",AC558="لا خصم 0"),"✗ خصم",IF(AND(Z558="ممتاز 100%",AA558="ممتاز 100%",AB558&lt;&gt;"",AB558&lt;&gt;"مكتمل 100%"),"✗ إغلاق",IFERROR(IF(LEN(_xlfn.TEXTJOIN("، ",TRUE,IF(E558="","التاريخ",""),IF(F558="","الوقت",""),IF(G558="","المركز",""),IF(H558="","الدائرة",""),IF(I558="","القسم",""),IF(J558="","المسؤول",""),IF(K558="","نوع النشاط",""),IF(L558="","المشروع",""),IF(N558="","الممول",""),IF(V558="","الموضوع",""),IF(W558="","الملاحظة",""),IF(X558="","مشكلة",""),IF(Y558="","الإجراء",""),IF(Z558="","التنفيذ",""),IF(AA558="","الجودة",""),IF(AB558="","الإغلاق",""),IF(AC558="","الخصم",""),IF(AND(COUNTA($O558:$U558)&gt;0,O558=""),"مدير المشروع",""),IF(AND(COUNTA($O558:$U558)&gt;0,P558=""),"المستفيدين",""),IF(AND(COUNTA($O558:$U558)&gt;0,Q558=""),"المناطق",""),IF(AND(COUNTA($O558:$U558)&gt;0,R558=""),"الميزانية",""),IF(AND(COUNTA($O558:$U558)&gt;0,S558=""),"نسبة الجاهزية",""),IF(AND(COUNTA($O558:$U558)&gt;0,T558=""),"حالة الجاهزية",""),IF(AND(COUNTA($O558:$U558)&gt;0,U558=""),"التوصيات","")))&gt;0,"✗ ناقص: "&amp;_xlfn.TEXTJOIN("، ",TRUE,IF(E558="","التاريخ",""),IF(F558="","الوقت",""),IF(G558="","المركز",""),IF(H558="","الدائرة",""),IF(I558="","القسم",""),IF(J558="","المسؤول",""),IF(K558="","نوع النشاط",""),IF(L558="","المشروع",""),IF(N558="","الممول",""),IF(V558="","الموضوع",""),IF(W558="","الملاحظة",""),IF(X558="","مشكلة",""),IF(Y558="","الإجراء",""),IF(Z558="","التنفيذ",""),IF(AA558="","الجودة",""),IF(AB558="","الإغلاق",""),IF(AC558="","الخصم",""),IF(AND(COUNTA($O558:$U558)&gt;0,O558=""),"مدير المشروع",""),IF(AND(COUNTA($O558:$U558)&gt;0,P558=""),"المستفيدين",""),IF(AND(COUNTA($O558:$U558)&gt;0,Q558=""),"المناطق",""),IF(AND(COUNTA($O558:$U558)&gt;0,R558=""),"الميزانية",""),IF(AND(COUNTA($O558:$U558)&gt;0,S558=""),"نسبة الجاهزية",""),IF(AND(COUNTA($O558:$U558)&gt;0,T558=""),"حالة الجاهزية",""),IF(AND(COUNTA($O558:$U558)&gt;0,U558=""),"التوصيات","")),"✓"),"✓"))))))))))</f>
        <v/>
      </c>
      <c r="E558" s="235"/>
      <c r="F558" s="236"/>
      <c r="G558" s="90"/>
      <c r="H558" s="239"/>
      <c r="I558" s="89"/>
      <c r="J558" s="142"/>
      <c r="K558" s="90"/>
      <c r="L558" s="90"/>
      <c r="M558" s="90"/>
      <c r="N558" s="89"/>
      <c r="O558" s="200"/>
      <c r="P558" s="201"/>
      <c r="Q558" s="201"/>
      <c r="R558" s="237"/>
      <c r="S558" s="202"/>
      <c r="T558" s="200"/>
      <c r="U558" s="203"/>
      <c r="V558" s="89"/>
      <c r="W558" s="89"/>
      <c r="X558" s="145"/>
      <c r="Y558" s="89"/>
      <c r="Z558" s="90"/>
      <c r="AA558" s="90"/>
      <c r="AB558" s="90"/>
      <c r="AC558" s="90"/>
      <c r="AD558" s="92"/>
      <c r="AE558" s="149" t="str">
        <f>IFERROR(VLOOKUP(Z558,LISTS!$AL$2:$AM$1000,2,FALSE()),"")</f>
        <v/>
      </c>
      <c r="AF558" s="151" t="str">
        <f>IFERROR(VLOOKUP(AA558,LISTS!$AO$2:$AP$1000,2,FALSE()),"")</f>
        <v/>
      </c>
      <c r="AG558" s="152" t="str">
        <f>IFERROR(VLOOKUP(AB558,LISTS!$AR$2:$AS$1000,2,FALSE()),"")</f>
        <v/>
      </c>
      <c r="AH558" s="154" t="str">
        <f>IFERROR(VLOOKUP(AC558,LISTS!$AU$2:$AV$1000,2,FALSE()),"")</f>
        <v/>
      </c>
      <c r="AI558" s="238" t="str">
        <f t="shared" si="43"/>
        <v>—</v>
      </c>
      <c r="AJ558" s="190" t="str">
        <f t="shared" si="44"/>
        <v>—</v>
      </c>
      <c r="AK558" s="157" t="str">
        <f t="shared" si="45"/>
        <v/>
      </c>
      <c r="AL558" s="160" t="str">
        <f t="shared" si="46"/>
        <v/>
      </c>
      <c r="AM558" s="210"/>
      <c r="AN558" s="209"/>
    </row>
    <row r="559" spans="1:40" ht="27.95" customHeight="1">
      <c r="A559" s="134" t="str">
        <f>IF(I559&lt;&gt;"",COUNTA($I$2:I559),"")</f>
        <v/>
      </c>
      <c r="B559" s="138" t="str">
        <f t="shared" si="47"/>
        <v/>
      </c>
      <c r="C559" s="93" t="str">
        <f t="array" ref="C559">IF(E559="","",IF(M559&lt;&gt;"",
M559&amp;"/"&amp;SUMPRODUCT((M$2:M559=M559)*1)&amp;" - "&amp;(ROW()-2),
"إداري/"&amp;SUMPRODUCT((M$2:M559="")*1)&amp;" - "&amp;(ROW()-2)))</f>
        <v/>
      </c>
      <c r="D559" s="141" t="str">
        <f>IF(AND(G559="",H559="",I559=""),"",IF(COUNTIFS(LISTS!$A$2:$A$67,G559,LISTS!$B$2:$B$67,H559,LISTS!$C$2:$C$67,I559)=0,"✗ هرم",IF(NOT(OR(Z559="ممتاز 100%",Z559="جيد 80%",Z559="مقبول 60%",Z559="خطر 40%",Z559="")),"✗ قائمة R",IF(NOT(OR(AA559="ممتاز 100%",AA559="جيد 85%",AA559="مقبول 70%",AA559="ضعيف 50%",AA559="")),"✗ قائمة S",IF(NOT(OR(AB559="مكتمل 100%",AB559="جزئي 60%",AB559="معلق 30%",AB559="مفتوح 0%",AB559="")),"✗ قائمة T",IF(NOT(OR(AC559="لا خصم 0",AC559="تأخير −5",AC559="عجز −10",AC559="جودة −15",AC559="امتثال −20",AC559="مخالفة −25",AC559="")),"✗ قائمة U",IF(AND(X559="لا",AC559&lt;&gt;"",AC559&lt;&gt;"لا خصم 0"),"✗ خصم",IF(AND(X559="نعم",AC559="لا خصم 0"),"✗ خصم",IF(AND(Z559="ممتاز 100%",AA559="ممتاز 100%",AB559&lt;&gt;"",AB559&lt;&gt;"مكتمل 100%"),"✗ إغلاق",IFERROR(IF(LEN(_xlfn.TEXTJOIN("، ",TRUE,IF(E559="","التاريخ",""),IF(F559="","الوقت",""),IF(G559="","المركز",""),IF(H559="","الدائرة",""),IF(I559="","القسم",""),IF(J559="","المسؤول",""),IF(K559="","نوع النشاط",""),IF(L559="","المشروع",""),IF(N559="","الممول",""),IF(V559="","الموضوع",""),IF(W559="","الملاحظة",""),IF(X559="","مشكلة",""),IF(Y559="","الإجراء",""),IF(Z559="","التنفيذ",""),IF(AA559="","الجودة",""),IF(AB559="","الإغلاق",""),IF(AC559="","الخصم",""),IF(AND(COUNTA($O559:$U559)&gt;0,O559=""),"مدير المشروع",""),IF(AND(COUNTA($O559:$U559)&gt;0,P559=""),"المستفيدين",""),IF(AND(COUNTA($O559:$U559)&gt;0,Q559=""),"المناطق",""),IF(AND(COUNTA($O559:$U559)&gt;0,R559=""),"الميزانية",""),IF(AND(COUNTA($O559:$U559)&gt;0,S559=""),"نسبة الجاهزية",""),IF(AND(COUNTA($O559:$U559)&gt;0,T559=""),"حالة الجاهزية",""),IF(AND(COUNTA($O559:$U559)&gt;0,U559=""),"التوصيات","")))&gt;0,"✗ ناقص: "&amp;_xlfn.TEXTJOIN("، ",TRUE,IF(E559="","التاريخ",""),IF(F559="","الوقت",""),IF(G559="","المركز",""),IF(H559="","الدائرة",""),IF(I559="","القسم",""),IF(J559="","المسؤول",""),IF(K559="","نوع النشاط",""),IF(L559="","المشروع",""),IF(N559="","الممول",""),IF(V559="","الموضوع",""),IF(W559="","الملاحظة",""),IF(X559="","مشكلة",""),IF(Y559="","الإجراء",""),IF(Z559="","التنفيذ",""),IF(AA559="","الجودة",""),IF(AB559="","الإغلاق",""),IF(AC559="","الخصم",""),IF(AND(COUNTA($O559:$U559)&gt;0,O559=""),"مدير المشروع",""),IF(AND(COUNTA($O559:$U559)&gt;0,P559=""),"المستفيدين",""),IF(AND(COUNTA($O559:$U559)&gt;0,Q559=""),"المناطق",""),IF(AND(COUNTA($O559:$U559)&gt;0,R559=""),"الميزانية",""),IF(AND(COUNTA($O559:$U559)&gt;0,S559=""),"نسبة الجاهزية",""),IF(AND(COUNTA($O559:$U559)&gt;0,T559=""),"حالة الجاهزية",""),IF(AND(COUNTA($O559:$U559)&gt;0,U559=""),"التوصيات","")),"✓"),"✓"))))))))))</f>
        <v/>
      </c>
      <c r="E559" s="235"/>
      <c r="F559" s="236"/>
      <c r="G559" s="90"/>
      <c r="H559" s="239"/>
      <c r="I559" s="89"/>
      <c r="J559" s="142"/>
      <c r="K559" s="90"/>
      <c r="L559" s="90"/>
      <c r="M559" s="90"/>
      <c r="N559" s="89"/>
      <c r="O559" s="200"/>
      <c r="P559" s="201"/>
      <c r="Q559" s="201"/>
      <c r="R559" s="237"/>
      <c r="S559" s="202"/>
      <c r="T559" s="200"/>
      <c r="U559" s="203"/>
      <c r="V559" s="89"/>
      <c r="W559" s="89"/>
      <c r="X559" s="145"/>
      <c r="Y559" s="89"/>
      <c r="Z559" s="90"/>
      <c r="AA559" s="90"/>
      <c r="AB559" s="90"/>
      <c r="AC559" s="90"/>
      <c r="AD559" s="92"/>
      <c r="AE559" s="149" t="str">
        <f>IFERROR(VLOOKUP(Z559,LISTS!$AL$2:$AM$1000,2,FALSE()),"")</f>
        <v/>
      </c>
      <c r="AF559" s="151" t="str">
        <f>IFERROR(VLOOKUP(AA559,LISTS!$AO$2:$AP$1000,2,FALSE()),"")</f>
        <v/>
      </c>
      <c r="AG559" s="152" t="str">
        <f>IFERROR(VLOOKUP(AB559,LISTS!$AR$2:$AS$1000,2,FALSE()),"")</f>
        <v/>
      </c>
      <c r="AH559" s="154" t="str">
        <f>IFERROR(VLOOKUP(AC559,LISTS!$AU$2:$AV$1000,2,FALSE()),"")</f>
        <v/>
      </c>
      <c r="AI559" s="238" t="str">
        <f t="shared" si="43"/>
        <v>—</v>
      </c>
      <c r="AJ559" s="190" t="str">
        <f t="shared" si="44"/>
        <v>—</v>
      </c>
      <c r="AK559" s="157" t="str">
        <f t="shared" si="45"/>
        <v/>
      </c>
      <c r="AL559" s="160" t="str">
        <f t="shared" si="46"/>
        <v/>
      </c>
      <c r="AM559" s="210"/>
      <c r="AN559" s="209"/>
    </row>
    <row r="560" spans="1:40" ht="27.95" customHeight="1">
      <c r="A560" s="134" t="str">
        <f>IF(I560&lt;&gt;"",COUNTA($I$2:I560),"")</f>
        <v/>
      </c>
      <c r="B560" s="138" t="str">
        <f t="shared" si="47"/>
        <v/>
      </c>
      <c r="C560" s="93" t="str">
        <f t="array" ref="C560">IF(E560="","",IF(M560&lt;&gt;"",
M560&amp;"/"&amp;SUMPRODUCT((M$2:M560=M560)*1)&amp;" - "&amp;(ROW()-2),
"إداري/"&amp;SUMPRODUCT((M$2:M560="")*1)&amp;" - "&amp;(ROW()-2)))</f>
        <v/>
      </c>
      <c r="D560" s="141" t="str">
        <f>IF(AND(G560="",H560="",I560=""),"",IF(COUNTIFS(LISTS!$A$2:$A$67,G560,LISTS!$B$2:$B$67,H560,LISTS!$C$2:$C$67,I560)=0,"✗ هرم",IF(NOT(OR(Z560="ممتاز 100%",Z560="جيد 80%",Z560="مقبول 60%",Z560="خطر 40%",Z560="")),"✗ قائمة R",IF(NOT(OR(AA560="ممتاز 100%",AA560="جيد 85%",AA560="مقبول 70%",AA560="ضعيف 50%",AA560="")),"✗ قائمة S",IF(NOT(OR(AB560="مكتمل 100%",AB560="جزئي 60%",AB560="معلق 30%",AB560="مفتوح 0%",AB560="")),"✗ قائمة T",IF(NOT(OR(AC560="لا خصم 0",AC560="تأخير −5",AC560="عجز −10",AC560="جودة −15",AC560="امتثال −20",AC560="مخالفة −25",AC560="")),"✗ قائمة U",IF(AND(X560="لا",AC560&lt;&gt;"",AC560&lt;&gt;"لا خصم 0"),"✗ خصم",IF(AND(X560="نعم",AC560="لا خصم 0"),"✗ خصم",IF(AND(Z560="ممتاز 100%",AA560="ممتاز 100%",AB560&lt;&gt;"",AB560&lt;&gt;"مكتمل 100%"),"✗ إغلاق",IFERROR(IF(LEN(_xlfn.TEXTJOIN("، ",TRUE,IF(E560="","التاريخ",""),IF(F560="","الوقت",""),IF(G560="","المركز",""),IF(H560="","الدائرة",""),IF(I560="","القسم",""),IF(J560="","المسؤول",""),IF(K560="","نوع النشاط",""),IF(L560="","المشروع",""),IF(N560="","الممول",""),IF(V560="","الموضوع",""),IF(W560="","الملاحظة",""),IF(X560="","مشكلة",""),IF(Y560="","الإجراء",""),IF(Z560="","التنفيذ",""),IF(AA560="","الجودة",""),IF(AB560="","الإغلاق",""),IF(AC560="","الخصم",""),IF(AND(COUNTA($O560:$U560)&gt;0,O560=""),"مدير المشروع",""),IF(AND(COUNTA($O560:$U560)&gt;0,P560=""),"المستفيدين",""),IF(AND(COUNTA($O560:$U560)&gt;0,Q560=""),"المناطق",""),IF(AND(COUNTA($O560:$U560)&gt;0,R560=""),"الميزانية",""),IF(AND(COUNTA($O560:$U560)&gt;0,S560=""),"نسبة الجاهزية",""),IF(AND(COUNTA($O560:$U560)&gt;0,T560=""),"حالة الجاهزية",""),IF(AND(COUNTA($O560:$U560)&gt;0,U560=""),"التوصيات","")))&gt;0,"✗ ناقص: "&amp;_xlfn.TEXTJOIN("، ",TRUE,IF(E560="","التاريخ",""),IF(F560="","الوقت",""),IF(G560="","المركز",""),IF(H560="","الدائرة",""),IF(I560="","القسم",""),IF(J560="","المسؤول",""),IF(K560="","نوع النشاط",""),IF(L560="","المشروع",""),IF(N560="","الممول",""),IF(V560="","الموضوع",""),IF(W560="","الملاحظة",""),IF(X560="","مشكلة",""),IF(Y560="","الإجراء",""),IF(Z560="","التنفيذ",""),IF(AA560="","الجودة",""),IF(AB560="","الإغلاق",""),IF(AC560="","الخصم",""),IF(AND(COUNTA($O560:$U560)&gt;0,O560=""),"مدير المشروع",""),IF(AND(COUNTA($O560:$U560)&gt;0,P560=""),"المستفيدين",""),IF(AND(COUNTA($O560:$U560)&gt;0,Q560=""),"المناطق",""),IF(AND(COUNTA($O560:$U560)&gt;0,R560=""),"الميزانية",""),IF(AND(COUNTA($O560:$U560)&gt;0,S560=""),"نسبة الجاهزية",""),IF(AND(COUNTA($O560:$U560)&gt;0,T560=""),"حالة الجاهزية",""),IF(AND(COUNTA($O560:$U560)&gt;0,U560=""),"التوصيات","")),"✓"),"✓"))))))))))</f>
        <v/>
      </c>
      <c r="E560" s="235"/>
      <c r="F560" s="236"/>
      <c r="G560" s="90"/>
      <c r="H560" s="239"/>
      <c r="I560" s="89"/>
      <c r="J560" s="142"/>
      <c r="K560" s="90"/>
      <c r="L560" s="90"/>
      <c r="M560" s="90"/>
      <c r="N560" s="89"/>
      <c r="O560" s="200"/>
      <c r="P560" s="201"/>
      <c r="Q560" s="201"/>
      <c r="R560" s="237"/>
      <c r="S560" s="202"/>
      <c r="T560" s="200"/>
      <c r="U560" s="203"/>
      <c r="V560" s="89"/>
      <c r="W560" s="89"/>
      <c r="X560" s="145"/>
      <c r="Y560" s="89"/>
      <c r="Z560" s="90"/>
      <c r="AA560" s="90"/>
      <c r="AB560" s="90"/>
      <c r="AC560" s="90"/>
      <c r="AD560" s="92"/>
      <c r="AE560" s="149" t="str">
        <f>IFERROR(VLOOKUP(Z560,LISTS!$AL$2:$AM$1000,2,FALSE()),"")</f>
        <v/>
      </c>
      <c r="AF560" s="151" t="str">
        <f>IFERROR(VLOOKUP(AA560,LISTS!$AO$2:$AP$1000,2,FALSE()),"")</f>
        <v/>
      </c>
      <c r="AG560" s="152" t="str">
        <f>IFERROR(VLOOKUP(AB560,LISTS!$AR$2:$AS$1000,2,FALSE()),"")</f>
        <v/>
      </c>
      <c r="AH560" s="154" t="str">
        <f>IFERROR(VLOOKUP(AC560,LISTS!$AU$2:$AV$1000,2,FALSE()),"")</f>
        <v/>
      </c>
      <c r="AI560" s="238" t="str">
        <f t="shared" si="43"/>
        <v>—</v>
      </c>
      <c r="AJ560" s="190" t="str">
        <f t="shared" si="44"/>
        <v>—</v>
      </c>
      <c r="AK560" s="157" t="str">
        <f t="shared" si="45"/>
        <v/>
      </c>
      <c r="AL560" s="160" t="str">
        <f t="shared" si="46"/>
        <v/>
      </c>
      <c r="AM560" s="210"/>
      <c r="AN560" s="209"/>
    </row>
    <row r="561" spans="1:40" ht="27.95" customHeight="1">
      <c r="A561" s="134" t="str">
        <f>IF(I561&lt;&gt;"",COUNTA($I$2:I561),"")</f>
        <v/>
      </c>
      <c r="B561" s="138" t="str">
        <f t="shared" si="47"/>
        <v/>
      </c>
      <c r="C561" s="93" t="str">
        <f t="array" ref="C561">IF(E561="","",IF(M561&lt;&gt;"",
M561&amp;"/"&amp;SUMPRODUCT((M$2:M561=M561)*1)&amp;" - "&amp;(ROW()-2),
"إداري/"&amp;SUMPRODUCT((M$2:M561="")*1)&amp;" - "&amp;(ROW()-2)))</f>
        <v/>
      </c>
      <c r="D561" s="141" t="str">
        <f>IF(AND(G561="",H561="",I561=""),"",IF(COUNTIFS(LISTS!$A$2:$A$67,G561,LISTS!$B$2:$B$67,H561,LISTS!$C$2:$C$67,I561)=0,"✗ هرم",IF(NOT(OR(Z561="ممتاز 100%",Z561="جيد 80%",Z561="مقبول 60%",Z561="خطر 40%",Z561="")),"✗ قائمة R",IF(NOT(OR(AA561="ممتاز 100%",AA561="جيد 85%",AA561="مقبول 70%",AA561="ضعيف 50%",AA561="")),"✗ قائمة S",IF(NOT(OR(AB561="مكتمل 100%",AB561="جزئي 60%",AB561="معلق 30%",AB561="مفتوح 0%",AB561="")),"✗ قائمة T",IF(NOT(OR(AC561="لا خصم 0",AC561="تأخير −5",AC561="عجز −10",AC561="جودة −15",AC561="امتثال −20",AC561="مخالفة −25",AC561="")),"✗ قائمة U",IF(AND(X561="لا",AC561&lt;&gt;"",AC561&lt;&gt;"لا خصم 0"),"✗ خصم",IF(AND(X561="نعم",AC561="لا خصم 0"),"✗ خصم",IF(AND(Z561="ممتاز 100%",AA561="ممتاز 100%",AB561&lt;&gt;"",AB561&lt;&gt;"مكتمل 100%"),"✗ إغلاق",IFERROR(IF(LEN(_xlfn.TEXTJOIN("، ",TRUE,IF(E561="","التاريخ",""),IF(F561="","الوقت",""),IF(G561="","المركز",""),IF(H561="","الدائرة",""),IF(I561="","القسم",""),IF(J561="","المسؤول",""),IF(K561="","نوع النشاط",""),IF(L561="","المشروع",""),IF(N561="","الممول",""),IF(V561="","الموضوع",""),IF(W561="","الملاحظة",""),IF(X561="","مشكلة",""),IF(Y561="","الإجراء",""),IF(Z561="","التنفيذ",""),IF(AA561="","الجودة",""),IF(AB561="","الإغلاق",""),IF(AC561="","الخصم",""),IF(AND(COUNTA($O561:$U561)&gt;0,O561=""),"مدير المشروع",""),IF(AND(COUNTA($O561:$U561)&gt;0,P561=""),"المستفيدين",""),IF(AND(COUNTA($O561:$U561)&gt;0,Q561=""),"المناطق",""),IF(AND(COUNTA($O561:$U561)&gt;0,R561=""),"الميزانية",""),IF(AND(COUNTA($O561:$U561)&gt;0,S561=""),"نسبة الجاهزية",""),IF(AND(COUNTA($O561:$U561)&gt;0,T561=""),"حالة الجاهزية",""),IF(AND(COUNTA($O561:$U561)&gt;0,U561=""),"التوصيات","")))&gt;0,"✗ ناقص: "&amp;_xlfn.TEXTJOIN("، ",TRUE,IF(E561="","التاريخ",""),IF(F561="","الوقت",""),IF(G561="","المركز",""),IF(H561="","الدائرة",""),IF(I561="","القسم",""),IF(J561="","المسؤول",""),IF(K561="","نوع النشاط",""),IF(L561="","المشروع",""),IF(N561="","الممول",""),IF(V561="","الموضوع",""),IF(W561="","الملاحظة",""),IF(X561="","مشكلة",""),IF(Y561="","الإجراء",""),IF(Z561="","التنفيذ",""),IF(AA561="","الجودة",""),IF(AB561="","الإغلاق",""),IF(AC561="","الخصم",""),IF(AND(COUNTA($O561:$U561)&gt;0,O561=""),"مدير المشروع",""),IF(AND(COUNTA($O561:$U561)&gt;0,P561=""),"المستفيدين",""),IF(AND(COUNTA($O561:$U561)&gt;0,Q561=""),"المناطق",""),IF(AND(COUNTA($O561:$U561)&gt;0,R561=""),"الميزانية",""),IF(AND(COUNTA($O561:$U561)&gt;0,S561=""),"نسبة الجاهزية",""),IF(AND(COUNTA($O561:$U561)&gt;0,T561=""),"حالة الجاهزية",""),IF(AND(COUNTA($O561:$U561)&gt;0,U561=""),"التوصيات","")),"✓"),"✓"))))))))))</f>
        <v/>
      </c>
      <c r="E561" s="235"/>
      <c r="F561" s="236"/>
      <c r="G561" s="90"/>
      <c r="H561" s="239"/>
      <c r="I561" s="89"/>
      <c r="J561" s="142"/>
      <c r="K561" s="90"/>
      <c r="L561" s="90"/>
      <c r="M561" s="90"/>
      <c r="N561" s="89"/>
      <c r="O561" s="200"/>
      <c r="P561" s="201"/>
      <c r="Q561" s="201"/>
      <c r="R561" s="237"/>
      <c r="S561" s="202"/>
      <c r="T561" s="200"/>
      <c r="U561" s="203"/>
      <c r="V561" s="89"/>
      <c r="W561" s="89"/>
      <c r="X561" s="145"/>
      <c r="Y561" s="89"/>
      <c r="Z561" s="90"/>
      <c r="AA561" s="90"/>
      <c r="AB561" s="90"/>
      <c r="AC561" s="90"/>
      <c r="AD561" s="92"/>
      <c r="AE561" s="149" t="str">
        <f>IFERROR(VLOOKUP(Z561,LISTS!$AL$2:$AM$1000,2,FALSE()),"")</f>
        <v/>
      </c>
      <c r="AF561" s="151" t="str">
        <f>IFERROR(VLOOKUP(AA561,LISTS!$AO$2:$AP$1000,2,FALSE()),"")</f>
        <v/>
      </c>
      <c r="AG561" s="152" t="str">
        <f>IFERROR(VLOOKUP(AB561,LISTS!$AR$2:$AS$1000,2,FALSE()),"")</f>
        <v/>
      </c>
      <c r="AH561" s="154" t="str">
        <f>IFERROR(VLOOKUP(AC561,LISTS!$AU$2:$AV$1000,2,FALSE()),"")</f>
        <v/>
      </c>
      <c r="AI561" s="238" t="str">
        <f t="shared" si="43"/>
        <v>—</v>
      </c>
      <c r="AJ561" s="190" t="str">
        <f t="shared" si="44"/>
        <v>—</v>
      </c>
      <c r="AK561" s="157" t="str">
        <f t="shared" si="45"/>
        <v/>
      </c>
      <c r="AL561" s="160" t="str">
        <f t="shared" si="46"/>
        <v/>
      </c>
      <c r="AM561" s="210"/>
      <c r="AN561" s="209"/>
    </row>
    <row r="562" spans="1:40" ht="27.95" customHeight="1">
      <c r="A562" s="134" t="str">
        <f>IF(I562&lt;&gt;"",COUNTA($I$2:I562),"")</f>
        <v/>
      </c>
      <c r="B562" s="138" t="str">
        <f t="shared" si="47"/>
        <v/>
      </c>
      <c r="C562" s="93" t="str">
        <f t="array" ref="C562">IF(E562="","",IF(M562&lt;&gt;"",
M562&amp;"/"&amp;SUMPRODUCT((M$2:M562=M562)*1)&amp;" - "&amp;(ROW()-2),
"إداري/"&amp;SUMPRODUCT((M$2:M562="")*1)&amp;" - "&amp;(ROW()-2)))</f>
        <v/>
      </c>
      <c r="D562" s="141" t="str">
        <f>IF(AND(G562="",H562="",I562=""),"",IF(COUNTIFS(LISTS!$A$2:$A$67,G562,LISTS!$B$2:$B$67,H562,LISTS!$C$2:$C$67,I562)=0,"✗ هرم",IF(NOT(OR(Z562="ممتاز 100%",Z562="جيد 80%",Z562="مقبول 60%",Z562="خطر 40%",Z562="")),"✗ قائمة R",IF(NOT(OR(AA562="ممتاز 100%",AA562="جيد 85%",AA562="مقبول 70%",AA562="ضعيف 50%",AA562="")),"✗ قائمة S",IF(NOT(OR(AB562="مكتمل 100%",AB562="جزئي 60%",AB562="معلق 30%",AB562="مفتوح 0%",AB562="")),"✗ قائمة T",IF(NOT(OR(AC562="لا خصم 0",AC562="تأخير −5",AC562="عجز −10",AC562="جودة −15",AC562="امتثال −20",AC562="مخالفة −25",AC562="")),"✗ قائمة U",IF(AND(X562="لا",AC562&lt;&gt;"",AC562&lt;&gt;"لا خصم 0"),"✗ خصم",IF(AND(X562="نعم",AC562="لا خصم 0"),"✗ خصم",IF(AND(Z562="ممتاز 100%",AA562="ممتاز 100%",AB562&lt;&gt;"",AB562&lt;&gt;"مكتمل 100%"),"✗ إغلاق",IFERROR(IF(LEN(_xlfn.TEXTJOIN("، ",TRUE,IF(E562="","التاريخ",""),IF(F562="","الوقت",""),IF(G562="","المركز",""),IF(H562="","الدائرة",""),IF(I562="","القسم",""),IF(J562="","المسؤول",""),IF(K562="","نوع النشاط",""),IF(L562="","المشروع",""),IF(N562="","الممول",""),IF(V562="","الموضوع",""),IF(W562="","الملاحظة",""),IF(X562="","مشكلة",""),IF(Y562="","الإجراء",""),IF(Z562="","التنفيذ",""),IF(AA562="","الجودة",""),IF(AB562="","الإغلاق",""),IF(AC562="","الخصم",""),IF(AND(COUNTA($O562:$U562)&gt;0,O562=""),"مدير المشروع",""),IF(AND(COUNTA($O562:$U562)&gt;0,P562=""),"المستفيدين",""),IF(AND(COUNTA($O562:$U562)&gt;0,Q562=""),"المناطق",""),IF(AND(COUNTA($O562:$U562)&gt;0,R562=""),"الميزانية",""),IF(AND(COUNTA($O562:$U562)&gt;0,S562=""),"نسبة الجاهزية",""),IF(AND(COUNTA($O562:$U562)&gt;0,T562=""),"حالة الجاهزية",""),IF(AND(COUNTA($O562:$U562)&gt;0,U562=""),"التوصيات","")))&gt;0,"✗ ناقص: "&amp;_xlfn.TEXTJOIN("، ",TRUE,IF(E562="","التاريخ",""),IF(F562="","الوقت",""),IF(G562="","المركز",""),IF(H562="","الدائرة",""),IF(I562="","القسم",""),IF(J562="","المسؤول",""),IF(K562="","نوع النشاط",""),IF(L562="","المشروع",""),IF(N562="","الممول",""),IF(V562="","الموضوع",""),IF(W562="","الملاحظة",""),IF(X562="","مشكلة",""),IF(Y562="","الإجراء",""),IF(Z562="","التنفيذ",""),IF(AA562="","الجودة",""),IF(AB562="","الإغلاق",""),IF(AC562="","الخصم",""),IF(AND(COUNTA($O562:$U562)&gt;0,O562=""),"مدير المشروع",""),IF(AND(COUNTA($O562:$U562)&gt;0,P562=""),"المستفيدين",""),IF(AND(COUNTA($O562:$U562)&gt;0,Q562=""),"المناطق",""),IF(AND(COUNTA($O562:$U562)&gt;0,R562=""),"الميزانية",""),IF(AND(COUNTA($O562:$U562)&gt;0,S562=""),"نسبة الجاهزية",""),IF(AND(COUNTA($O562:$U562)&gt;0,T562=""),"حالة الجاهزية",""),IF(AND(COUNTA($O562:$U562)&gt;0,U562=""),"التوصيات","")),"✓"),"✓"))))))))))</f>
        <v/>
      </c>
      <c r="E562" s="235"/>
      <c r="F562" s="236"/>
      <c r="G562" s="90"/>
      <c r="H562" s="239"/>
      <c r="I562" s="89"/>
      <c r="J562" s="142"/>
      <c r="K562" s="90"/>
      <c r="L562" s="90"/>
      <c r="M562" s="90"/>
      <c r="N562" s="89"/>
      <c r="O562" s="200"/>
      <c r="P562" s="201"/>
      <c r="Q562" s="201"/>
      <c r="R562" s="237"/>
      <c r="S562" s="202"/>
      <c r="T562" s="200"/>
      <c r="U562" s="203"/>
      <c r="V562" s="89"/>
      <c r="W562" s="89"/>
      <c r="X562" s="145"/>
      <c r="Y562" s="89"/>
      <c r="Z562" s="90"/>
      <c r="AA562" s="90"/>
      <c r="AB562" s="90"/>
      <c r="AC562" s="90"/>
      <c r="AD562" s="92"/>
      <c r="AE562" s="149" t="str">
        <f>IFERROR(VLOOKUP(Z562,LISTS!$AL$2:$AM$1000,2,FALSE()),"")</f>
        <v/>
      </c>
      <c r="AF562" s="151" t="str">
        <f>IFERROR(VLOOKUP(AA562,LISTS!$AO$2:$AP$1000,2,FALSE()),"")</f>
        <v/>
      </c>
      <c r="AG562" s="152" t="str">
        <f>IFERROR(VLOOKUP(AB562,LISTS!$AR$2:$AS$1000,2,FALSE()),"")</f>
        <v/>
      </c>
      <c r="AH562" s="154" t="str">
        <f>IFERROR(VLOOKUP(AC562,LISTS!$AU$2:$AV$1000,2,FALSE()),"")</f>
        <v/>
      </c>
      <c r="AI562" s="238" t="str">
        <f t="shared" si="43"/>
        <v>—</v>
      </c>
      <c r="AJ562" s="190" t="str">
        <f t="shared" si="44"/>
        <v>—</v>
      </c>
      <c r="AK562" s="157" t="str">
        <f t="shared" si="45"/>
        <v/>
      </c>
      <c r="AL562" s="160" t="str">
        <f t="shared" si="46"/>
        <v/>
      </c>
      <c r="AM562" s="210"/>
      <c r="AN562" s="209"/>
    </row>
    <row r="563" spans="1:40" ht="27.95" customHeight="1">
      <c r="A563" s="134" t="str">
        <f>IF(I563&lt;&gt;"",COUNTA($I$2:I563),"")</f>
        <v/>
      </c>
      <c r="B563" s="138" t="str">
        <f t="shared" si="47"/>
        <v/>
      </c>
      <c r="C563" s="93" t="str">
        <f t="array" ref="C563">IF(E563="","",IF(M563&lt;&gt;"",
M563&amp;"/"&amp;SUMPRODUCT((M$2:M563=M563)*1)&amp;" - "&amp;(ROW()-2),
"إداري/"&amp;SUMPRODUCT((M$2:M563="")*1)&amp;" - "&amp;(ROW()-2)))</f>
        <v/>
      </c>
      <c r="D563" s="141" t="str">
        <f>IF(AND(G563="",H563="",I563=""),"",IF(COUNTIFS(LISTS!$A$2:$A$67,G563,LISTS!$B$2:$B$67,H563,LISTS!$C$2:$C$67,I563)=0,"✗ هرم",IF(NOT(OR(Z563="ممتاز 100%",Z563="جيد 80%",Z563="مقبول 60%",Z563="خطر 40%",Z563="")),"✗ قائمة R",IF(NOT(OR(AA563="ممتاز 100%",AA563="جيد 85%",AA563="مقبول 70%",AA563="ضعيف 50%",AA563="")),"✗ قائمة S",IF(NOT(OR(AB563="مكتمل 100%",AB563="جزئي 60%",AB563="معلق 30%",AB563="مفتوح 0%",AB563="")),"✗ قائمة T",IF(NOT(OR(AC563="لا خصم 0",AC563="تأخير −5",AC563="عجز −10",AC563="جودة −15",AC563="امتثال −20",AC563="مخالفة −25",AC563="")),"✗ قائمة U",IF(AND(X563="لا",AC563&lt;&gt;"",AC563&lt;&gt;"لا خصم 0"),"✗ خصم",IF(AND(X563="نعم",AC563="لا خصم 0"),"✗ خصم",IF(AND(Z563="ممتاز 100%",AA563="ممتاز 100%",AB563&lt;&gt;"",AB563&lt;&gt;"مكتمل 100%"),"✗ إغلاق",IFERROR(IF(LEN(_xlfn.TEXTJOIN("، ",TRUE,IF(E563="","التاريخ",""),IF(F563="","الوقت",""),IF(G563="","المركز",""),IF(H563="","الدائرة",""),IF(I563="","القسم",""),IF(J563="","المسؤول",""),IF(K563="","نوع النشاط",""),IF(L563="","المشروع",""),IF(N563="","الممول",""),IF(V563="","الموضوع",""),IF(W563="","الملاحظة",""),IF(X563="","مشكلة",""),IF(Y563="","الإجراء",""),IF(Z563="","التنفيذ",""),IF(AA563="","الجودة",""),IF(AB563="","الإغلاق",""),IF(AC563="","الخصم",""),IF(AND(COUNTA($O563:$U563)&gt;0,O563=""),"مدير المشروع",""),IF(AND(COUNTA($O563:$U563)&gt;0,P563=""),"المستفيدين",""),IF(AND(COUNTA($O563:$U563)&gt;0,Q563=""),"المناطق",""),IF(AND(COUNTA($O563:$U563)&gt;0,R563=""),"الميزانية",""),IF(AND(COUNTA($O563:$U563)&gt;0,S563=""),"نسبة الجاهزية",""),IF(AND(COUNTA($O563:$U563)&gt;0,T563=""),"حالة الجاهزية",""),IF(AND(COUNTA($O563:$U563)&gt;0,U563=""),"التوصيات","")))&gt;0,"✗ ناقص: "&amp;_xlfn.TEXTJOIN("، ",TRUE,IF(E563="","التاريخ",""),IF(F563="","الوقت",""),IF(G563="","المركز",""),IF(H563="","الدائرة",""),IF(I563="","القسم",""),IF(J563="","المسؤول",""),IF(K563="","نوع النشاط",""),IF(L563="","المشروع",""),IF(N563="","الممول",""),IF(V563="","الموضوع",""),IF(W563="","الملاحظة",""),IF(X563="","مشكلة",""),IF(Y563="","الإجراء",""),IF(Z563="","التنفيذ",""),IF(AA563="","الجودة",""),IF(AB563="","الإغلاق",""),IF(AC563="","الخصم",""),IF(AND(COUNTA($O563:$U563)&gt;0,O563=""),"مدير المشروع",""),IF(AND(COUNTA($O563:$U563)&gt;0,P563=""),"المستفيدين",""),IF(AND(COUNTA($O563:$U563)&gt;0,Q563=""),"المناطق",""),IF(AND(COUNTA($O563:$U563)&gt;0,R563=""),"الميزانية",""),IF(AND(COUNTA($O563:$U563)&gt;0,S563=""),"نسبة الجاهزية",""),IF(AND(COUNTA($O563:$U563)&gt;0,T563=""),"حالة الجاهزية",""),IF(AND(COUNTA($O563:$U563)&gt;0,U563=""),"التوصيات","")),"✓"),"✓"))))))))))</f>
        <v/>
      </c>
      <c r="E563" s="235"/>
      <c r="F563" s="236"/>
      <c r="G563" s="90"/>
      <c r="H563" s="239"/>
      <c r="I563" s="89"/>
      <c r="J563" s="142"/>
      <c r="K563" s="90"/>
      <c r="L563" s="90"/>
      <c r="M563" s="90"/>
      <c r="N563" s="89"/>
      <c r="O563" s="200"/>
      <c r="P563" s="201"/>
      <c r="Q563" s="201"/>
      <c r="R563" s="237"/>
      <c r="S563" s="202"/>
      <c r="T563" s="200"/>
      <c r="U563" s="203"/>
      <c r="V563" s="89"/>
      <c r="W563" s="89"/>
      <c r="X563" s="145"/>
      <c r="Y563" s="89"/>
      <c r="Z563" s="90"/>
      <c r="AA563" s="90"/>
      <c r="AB563" s="90"/>
      <c r="AC563" s="90"/>
      <c r="AD563" s="92"/>
      <c r="AE563" s="149" t="str">
        <f>IFERROR(VLOOKUP(Z563,LISTS!$AL$2:$AM$1000,2,FALSE()),"")</f>
        <v/>
      </c>
      <c r="AF563" s="151" t="str">
        <f>IFERROR(VLOOKUP(AA563,LISTS!$AO$2:$AP$1000,2,FALSE()),"")</f>
        <v/>
      </c>
      <c r="AG563" s="152" t="str">
        <f>IFERROR(VLOOKUP(AB563,LISTS!$AR$2:$AS$1000,2,FALSE()),"")</f>
        <v/>
      </c>
      <c r="AH563" s="154" t="str">
        <f>IFERROR(VLOOKUP(AC563,LISTS!$AU$2:$AV$1000,2,FALSE()),"")</f>
        <v/>
      </c>
      <c r="AI563" s="238" t="str">
        <f t="shared" si="43"/>
        <v>—</v>
      </c>
      <c r="AJ563" s="190" t="str">
        <f t="shared" si="44"/>
        <v>—</v>
      </c>
      <c r="AK563" s="157" t="str">
        <f t="shared" si="45"/>
        <v/>
      </c>
      <c r="AL563" s="160" t="str">
        <f t="shared" si="46"/>
        <v/>
      </c>
      <c r="AM563" s="210"/>
      <c r="AN563" s="209"/>
    </row>
    <row r="564" spans="1:40" ht="27.95" customHeight="1">
      <c r="A564" s="134" t="str">
        <f>IF(I564&lt;&gt;"",COUNTA($I$2:I564),"")</f>
        <v/>
      </c>
      <c r="B564" s="138" t="str">
        <f t="shared" si="47"/>
        <v/>
      </c>
      <c r="C564" s="93" t="str">
        <f t="array" ref="C564">IF(E564="","",IF(M564&lt;&gt;"",
M564&amp;"/"&amp;SUMPRODUCT((M$2:M564=M564)*1)&amp;" - "&amp;(ROW()-2),
"إداري/"&amp;SUMPRODUCT((M$2:M564="")*1)&amp;" - "&amp;(ROW()-2)))</f>
        <v/>
      </c>
      <c r="D564" s="141" t="str">
        <f>IF(AND(G564="",H564="",I564=""),"",IF(COUNTIFS(LISTS!$A$2:$A$67,G564,LISTS!$B$2:$B$67,H564,LISTS!$C$2:$C$67,I564)=0,"✗ هرم",IF(NOT(OR(Z564="ممتاز 100%",Z564="جيد 80%",Z564="مقبول 60%",Z564="خطر 40%",Z564="")),"✗ قائمة R",IF(NOT(OR(AA564="ممتاز 100%",AA564="جيد 85%",AA564="مقبول 70%",AA564="ضعيف 50%",AA564="")),"✗ قائمة S",IF(NOT(OR(AB564="مكتمل 100%",AB564="جزئي 60%",AB564="معلق 30%",AB564="مفتوح 0%",AB564="")),"✗ قائمة T",IF(NOT(OR(AC564="لا خصم 0",AC564="تأخير −5",AC564="عجز −10",AC564="جودة −15",AC564="امتثال −20",AC564="مخالفة −25",AC564="")),"✗ قائمة U",IF(AND(X564="لا",AC564&lt;&gt;"",AC564&lt;&gt;"لا خصم 0"),"✗ خصم",IF(AND(X564="نعم",AC564="لا خصم 0"),"✗ خصم",IF(AND(Z564="ممتاز 100%",AA564="ممتاز 100%",AB564&lt;&gt;"",AB564&lt;&gt;"مكتمل 100%"),"✗ إغلاق",IFERROR(IF(LEN(_xlfn.TEXTJOIN("، ",TRUE,IF(E564="","التاريخ",""),IF(F564="","الوقت",""),IF(G564="","المركز",""),IF(H564="","الدائرة",""),IF(I564="","القسم",""),IF(J564="","المسؤول",""),IF(K564="","نوع النشاط",""),IF(L564="","المشروع",""),IF(N564="","الممول",""),IF(V564="","الموضوع",""),IF(W564="","الملاحظة",""),IF(X564="","مشكلة",""),IF(Y564="","الإجراء",""),IF(Z564="","التنفيذ",""),IF(AA564="","الجودة",""),IF(AB564="","الإغلاق",""),IF(AC564="","الخصم",""),IF(AND(COUNTA($O564:$U564)&gt;0,O564=""),"مدير المشروع",""),IF(AND(COUNTA($O564:$U564)&gt;0,P564=""),"المستفيدين",""),IF(AND(COUNTA($O564:$U564)&gt;0,Q564=""),"المناطق",""),IF(AND(COUNTA($O564:$U564)&gt;0,R564=""),"الميزانية",""),IF(AND(COUNTA($O564:$U564)&gt;0,S564=""),"نسبة الجاهزية",""),IF(AND(COUNTA($O564:$U564)&gt;0,T564=""),"حالة الجاهزية",""),IF(AND(COUNTA($O564:$U564)&gt;0,U564=""),"التوصيات","")))&gt;0,"✗ ناقص: "&amp;_xlfn.TEXTJOIN("، ",TRUE,IF(E564="","التاريخ",""),IF(F564="","الوقت",""),IF(G564="","المركز",""),IF(H564="","الدائرة",""),IF(I564="","القسم",""),IF(J564="","المسؤول",""),IF(K564="","نوع النشاط",""),IF(L564="","المشروع",""),IF(N564="","الممول",""),IF(V564="","الموضوع",""),IF(W564="","الملاحظة",""),IF(X564="","مشكلة",""),IF(Y564="","الإجراء",""),IF(Z564="","التنفيذ",""),IF(AA564="","الجودة",""),IF(AB564="","الإغلاق",""),IF(AC564="","الخصم",""),IF(AND(COUNTA($O564:$U564)&gt;0,O564=""),"مدير المشروع",""),IF(AND(COUNTA($O564:$U564)&gt;0,P564=""),"المستفيدين",""),IF(AND(COUNTA($O564:$U564)&gt;0,Q564=""),"المناطق",""),IF(AND(COUNTA($O564:$U564)&gt;0,R564=""),"الميزانية",""),IF(AND(COUNTA($O564:$U564)&gt;0,S564=""),"نسبة الجاهزية",""),IF(AND(COUNTA($O564:$U564)&gt;0,T564=""),"حالة الجاهزية",""),IF(AND(COUNTA($O564:$U564)&gt;0,U564=""),"التوصيات","")),"✓"),"✓"))))))))))</f>
        <v/>
      </c>
      <c r="E564" s="235"/>
      <c r="F564" s="236"/>
      <c r="G564" s="90"/>
      <c r="H564" s="239"/>
      <c r="I564" s="89"/>
      <c r="J564" s="142"/>
      <c r="K564" s="90"/>
      <c r="L564" s="90"/>
      <c r="M564" s="90"/>
      <c r="N564" s="89"/>
      <c r="O564" s="200"/>
      <c r="P564" s="201"/>
      <c r="Q564" s="201"/>
      <c r="R564" s="237"/>
      <c r="S564" s="202"/>
      <c r="T564" s="200"/>
      <c r="U564" s="203"/>
      <c r="V564" s="89"/>
      <c r="W564" s="89"/>
      <c r="X564" s="145"/>
      <c r="Y564" s="89"/>
      <c r="Z564" s="90"/>
      <c r="AA564" s="90"/>
      <c r="AB564" s="90"/>
      <c r="AC564" s="90"/>
      <c r="AD564" s="92"/>
      <c r="AE564" s="149" t="str">
        <f>IFERROR(VLOOKUP(Z564,LISTS!$AL$2:$AM$1000,2,FALSE()),"")</f>
        <v/>
      </c>
      <c r="AF564" s="151" t="str">
        <f>IFERROR(VLOOKUP(AA564,LISTS!$AO$2:$AP$1000,2,FALSE()),"")</f>
        <v/>
      </c>
      <c r="AG564" s="152" t="str">
        <f>IFERROR(VLOOKUP(AB564,LISTS!$AR$2:$AS$1000,2,FALSE()),"")</f>
        <v/>
      </c>
      <c r="AH564" s="154" t="str">
        <f>IFERROR(VLOOKUP(AC564,LISTS!$AU$2:$AV$1000,2,FALSE()),"")</f>
        <v/>
      </c>
      <c r="AI564" s="238" t="str">
        <f t="shared" si="43"/>
        <v>—</v>
      </c>
      <c r="AJ564" s="190" t="str">
        <f t="shared" si="44"/>
        <v>—</v>
      </c>
      <c r="AK564" s="157" t="str">
        <f t="shared" si="45"/>
        <v/>
      </c>
      <c r="AL564" s="160" t="str">
        <f t="shared" si="46"/>
        <v/>
      </c>
      <c r="AM564" s="210"/>
      <c r="AN564" s="209"/>
    </row>
    <row r="565" spans="1:40" ht="27.95" customHeight="1">
      <c r="A565" s="134" t="str">
        <f>IF(I565&lt;&gt;"",COUNTA($I$2:I565),"")</f>
        <v/>
      </c>
      <c r="B565" s="138" t="str">
        <f t="shared" si="47"/>
        <v/>
      </c>
      <c r="C565" s="93" t="str">
        <f t="array" ref="C565">IF(E565="","",IF(M565&lt;&gt;"",
M565&amp;"/"&amp;SUMPRODUCT((M$2:M565=M565)*1)&amp;" - "&amp;(ROW()-2),
"إداري/"&amp;SUMPRODUCT((M$2:M565="")*1)&amp;" - "&amp;(ROW()-2)))</f>
        <v/>
      </c>
      <c r="D565" s="141" t="str">
        <f>IF(AND(G565="",H565="",I565=""),"",IF(COUNTIFS(LISTS!$A$2:$A$67,G565,LISTS!$B$2:$B$67,H565,LISTS!$C$2:$C$67,I565)=0,"✗ هرم",IF(NOT(OR(Z565="ممتاز 100%",Z565="جيد 80%",Z565="مقبول 60%",Z565="خطر 40%",Z565="")),"✗ قائمة R",IF(NOT(OR(AA565="ممتاز 100%",AA565="جيد 85%",AA565="مقبول 70%",AA565="ضعيف 50%",AA565="")),"✗ قائمة S",IF(NOT(OR(AB565="مكتمل 100%",AB565="جزئي 60%",AB565="معلق 30%",AB565="مفتوح 0%",AB565="")),"✗ قائمة T",IF(NOT(OR(AC565="لا خصم 0",AC565="تأخير −5",AC565="عجز −10",AC565="جودة −15",AC565="امتثال −20",AC565="مخالفة −25",AC565="")),"✗ قائمة U",IF(AND(X565="لا",AC565&lt;&gt;"",AC565&lt;&gt;"لا خصم 0"),"✗ خصم",IF(AND(X565="نعم",AC565="لا خصم 0"),"✗ خصم",IF(AND(Z565="ممتاز 100%",AA565="ممتاز 100%",AB565&lt;&gt;"",AB565&lt;&gt;"مكتمل 100%"),"✗ إغلاق",IFERROR(IF(LEN(_xlfn.TEXTJOIN("، ",TRUE,IF(E565="","التاريخ",""),IF(F565="","الوقت",""),IF(G565="","المركز",""),IF(H565="","الدائرة",""),IF(I565="","القسم",""),IF(J565="","المسؤول",""),IF(K565="","نوع النشاط",""),IF(L565="","المشروع",""),IF(N565="","الممول",""),IF(V565="","الموضوع",""),IF(W565="","الملاحظة",""),IF(X565="","مشكلة",""),IF(Y565="","الإجراء",""),IF(Z565="","التنفيذ",""),IF(AA565="","الجودة",""),IF(AB565="","الإغلاق",""),IF(AC565="","الخصم",""),IF(AND(COUNTA($O565:$U565)&gt;0,O565=""),"مدير المشروع",""),IF(AND(COUNTA($O565:$U565)&gt;0,P565=""),"المستفيدين",""),IF(AND(COUNTA($O565:$U565)&gt;0,Q565=""),"المناطق",""),IF(AND(COUNTA($O565:$U565)&gt;0,R565=""),"الميزانية",""),IF(AND(COUNTA($O565:$U565)&gt;0,S565=""),"نسبة الجاهزية",""),IF(AND(COUNTA($O565:$U565)&gt;0,T565=""),"حالة الجاهزية",""),IF(AND(COUNTA($O565:$U565)&gt;0,U565=""),"التوصيات","")))&gt;0,"✗ ناقص: "&amp;_xlfn.TEXTJOIN("، ",TRUE,IF(E565="","التاريخ",""),IF(F565="","الوقت",""),IF(G565="","المركز",""),IF(H565="","الدائرة",""),IF(I565="","القسم",""),IF(J565="","المسؤول",""),IF(K565="","نوع النشاط",""),IF(L565="","المشروع",""),IF(N565="","الممول",""),IF(V565="","الموضوع",""),IF(W565="","الملاحظة",""),IF(X565="","مشكلة",""),IF(Y565="","الإجراء",""),IF(Z565="","التنفيذ",""),IF(AA565="","الجودة",""),IF(AB565="","الإغلاق",""),IF(AC565="","الخصم",""),IF(AND(COUNTA($O565:$U565)&gt;0,O565=""),"مدير المشروع",""),IF(AND(COUNTA($O565:$U565)&gt;0,P565=""),"المستفيدين",""),IF(AND(COUNTA($O565:$U565)&gt;0,Q565=""),"المناطق",""),IF(AND(COUNTA($O565:$U565)&gt;0,R565=""),"الميزانية",""),IF(AND(COUNTA($O565:$U565)&gt;0,S565=""),"نسبة الجاهزية",""),IF(AND(COUNTA($O565:$U565)&gt;0,T565=""),"حالة الجاهزية",""),IF(AND(COUNTA($O565:$U565)&gt;0,U565=""),"التوصيات","")),"✓"),"✓"))))))))))</f>
        <v/>
      </c>
      <c r="E565" s="235"/>
      <c r="F565" s="236"/>
      <c r="G565" s="90"/>
      <c r="H565" s="239"/>
      <c r="I565" s="89"/>
      <c r="J565" s="142"/>
      <c r="K565" s="90"/>
      <c r="L565" s="90"/>
      <c r="M565" s="90"/>
      <c r="N565" s="89"/>
      <c r="O565" s="200"/>
      <c r="P565" s="201"/>
      <c r="Q565" s="201"/>
      <c r="R565" s="237"/>
      <c r="S565" s="202"/>
      <c r="T565" s="200"/>
      <c r="U565" s="203"/>
      <c r="V565" s="89"/>
      <c r="W565" s="89"/>
      <c r="X565" s="145"/>
      <c r="Y565" s="89"/>
      <c r="Z565" s="90"/>
      <c r="AA565" s="90"/>
      <c r="AB565" s="90"/>
      <c r="AC565" s="90"/>
      <c r="AD565" s="92"/>
      <c r="AE565" s="149" t="str">
        <f>IFERROR(VLOOKUP(Z565,LISTS!$AL$2:$AM$1000,2,FALSE()),"")</f>
        <v/>
      </c>
      <c r="AF565" s="151" t="str">
        <f>IFERROR(VLOOKUP(AA565,LISTS!$AO$2:$AP$1000,2,FALSE()),"")</f>
        <v/>
      </c>
      <c r="AG565" s="152" t="str">
        <f>IFERROR(VLOOKUP(AB565,LISTS!$AR$2:$AS$1000,2,FALSE()),"")</f>
        <v/>
      </c>
      <c r="AH565" s="154" t="str">
        <f>IFERROR(VLOOKUP(AC565,LISTS!$AU$2:$AV$1000,2,FALSE()),"")</f>
        <v/>
      </c>
      <c r="AI565" s="238" t="str">
        <f t="shared" si="43"/>
        <v>—</v>
      </c>
      <c r="AJ565" s="190" t="str">
        <f t="shared" si="44"/>
        <v>—</v>
      </c>
      <c r="AK565" s="157" t="str">
        <f t="shared" si="45"/>
        <v/>
      </c>
      <c r="AL565" s="160" t="str">
        <f t="shared" si="46"/>
        <v/>
      </c>
      <c r="AM565" s="210"/>
      <c r="AN565" s="209"/>
    </row>
    <row r="566" spans="1:40" ht="27.95" customHeight="1">
      <c r="A566" s="134" t="str">
        <f>IF(I566&lt;&gt;"",COUNTA($I$2:I566),"")</f>
        <v/>
      </c>
      <c r="B566" s="138" t="str">
        <f t="shared" si="47"/>
        <v/>
      </c>
      <c r="C566" s="93" t="str">
        <f t="array" ref="C566">IF(E566="","",IF(M566&lt;&gt;"",
M566&amp;"/"&amp;SUMPRODUCT((M$2:M566=M566)*1)&amp;" - "&amp;(ROW()-2),
"إداري/"&amp;SUMPRODUCT((M$2:M566="")*1)&amp;" - "&amp;(ROW()-2)))</f>
        <v/>
      </c>
      <c r="D566" s="141" t="str">
        <f>IF(AND(G566="",H566="",I566=""),"",IF(COUNTIFS(LISTS!$A$2:$A$67,G566,LISTS!$B$2:$B$67,H566,LISTS!$C$2:$C$67,I566)=0,"✗ هرم",IF(NOT(OR(Z566="ممتاز 100%",Z566="جيد 80%",Z566="مقبول 60%",Z566="خطر 40%",Z566="")),"✗ قائمة R",IF(NOT(OR(AA566="ممتاز 100%",AA566="جيد 85%",AA566="مقبول 70%",AA566="ضعيف 50%",AA566="")),"✗ قائمة S",IF(NOT(OR(AB566="مكتمل 100%",AB566="جزئي 60%",AB566="معلق 30%",AB566="مفتوح 0%",AB566="")),"✗ قائمة T",IF(NOT(OR(AC566="لا خصم 0",AC566="تأخير −5",AC566="عجز −10",AC566="جودة −15",AC566="امتثال −20",AC566="مخالفة −25",AC566="")),"✗ قائمة U",IF(AND(X566="لا",AC566&lt;&gt;"",AC566&lt;&gt;"لا خصم 0"),"✗ خصم",IF(AND(X566="نعم",AC566="لا خصم 0"),"✗ خصم",IF(AND(Z566="ممتاز 100%",AA566="ممتاز 100%",AB566&lt;&gt;"",AB566&lt;&gt;"مكتمل 100%"),"✗ إغلاق",IFERROR(IF(LEN(_xlfn.TEXTJOIN("، ",TRUE,IF(E566="","التاريخ",""),IF(F566="","الوقت",""),IF(G566="","المركز",""),IF(H566="","الدائرة",""),IF(I566="","القسم",""),IF(J566="","المسؤول",""),IF(K566="","نوع النشاط",""),IF(L566="","المشروع",""),IF(N566="","الممول",""),IF(V566="","الموضوع",""),IF(W566="","الملاحظة",""),IF(X566="","مشكلة",""),IF(Y566="","الإجراء",""),IF(Z566="","التنفيذ",""),IF(AA566="","الجودة",""),IF(AB566="","الإغلاق",""),IF(AC566="","الخصم",""),IF(AND(COUNTA($O566:$U566)&gt;0,O566=""),"مدير المشروع",""),IF(AND(COUNTA($O566:$U566)&gt;0,P566=""),"المستفيدين",""),IF(AND(COUNTA($O566:$U566)&gt;0,Q566=""),"المناطق",""),IF(AND(COUNTA($O566:$U566)&gt;0,R566=""),"الميزانية",""),IF(AND(COUNTA($O566:$U566)&gt;0,S566=""),"نسبة الجاهزية",""),IF(AND(COUNTA($O566:$U566)&gt;0,T566=""),"حالة الجاهزية",""),IF(AND(COUNTA($O566:$U566)&gt;0,U566=""),"التوصيات","")))&gt;0,"✗ ناقص: "&amp;_xlfn.TEXTJOIN("، ",TRUE,IF(E566="","التاريخ",""),IF(F566="","الوقت",""),IF(G566="","المركز",""),IF(H566="","الدائرة",""),IF(I566="","القسم",""),IF(J566="","المسؤول",""),IF(K566="","نوع النشاط",""),IF(L566="","المشروع",""),IF(N566="","الممول",""),IF(V566="","الموضوع",""),IF(W566="","الملاحظة",""),IF(X566="","مشكلة",""),IF(Y566="","الإجراء",""),IF(Z566="","التنفيذ",""),IF(AA566="","الجودة",""),IF(AB566="","الإغلاق",""),IF(AC566="","الخصم",""),IF(AND(COUNTA($O566:$U566)&gt;0,O566=""),"مدير المشروع",""),IF(AND(COUNTA($O566:$U566)&gt;0,P566=""),"المستفيدين",""),IF(AND(COUNTA($O566:$U566)&gt;0,Q566=""),"المناطق",""),IF(AND(COUNTA($O566:$U566)&gt;0,R566=""),"الميزانية",""),IF(AND(COUNTA($O566:$U566)&gt;0,S566=""),"نسبة الجاهزية",""),IF(AND(COUNTA($O566:$U566)&gt;0,T566=""),"حالة الجاهزية",""),IF(AND(COUNTA($O566:$U566)&gt;0,U566=""),"التوصيات","")),"✓"),"✓"))))))))))</f>
        <v/>
      </c>
      <c r="E566" s="235"/>
      <c r="F566" s="236"/>
      <c r="G566" s="90"/>
      <c r="H566" s="239"/>
      <c r="I566" s="89"/>
      <c r="J566" s="142"/>
      <c r="K566" s="90"/>
      <c r="L566" s="90"/>
      <c r="M566" s="90"/>
      <c r="N566" s="89"/>
      <c r="O566" s="200"/>
      <c r="P566" s="201"/>
      <c r="Q566" s="201"/>
      <c r="R566" s="237"/>
      <c r="S566" s="202"/>
      <c r="T566" s="200"/>
      <c r="U566" s="203"/>
      <c r="V566" s="89"/>
      <c r="W566" s="89"/>
      <c r="X566" s="145"/>
      <c r="Y566" s="89"/>
      <c r="Z566" s="90"/>
      <c r="AA566" s="90"/>
      <c r="AB566" s="90"/>
      <c r="AC566" s="90"/>
      <c r="AD566" s="92"/>
      <c r="AE566" s="149" t="str">
        <f>IFERROR(VLOOKUP(Z566,LISTS!$AL$2:$AM$1000,2,FALSE()),"")</f>
        <v/>
      </c>
      <c r="AF566" s="151" t="str">
        <f>IFERROR(VLOOKUP(AA566,LISTS!$AO$2:$AP$1000,2,FALSE()),"")</f>
        <v/>
      </c>
      <c r="AG566" s="152" t="str">
        <f>IFERROR(VLOOKUP(AB566,LISTS!$AR$2:$AS$1000,2,FALSE()),"")</f>
        <v/>
      </c>
      <c r="AH566" s="154" t="str">
        <f>IFERROR(VLOOKUP(AC566,LISTS!$AU$2:$AV$1000,2,FALSE()),"")</f>
        <v/>
      </c>
      <c r="AI566" s="238" t="str">
        <f t="shared" si="43"/>
        <v>—</v>
      </c>
      <c r="AJ566" s="190" t="str">
        <f t="shared" si="44"/>
        <v>—</v>
      </c>
      <c r="AK566" s="157" t="str">
        <f t="shared" si="45"/>
        <v/>
      </c>
      <c r="AL566" s="160" t="str">
        <f t="shared" si="46"/>
        <v/>
      </c>
      <c r="AM566" s="210"/>
      <c r="AN566" s="209"/>
    </row>
    <row r="567" spans="1:40" ht="27.95" customHeight="1">
      <c r="A567" s="134" t="str">
        <f>IF(I567&lt;&gt;"",COUNTA($I$2:I567),"")</f>
        <v/>
      </c>
      <c r="B567" s="138" t="str">
        <f t="shared" si="47"/>
        <v/>
      </c>
      <c r="C567" s="93" t="str">
        <f t="array" ref="C567">IF(E567="","",IF(M567&lt;&gt;"",
M567&amp;"/"&amp;SUMPRODUCT((M$2:M567=M567)*1)&amp;" - "&amp;(ROW()-2),
"إداري/"&amp;SUMPRODUCT((M$2:M567="")*1)&amp;" - "&amp;(ROW()-2)))</f>
        <v/>
      </c>
      <c r="D567" s="141" t="str">
        <f>IF(AND(G567="",H567="",I567=""),"",IF(COUNTIFS(LISTS!$A$2:$A$67,G567,LISTS!$B$2:$B$67,H567,LISTS!$C$2:$C$67,I567)=0,"✗ هرم",IF(NOT(OR(Z567="ممتاز 100%",Z567="جيد 80%",Z567="مقبول 60%",Z567="خطر 40%",Z567="")),"✗ قائمة R",IF(NOT(OR(AA567="ممتاز 100%",AA567="جيد 85%",AA567="مقبول 70%",AA567="ضعيف 50%",AA567="")),"✗ قائمة S",IF(NOT(OR(AB567="مكتمل 100%",AB567="جزئي 60%",AB567="معلق 30%",AB567="مفتوح 0%",AB567="")),"✗ قائمة T",IF(NOT(OR(AC567="لا خصم 0",AC567="تأخير −5",AC567="عجز −10",AC567="جودة −15",AC567="امتثال −20",AC567="مخالفة −25",AC567="")),"✗ قائمة U",IF(AND(X567="لا",AC567&lt;&gt;"",AC567&lt;&gt;"لا خصم 0"),"✗ خصم",IF(AND(X567="نعم",AC567="لا خصم 0"),"✗ خصم",IF(AND(Z567="ممتاز 100%",AA567="ممتاز 100%",AB567&lt;&gt;"",AB567&lt;&gt;"مكتمل 100%"),"✗ إغلاق",IFERROR(IF(LEN(_xlfn.TEXTJOIN("، ",TRUE,IF(E567="","التاريخ",""),IF(F567="","الوقت",""),IF(G567="","المركز",""),IF(H567="","الدائرة",""),IF(I567="","القسم",""),IF(J567="","المسؤول",""),IF(K567="","نوع النشاط",""),IF(L567="","المشروع",""),IF(N567="","الممول",""),IF(V567="","الموضوع",""),IF(W567="","الملاحظة",""),IF(X567="","مشكلة",""),IF(Y567="","الإجراء",""),IF(Z567="","التنفيذ",""),IF(AA567="","الجودة",""),IF(AB567="","الإغلاق",""),IF(AC567="","الخصم",""),IF(AND(COUNTA($O567:$U567)&gt;0,O567=""),"مدير المشروع",""),IF(AND(COUNTA($O567:$U567)&gt;0,P567=""),"المستفيدين",""),IF(AND(COUNTA($O567:$U567)&gt;0,Q567=""),"المناطق",""),IF(AND(COUNTA($O567:$U567)&gt;0,R567=""),"الميزانية",""),IF(AND(COUNTA($O567:$U567)&gt;0,S567=""),"نسبة الجاهزية",""),IF(AND(COUNTA($O567:$U567)&gt;0,T567=""),"حالة الجاهزية",""),IF(AND(COUNTA($O567:$U567)&gt;0,U567=""),"التوصيات","")))&gt;0,"✗ ناقص: "&amp;_xlfn.TEXTJOIN("، ",TRUE,IF(E567="","التاريخ",""),IF(F567="","الوقت",""),IF(G567="","المركز",""),IF(H567="","الدائرة",""),IF(I567="","القسم",""),IF(J567="","المسؤول",""),IF(K567="","نوع النشاط",""),IF(L567="","المشروع",""),IF(N567="","الممول",""),IF(V567="","الموضوع",""),IF(W567="","الملاحظة",""),IF(X567="","مشكلة",""),IF(Y567="","الإجراء",""),IF(Z567="","التنفيذ",""),IF(AA567="","الجودة",""),IF(AB567="","الإغلاق",""),IF(AC567="","الخصم",""),IF(AND(COUNTA($O567:$U567)&gt;0,O567=""),"مدير المشروع",""),IF(AND(COUNTA($O567:$U567)&gt;0,P567=""),"المستفيدين",""),IF(AND(COUNTA($O567:$U567)&gt;0,Q567=""),"المناطق",""),IF(AND(COUNTA($O567:$U567)&gt;0,R567=""),"الميزانية",""),IF(AND(COUNTA($O567:$U567)&gt;0,S567=""),"نسبة الجاهزية",""),IF(AND(COUNTA($O567:$U567)&gt;0,T567=""),"حالة الجاهزية",""),IF(AND(COUNTA($O567:$U567)&gt;0,U567=""),"التوصيات","")),"✓"),"✓"))))))))))</f>
        <v/>
      </c>
      <c r="E567" s="235"/>
      <c r="F567" s="236"/>
      <c r="G567" s="90"/>
      <c r="H567" s="239"/>
      <c r="I567" s="89"/>
      <c r="J567" s="142"/>
      <c r="K567" s="90"/>
      <c r="L567" s="90"/>
      <c r="M567" s="90"/>
      <c r="N567" s="89"/>
      <c r="O567" s="200"/>
      <c r="P567" s="201"/>
      <c r="Q567" s="201"/>
      <c r="R567" s="237"/>
      <c r="S567" s="202"/>
      <c r="T567" s="200"/>
      <c r="U567" s="203"/>
      <c r="V567" s="89"/>
      <c r="W567" s="89"/>
      <c r="X567" s="145"/>
      <c r="Y567" s="89"/>
      <c r="Z567" s="90"/>
      <c r="AA567" s="90"/>
      <c r="AB567" s="90"/>
      <c r="AC567" s="90"/>
      <c r="AD567" s="92"/>
      <c r="AE567" s="149" t="str">
        <f>IFERROR(VLOOKUP(Z567,LISTS!$AL$2:$AM$1000,2,FALSE()),"")</f>
        <v/>
      </c>
      <c r="AF567" s="151" t="str">
        <f>IFERROR(VLOOKUP(AA567,LISTS!$AO$2:$AP$1000,2,FALSE()),"")</f>
        <v/>
      </c>
      <c r="AG567" s="152" t="str">
        <f>IFERROR(VLOOKUP(AB567,LISTS!$AR$2:$AS$1000,2,FALSE()),"")</f>
        <v/>
      </c>
      <c r="AH567" s="154" t="str">
        <f>IFERROR(VLOOKUP(AC567,LISTS!$AU$2:$AV$1000,2,FALSE()),"")</f>
        <v/>
      </c>
      <c r="AI567" s="238" t="str">
        <f t="shared" si="43"/>
        <v>—</v>
      </c>
      <c r="AJ567" s="190" t="str">
        <f t="shared" si="44"/>
        <v>—</v>
      </c>
      <c r="AK567" s="157" t="str">
        <f t="shared" si="45"/>
        <v/>
      </c>
      <c r="AL567" s="160" t="str">
        <f t="shared" si="46"/>
        <v/>
      </c>
      <c r="AM567" s="210"/>
      <c r="AN567" s="209"/>
    </row>
    <row r="568" spans="1:40" ht="27.95" customHeight="1">
      <c r="A568" s="134" t="str">
        <f>IF(I568&lt;&gt;"",COUNTA($I$2:I568),"")</f>
        <v/>
      </c>
      <c r="B568" s="138" t="str">
        <f t="shared" si="47"/>
        <v/>
      </c>
      <c r="C568" s="93" t="str">
        <f t="array" ref="C568">IF(E568="","",IF(M568&lt;&gt;"",
M568&amp;"/"&amp;SUMPRODUCT((M$2:M568=M568)*1)&amp;" - "&amp;(ROW()-2),
"إداري/"&amp;SUMPRODUCT((M$2:M568="")*1)&amp;" - "&amp;(ROW()-2)))</f>
        <v/>
      </c>
      <c r="D568" s="141" t="str">
        <f>IF(AND(G568="",H568="",I568=""),"",IF(COUNTIFS(LISTS!$A$2:$A$67,G568,LISTS!$B$2:$B$67,H568,LISTS!$C$2:$C$67,I568)=0,"✗ هرم",IF(NOT(OR(Z568="ممتاز 100%",Z568="جيد 80%",Z568="مقبول 60%",Z568="خطر 40%",Z568="")),"✗ قائمة R",IF(NOT(OR(AA568="ممتاز 100%",AA568="جيد 85%",AA568="مقبول 70%",AA568="ضعيف 50%",AA568="")),"✗ قائمة S",IF(NOT(OR(AB568="مكتمل 100%",AB568="جزئي 60%",AB568="معلق 30%",AB568="مفتوح 0%",AB568="")),"✗ قائمة T",IF(NOT(OR(AC568="لا خصم 0",AC568="تأخير −5",AC568="عجز −10",AC568="جودة −15",AC568="امتثال −20",AC568="مخالفة −25",AC568="")),"✗ قائمة U",IF(AND(X568="لا",AC568&lt;&gt;"",AC568&lt;&gt;"لا خصم 0"),"✗ خصم",IF(AND(X568="نعم",AC568="لا خصم 0"),"✗ خصم",IF(AND(Z568="ممتاز 100%",AA568="ممتاز 100%",AB568&lt;&gt;"",AB568&lt;&gt;"مكتمل 100%"),"✗ إغلاق",IFERROR(IF(LEN(_xlfn.TEXTJOIN("، ",TRUE,IF(E568="","التاريخ",""),IF(F568="","الوقت",""),IF(G568="","المركز",""),IF(H568="","الدائرة",""),IF(I568="","القسم",""),IF(J568="","المسؤول",""),IF(K568="","نوع النشاط",""),IF(L568="","المشروع",""),IF(N568="","الممول",""),IF(V568="","الموضوع",""),IF(W568="","الملاحظة",""),IF(X568="","مشكلة",""),IF(Y568="","الإجراء",""),IF(Z568="","التنفيذ",""),IF(AA568="","الجودة",""),IF(AB568="","الإغلاق",""),IF(AC568="","الخصم",""),IF(AND(COUNTA($O568:$U568)&gt;0,O568=""),"مدير المشروع",""),IF(AND(COUNTA($O568:$U568)&gt;0,P568=""),"المستفيدين",""),IF(AND(COUNTA($O568:$U568)&gt;0,Q568=""),"المناطق",""),IF(AND(COUNTA($O568:$U568)&gt;0,R568=""),"الميزانية",""),IF(AND(COUNTA($O568:$U568)&gt;0,S568=""),"نسبة الجاهزية",""),IF(AND(COUNTA($O568:$U568)&gt;0,T568=""),"حالة الجاهزية",""),IF(AND(COUNTA($O568:$U568)&gt;0,U568=""),"التوصيات","")))&gt;0,"✗ ناقص: "&amp;_xlfn.TEXTJOIN("، ",TRUE,IF(E568="","التاريخ",""),IF(F568="","الوقت",""),IF(G568="","المركز",""),IF(H568="","الدائرة",""),IF(I568="","القسم",""),IF(J568="","المسؤول",""),IF(K568="","نوع النشاط",""),IF(L568="","المشروع",""),IF(N568="","الممول",""),IF(V568="","الموضوع",""),IF(W568="","الملاحظة",""),IF(X568="","مشكلة",""),IF(Y568="","الإجراء",""),IF(Z568="","التنفيذ",""),IF(AA568="","الجودة",""),IF(AB568="","الإغلاق",""),IF(AC568="","الخصم",""),IF(AND(COUNTA($O568:$U568)&gt;0,O568=""),"مدير المشروع",""),IF(AND(COUNTA($O568:$U568)&gt;0,P568=""),"المستفيدين",""),IF(AND(COUNTA($O568:$U568)&gt;0,Q568=""),"المناطق",""),IF(AND(COUNTA($O568:$U568)&gt;0,R568=""),"الميزانية",""),IF(AND(COUNTA($O568:$U568)&gt;0,S568=""),"نسبة الجاهزية",""),IF(AND(COUNTA($O568:$U568)&gt;0,T568=""),"حالة الجاهزية",""),IF(AND(COUNTA($O568:$U568)&gt;0,U568=""),"التوصيات","")),"✓"),"✓"))))))))))</f>
        <v/>
      </c>
      <c r="E568" s="235"/>
      <c r="F568" s="236"/>
      <c r="G568" s="90"/>
      <c r="H568" s="239"/>
      <c r="I568" s="89"/>
      <c r="J568" s="142"/>
      <c r="K568" s="90"/>
      <c r="L568" s="90"/>
      <c r="M568" s="90"/>
      <c r="N568" s="89"/>
      <c r="O568" s="200"/>
      <c r="P568" s="201"/>
      <c r="Q568" s="201"/>
      <c r="R568" s="237"/>
      <c r="S568" s="202"/>
      <c r="T568" s="200"/>
      <c r="U568" s="203"/>
      <c r="V568" s="89"/>
      <c r="W568" s="89"/>
      <c r="X568" s="145"/>
      <c r="Y568" s="89"/>
      <c r="Z568" s="90"/>
      <c r="AA568" s="90"/>
      <c r="AB568" s="90"/>
      <c r="AC568" s="90"/>
      <c r="AD568" s="92"/>
      <c r="AE568" s="149" t="str">
        <f>IFERROR(VLOOKUP(Z568,LISTS!$AL$2:$AM$1000,2,FALSE()),"")</f>
        <v/>
      </c>
      <c r="AF568" s="151" t="str">
        <f>IFERROR(VLOOKUP(AA568,LISTS!$AO$2:$AP$1000,2,FALSE()),"")</f>
        <v/>
      </c>
      <c r="AG568" s="152" t="str">
        <f>IFERROR(VLOOKUP(AB568,LISTS!$AR$2:$AS$1000,2,FALSE()),"")</f>
        <v/>
      </c>
      <c r="AH568" s="154" t="str">
        <f>IFERROR(VLOOKUP(AC568,LISTS!$AU$2:$AV$1000,2,FALSE()),"")</f>
        <v/>
      </c>
      <c r="AI568" s="238" t="str">
        <f t="shared" si="43"/>
        <v>—</v>
      </c>
      <c r="AJ568" s="190" t="str">
        <f t="shared" si="44"/>
        <v>—</v>
      </c>
      <c r="AK568" s="157" t="str">
        <f t="shared" si="45"/>
        <v/>
      </c>
      <c r="AL568" s="160" t="str">
        <f t="shared" si="46"/>
        <v/>
      </c>
      <c r="AM568" s="210"/>
      <c r="AN568" s="209"/>
    </row>
    <row r="569" spans="1:40" ht="27.95" customHeight="1">
      <c r="A569" s="134" t="str">
        <f>IF(I569&lt;&gt;"",COUNTA($I$2:I569),"")</f>
        <v/>
      </c>
      <c r="B569" s="138" t="str">
        <f t="shared" si="47"/>
        <v/>
      </c>
      <c r="C569" s="93" t="str">
        <f t="array" ref="C569">IF(E569="","",IF(M569&lt;&gt;"",
M569&amp;"/"&amp;SUMPRODUCT((M$2:M569=M569)*1)&amp;" - "&amp;(ROW()-2),
"إداري/"&amp;SUMPRODUCT((M$2:M569="")*1)&amp;" - "&amp;(ROW()-2)))</f>
        <v/>
      </c>
      <c r="D569" s="141" t="str">
        <f>IF(AND(G569="",H569="",I569=""),"",IF(COUNTIFS(LISTS!$A$2:$A$67,G569,LISTS!$B$2:$B$67,H569,LISTS!$C$2:$C$67,I569)=0,"✗ هرم",IF(NOT(OR(Z569="ممتاز 100%",Z569="جيد 80%",Z569="مقبول 60%",Z569="خطر 40%",Z569="")),"✗ قائمة R",IF(NOT(OR(AA569="ممتاز 100%",AA569="جيد 85%",AA569="مقبول 70%",AA569="ضعيف 50%",AA569="")),"✗ قائمة S",IF(NOT(OR(AB569="مكتمل 100%",AB569="جزئي 60%",AB569="معلق 30%",AB569="مفتوح 0%",AB569="")),"✗ قائمة T",IF(NOT(OR(AC569="لا خصم 0",AC569="تأخير −5",AC569="عجز −10",AC569="جودة −15",AC569="امتثال −20",AC569="مخالفة −25",AC569="")),"✗ قائمة U",IF(AND(X569="لا",AC569&lt;&gt;"",AC569&lt;&gt;"لا خصم 0"),"✗ خصم",IF(AND(X569="نعم",AC569="لا خصم 0"),"✗ خصم",IF(AND(Z569="ممتاز 100%",AA569="ممتاز 100%",AB569&lt;&gt;"",AB569&lt;&gt;"مكتمل 100%"),"✗ إغلاق",IFERROR(IF(LEN(_xlfn.TEXTJOIN("، ",TRUE,IF(E569="","التاريخ",""),IF(F569="","الوقت",""),IF(G569="","المركز",""),IF(H569="","الدائرة",""),IF(I569="","القسم",""),IF(J569="","المسؤول",""),IF(K569="","نوع النشاط",""),IF(L569="","المشروع",""),IF(N569="","الممول",""),IF(V569="","الموضوع",""),IF(W569="","الملاحظة",""),IF(X569="","مشكلة",""),IF(Y569="","الإجراء",""),IF(Z569="","التنفيذ",""),IF(AA569="","الجودة",""),IF(AB569="","الإغلاق",""),IF(AC569="","الخصم",""),IF(AND(COUNTA($O569:$U569)&gt;0,O569=""),"مدير المشروع",""),IF(AND(COUNTA($O569:$U569)&gt;0,P569=""),"المستفيدين",""),IF(AND(COUNTA($O569:$U569)&gt;0,Q569=""),"المناطق",""),IF(AND(COUNTA($O569:$U569)&gt;0,R569=""),"الميزانية",""),IF(AND(COUNTA($O569:$U569)&gt;0,S569=""),"نسبة الجاهزية",""),IF(AND(COUNTA($O569:$U569)&gt;0,T569=""),"حالة الجاهزية",""),IF(AND(COUNTA($O569:$U569)&gt;0,U569=""),"التوصيات","")))&gt;0,"✗ ناقص: "&amp;_xlfn.TEXTJOIN("، ",TRUE,IF(E569="","التاريخ",""),IF(F569="","الوقت",""),IF(G569="","المركز",""),IF(H569="","الدائرة",""),IF(I569="","القسم",""),IF(J569="","المسؤول",""),IF(K569="","نوع النشاط",""),IF(L569="","المشروع",""),IF(N569="","الممول",""),IF(V569="","الموضوع",""),IF(W569="","الملاحظة",""),IF(X569="","مشكلة",""),IF(Y569="","الإجراء",""),IF(Z569="","التنفيذ",""),IF(AA569="","الجودة",""),IF(AB569="","الإغلاق",""),IF(AC569="","الخصم",""),IF(AND(COUNTA($O569:$U569)&gt;0,O569=""),"مدير المشروع",""),IF(AND(COUNTA($O569:$U569)&gt;0,P569=""),"المستفيدين",""),IF(AND(COUNTA($O569:$U569)&gt;0,Q569=""),"المناطق",""),IF(AND(COUNTA($O569:$U569)&gt;0,R569=""),"الميزانية",""),IF(AND(COUNTA($O569:$U569)&gt;0,S569=""),"نسبة الجاهزية",""),IF(AND(COUNTA($O569:$U569)&gt;0,T569=""),"حالة الجاهزية",""),IF(AND(COUNTA($O569:$U569)&gt;0,U569=""),"التوصيات","")),"✓"),"✓"))))))))))</f>
        <v/>
      </c>
      <c r="E569" s="235"/>
      <c r="F569" s="236"/>
      <c r="G569" s="90"/>
      <c r="H569" s="239"/>
      <c r="I569" s="89"/>
      <c r="J569" s="142"/>
      <c r="K569" s="90"/>
      <c r="L569" s="90"/>
      <c r="M569" s="90"/>
      <c r="N569" s="89"/>
      <c r="O569" s="200"/>
      <c r="P569" s="201"/>
      <c r="Q569" s="201"/>
      <c r="R569" s="237"/>
      <c r="S569" s="202"/>
      <c r="T569" s="200"/>
      <c r="U569" s="203"/>
      <c r="V569" s="89"/>
      <c r="W569" s="89"/>
      <c r="X569" s="145"/>
      <c r="Y569" s="89"/>
      <c r="Z569" s="90"/>
      <c r="AA569" s="90"/>
      <c r="AB569" s="90"/>
      <c r="AC569" s="90"/>
      <c r="AD569" s="92"/>
      <c r="AE569" s="149" t="str">
        <f>IFERROR(VLOOKUP(Z569,LISTS!$AL$2:$AM$1000,2,FALSE()),"")</f>
        <v/>
      </c>
      <c r="AF569" s="151" t="str">
        <f>IFERROR(VLOOKUP(AA569,LISTS!$AO$2:$AP$1000,2,FALSE()),"")</f>
        <v/>
      </c>
      <c r="AG569" s="152" t="str">
        <f>IFERROR(VLOOKUP(AB569,LISTS!$AR$2:$AS$1000,2,FALSE()),"")</f>
        <v/>
      </c>
      <c r="AH569" s="154" t="str">
        <f>IFERROR(VLOOKUP(AC569,LISTS!$AU$2:$AV$1000,2,FALSE()),"")</f>
        <v/>
      </c>
      <c r="AI569" s="238" t="str">
        <f t="shared" si="43"/>
        <v>—</v>
      </c>
      <c r="AJ569" s="190" t="str">
        <f t="shared" si="44"/>
        <v>—</v>
      </c>
      <c r="AK569" s="157" t="str">
        <f t="shared" si="45"/>
        <v/>
      </c>
      <c r="AL569" s="160" t="str">
        <f t="shared" si="46"/>
        <v/>
      </c>
      <c r="AM569" s="210"/>
      <c r="AN569" s="209"/>
    </row>
    <row r="570" spans="1:40" ht="27.95" customHeight="1">
      <c r="A570" s="134" t="str">
        <f>IF(I570&lt;&gt;"",COUNTA($I$2:I570),"")</f>
        <v/>
      </c>
      <c r="B570" s="138" t="str">
        <f t="shared" si="47"/>
        <v/>
      </c>
      <c r="C570" s="93" t="str">
        <f t="array" ref="C570">IF(E570="","",IF(M570&lt;&gt;"",
M570&amp;"/"&amp;SUMPRODUCT((M$2:M570=M570)*1)&amp;" - "&amp;(ROW()-2),
"إداري/"&amp;SUMPRODUCT((M$2:M570="")*1)&amp;" - "&amp;(ROW()-2)))</f>
        <v/>
      </c>
      <c r="D570" s="141" t="str">
        <f>IF(AND(G570="",H570="",I570=""),"",IF(COUNTIFS(LISTS!$A$2:$A$67,G570,LISTS!$B$2:$B$67,H570,LISTS!$C$2:$C$67,I570)=0,"✗ هرم",IF(NOT(OR(Z570="ممتاز 100%",Z570="جيد 80%",Z570="مقبول 60%",Z570="خطر 40%",Z570="")),"✗ قائمة R",IF(NOT(OR(AA570="ممتاز 100%",AA570="جيد 85%",AA570="مقبول 70%",AA570="ضعيف 50%",AA570="")),"✗ قائمة S",IF(NOT(OR(AB570="مكتمل 100%",AB570="جزئي 60%",AB570="معلق 30%",AB570="مفتوح 0%",AB570="")),"✗ قائمة T",IF(NOT(OR(AC570="لا خصم 0",AC570="تأخير −5",AC570="عجز −10",AC570="جودة −15",AC570="امتثال −20",AC570="مخالفة −25",AC570="")),"✗ قائمة U",IF(AND(X570="لا",AC570&lt;&gt;"",AC570&lt;&gt;"لا خصم 0"),"✗ خصم",IF(AND(X570="نعم",AC570="لا خصم 0"),"✗ خصم",IF(AND(Z570="ممتاز 100%",AA570="ممتاز 100%",AB570&lt;&gt;"",AB570&lt;&gt;"مكتمل 100%"),"✗ إغلاق",IFERROR(IF(LEN(_xlfn.TEXTJOIN("، ",TRUE,IF(E570="","التاريخ",""),IF(F570="","الوقت",""),IF(G570="","المركز",""),IF(H570="","الدائرة",""),IF(I570="","القسم",""),IF(J570="","المسؤول",""),IF(K570="","نوع النشاط",""),IF(L570="","المشروع",""),IF(N570="","الممول",""),IF(V570="","الموضوع",""),IF(W570="","الملاحظة",""),IF(X570="","مشكلة",""),IF(Y570="","الإجراء",""),IF(Z570="","التنفيذ",""),IF(AA570="","الجودة",""),IF(AB570="","الإغلاق",""),IF(AC570="","الخصم",""),IF(AND(COUNTA($O570:$U570)&gt;0,O570=""),"مدير المشروع",""),IF(AND(COUNTA($O570:$U570)&gt;0,P570=""),"المستفيدين",""),IF(AND(COUNTA($O570:$U570)&gt;0,Q570=""),"المناطق",""),IF(AND(COUNTA($O570:$U570)&gt;0,R570=""),"الميزانية",""),IF(AND(COUNTA($O570:$U570)&gt;0,S570=""),"نسبة الجاهزية",""),IF(AND(COUNTA($O570:$U570)&gt;0,T570=""),"حالة الجاهزية",""),IF(AND(COUNTA($O570:$U570)&gt;0,U570=""),"التوصيات","")))&gt;0,"✗ ناقص: "&amp;_xlfn.TEXTJOIN("، ",TRUE,IF(E570="","التاريخ",""),IF(F570="","الوقت",""),IF(G570="","المركز",""),IF(H570="","الدائرة",""),IF(I570="","القسم",""),IF(J570="","المسؤول",""),IF(K570="","نوع النشاط",""),IF(L570="","المشروع",""),IF(N570="","الممول",""),IF(V570="","الموضوع",""),IF(W570="","الملاحظة",""),IF(X570="","مشكلة",""),IF(Y570="","الإجراء",""),IF(Z570="","التنفيذ",""),IF(AA570="","الجودة",""),IF(AB570="","الإغلاق",""),IF(AC570="","الخصم",""),IF(AND(COUNTA($O570:$U570)&gt;0,O570=""),"مدير المشروع",""),IF(AND(COUNTA($O570:$U570)&gt;0,P570=""),"المستفيدين",""),IF(AND(COUNTA($O570:$U570)&gt;0,Q570=""),"المناطق",""),IF(AND(COUNTA($O570:$U570)&gt;0,R570=""),"الميزانية",""),IF(AND(COUNTA($O570:$U570)&gt;0,S570=""),"نسبة الجاهزية",""),IF(AND(COUNTA($O570:$U570)&gt;0,T570=""),"حالة الجاهزية",""),IF(AND(COUNTA($O570:$U570)&gt;0,U570=""),"التوصيات","")),"✓"),"✓"))))))))))</f>
        <v/>
      </c>
      <c r="E570" s="235"/>
      <c r="F570" s="236"/>
      <c r="G570" s="90"/>
      <c r="H570" s="239"/>
      <c r="I570" s="89"/>
      <c r="J570" s="142"/>
      <c r="K570" s="90"/>
      <c r="L570" s="90"/>
      <c r="M570" s="90"/>
      <c r="N570" s="89"/>
      <c r="O570" s="200"/>
      <c r="P570" s="201"/>
      <c r="Q570" s="201"/>
      <c r="R570" s="237"/>
      <c r="S570" s="202"/>
      <c r="T570" s="200"/>
      <c r="U570" s="203"/>
      <c r="V570" s="89"/>
      <c r="W570" s="89"/>
      <c r="X570" s="145"/>
      <c r="Y570" s="89"/>
      <c r="Z570" s="90"/>
      <c r="AA570" s="90"/>
      <c r="AB570" s="90"/>
      <c r="AC570" s="90"/>
      <c r="AD570" s="92"/>
      <c r="AE570" s="149" t="str">
        <f>IFERROR(VLOOKUP(Z570,LISTS!$AL$2:$AM$1000,2,FALSE()),"")</f>
        <v/>
      </c>
      <c r="AF570" s="151" t="str">
        <f>IFERROR(VLOOKUP(AA570,LISTS!$AO$2:$AP$1000,2,FALSE()),"")</f>
        <v/>
      </c>
      <c r="AG570" s="152" t="str">
        <f>IFERROR(VLOOKUP(AB570,LISTS!$AR$2:$AS$1000,2,FALSE()),"")</f>
        <v/>
      </c>
      <c r="AH570" s="154" t="str">
        <f>IFERROR(VLOOKUP(AC570,LISTS!$AU$2:$AV$1000,2,FALSE()),"")</f>
        <v/>
      </c>
      <c r="AI570" s="238" t="str">
        <f t="shared" si="43"/>
        <v>—</v>
      </c>
      <c r="AJ570" s="190" t="str">
        <f t="shared" si="44"/>
        <v>—</v>
      </c>
      <c r="AK570" s="157" t="str">
        <f t="shared" si="45"/>
        <v/>
      </c>
      <c r="AL570" s="160" t="str">
        <f t="shared" si="46"/>
        <v/>
      </c>
      <c r="AM570" s="210"/>
      <c r="AN570" s="209"/>
    </row>
    <row r="571" spans="1:40" ht="27.95" customHeight="1">
      <c r="A571" s="134" t="str">
        <f>IF(I571&lt;&gt;"",COUNTA($I$2:I571),"")</f>
        <v/>
      </c>
      <c r="B571" s="138" t="str">
        <f t="shared" si="47"/>
        <v/>
      </c>
      <c r="C571" s="93" t="str">
        <f t="array" ref="C571">IF(E571="","",IF(M571&lt;&gt;"",
M571&amp;"/"&amp;SUMPRODUCT((M$2:M571=M571)*1)&amp;" - "&amp;(ROW()-2),
"إداري/"&amp;SUMPRODUCT((M$2:M571="")*1)&amp;" - "&amp;(ROW()-2)))</f>
        <v/>
      </c>
      <c r="D571" s="141" t="str">
        <f>IF(AND(G571="",H571="",I571=""),"",IF(COUNTIFS(LISTS!$A$2:$A$67,G571,LISTS!$B$2:$B$67,H571,LISTS!$C$2:$C$67,I571)=0,"✗ هرم",IF(NOT(OR(Z571="ممتاز 100%",Z571="جيد 80%",Z571="مقبول 60%",Z571="خطر 40%",Z571="")),"✗ قائمة R",IF(NOT(OR(AA571="ممتاز 100%",AA571="جيد 85%",AA571="مقبول 70%",AA571="ضعيف 50%",AA571="")),"✗ قائمة S",IF(NOT(OR(AB571="مكتمل 100%",AB571="جزئي 60%",AB571="معلق 30%",AB571="مفتوح 0%",AB571="")),"✗ قائمة T",IF(NOT(OR(AC571="لا خصم 0",AC571="تأخير −5",AC571="عجز −10",AC571="جودة −15",AC571="امتثال −20",AC571="مخالفة −25",AC571="")),"✗ قائمة U",IF(AND(X571="لا",AC571&lt;&gt;"",AC571&lt;&gt;"لا خصم 0"),"✗ خصم",IF(AND(X571="نعم",AC571="لا خصم 0"),"✗ خصم",IF(AND(Z571="ممتاز 100%",AA571="ممتاز 100%",AB571&lt;&gt;"",AB571&lt;&gt;"مكتمل 100%"),"✗ إغلاق",IFERROR(IF(LEN(_xlfn.TEXTJOIN("، ",TRUE,IF(E571="","التاريخ",""),IF(F571="","الوقت",""),IF(G571="","المركز",""),IF(H571="","الدائرة",""),IF(I571="","القسم",""),IF(J571="","المسؤول",""),IF(K571="","نوع النشاط",""),IF(L571="","المشروع",""),IF(N571="","الممول",""),IF(V571="","الموضوع",""),IF(W571="","الملاحظة",""),IF(X571="","مشكلة",""),IF(Y571="","الإجراء",""),IF(Z571="","التنفيذ",""),IF(AA571="","الجودة",""),IF(AB571="","الإغلاق",""),IF(AC571="","الخصم",""),IF(AND(COUNTA($O571:$U571)&gt;0,O571=""),"مدير المشروع",""),IF(AND(COUNTA($O571:$U571)&gt;0,P571=""),"المستفيدين",""),IF(AND(COUNTA($O571:$U571)&gt;0,Q571=""),"المناطق",""),IF(AND(COUNTA($O571:$U571)&gt;0,R571=""),"الميزانية",""),IF(AND(COUNTA($O571:$U571)&gt;0,S571=""),"نسبة الجاهزية",""),IF(AND(COUNTA($O571:$U571)&gt;0,T571=""),"حالة الجاهزية",""),IF(AND(COUNTA($O571:$U571)&gt;0,U571=""),"التوصيات","")))&gt;0,"✗ ناقص: "&amp;_xlfn.TEXTJOIN("، ",TRUE,IF(E571="","التاريخ",""),IF(F571="","الوقت",""),IF(G571="","المركز",""),IF(H571="","الدائرة",""),IF(I571="","القسم",""),IF(J571="","المسؤول",""),IF(K571="","نوع النشاط",""),IF(L571="","المشروع",""),IF(N571="","الممول",""),IF(V571="","الموضوع",""),IF(W571="","الملاحظة",""),IF(X571="","مشكلة",""),IF(Y571="","الإجراء",""),IF(Z571="","التنفيذ",""),IF(AA571="","الجودة",""),IF(AB571="","الإغلاق",""),IF(AC571="","الخصم",""),IF(AND(COUNTA($O571:$U571)&gt;0,O571=""),"مدير المشروع",""),IF(AND(COUNTA($O571:$U571)&gt;0,P571=""),"المستفيدين",""),IF(AND(COUNTA($O571:$U571)&gt;0,Q571=""),"المناطق",""),IF(AND(COUNTA($O571:$U571)&gt;0,R571=""),"الميزانية",""),IF(AND(COUNTA($O571:$U571)&gt;0,S571=""),"نسبة الجاهزية",""),IF(AND(COUNTA($O571:$U571)&gt;0,T571=""),"حالة الجاهزية",""),IF(AND(COUNTA($O571:$U571)&gt;0,U571=""),"التوصيات","")),"✓"),"✓"))))))))))</f>
        <v/>
      </c>
      <c r="E571" s="235"/>
      <c r="F571" s="236"/>
      <c r="G571" s="90"/>
      <c r="H571" s="239"/>
      <c r="I571" s="89"/>
      <c r="J571" s="142"/>
      <c r="K571" s="90"/>
      <c r="L571" s="90"/>
      <c r="M571" s="90"/>
      <c r="N571" s="89"/>
      <c r="O571" s="200"/>
      <c r="P571" s="201"/>
      <c r="Q571" s="201"/>
      <c r="R571" s="237"/>
      <c r="S571" s="202"/>
      <c r="T571" s="200"/>
      <c r="U571" s="203"/>
      <c r="V571" s="89"/>
      <c r="W571" s="89"/>
      <c r="X571" s="145"/>
      <c r="Y571" s="89"/>
      <c r="Z571" s="90"/>
      <c r="AA571" s="90"/>
      <c r="AB571" s="90"/>
      <c r="AC571" s="90"/>
      <c r="AD571" s="92"/>
      <c r="AE571" s="149" t="str">
        <f>IFERROR(VLOOKUP(Z571,LISTS!$AL$2:$AM$1000,2,FALSE()),"")</f>
        <v/>
      </c>
      <c r="AF571" s="151" t="str">
        <f>IFERROR(VLOOKUP(AA571,LISTS!$AO$2:$AP$1000,2,FALSE()),"")</f>
        <v/>
      </c>
      <c r="AG571" s="152" t="str">
        <f>IFERROR(VLOOKUP(AB571,LISTS!$AR$2:$AS$1000,2,FALSE()),"")</f>
        <v/>
      </c>
      <c r="AH571" s="154" t="str">
        <f>IFERROR(VLOOKUP(AC571,LISTS!$AU$2:$AV$1000,2,FALSE()),"")</f>
        <v/>
      </c>
      <c r="AI571" s="238" t="str">
        <f t="shared" si="43"/>
        <v>—</v>
      </c>
      <c r="AJ571" s="190" t="str">
        <f t="shared" si="44"/>
        <v>—</v>
      </c>
      <c r="AK571" s="157" t="str">
        <f t="shared" si="45"/>
        <v/>
      </c>
      <c r="AL571" s="160" t="str">
        <f t="shared" si="46"/>
        <v/>
      </c>
      <c r="AM571" s="210"/>
      <c r="AN571" s="209"/>
    </row>
    <row r="572" spans="1:40" ht="27.95" customHeight="1">
      <c r="A572" s="134" t="str">
        <f>IF(I572&lt;&gt;"",COUNTA($I$2:I572),"")</f>
        <v/>
      </c>
      <c r="B572" s="138" t="str">
        <f t="shared" si="47"/>
        <v/>
      </c>
      <c r="C572" s="93" t="str">
        <f t="array" ref="C572">IF(E572="","",IF(M572&lt;&gt;"",
M572&amp;"/"&amp;SUMPRODUCT((M$2:M572=M572)*1)&amp;" - "&amp;(ROW()-2),
"إداري/"&amp;SUMPRODUCT((M$2:M572="")*1)&amp;" - "&amp;(ROW()-2)))</f>
        <v/>
      </c>
      <c r="D572" s="141" t="str">
        <f>IF(AND(G572="",H572="",I572=""),"",IF(COUNTIFS(LISTS!$A$2:$A$67,G572,LISTS!$B$2:$B$67,H572,LISTS!$C$2:$C$67,I572)=0,"✗ هرم",IF(NOT(OR(Z572="ممتاز 100%",Z572="جيد 80%",Z572="مقبول 60%",Z572="خطر 40%",Z572="")),"✗ قائمة R",IF(NOT(OR(AA572="ممتاز 100%",AA572="جيد 85%",AA572="مقبول 70%",AA572="ضعيف 50%",AA572="")),"✗ قائمة S",IF(NOT(OR(AB572="مكتمل 100%",AB572="جزئي 60%",AB572="معلق 30%",AB572="مفتوح 0%",AB572="")),"✗ قائمة T",IF(NOT(OR(AC572="لا خصم 0",AC572="تأخير −5",AC572="عجز −10",AC572="جودة −15",AC572="امتثال −20",AC572="مخالفة −25",AC572="")),"✗ قائمة U",IF(AND(X572="لا",AC572&lt;&gt;"",AC572&lt;&gt;"لا خصم 0"),"✗ خصم",IF(AND(X572="نعم",AC572="لا خصم 0"),"✗ خصم",IF(AND(Z572="ممتاز 100%",AA572="ممتاز 100%",AB572&lt;&gt;"",AB572&lt;&gt;"مكتمل 100%"),"✗ إغلاق",IFERROR(IF(LEN(_xlfn.TEXTJOIN("، ",TRUE,IF(E572="","التاريخ",""),IF(F572="","الوقت",""),IF(G572="","المركز",""),IF(H572="","الدائرة",""),IF(I572="","القسم",""),IF(J572="","المسؤول",""),IF(K572="","نوع النشاط",""),IF(L572="","المشروع",""),IF(N572="","الممول",""),IF(V572="","الموضوع",""),IF(W572="","الملاحظة",""),IF(X572="","مشكلة",""),IF(Y572="","الإجراء",""),IF(Z572="","التنفيذ",""),IF(AA572="","الجودة",""),IF(AB572="","الإغلاق",""),IF(AC572="","الخصم",""),IF(AND(COUNTA($O572:$U572)&gt;0,O572=""),"مدير المشروع",""),IF(AND(COUNTA($O572:$U572)&gt;0,P572=""),"المستفيدين",""),IF(AND(COUNTA($O572:$U572)&gt;0,Q572=""),"المناطق",""),IF(AND(COUNTA($O572:$U572)&gt;0,R572=""),"الميزانية",""),IF(AND(COUNTA($O572:$U572)&gt;0,S572=""),"نسبة الجاهزية",""),IF(AND(COUNTA($O572:$U572)&gt;0,T572=""),"حالة الجاهزية",""),IF(AND(COUNTA($O572:$U572)&gt;0,U572=""),"التوصيات","")))&gt;0,"✗ ناقص: "&amp;_xlfn.TEXTJOIN("، ",TRUE,IF(E572="","التاريخ",""),IF(F572="","الوقت",""),IF(G572="","المركز",""),IF(H572="","الدائرة",""),IF(I572="","القسم",""),IF(J572="","المسؤول",""),IF(K572="","نوع النشاط",""),IF(L572="","المشروع",""),IF(N572="","الممول",""),IF(V572="","الموضوع",""),IF(W572="","الملاحظة",""),IF(X572="","مشكلة",""),IF(Y572="","الإجراء",""),IF(Z572="","التنفيذ",""),IF(AA572="","الجودة",""),IF(AB572="","الإغلاق",""),IF(AC572="","الخصم",""),IF(AND(COUNTA($O572:$U572)&gt;0,O572=""),"مدير المشروع",""),IF(AND(COUNTA($O572:$U572)&gt;0,P572=""),"المستفيدين",""),IF(AND(COUNTA($O572:$U572)&gt;0,Q572=""),"المناطق",""),IF(AND(COUNTA($O572:$U572)&gt;0,R572=""),"الميزانية",""),IF(AND(COUNTA($O572:$U572)&gt;0,S572=""),"نسبة الجاهزية",""),IF(AND(COUNTA($O572:$U572)&gt;0,T572=""),"حالة الجاهزية",""),IF(AND(COUNTA($O572:$U572)&gt;0,U572=""),"التوصيات","")),"✓"),"✓"))))))))))</f>
        <v/>
      </c>
      <c r="E572" s="235"/>
      <c r="F572" s="236"/>
      <c r="G572" s="90"/>
      <c r="H572" s="239"/>
      <c r="I572" s="89"/>
      <c r="J572" s="142"/>
      <c r="K572" s="90"/>
      <c r="L572" s="90"/>
      <c r="M572" s="90"/>
      <c r="N572" s="89"/>
      <c r="O572" s="200"/>
      <c r="P572" s="201"/>
      <c r="Q572" s="201"/>
      <c r="R572" s="237"/>
      <c r="S572" s="202"/>
      <c r="T572" s="200"/>
      <c r="U572" s="203"/>
      <c r="V572" s="89"/>
      <c r="W572" s="89"/>
      <c r="X572" s="145"/>
      <c r="Y572" s="89"/>
      <c r="Z572" s="90"/>
      <c r="AA572" s="90"/>
      <c r="AB572" s="90"/>
      <c r="AC572" s="90"/>
      <c r="AD572" s="92"/>
      <c r="AE572" s="149" t="str">
        <f>IFERROR(VLOOKUP(Z572,LISTS!$AL$2:$AM$1000,2,FALSE()),"")</f>
        <v/>
      </c>
      <c r="AF572" s="151" t="str">
        <f>IFERROR(VLOOKUP(AA572,LISTS!$AO$2:$AP$1000,2,FALSE()),"")</f>
        <v/>
      </c>
      <c r="AG572" s="152" t="str">
        <f>IFERROR(VLOOKUP(AB572,LISTS!$AR$2:$AS$1000,2,FALSE()),"")</f>
        <v/>
      </c>
      <c r="AH572" s="154" t="str">
        <f>IFERROR(VLOOKUP(AC572,LISTS!$AU$2:$AV$1000,2,FALSE()),"")</f>
        <v/>
      </c>
      <c r="AI572" s="238" t="str">
        <f t="shared" si="43"/>
        <v>—</v>
      </c>
      <c r="AJ572" s="190" t="str">
        <f t="shared" si="44"/>
        <v>—</v>
      </c>
      <c r="AK572" s="157" t="str">
        <f t="shared" si="45"/>
        <v/>
      </c>
      <c r="AL572" s="160" t="str">
        <f t="shared" si="46"/>
        <v/>
      </c>
      <c r="AM572" s="210"/>
      <c r="AN572" s="209"/>
    </row>
    <row r="573" spans="1:40" ht="27.95" customHeight="1">
      <c r="A573" s="134" t="str">
        <f>IF(I573&lt;&gt;"",COUNTA($I$2:I573),"")</f>
        <v/>
      </c>
      <c r="B573" s="138" t="str">
        <f t="shared" si="47"/>
        <v/>
      </c>
      <c r="C573" s="93" t="str">
        <f t="array" ref="C573">IF(E573="","",IF(M573&lt;&gt;"",
M573&amp;"/"&amp;SUMPRODUCT((M$2:M573=M573)*1)&amp;" - "&amp;(ROW()-2),
"إداري/"&amp;SUMPRODUCT((M$2:M573="")*1)&amp;" - "&amp;(ROW()-2)))</f>
        <v/>
      </c>
      <c r="D573" s="141" t="str">
        <f>IF(AND(G573="",H573="",I573=""),"",IF(COUNTIFS(LISTS!$A$2:$A$67,G573,LISTS!$B$2:$B$67,H573,LISTS!$C$2:$C$67,I573)=0,"✗ هرم",IF(NOT(OR(Z573="ممتاز 100%",Z573="جيد 80%",Z573="مقبول 60%",Z573="خطر 40%",Z573="")),"✗ قائمة R",IF(NOT(OR(AA573="ممتاز 100%",AA573="جيد 85%",AA573="مقبول 70%",AA573="ضعيف 50%",AA573="")),"✗ قائمة S",IF(NOT(OR(AB573="مكتمل 100%",AB573="جزئي 60%",AB573="معلق 30%",AB573="مفتوح 0%",AB573="")),"✗ قائمة T",IF(NOT(OR(AC573="لا خصم 0",AC573="تأخير −5",AC573="عجز −10",AC573="جودة −15",AC573="امتثال −20",AC573="مخالفة −25",AC573="")),"✗ قائمة U",IF(AND(X573="لا",AC573&lt;&gt;"",AC573&lt;&gt;"لا خصم 0"),"✗ خصم",IF(AND(X573="نعم",AC573="لا خصم 0"),"✗ خصم",IF(AND(Z573="ممتاز 100%",AA573="ممتاز 100%",AB573&lt;&gt;"",AB573&lt;&gt;"مكتمل 100%"),"✗ إغلاق",IFERROR(IF(LEN(_xlfn.TEXTJOIN("، ",TRUE,IF(E573="","التاريخ",""),IF(F573="","الوقت",""),IF(G573="","المركز",""),IF(H573="","الدائرة",""),IF(I573="","القسم",""),IF(J573="","المسؤول",""),IF(K573="","نوع النشاط",""),IF(L573="","المشروع",""),IF(N573="","الممول",""),IF(V573="","الموضوع",""),IF(W573="","الملاحظة",""),IF(X573="","مشكلة",""),IF(Y573="","الإجراء",""),IF(Z573="","التنفيذ",""),IF(AA573="","الجودة",""),IF(AB573="","الإغلاق",""),IF(AC573="","الخصم",""),IF(AND(COUNTA($O573:$U573)&gt;0,O573=""),"مدير المشروع",""),IF(AND(COUNTA($O573:$U573)&gt;0,P573=""),"المستفيدين",""),IF(AND(COUNTA($O573:$U573)&gt;0,Q573=""),"المناطق",""),IF(AND(COUNTA($O573:$U573)&gt;0,R573=""),"الميزانية",""),IF(AND(COUNTA($O573:$U573)&gt;0,S573=""),"نسبة الجاهزية",""),IF(AND(COUNTA($O573:$U573)&gt;0,T573=""),"حالة الجاهزية",""),IF(AND(COUNTA($O573:$U573)&gt;0,U573=""),"التوصيات","")))&gt;0,"✗ ناقص: "&amp;_xlfn.TEXTJOIN("، ",TRUE,IF(E573="","التاريخ",""),IF(F573="","الوقت",""),IF(G573="","المركز",""),IF(H573="","الدائرة",""),IF(I573="","القسم",""),IF(J573="","المسؤول",""),IF(K573="","نوع النشاط",""),IF(L573="","المشروع",""),IF(N573="","الممول",""),IF(V573="","الموضوع",""),IF(W573="","الملاحظة",""),IF(X573="","مشكلة",""),IF(Y573="","الإجراء",""),IF(Z573="","التنفيذ",""),IF(AA573="","الجودة",""),IF(AB573="","الإغلاق",""),IF(AC573="","الخصم",""),IF(AND(COUNTA($O573:$U573)&gt;0,O573=""),"مدير المشروع",""),IF(AND(COUNTA($O573:$U573)&gt;0,P573=""),"المستفيدين",""),IF(AND(COUNTA($O573:$U573)&gt;0,Q573=""),"المناطق",""),IF(AND(COUNTA($O573:$U573)&gt;0,R573=""),"الميزانية",""),IF(AND(COUNTA($O573:$U573)&gt;0,S573=""),"نسبة الجاهزية",""),IF(AND(COUNTA($O573:$U573)&gt;0,T573=""),"حالة الجاهزية",""),IF(AND(COUNTA($O573:$U573)&gt;0,U573=""),"التوصيات","")),"✓"),"✓"))))))))))</f>
        <v/>
      </c>
      <c r="E573" s="235"/>
      <c r="F573" s="236"/>
      <c r="G573" s="90"/>
      <c r="H573" s="239"/>
      <c r="I573" s="89"/>
      <c r="J573" s="142"/>
      <c r="K573" s="90"/>
      <c r="L573" s="90"/>
      <c r="M573" s="90"/>
      <c r="N573" s="89"/>
      <c r="O573" s="200"/>
      <c r="P573" s="201"/>
      <c r="Q573" s="201"/>
      <c r="R573" s="237"/>
      <c r="S573" s="202"/>
      <c r="T573" s="200"/>
      <c r="U573" s="203"/>
      <c r="V573" s="89"/>
      <c r="W573" s="89"/>
      <c r="X573" s="145"/>
      <c r="Y573" s="89"/>
      <c r="Z573" s="90"/>
      <c r="AA573" s="90"/>
      <c r="AB573" s="90"/>
      <c r="AC573" s="90"/>
      <c r="AD573" s="92"/>
      <c r="AE573" s="149" t="str">
        <f>IFERROR(VLOOKUP(Z573,LISTS!$AL$2:$AM$1000,2,FALSE()),"")</f>
        <v/>
      </c>
      <c r="AF573" s="151" t="str">
        <f>IFERROR(VLOOKUP(AA573,LISTS!$AO$2:$AP$1000,2,FALSE()),"")</f>
        <v/>
      </c>
      <c r="AG573" s="152" t="str">
        <f>IFERROR(VLOOKUP(AB573,LISTS!$AR$2:$AS$1000,2,FALSE()),"")</f>
        <v/>
      </c>
      <c r="AH573" s="154" t="str">
        <f>IFERROR(VLOOKUP(AC573,LISTS!$AU$2:$AV$1000,2,FALSE()),"")</f>
        <v/>
      </c>
      <c r="AI573" s="238" t="str">
        <f t="shared" si="43"/>
        <v>—</v>
      </c>
      <c r="AJ573" s="190" t="str">
        <f t="shared" si="44"/>
        <v>—</v>
      </c>
      <c r="AK573" s="157" t="str">
        <f t="shared" si="45"/>
        <v/>
      </c>
      <c r="AL573" s="160" t="str">
        <f t="shared" si="46"/>
        <v/>
      </c>
      <c r="AM573" s="210"/>
      <c r="AN573" s="209"/>
    </row>
    <row r="574" spans="1:40" ht="27.95" customHeight="1">
      <c r="A574" s="134" t="str">
        <f>IF(I574&lt;&gt;"",COUNTA($I$2:I574),"")</f>
        <v/>
      </c>
      <c r="B574" s="138" t="str">
        <f t="shared" si="47"/>
        <v/>
      </c>
      <c r="C574" s="93" t="str">
        <f t="array" ref="C574">IF(E574="","",IF(M574&lt;&gt;"",
M574&amp;"/"&amp;SUMPRODUCT((M$2:M574=M574)*1)&amp;" - "&amp;(ROW()-2),
"إداري/"&amp;SUMPRODUCT((M$2:M574="")*1)&amp;" - "&amp;(ROW()-2)))</f>
        <v/>
      </c>
      <c r="D574" s="141" t="str">
        <f>IF(AND(G574="",H574="",I574=""),"",IF(COUNTIFS(LISTS!$A$2:$A$67,G574,LISTS!$B$2:$B$67,H574,LISTS!$C$2:$C$67,I574)=0,"✗ هرم",IF(NOT(OR(Z574="ممتاز 100%",Z574="جيد 80%",Z574="مقبول 60%",Z574="خطر 40%",Z574="")),"✗ قائمة R",IF(NOT(OR(AA574="ممتاز 100%",AA574="جيد 85%",AA574="مقبول 70%",AA574="ضعيف 50%",AA574="")),"✗ قائمة S",IF(NOT(OR(AB574="مكتمل 100%",AB574="جزئي 60%",AB574="معلق 30%",AB574="مفتوح 0%",AB574="")),"✗ قائمة T",IF(NOT(OR(AC574="لا خصم 0",AC574="تأخير −5",AC574="عجز −10",AC574="جودة −15",AC574="امتثال −20",AC574="مخالفة −25",AC574="")),"✗ قائمة U",IF(AND(X574="لا",AC574&lt;&gt;"",AC574&lt;&gt;"لا خصم 0"),"✗ خصم",IF(AND(X574="نعم",AC574="لا خصم 0"),"✗ خصم",IF(AND(Z574="ممتاز 100%",AA574="ممتاز 100%",AB574&lt;&gt;"",AB574&lt;&gt;"مكتمل 100%"),"✗ إغلاق",IFERROR(IF(LEN(_xlfn.TEXTJOIN("، ",TRUE,IF(E574="","التاريخ",""),IF(F574="","الوقت",""),IF(G574="","المركز",""),IF(H574="","الدائرة",""),IF(I574="","القسم",""),IF(J574="","المسؤول",""),IF(K574="","نوع النشاط",""),IF(L574="","المشروع",""),IF(N574="","الممول",""),IF(V574="","الموضوع",""),IF(W574="","الملاحظة",""),IF(X574="","مشكلة",""),IF(Y574="","الإجراء",""),IF(Z574="","التنفيذ",""),IF(AA574="","الجودة",""),IF(AB574="","الإغلاق",""),IF(AC574="","الخصم",""),IF(AND(COUNTA($O574:$U574)&gt;0,O574=""),"مدير المشروع",""),IF(AND(COUNTA($O574:$U574)&gt;0,P574=""),"المستفيدين",""),IF(AND(COUNTA($O574:$U574)&gt;0,Q574=""),"المناطق",""),IF(AND(COUNTA($O574:$U574)&gt;0,R574=""),"الميزانية",""),IF(AND(COUNTA($O574:$U574)&gt;0,S574=""),"نسبة الجاهزية",""),IF(AND(COUNTA($O574:$U574)&gt;0,T574=""),"حالة الجاهزية",""),IF(AND(COUNTA($O574:$U574)&gt;0,U574=""),"التوصيات","")))&gt;0,"✗ ناقص: "&amp;_xlfn.TEXTJOIN("، ",TRUE,IF(E574="","التاريخ",""),IF(F574="","الوقت",""),IF(G574="","المركز",""),IF(H574="","الدائرة",""),IF(I574="","القسم",""),IF(J574="","المسؤول",""),IF(K574="","نوع النشاط",""),IF(L574="","المشروع",""),IF(N574="","الممول",""),IF(V574="","الموضوع",""),IF(W574="","الملاحظة",""),IF(X574="","مشكلة",""),IF(Y574="","الإجراء",""),IF(Z574="","التنفيذ",""),IF(AA574="","الجودة",""),IF(AB574="","الإغلاق",""),IF(AC574="","الخصم",""),IF(AND(COUNTA($O574:$U574)&gt;0,O574=""),"مدير المشروع",""),IF(AND(COUNTA($O574:$U574)&gt;0,P574=""),"المستفيدين",""),IF(AND(COUNTA($O574:$U574)&gt;0,Q574=""),"المناطق",""),IF(AND(COUNTA($O574:$U574)&gt;0,R574=""),"الميزانية",""),IF(AND(COUNTA($O574:$U574)&gt;0,S574=""),"نسبة الجاهزية",""),IF(AND(COUNTA($O574:$U574)&gt;0,T574=""),"حالة الجاهزية",""),IF(AND(COUNTA($O574:$U574)&gt;0,U574=""),"التوصيات","")),"✓"),"✓"))))))))))</f>
        <v/>
      </c>
      <c r="E574" s="235"/>
      <c r="F574" s="236"/>
      <c r="G574" s="90"/>
      <c r="H574" s="239"/>
      <c r="I574" s="89"/>
      <c r="J574" s="142"/>
      <c r="K574" s="90"/>
      <c r="L574" s="90"/>
      <c r="M574" s="90"/>
      <c r="N574" s="89"/>
      <c r="O574" s="200"/>
      <c r="P574" s="201"/>
      <c r="Q574" s="201"/>
      <c r="R574" s="237"/>
      <c r="S574" s="202"/>
      <c r="T574" s="200"/>
      <c r="U574" s="203"/>
      <c r="V574" s="89"/>
      <c r="W574" s="89"/>
      <c r="X574" s="145"/>
      <c r="Y574" s="89"/>
      <c r="Z574" s="90"/>
      <c r="AA574" s="90"/>
      <c r="AB574" s="90"/>
      <c r="AC574" s="90"/>
      <c r="AD574" s="92"/>
      <c r="AE574" s="149" t="str">
        <f>IFERROR(VLOOKUP(Z574,LISTS!$AL$2:$AM$1000,2,FALSE()),"")</f>
        <v/>
      </c>
      <c r="AF574" s="151" t="str">
        <f>IFERROR(VLOOKUP(AA574,LISTS!$AO$2:$AP$1000,2,FALSE()),"")</f>
        <v/>
      </c>
      <c r="AG574" s="152" t="str">
        <f>IFERROR(VLOOKUP(AB574,LISTS!$AR$2:$AS$1000,2,FALSE()),"")</f>
        <v/>
      </c>
      <c r="AH574" s="154" t="str">
        <f>IFERROR(VLOOKUP(AC574,LISTS!$AU$2:$AV$1000,2,FALSE()),"")</f>
        <v/>
      </c>
      <c r="AI574" s="238" t="str">
        <f t="shared" si="43"/>
        <v>—</v>
      </c>
      <c r="AJ574" s="190" t="str">
        <f t="shared" si="44"/>
        <v>—</v>
      </c>
      <c r="AK574" s="157" t="str">
        <f t="shared" si="45"/>
        <v/>
      </c>
      <c r="AL574" s="160" t="str">
        <f t="shared" si="46"/>
        <v/>
      </c>
      <c r="AM574" s="210"/>
      <c r="AN574" s="209"/>
    </row>
    <row r="575" spans="1:40" ht="27.95" customHeight="1">
      <c r="A575" s="134" t="str">
        <f>IF(I575&lt;&gt;"",COUNTA($I$2:I575),"")</f>
        <v/>
      </c>
      <c r="B575" s="138" t="str">
        <f t="shared" si="47"/>
        <v/>
      </c>
      <c r="C575" s="93" t="str">
        <f t="array" ref="C575">IF(E575="","",IF(M575&lt;&gt;"",
M575&amp;"/"&amp;SUMPRODUCT((M$2:M575=M575)*1)&amp;" - "&amp;(ROW()-2),
"إداري/"&amp;SUMPRODUCT((M$2:M575="")*1)&amp;" - "&amp;(ROW()-2)))</f>
        <v/>
      </c>
      <c r="D575" s="141" t="str">
        <f>IF(AND(G575="",H575="",I575=""),"",IF(COUNTIFS(LISTS!$A$2:$A$67,G575,LISTS!$B$2:$B$67,H575,LISTS!$C$2:$C$67,I575)=0,"✗ هرم",IF(NOT(OR(Z575="ممتاز 100%",Z575="جيد 80%",Z575="مقبول 60%",Z575="خطر 40%",Z575="")),"✗ قائمة R",IF(NOT(OR(AA575="ممتاز 100%",AA575="جيد 85%",AA575="مقبول 70%",AA575="ضعيف 50%",AA575="")),"✗ قائمة S",IF(NOT(OR(AB575="مكتمل 100%",AB575="جزئي 60%",AB575="معلق 30%",AB575="مفتوح 0%",AB575="")),"✗ قائمة T",IF(NOT(OR(AC575="لا خصم 0",AC575="تأخير −5",AC575="عجز −10",AC575="جودة −15",AC575="امتثال −20",AC575="مخالفة −25",AC575="")),"✗ قائمة U",IF(AND(X575="لا",AC575&lt;&gt;"",AC575&lt;&gt;"لا خصم 0"),"✗ خصم",IF(AND(X575="نعم",AC575="لا خصم 0"),"✗ خصم",IF(AND(Z575="ممتاز 100%",AA575="ممتاز 100%",AB575&lt;&gt;"",AB575&lt;&gt;"مكتمل 100%"),"✗ إغلاق",IFERROR(IF(LEN(_xlfn.TEXTJOIN("، ",TRUE,IF(E575="","التاريخ",""),IF(F575="","الوقت",""),IF(G575="","المركز",""),IF(H575="","الدائرة",""),IF(I575="","القسم",""),IF(J575="","المسؤول",""),IF(K575="","نوع النشاط",""),IF(L575="","المشروع",""),IF(N575="","الممول",""),IF(V575="","الموضوع",""),IF(W575="","الملاحظة",""),IF(X575="","مشكلة",""),IF(Y575="","الإجراء",""),IF(Z575="","التنفيذ",""),IF(AA575="","الجودة",""),IF(AB575="","الإغلاق",""),IF(AC575="","الخصم",""),IF(AND(COUNTA($O575:$U575)&gt;0,O575=""),"مدير المشروع",""),IF(AND(COUNTA($O575:$U575)&gt;0,P575=""),"المستفيدين",""),IF(AND(COUNTA($O575:$U575)&gt;0,Q575=""),"المناطق",""),IF(AND(COUNTA($O575:$U575)&gt;0,R575=""),"الميزانية",""),IF(AND(COUNTA($O575:$U575)&gt;0,S575=""),"نسبة الجاهزية",""),IF(AND(COUNTA($O575:$U575)&gt;0,T575=""),"حالة الجاهزية",""),IF(AND(COUNTA($O575:$U575)&gt;0,U575=""),"التوصيات","")))&gt;0,"✗ ناقص: "&amp;_xlfn.TEXTJOIN("، ",TRUE,IF(E575="","التاريخ",""),IF(F575="","الوقت",""),IF(G575="","المركز",""),IF(H575="","الدائرة",""),IF(I575="","القسم",""),IF(J575="","المسؤول",""),IF(K575="","نوع النشاط",""),IF(L575="","المشروع",""),IF(N575="","الممول",""),IF(V575="","الموضوع",""),IF(W575="","الملاحظة",""),IF(X575="","مشكلة",""),IF(Y575="","الإجراء",""),IF(Z575="","التنفيذ",""),IF(AA575="","الجودة",""),IF(AB575="","الإغلاق",""),IF(AC575="","الخصم",""),IF(AND(COUNTA($O575:$U575)&gt;0,O575=""),"مدير المشروع",""),IF(AND(COUNTA($O575:$U575)&gt;0,P575=""),"المستفيدين",""),IF(AND(COUNTA($O575:$U575)&gt;0,Q575=""),"المناطق",""),IF(AND(COUNTA($O575:$U575)&gt;0,R575=""),"الميزانية",""),IF(AND(COUNTA($O575:$U575)&gt;0,S575=""),"نسبة الجاهزية",""),IF(AND(COUNTA($O575:$U575)&gt;0,T575=""),"حالة الجاهزية",""),IF(AND(COUNTA($O575:$U575)&gt;0,U575=""),"التوصيات","")),"✓"),"✓"))))))))))</f>
        <v/>
      </c>
      <c r="E575" s="235"/>
      <c r="F575" s="236"/>
      <c r="G575" s="90"/>
      <c r="H575" s="239"/>
      <c r="I575" s="89"/>
      <c r="J575" s="142"/>
      <c r="K575" s="90"/>
      <c r="L575" s="90"/>
      <c r="M575" s="90"/>
      <c r="N575" s="89"/>
      <c r="O575" s="200"/>
      <c r="P575" s="201"/>
      <c r="Q575" s="201"/>
      <c r="R575" s="237"/>
      <c r="S575" s="202"/>
      <c r="T575" s="200"/>
      <c r="U575" s="203"/>
      <c r="V575" s="89"/>
      <c r="W575" s="89"/>
      <c r="X575" s="145"/>
      <c r="Y575" s="89"/>
      <c r="Z575" s="90"/>
      <c r="AA575" s="90"/>
      <c r="AB575" s="90"/>
      <c r="AC575" s="90"/>
      <c r="AD575" s="92"/>
      <c r="AE575" s="149" t="str">
        <f>IFERROR(VLOOKUP(Z575,LISTS!$AL$2:$AM$1000,2,FALSE()),"")</f>
        <v/>
      </c>
      <c r="AF575" s="151" t="str">
        <f>IFERROR(VLOOKUP(AA575,LISTS!$AO$2:$AP$1000,2,FALSE()),"")</f>
        <v/>
      </c>
      <c r="AG575" s="152" t="str">
        <f>IFERROR(VLOOKUP(AB575,LISTS!$AR$2:$AS$1000,2,FALSE()),"")</f>
        <v/>
      </c>
      <c r="AH575" s="154" t="str">
        <f>IFERROR(VLOOKUP(AC575,LISTS!$AU$2:$AV$1000,2,FALSE()),"")</f>
        <v/>
      </c>
      <c r="AI575" s="238" t="str">
        <f t="shared" si="43"/>
        <v>—</v>
      </c>
      <c r="AJ575" s="190" t="str">
        <f t="shared" si="44"/>
        <v>—</v>
      </c>
      <c r="AK575" s="157" t="str">
        <f t="shared" si="45"/>
        <v/>
      </c>
      <c r="AL575" s="160" t="str">
        <f t="shared" si="46"/>
        <v/>
      </c>
      <c r="AM575" s="210"/>
      <c r="AN575" s="209"/>
    </row>
    <row r="576" spans="1:40" ht="27.95" customHeight="1">
      <c r="A576" s="134" t="str">
        <f>IF(I576&lt;&gt;"",COUNTA($I$2:I576),"")</f>
        <v/>
      </c>
      <c r="B576" s="138" t="str">
        <f t="shared" si="47"/>
        <v/>
      </c>
      <c r="C576" s="93" t="str">
        <f t="array" ref="C576">IF(E576="","",IF(M576&lt;&gt;"",
M576&amp;"/"&amp;SUMPRODUCT((M$2:M576=M576)*1)&amp;" - "&amp;(ROW()-2),
"إداري/"&amp;SUMPRODUCT((M$2:M576="")*1)&amp;" - "&amp;(ROW()-2)))</f>
        <v/>
      </c>
      <c r="D576" s="141" t="str">
        <f>IF(AND(G576="",H576="",I576=""),"",IF(COUNTIFS(LISTS!$A$2:$A$67,G576,LISTS!$B$2:$B$67,H576,LISTS!$C$2:$C$67,I576)=0,"✗ هرم",IF(NOT(OR(Z576="ممتاز 100%",Z576="جيد 80%",Z576="مقبول 60%",Z576="خطر 40%",Z576="")),"✗ قائمة R",IF(NOT(OR(AA576="ممتاز 100%",AA576="جيد 85%",AA576="مقبول 70%",AA576="ضعيف 50%",AA576="")),"✗ قائمة S",IF(NOT(OR(AB576="مكتمل 100%",AB576="جزئي 60%",AB576="معلق 30%",AB576="مفتوح 0%",AB576="")),"✗ قائمة T",IF(NOT(OR(AC576="لا خصم 0",AC576="تأخير −5",AC576="عجز −10",AC576="جودة −15",AC576="امتثال −20",AC576="مخالفة −25",AC576="")),"✗ قائمة U",IF(AND(X576="لا",AC576&lt;&gt;"",AC576&lt;&gt;"لا خصم 0"),"✗ خصم",IF(AND(X576="نعم",AC576="لا خصم 0"),"✗ خصم",IF(AND(Z576="ممتاز 100%",AA576="ممتاز 100%",AB576&lt;&gt;"",AB576&lt;&gt;"مكتمل 100%"),"✗ إغلاق",IFERROR(IF(LEN(_xlfn.TEXTJOIN("، ",TRUE,IF(E576="","التاريخ",""),IF(F576="","الوقت",""),IF(G576="","المركز",""),IF(H576="","الدائرة",""),IF(I576="","القسم",""),IF(J576="","المسؤول",""),IF(K576="","نوع النشاط",""),IF(L576="","المشروع",""),IF(N576="","الممول",""),IF(V576="","الموضوع",""),IF(W576="","الملاحظة",""),IF(X576="","مشكلة",""),IF(Y576="","الإجراء",""),IF(Z576="","التنفيذ",""),IF(AA576="","الجودة",""),IF(AB576="","الإغلاق",""),IF(AC576="","الخصم",""),IF(AND(COUNTA($O576:$U576)&gt;0,O576=""),"مدير المشروع",""),IF(AND(COUNTA($O576:$U576)&gt;0,P576=""),"المستفيدين",""),IF(AND(COUNTA($O576:$U576)&gt;0,Q576=""),"المناطق",""),IF(AND(COUNTA($O576:$U576)&gt;0,R576=""),"الميزانية",""),IF(AND(COUNTA($O576:$U576)&gt;0,S576=""),"نسبة الجاهزية",""),IF(AND(COUNTA($O576:$U576)&gt;0,T576=""),"حالة الجاهزية",""),IF(AND(COUNTA($O576:$U576)&gt;0,U576=""),"التوصيات","")))&gt;0,"✗ ناقص: "&amp;_xlfn.TEXTJOIN("، ",TRUE,IF(E576="","التاريخ",""),IF(F576="","الوقت",""),IF(G576="","المركز",""),IF(H576="","الدائرة",""),IF(I576="","القسم",""),IF(J576="","المسؤول",""),IF(K576="","نوع النشاط",""),IF(L576="","المشروع",""),IF(N576="","الممول",""),IF(V576="","الموضوع",""),IF(W576="","الملاحظة",""),IF(X576="","مشكلة",""),IF(Y576="","الإجراء",""),IF(Z576="","التنفيذ",""),IF(AA576="","الجودة",""),IF(AB576="","الإغلاق",""),IF(AC576="","الخصم",""),IF(AND(COUNTA($O576:$U576)&gt;0,O576=""),"مدير المشروع",""),IF(AND(COUNTA($O576:$U576)&gt;0,P576=""),"المستفيدين",""),IF(AND(COUNTA($O576:$U576)&gt;0,Q576=""),"المناطق",""),IF(AND(COUNTA($O576:$U576)&gt;0,R576=""),"الميزانية",""),IF(AND(COUNTA($O576:$U576)&gt;0,S576=""),"نسبة الجاهزية",""),IF(AND(COUNTA($O576:$U576)&gt;0,T576=""),"حالة الجاهزية",""),IF(AND(COUNTA($O576:$U576)&gt;0,U576=""),"التوصيات","")),"✓"),"✓"))))))))))</f>
        <v/>
      </c>
      <c r="E576" s="235"/>
      <c r="F576" s="236"/>
      <c r="G576" s="90"/>
      <c r="H576" s="239"/>
      <c r="I576" s="89"/>
      <c r="J576" s="142"/>
      <c r="K576" s="90"/>
      <c r="L576" s="90"/>
      <c r="M576" s="90"/>
      <c r="N576" s="89"/>
      <c r="O576" s="200"/>
      <c r="P576" s="201"/>
      <c r="Q576" s="201"/>
      <c r="R576" s="237"/>
      <c r="S576" s="202"/>
      <c r="T576" s="200"/>
      <c r="U576" s="203"/>
      <c r="V576" s="89"/>
      <c r="W576" s="89"/>
      <c r="X576" s="145"/>
      <c r="Y576" s="89"/>
      <c r="Z576" s="90"/>
      <c r="AA576" s="90"/>
      <c r="AB576" s="90"/>
      <c r="AC576" s="90"/>
      <c r="AD576" s="92"/>
      <c r="AE576" s="149" t="str">
        <f>IFERROR(VLOOKUP(Z576,LISTS!$AL$2:$AM$1000,2,FALSE()),"")</f>
        <v/>
      </c>
      <c r="AF576" s="151" t="str">
        <f>IFERROR(VLOOKUP(AA576,LISTS!$AO$2:$AP$1000,2,FALSE()),"")</f>
        <v/>
      </c>
      <c r="AG576" s="152" t="str">
        <f>IFERROR(VLOOKUP(AB576,LISTS!$AR$2:$AS$1000,2,FALSE()),"")</f>
        <v/>
      </c>
      <c r="AH576" s="154" t="str">
        <f>IFERROR(VLOOKUP(AC576,LISTS!$AU$2:$AV$1000,2,FALSE()),"")</f>
        <v/>
      </c>
      <c r="AI576" s="238" t="str">
        <f t="shared" si="43"/>
        <v>—</v>
      </c>
      <c r="AJ576" s="190" t="str">
        <f t="shared" si="44"/>
        <v>—</v>
      </c>
      <c r="AK576" s="157" t="str">
        <f t="shared" si="45"/>
        <v/>
      </c>
      <c r="AL576" s="160" t="str">
        <f t="shared" si="46"/>
        <v/>
      </c>
      <c r="AM576" s="210"/>
      <c r="AN576" s="209"/>
    </row>
    <row r="577" spans="1:40" ht="27.95" customHeight="1">
      <c r="A577" s="134" t="str">
        <f>IF(I577&lt;&gt;"",COUNTA($I$2:I577),"")</f>
        <v/>
      </c>
      <c r="B577" s="138" t="str">
        <f t="shared" si="47"/>
        <v/>
      </c>
      <c r="C577" s="93" t="str">
        <f t="array" ref="C577">IF(E577="","",IF(M577&lt;&gt;"",
M577&amp;"/"&amp;SUMPRODUCT((M$2:M577=M577)*1)&amp;" - "&amp;(ROW()-2),
"إداري/"&amp;SUMPRODUCT((M$2:M577="")*1)&amp;" - "&amp;(ROW()-2)))</f>
        <v/>
      </c>
      <c r="D577" s="141" t="str">
        <f>IF(AND(G577="",H577="",I577=""),"",IF(COUNTIFS(LISTS!$A$2:$A$67,G577,LISTS!$B$2:$B$67,H577,LISTS!$C$2:$C$67,I577)=0,"✗ هرم",IF(NOT(OR(Z577="ممتاز 100%",Z577="جيد 80%",Z577="مقبول 60%",Z577="خطر 40%",Z577="")),"✗ قائمة R",IF(NOT(OR(AA577="ممتاز 100%",AA577="جيد 85%",AA577="مقبول 70%",AA577="ضعيف 50%",AA577="")),"✗ قائمة S",IF(NOT(OR(AB577="مكتمل 100%",AB577="جزئي 60%",AB577="معلق 30%",AB577="مفتوح 0%",AB577="")),"✗ قائمة T",IF(NOT(OR(AC577="لا خصم 0",AC577="تأخير −5",AC577="عجز −10",AC577="جودة −15",AC577="امتثال −20",AC577="مخالفة −25",AC577="")),"✗ قائمة U",IF(AND(X577="لا",AC577&lt;&gt;"",AC577&lt;&gt;"لا خصم 0"),"✗ خصم",IF(AND(X577="نعم",AC577="لا خصم 0"),"✗ خصم",IF(AND(Z577="ممتاز 100%",AA577="ممتاز 100%",AB577&lt;&gt;"",AB577&lt;&gt;"مكتمل 100%"),"✗ إغلاق",IFERROR(IF(LEN(_xlfn.TEXTJOIN("، ",TRUE,IF(E577="","التاريخ",""),IF(F577="","الوقت",""),IF(G577="","المركز",""),IF(H577="","الدائرة",""),IF(I577="","القسم",""),IF(J577="","المسؤول",""),IF(K577="","نوع النشاط",""),IF(L577="","المشروع",""),IF(N577="","الممول",""),IF(V577="","الموضوع",""),IF(W577="","الملاحظة",""),IF(X577="","مشكلة",""),IF(Y577="","الإجراء",""),IF(Z577="","التنفيذ",""),IF(AA577="","الجودة",""),IF(AB577="","الإغلاق",""),IF(AC577="","الخصم",""),IF(AND(COUNTA($O577:$U577)&gt;0,O577=""),"مدير المشروع",""),IF(AND(COUNTA($O577:$U577)&gt;0,P577=""),"المستفيدين",""),IF(AND(COUNTA($O577:$U577)&gt;0,Q577=""),"المناطق",""),IF(AND(COUNTA($O577:$U577)&gt;0,R577=""),"الميزانية",""),IF(AND(COUNTA($O577:$U577)&gt;0,S577=""),"نسبة الجاهزية",""),IF(AND(COUNTA($O577:$U577)&gt;0,T577=""),"حالة الجاهزية",""),IF(AND(COUNTA($O577:$U577)&gt;0,U577=""),"التوصيات","")))&gt;0,"✗ ناقص: "&amp;_xlfn.TEXTJOIN("، ",TRUE,IF(E577="","التاريخ",""),IF(F577="","الوقت",""),IF(G577="","المركز",""),IF(H577="","الدائرة",""),IF(I577="","القسم",""),IF(J577="","المسؤول",""),IF(K577="","نوع النشاط",""),IF(L577="","المشروع",""),IF(N577="","الممول",""),IF(V577="","الموضوع",""),IF(W577="","الملاحظة",""),IF(X577="","مشكلة",""),IF(Y577="","الإجراء",""),IF(Z577="","التنفيذ",""),IF(AA577="","الجودة",""),IF(AB577="","الإغلاق",""),IF(AC577="","الخصم",""),IF(AND(COUNTA($O577:$U577)&gt;0,O577=""),"مدير المشروع",""),IF(AND(COUNTA($O577:$U577)&gt;0,P577=""),"المستفيدين",""),IF(AND(COUNTA($O577:$U577)&gt;0,Q577=""),"المناطق",""),IF(AND(COUNTA($O577:$U577)&gt;0,R577=""),"الميزانية",""),IF(AND(COUNTA($O577:$U577)&gt;0,S577=""),"نسبة الجاهزية",""),IF(AND(COUNTA($O577:$U577)&gt;0,T577=""),"حالة الجاهزية",""),IF(AND(COUNTA($O577:$U577)&gt;0,U577=""),"التوصيات","")),"✓"),"✓"))))))))))</f>
        <v/>
      </c>
      <c r="E577" s="235"/>
      <c r="F577" s="236"/>
      <c r="G577" s="90"/>
      <c r="H577" s="239"/>
      <c r="I577" s="89"/>
      <c r="J577" s="142"/>
      <c r="K577" s="90"/>
      <c r="L577" s="90"/>
      <c r="M577" s="90"/>
      <c r="N577" s="89"/>
      <c r="O577" s="200"/>
      <c r="P577" s="201"/>
      <c r="Q577" s="201"/>
      <c r="R577" s="237"/>
      <c r="S577" s="202"/>
      <c r="T577" s="200"/>
      <c r="U577" s="203"/>
      <c r="V577" s="89"/>
      <c r="W577" s="89"/>
      <c r="X577" s="145"/>
      <c r="Y577" s="89"/>
      <c r="Z577" s="90"/>
      <c r="AA577" s="90"/>
      <c r="AB577" s="90"/>
      <c r="AC577" s="90"/>
      <c r="AD577" s="92"/>
      <c r="AE577" s="149" t="str">
        <f>IFERROR(VLOOKUP(Z577,LISTS!$AL$2:$AM$1000,2,FALSE()),"")</f>
        <v/>
      </c>
      <c r="AF577" s="151" t="str">
        <f>IFERROR(VLOOKUP(AA577,LISTS!$AO$2:$AP$1000,2,FALSE()),"")</f>
        <v/>
      </c>
      <c r="AG577" s="152" t="str">
        <f>IFERROR(VLOOKUP(AB577,LISTS!$AR$2:$AS$1000,2,FALSE()),"")</f>
        <v/>
      </c>
      <c r="AH577" s="154" t="str">
        <f>IFERROR(VLOOKUP(AC577,LISTS!$AU$2:$AV$1000,2,FALSE()),"")</f>
        <v/>
      </c>
      <c r="AI577" s="238" t="str">
        <f t="shared" si="43"/>
        <v>—</v>
      </c>
      <c r="AJ577" s="190" t="str">
        <f t="shared" si="44"/>
        <v>—</v>
      </c>
      <c r="AK577" s="157" t="str">
        <f t="shared" si="45"/>
        <v/>
      </c>
      <c r="AL577" s="160" t="str">
        <f t="shared" si="46"/>
        <v/>
      </c>
      <c r="AM577" s="210"/>
      <c r="AN577" s="209"/>
    </row>
    <row r="578" spans="1:40" ht="27.95" customHeight="1">
      <c r="A578" s="134" t="str">
        <f>IF(I578&lt;&gt;"",COUNTA($I$2:I578),"")</f>
        <v/>
      </c>
      <c r="B578" s="138" t="str">
        <f t="shared" si="47"/>
        <v/>
      </c>
      <c r="C578" s="93" t="str">
        <f t="array" ref="C578">IF(E578="","",IF(M578&lt;&gt;"",
M578&amp;"/"&amp;SUMPRODUCT((M$2:M578=M578)*1)&amp;" - "&amp;(ROW()-2),
"إداري/"&amp;SUMPRODUCT((M$2:M578="")*1)&amp;" - "&amp;(ROW()-2)))</f>
        <v/>
      </c>
      <c r="D578" s="141" t="str">
        <f>IF(AND(G578="",H578="",I578=""),"",IF(COUNTIFS(LISTS!$A$2:$A$67,G578,LISTS!$B$2:$B$67,H578,LISTS!$C$2:$C$67,I578)=0,"✗ هرم",IF(NOT(OR(Z578="ممتاز 100%",Z578="جيد 80%",Z578="مقبول 60%",Z578="خطر 40%",Z578="")),"✗ قائمة R",IF(NOT(OR(AA578="ممتاز 100%",AA578="جيد 85%",AA578="مقبول 70%",AA578="ضعيف 50%",AA578="")),"✗ قائمة S",IF(NOT(OR(AB578="مكتمل 100%",AB578="جزئي 60%",AB578="معلق 30%",AB578="مفتوح 0%",AB578="")),"✗ قائمة T",IF(NOT(OR(AC578="لا خصم 0",AC578="تأخير −5",AC578="عجز −10",AC578="جودة −15",AC578="امتثال −20",AC578="مخالفة −25",AC578="")),"✗ قائمة U",IF(AND(X578="لا",AC578&lt;&gt;"",AC578&lt;&gt;"لا خصم 0"),"✗ خصم",IF(AND(X578="نعم",AC578="لا خصم 0"),"✗ خصم",IF(AND(Z578="ممتاز 100%",AA578="ممتاز 100%",AB578&lt;&gt;"",AB578&lt;&gt;"مكتمل 100%"),"✗ إغلاق",IFERROR(IF(LEN(_xlfn.TEXTJOIN("، ",TRUE,IF(E578="","التاريخ",""),IF(F578="","الوقت",""),IF(G578="","المركز",""),IF(H578="","الدائرة",""),IF(I578="","القسم",""),IF(J578="","المسؤول",""),IF(K578="","نوع النشاط",""),IF(L578="","المشروع",""),IF(N578="","الممول",""),IF(V578="","الموضوع",""),IF(W578="","الملاحظة",""),IF(X578="","مشكلة",""),IF(Y578="","الإجراء",""),IF(Z578="","التنفيذ",""),IF(AA578="","الجودة",""),IF(AB578="","الإغلاق",""),IF(AC578="","الخصم",""),IF(AND(COUNTA($O578:$U578)&gt;0,O578=""),"مدير المشروع",""),IF(AND(COUNTA($O578:$U578)&gt;0,P578=""),"المستفيدين",""),IF(AND(COUNTA($O578:$U578)&gt;0,Q578=""),"المناطق",""),IF(AND(COUNTA($O578:$U578)&gt;0,R578=""),"الميزانية",""),IF(AND(COUNTA($O578:$U578)&gt;0,S578=""),"نسبة الجاهزية",""),IF(AND(COUNTA($O578:$U578)&gt;0,T578=""),"حالة الجاهزية",""),IF(AND(COUNTA($O578:$U578)&gt;0,U578=""),"التوصيات","")))&gt;0,"✗ ناقص: "&amp;_xlfn.TEXTJOIN("، ",TRUE,IF(E578="","التاريخ",""),IF(F578="","الوقت",""),IF(G578="","المركز",""),IF(H578="","الدائرة",""),IF(I578="","القسم",""),IF(J578="","المسؤول",""),IF(K578="","نوع النشاط",""),IF(L578="","المشروع",""),IF(N578="","الممول",""),IF(V578="","الموضوع",""),IF(W578="","الملاحظة",""),IF(X578="","مشكلة",""),IF(Y578="","الإجراء",""),IF(Z578="","التنفيذ",""),IF(AA578="","الجودة",""),IF(AB578="","الإغلاق",""),IF(AC578="","الخصم",""),IF(AND(COUNTA($O578:$U578)&gt;0,O578=""),"مدير المشروع",""),IF(AND(COUNTA($O578:$U578)&gt;0,P578=""),"المستفيدين",""),IF(AND(COUNTA($O578:$U578)&gt;0,Q578=""),"المناطق",""),IF(AND(COUNTA($O578:$U578)&gt;0,R578=""),"الميزانية",""),IF(AND(COUNTA($O578:$U578)&gt;0,S578=""),"نسبة الجاهزية",""),IF(AND(COUNTA($O578:$U578)&gt;0,T578=""),"حالة الجاهزية",""),IF(AND(COUNTA($O578:$U578)&gt;0,U578=""),"التوصيات","")),"✓"),"✓"))))))))))</f>
        <v/>
      </c>
      <c r="E578" s="235"/>
      <c r="F578" s="236"/>
      <c r="G578" s="90"/>
      <c r="H578" s="239"/>
      <c r="I578" s="89"/>
      <c r="J578" s="142"/>
      <c r="K578" s="90"/>
      <c r="L578" s="90"/>
      <c r="M578" s="90"/>
      <c r="N578" s="89"/>
      <c r="O578" s="200"/>
      <c r="P578" s="201"/>
      <c r="Q578" s="201"/>
      <c r="R578" s="237"/>
      <c r="S578" s="202"/>
      <c r="T578" s="200"/>
      <c r="U578" s="203"/>
      <c r="V578" s="89"/>
      <c r="W578" s="89"/>
      <c r="X578" s="145"/>
      <c r="Y578" s="89"/>
      <c r="Z578" s="90"/>
      <c r="AA578" s="90"/>
      <c r="AB578" s="90"/>
      <c r="AC578" s="90"/>
      <c r="AD578" s="92"/>
      <c r="AE578" s="149" t="str">
        <f>IFERROR(VLOOKUP(Z578,LISTS!$AL$2:$AM$1000,2,FALSE()),"")</f>
        <v/>
      </c>
      <c r="AF578" s="151" t="str">
        <f>IFERROR(VLOOKUP(AA578,LISTS!$AO$2:$AP$1000,2,FALSE()),"")</f>
        <v/>
      </c>
      <c r="AG578" s="152" t="str">
        <f>IFERROR(VLOOKUP(AB578,LISTS!$AR$2:$AS$1000,2,FALSE()),"")</f>
        <v/>
      </c>
      <c r="AH578" s="154" t="str">
        <f>IFERROR(VLOOKUP(AC578,LISTS!$AU$2:$AV$1000,2,FALSE()),"")</f>
        <v/>
      </c>
      <c r="AI578" s="238" t="str">
        <f t="shared" ref="AI578:AI641" si="48">IF(OR(AE578="",AF578="",AG578=""),"—",IFERROR(ROUND(AE578*0.4+AF578*0.3+AG578*0.3-IF(ISNUMBER(AH578),AH578,0),1),"⚠️"))</f>
        <v>—</v>
      </c>
      <c r="AJ578" s="190" t="str">
        <f t="shared" ref="AJ578:AJ641" si="49">IF(AI578="—","—",IF(NOT(ISNUMBER(AI578)),"⚠️",IF(AI578&gt;=98,"🌟 ممتاز جدًا",IF(AI578&gt;=90,"⭐ ممتاز",IF(AI578&gt;=75,"🟢 جيد",IF(AI578&gt;=60,"🟡 مقبول",IF(AI578&gt;=40,"🔴 ضعيف","🚨 خطر شديد")))))))</f>
        <v>—</v>
      </c>
      <c r="AK578" s="157" t="str">
        <f t="shared" si="45"/>
        <v/>
      </c>
      <c r="AL578" s="160" t="str">
        <f t="shared" si="46"/>
        <v/>
      </c>
      <c r="AM578" s="210"/>
      <c r="AN578" s="209"/>
    </row>
    <row r="579" spans="1:40" ht="27.95" customHeight="1">
      <c r="A579" s="134" t="str">
        <f>IF(I579&lt;&gt;"",COUNTA($I$2:I579),"")</f>
        <v/>
      </c>
      <c r="B579" s="138" t="str">
        <f t="shared" si="47"/>
        <v/>
      </c>
      <c r="C579" s="93" t="str">
        <f t="array" ref="C579">IF(E579="","",IF(M579&lt;&gt;"",
M579&amp;"/"&amp;SUMPRODUCT((M$2:M579=M579)*1)&amp;" - "&amp;(ROW()-2),
"إداري/"&amp;SUMPRODUCT((M$2:M579="")*1)&amp;" - "&amp;(ROW()-2)))</f>
        <v/>
      </c>
      <c r="D579" s="141" t="str">
        <f>IF(AND(G579="",H579="",I579=""),"",IF(COUNTIFS(LISTS!$A$2:$A$67,G579,LISTS!$B$2:$B$67,H579,LISTS!$C$2:$C$67,I579)=0,"✗ هرم",IF(NOT(OR(Z579="ممتاز 100%",Z579="جيد 80%",Z579="مقبول 60%",Z579="خطر 40%",Z579="")),"✗ قائمة R",IF(NOT(OR(AA579="ممتاز 100%",AA579="جيد 85%",AA579="مقبول 70%",AA579="ضعيف 50%",AA579="")),"✗ قائمة S",IF(NOT(OR(AB579="مكتمل 100%",AB579="جزئي 60%",AB579="معلق 30%",AB579="مفتوح 0%",AB579="")),"✗ قائمة T",IF(NOT(OR(AC579="لا خصم 0",AC579="تأخير −5",AC579="عجز −10",AC579="جودة −15",AC579="امتثال −20",AC579="مخالفة −25",AC579="")),"✗ قائمة U",IF(AND(X579="لا",AC579&lt;&gt;"",AC579&lt;&gt;"لا خصم 0"),"✗ خصم",IF(AND(X579="نعم",AC579="لا خصم 0"),"✗ خصم",IF(AND(Z579="ممتاز 100%",AA579="ممتاز 100%",AB579&lt;&gt;"",AB579&lt;&gt;"مكتمل 100%"),"✗ إغلاق",IFERROR(IF(LEN(_xlfn.TEXTJOIN("، ",TRUE,IF(E579="","التاريخ",""),IF(F579="","الوقت",""),IF(G579="","المركز",""),IF(H579="","الدائرة",""),IF(I579="","القسم",""),IF(J579="","المسؤول",""),IF(K579="","نوع النشاط",""),IF(L579="","المشروع",""),IF(N579="","الممول",""),IF(V579="","الموضوع",""),IF(W579="","الملاحظة",""),IF(X579="","مشكلة",""),IF(Y579="","الإجراء",""),IF(Z579="","التنفيذ",""),IF(AA579="","الجودة",""),IF(AB579="","الإغلاق",""),IF(AC579="","الخصم",""),IF(AND(COUNTA($O579:$U579)&gt;0,O579=""),"مدير المشروع",""),IF(AND(COUNTA($O579:$U579)&gt;0,P579=""),"المستفيدين",""),IF(AND(COUNTA($O579:$U579)&gt;0,Q579=""),"المناطق",""),IF(AND(COUNTA($O579:$U579)&gt;0,R579=""),"الميزانية",""),IF(AND(COUNTA($O579:$U579)&gt;0,S579=""),"نسبة الجاهزية",""),IF(AND(COUNTA($O579:$U579)&gt;0,T579=""),"حالة الجاهزية",""),IF(AND(COUNTA($O579:$U579)&gt;0,U579=""),"التوصيات","")))&gt;0,"✗ ناقص: "&amp;_xlfn.TEXTJOIN("، ",TRUE,IF(E579="","التاريخ",""),IF(F579="","الوقت",""),IF(G579="","المركز",""),IF(H579="","الدائرة",""),IF(I579="","القسم",""),IF(J579="","المسؤول",""),IF(K579="","نوع النشاط",""),IF(L579="","المشروع",""),IF(N579="","الممول",""),IF(V579="","الموضوع",""),IF(W579="","الملاحظة",""),IF(X579="","مشكلة",""),IF(Y579="","الإجراء",""),IF(Z579="","التنفيذ",""),IF(AA579="","الجودة",""),IF(AB579="","الإغلاق",""),IF(AC579="","الخصم",""),IF(AND(COUNTA($O579:$U579)&gt;0,O579=""),"مدير المشروع",""),IF(AND(COUNTA($O579:$U579)&gt;0,P579=""),"المستفيدين",""),IF(AND(COUNTA($O579:$U579)&gt;0,Q579=""),"المناطق",""),IF(AND(COUNTA($O579:$U579)&gt;0,R579=""),"الميزانية",""),IF(AND(COUNTA($O579:$U579)&gt;0,S579=""),"نسبة الجاهزية",""),IF(AND(COUNTA($O579:$U579)&gt;0,T579=""),"حالة الجاهزية",""),IF(AND(COUNTA($O579:$U579)&gt;0,U579=""),"التوصيات","")),"✓"),"✓"))))))))))</f>
        <v/>
      </c>
      <c r="E579" s="235"/>
      <c r="F579" s="236"/>
      <c r="G579" s="90"/>
      <c r="H579" s="239"/>
      <c r="I579" s="89"/>
      <c r="J579" s="142"/>
      <c r="K579" s="90"/>
      <c r="L579" s="90"/>
      <c r="M579" s="90"/>
      <c r="N579" s="89"/>
      <c r="O579" s="200"/>
      <c r="P579" s="201"/>
      <c r="Q579" s="201"/>
      <c r="R579" s="237"/>
      <c r="S579" s="202"/>
      <c r="T579" s="200"/>
      <c r="U579" s="203"/>
      <c r="V579" s="89"/>
      <c r="W579" s="89"/>
      <c r="X579" s="145"/>
      <c r="Y579" s="89"/>
      <c r="Z579" s="90"/>
      <c r="AA579" s="90"/>
      <c r="AB579" s="90"/>
      <c r="AC579" s="90"/>
      <c r="AD579" s="92"/>
      <c r="AE579" s="149" t="str">
        <f>IFERROR(VLOOKUP(Z579,LISTS!$AL$2:$AM$1000,2,FALSE()),"")</f>
        <v/>
      </c>
      <c r="AF579" s="151" t="str">
        <f>IFERROR(VLOOKUP(AA579,LISTS!$AO$2:$AP$1000,2,FALSE()),"")</f>
        <v/>
      </c>
      <c r="AG579" s="152" t="str">
        <f>IFERROR(VLOOKUP(AB579,LISTS!$AR$2:$AS$1000,2,FALSE()),"")</f>
        <v/>
      </c>
      <c r="AH579" s="154" t="str">
        <f>IFERROR(VLOOKUP(AC579,LISTS!$AU$2:$AV$1000,2,FALSE()),"")</f>
        <v/>
      </c>
      <c r="AI579" s="238" t="str">
        <f t="shared" si="48"/>
        <v>—</v>
      </c>
      <c r="AJ579" s="190" t="str">
        <f t="shared" si="49"/>
        <v>—</v>
      </c>
      <c r="AK579" s="157" t="str">
        <f t="shared" si="45"/>
        <v/>
      </c>
      <c r="AL579" s="160" t="str">
        <f t="shared" si="46"/>
        <v/>
      </c>
      <c r="AM579" s="210"/>
      <c r="AN579" s="209"/>
    </row>
    <row r="580" spans="1:40" ht="27.95" customHeight="1">
      <c r="A580" s="134" t="str">
        <f>IF(I580&lt;&gt;"",COUNTA($I$2:I580),"")</f>
        <v/>
      </c>
      <c r="B580" s="138" t="str">
        <f t="shared" si="47"/>
        <v/>
      </c>
      <c r="C580" s="93" t="str">
        <f t="array" ref="C580">IF(E580="","",IF(M580&lt;&gt;"",
M580&amp;"/"&amp;SUMPRODUCT((M$2:M580=M580)*1)&amp;" - "&amp;(ROW()-2),
"إداري/"&amp;SUMPRODUCT((M$2:M580="")*1)&amp;" - "&amp;(ROW()-2)))</f>
        <v/>
      </c>
      <c r="D580" s="141" t="str">
        <f>IF(AND(G580="",H580="",I580=""),"",IF(COUNTIFS(LISTS!$A$2:$A$67,G580,LISTS!$B$2:$B$67,H580,LISTS!$C$2:$C$67,I580)=0,"✗ هرم",IF(NOT(OR(Z580="ممتاز 100%",Z580="جيد 80%",Z580="مقبول 60%",Z580="خطر 40%",Z580="")),"✗ قائمة R",IF(NOT(OR(AA580="ممتاز 100%",AA580="جيد 85%",AA580="مقبول 70%",AA580="ضعيف 50%",AA580="")),"✗ قائمة S",IF(NOT(OR(AB580="مكتمل 100%",AB580="جزئي 60%",AB580="معلق 30%",AB580="مفتوح 0%",AB580="")),"✗ قائمة T",IF(NOT(OR(AC580="لا خصم 0",AC580="تأخير −5",AC580="عجز −10",AC580="جودة −15",AC580="امتثال −20",AC580="مخالفة −25",AC580="")),"✗ قائمة U",IF(AND(X580="لا",AC580&lt;&gt;"",AC580&lt;&gt;"لا خصم 0"),"✗ خصم",IF(AND(X580="نعم",AC580="لا خصم 0"),"✗ خصم",IF(AND(Z580="ممتاز 100%",AA580="ممتاز 100%",AB580&lt;&gt;"",AB580&lt;&gt;"مكتمل 100%"),"✗ إغلاق",IFERROR(IF(LEN(_xlfn.TEXTJOIN("، ",TRUE,IF(E580="","التاريخ",""),IF(F580="","الوقت",""),IF(G580="","المركز",""),IF(H580="","الدائرة",""),IF(I580="","القسم",""),IF(J580="","المسؤول",""),IF(K580="","نوع النشاط",""),IF(L580="","المشروع",""),IF(N580="","الممول",""),IF(V580="","الموضوع",""),IF(W580="","الملاحظة",""),IF(X580="","مشكلة",""),IF(Y580="","الإجراء",""),IF(Z580="","التنفيذ",""),IF(AA580="","الجودة",""),IF(AB580="","الإغلاق",""),IF(AC580="","الخصم",""),IF(AND(COUNTA($O580:$U580)&gt;0,O580=""),"مدير المشروع",""),IF(AND(COUNTA($O580:$U580)&gt;0,P580=""),"المستفيدين",""),IF(AND(COUNTA($O580:$U580)&gt;0,Q580=""),"المناطق",""),IF(AND(COUNTA($O580:$U580)&gt;0,R580=""),"الميزانية",""),IF(AND(COUNTA($O580:$U580)&gt;0,S580=""),"نسبة الجاهزية",""),IF(AND(COUNTA($O580:$U580)&gt;0,T580=""),"حالة الجاهزية",""),IF(AND(COUNTA($O580:$U580)&gt;0,U580=""),"التوصيات","")))&gt;0,"✗ ناقص: "&amp;_xlfn.TEXTJOIN("، ",TRUE,IF(E580="","التاريخ",""),IF(F580="","الوقت",""),IF(G580="","المركز",""),IF(H580="","الدائرة",""),IF(I580="","القسم",""),IF(J580="","المسؤول",""),IF(K580="","نوع النشاط",""),IF(L580="","المشروع",""),IF(N580="","الممول",""),IF(V580="","الموضوع",""),IF(W580="","الملاحظة",""),IF(X580="","مشكلة",""),IF(Y580="","الإجراء",""),IF(Z580="","التنفيذ",""),IF(AA580="","الجودة",""),IF(AB580="","الإغلاق",""),IF(AC580="","الخصم",""),IF(AND(COUNTA($O580:$U580)&gt;0,O580=""),"مدير المشروع",""),IF(AND(COUNTA($O580:$U580)&gt;0,P580=""),"المستفيدين",""),IF(AND(COUNTA($O580:$U580)&gt;0,Q580=""),"المناطق",""),IF(AND(COUNTA($O580:$U580)&gt;0,R580=""),"الميزانية",""),IF(AND(COUNTA($O580:$U580)&gt;0,S580=""),"نسبة الجاهزية",""),IF(AND(COUNTA($O580:$U580)&gt;0,T580=""),"حالة الجاهزية",""),IF(AND(COUNTA($O580:$U580)&gt;0,U580=""),"التوصيات","")),"✓"),"✓"))))))))))</f>
        <v/>
      </c>
      <c r="E580" s="235"/>
      <c r="F580" s="236"/>
      <c r="G580" s="90"/>
      <c r="H580" s="239"/>
      <c r="I580" s="89"/>
      <c r="J580" s="142"/>
      <c r="K580" s="90"/>
      <c r="L580" s="90"/>
      <c r="M580" s="90"/>
      <c r="N580" s="89"/>
      <c r="O580" s="200"/>
      <c r="P580" s="201"/>
      <c r="Q580" s="201"/>
      <c r="R580" s="237"/>
      <c r="S580" s="202"/>
      <c r="T580" s="200"/>
      <c r="U580" s="203"/>
      <c r="V580" s="89"/>
      <c r="W580" s="89"/>
      <c r="X580" s="145"/>
      <c r="Y580" s="89"/>
      <c r="Z580" s="90"/>
      <c r="AA580" s="90"/>
      <c r="AB580" s="90"/>
      <c r="AC580" s="90"/>
      <c r="AD580" s="92"/>
      <c r="AE580" s="149" t="str">
        <f>IFERROR(VLOOKUP(Z580,LISTS!$AL$2:$AM$1000,2,FALSE()),"")</f>
        <v/>
      </c>
      <c r="AF580" s="151" t="str">
        <f>IFERROR(VLOOKUP(AA580,LISTS!$AO$2:$AP$1000,2,FALSE()),"")</f>
        <v/>
      </c>
      <c r="AG580" s="152" t="str">
        <f>IFERROR(VLOOKUP(AB580,LISTS!$AR$2:$AS$1000,2,FALSE()),"")</f>
        <v/>
      </c>
      <c r="AH580" s="154" t="str">
        <f>IFERROR(VLOOKUP(AC580,LISTS!$AU$2:$AV$1000,2,FALSE()),"")</f>
        <v/>
      </c>
      <c r="AI580" s="238" t="str">
        <f t="shared" si="48"/>
        <v>—</v>
      </c>
      <c r="AJ580" s="190" t="str">
        <f t="shared" si="49"/>
        <v>—</v>
      </c>
      <c r="AK580" s="157" t="str">
        <f t="shared" si="45"/>
        <v/>
      </c>
      <c r="AL580" s="160" t="str">
        <f t="shared" si="46"/>
        <v/>
      </c>
      <c r="AM580" s="210"/>
      <c r="AN580" s="209"/>
    </row>
    <row r="581" spans="1:40" ht="27.95" customHeight="1">
      <c r="A581" s="134" t="str">
        <f>IF(I581&lt;&gt;"",COUNTA($I$2:I581),"")</f>
        <v/>
      </c>
      <c r="B581" s="138" t="str">
        <f t="shared" si="47"/>
        <v/>
      </c>
      <c r="C581" s="93" t="str">
        <f t="array" ref="C581">IF(E581="","",IF(M581&lt;&gt;"",
M581&amp;"/"&amp;SUMPRODUCT((M$2:M581=M581)*1)&amp;" - "&amp;(ROW()-2),
"إداري/"&amp;SUMPRODUCT((M$2:M581="")*1)&amp;" - "&amp;(ROW()-2)))</f>
        <v/>
      </c>
      <c r="D581" s="141" t="str">
        <f>IF(AND(G581="",H581="",I581=""),"",IF(COUNTIFS(LISTS!$A$2:$A$67,G581,LISTS!$B$2:$B$67,H581,LISTS!$C$2:$C$67,I581)=0,"✗ هرم",IF(NOT(OR(Z581="ممتاز 100%",Z581="جيد 80%",Z581="مقبول 60%",Z581="خطر 40%",Z581="")),"✗ قائمة R",IF(NOT(OR(AA581="ممتاز 100%",AA581="جيد 85%",AA581="مقبول 70%",AA581="ضعيف 50%",AA581="")),"✗ قائمة S",IF(NOT(OR(AB581="مكتمل 100%",AB581="جزئي 60%",AB581="معلق 30%",AB581="مفتوح 0%",AB581="")),"✗ قائمة T",IF(NOT(OR(AC581="لا خصم 0",AC581="تأخير −5",AC581="عجز −10",AC581="جودة −15",AC581="امتثال −20",AC581="مخالفة −25",AC581="")),"✗ قائمة U",IF(AND(X581="لا",AC581&lt;&gt;"",AC581&lt;&gt;"لا خصم 0"),"✗ خصم",IF(AND(X581="نعم",AC581="لا خصم 0"),"✗ خصم",IF(AND(Z581="ممتاز 100%",AA581="ممتاز 100%",AB581&lt;&gt;"",AB581&lt;&gt;"مكتمل 100%"),"✗ إغلاق",IFERROR(IF(LEN(_xlfn.TEXTJOIN("، ",TRUE,IF(E581="","التاريخ",""),IF(F581="","الوقت",""),IF(G581="","المركز",""),IF(H581="","الدائرة",""),IF(I581="","القسم",""),IF(J581="","المسؤول",""),IF(K581="","نوع النشاط",""),IF(L581="","المشروع",""),IF(N581="","الممول",""),IF(V581="","الموضوع",""),IF(W581="","الملاحظة",""),IF(X581="","مشكلة",""),IF(Y581="","الإجراء",""),IF(Z581="","التنفيذ",""),IF(AA581="","الجودة",""),IF(AB581="","الإغلاق",""),IF(AC581="","الخصم",""),IF(AND(COUNTA($O581:$U581)&gt;0,O581=""),"مدير المشروع",""),IF(AND(COUNTA($O581:$U581)&gt;0,P581=""),"المستفيدين",""),IF(AND(COUNTA($O581:$U581)&gt;0,Q581=""),"المناطق",""),IF(AND(COUNTA($O581:$U581)&gt;0,R581=""),"الميزانية",""),IF(AND(COUNTA($O581:$U581)&gt;0,S581=""),"نسبة الجاهزية",""),IF(AND(COUNTA($O581:$U581)&gt;0,T581=""),"حالة الجاهزية",""),IF(AND(COUNTA($O581:$U581)&gt;0,U581=""),"التوصيات","")))&gt;0,"✗ ناقص: "&amp;_xlfn.TEXTJOIN("، ",TRUE,IF(E581="","التاريخ",""),IF(F581="","الوقت",""),IF(G581="","المركز",""),IF(H581="","الدائرة",""),IF(I581="","القسم",""),IF(J581="","المسؤول",""),IF(K581="","نوع النشاط",""),IF(L581="","المشروع",""),IF(N581="","الممول",""),IF(V581="","الموضوع",""),IF(W581="","الملاحظة",""),IF(X581="","مشكلة",""),IF(Y581="","الإجراء",""),IF(Z581="","التنفيذ",""),IF(AA581="","الجودة",""),IF(AB581="","الإغلاق",""),IF(AC581="","الخصم",""),IF(AND(COUNTA($O581:$U581)&gt;0,O581=""),"مدير المشروع",""),IF(AND(COUNTA($O581:$U581)&gt;0,P581=""),"المستفيدين",""),IF(AND(COUNTA($O581:$U581)&gt;0,Q581=""),"المناطق",""),IF(AND(COUNTA($O581:$U581)&gt;0,R581=""),"الميزانية",""),IF(AND(COUNTA($O581:$U581)&gt;0,S581=""),"نسبة الجاهزية",""),IF(AND(COUNTA($O581:$U581)&gt;0,T581=""),"حالة الجاهزية",""),IF(AND(COUNTA($O581:$U581)&gt;0,U581=""),"التوصيات","")),"✓"),"✓"))))))))))</f>
        <v/>
      </c>
      <c r="E581" s="235"/>
      <c r="F581" s="236"/>
      <c r="G581" s="90"/>
      <c r="H581" s="239"/>
      <c r="I581" s="89"/>
      <c r="J581" s="142"/>
      <c r="K581" s="90"/>
      <c r="L581" s="90"/>
      <c r="M581" s="90"/>
      <c r="N581" s="89"/>
      <c r="O581" s="200"/>
      <c r="P581" s="201"/>
      <c r="Q581" s="201"/>
      <c r="R581" s="237"/>
      <c r="S581" s="202"/>
      <c r="T581" s="200"/>
      <c r="U581" s="203"/>
      <c r="V581" s="89"/>
      <c r="W581" s="89"/>
      <c r="X581" s="145"/>
      <c r="Y581" s="89"/>
      <c r="Z581" s="90"/>
      <c r="AA581" s="90"/>
      <c r="AB581" s="90"/>
      <c r="AC581" s="90"/>
      <c r="AD581" s="92"/>
      <c r="AE581" s="149" t="str">
        <f>IFERROR(VLOOKUP(Z581,LISTS!$AL$2:$AM$1000,2,FALSE()),"")</f>
        <v/>
      </c>
      <c r="AF581" s="151" t="str">
        <f>IFERROR(VLOOKUP(AA581,LISTS!$AO$2:$AP$1000,2,FALSE()),"")</f>
        <v/>
      </c>
      <c r="AG581" s="152" t="str">
        <f>IFERROR(VLOOKUP(AB581,LISTS!$AR$2:$AS$1000,2,FALSE()),"")</f>
        <v/>
      </c>
      <c r="AH581" s="154" t="str">
        <f>IFERROR(VLOOKUP(AC581,LISTS!$AU$2:$AV$1000,2,FALSE()),"")</f>
        <v/>
      </c>
      <c r="AI581" s="238" t="str">
        <f t="shared" si="48"/>
        <v>—</v>
      </c>
      <c r="AJ581" s="190" t="str">
        <f t="shared" si="49"/>
        <v>—</v>
      </c>
      <c r="AK581" s="157" t="str">
        <f t="shared" si="45"/>
        <v/>
      </c>
      <c r="AL581" s="160" t="str">
        <f t="shared" si="46"/>
        <v/>
      </c>
      <c r="AM581" s="210"/>
      <c r="AN581" s="209"/>
    </row>
    <row r="582" spans="1:40" ht="27.95" customHeight="1">
      <c r="A582" s="134" t="str">
        <f>IF(I582&lt;&gt;"",COUNTA($I$2:I582),"")</f>
        <v/>
      </c>
      <c r="B582" s="138" t="str">
        <f t="shared" si="47"/>
        <v/>
      </c>
      <c r="C582" s="93" t="str">
        <f t="array" ref="C582">IF(E582="","",IF(M582&lt;&gt;"",
M582&amp;"/"&amp;SUMPRODUCT((M$2:M582=M582)*1)&amp;" - "&amp;(ROW()-2),
"إداري/"&amp;SUMPRODUCT((M$2:M582="")*1)&amp;" - "&amp;(ROW()-2)))</f>
        <v/>
      </c>
      <c r="D582" s="141" t="str">
        <f>IF(AND(G582="",H582="",I582=""),"",IF(COUNTIFS(LISTS!$A$2:$A$67,G582,LISTS!$B$2:$B$67,H582,LISTS!$C$2:$C$67,I582)=0,"✗ هرم",IF(NOT(OR(Z582="ممتاز 100%",Z582="جيد 80%",Z582="مقبول 60%",Z582="خطر 40%",Z582="")),"✗ قائمة R",IF(NOT(OR(AA582="ممتاز 100%",AA582="جيد 85%",AA582="مقبول 70%",AA582="ضعيف 50%",AA582="")),"✗ قائمة S",IF(NOT(OR(AB582="مكتمل 100%",AB582="جزئي 60%",AB582="معلق 30%",AB582="مفتوح 0%",AB582="")),"✗ قائمة T",IF(NOT(OR(AC582="لا خصم 0",AC582="تأخير −5",AC582="عجز −10",AC582="جودة −15",AC582="امتثال −20",AC582="مخالفة −25",AC582="")),"✗ قائمة U",IF(AND(X582="لا",AC582&lt;&gt;"",AC582&lt;&gt;"لا خصم 0"),"✗ خصم",IF(AND(X582="نعم",AC582="لا خصم 0"),"✗ خصم",IF(AND(Z582="ممتاز 100%",AA582="ممتاز 100%",AB582&lt;&gt;"",AB582&lt;&gt;"مكتمل 100%"),"✗ إغلاق",IFERROR(IF(LEN(_xlfn.TEXTJOIN("، ",TRUE,IF(E582="","التاريخ",""),IF(F582="","الوقت",""),IF(G582="","المركز",""),IF(H582="","الدائرة",""),IF(I582="","القسم",""),IF(J582="","المسؤول",""),IF(K582="","نوع النشاط",""),IF(L582="","المشروع",""),IF(N582="","الممول",""),IF(V582="","الموضوع",""),IF(W582="","الملاحظة",""),IF(X582="","مشكلة",""),IF(Y582="","الإجراء",""),IF(Z582="","التنفيذ",""),IF(AA582="","الجودة",""),IF(AB582="","الإغلاق",""),IF(AC582="","الخصم",""),IF(AND(COUNTA($O582:$U582)&gt;0,O582=""),"مدير المشروع",""),IF(AND(COUNTA($O582:$U582)&gt;0,P582=""),"المستفيدين",""),IF(AND(COUNTA($O582:$U582)&gt;0,Q582=""),"المناطق",""),IF(AND(COUNTA($O582:$U582)&gt;0,R582=""),"الميزانية",""),IF(AND(COUNTA($O582:$U582)&gt;0,S582=""),"نسبة الجاهزية",""),IF(AND(COUNTA($O582:$U582)&gt;0,T582=""),"حالة الجاهزية",""),IF(AND(COUNTA($O582:$U582)&gt;0,U582=""),"التوصيات","")))&gt;0,"✗ ناقص: "&amp;_xlfn.TEXTJOIN("، ",TRUE,IF(E582="","التاريخ",""),IF(F582="","الوقت",""),IF(G582="","المركز",""),IF(H582="","الدائرة",""),IF(I582="","القسم",""),IF(J582="","المسؤول",""),IF(K582="","نوع النشاط",""),IF(L582="","المشروع",""),IF(N582="","الممول",""),IF(V582="","الموضوع",""),IF(W582="","الملاحظة",""),IF(X582="","مشكلة",""),IF(Y582="","الإجراء",""),IF(Z582="","التنفيذ",""),IF(AA582="","الجودة",""),IF(AB582="","الإغلاق",""),IF(AC582="","الخصم",""),IF(AND(COUNTA($O582:$U582)&gt;0,O582=""),"مدير المشروع",""),IF(AND(COUNTA($O582:$U582)&gt;0,P582=""),"المستفيدين",""),IF(AND(COUNTA($O582:$U582)&gt;0,Q582=""),"المناطق",""),IF(AND(COUNTA($O582:$U582)&gt;0,R582=""),"الميزانية",""),IF(AND(COUNTA($O582:$U582)&gt;0,S582=""),"نسبة الجاهزية",""),IF(AND(COUNTA($O582:$U582)&gt;0,T582=""),"حالة الجاهزية",""),IF(AND(COUNTA($O582:$U582)&gt;0,U582=""),"التوصيات","")),"✓"),"✓"))))))))))</f>
        <v/>
      </c>
      <c r="E582" s="235"/>
      <c r="F582" s="236"/>
      <c r="G582" s="90"/>
      <c r="H582" s="239"/>
      <c r="I582" s="89"/>
      <c r="J582" s="142"/>
      <c r="K582" s="90"/>
      <c r="L582" s="90"/>
      <c r="M582" s="90"/>
      <c r="N582" s="89"/>
      <c r="O582" s="200"/>
      <c r="P582" s="201"/>
      <c r="Q582" s="201"/>
      <c r="R582" s="237"/>
      <c r="S582" s="202"/>
      <c r="T582" s="200"/>
      <c r="U582" s="203"/>
      <c r="V582" s="89"/>
      <c r="W582" s="89"/>
      <c r="X582" s="145"/>
      <c r="Y582" s="89"/>
      <c r="Z582" s="90"/>
      <c r="AA582" s="90"/>
      <c r="AB582" s="90"/>
      <c r="AC582" s="90"/>
      <c r="AD582" s="92"/>
      <c r="AE582" s="149" t="str">
        <f>IFERROR(VLOOKUP(Z582,LISTS!$AL$2:$AM$1000,2,FALSE()),"")</f>
        <v/>
      </c>
      <c r="AF582" s="151" t="str">
        <f>IFERROR(VLOOKUP(AA582,LISTS!$AO$2:$AP$1000,2,FALSE()),"")</f>
        <v/>
      </c>
      <c r="AG582" s="152" t="str">
        <f>IFERROR(VLOOKUP(AB582,LISTS!$AR$2:$AS$1000,2,FALSE()),"")</f>
        <v/>
      </c>
      <c r="AH582" s="154" t="str">
        <f>IFERROR(VLOOKUP(AC582,LISTS!$AU$2:$AV$1000,2,FALSE()),"")</f>
        <v/>
      </c>
      <c r="AI582" s="238" t="str">
        <f t="shared" si="48"/>
        <v>—</v>
      </c>
      <c r="AJ582" s="190" t="str">
        <f t="shared" si="49"/>
        <v>—</v>
      </c>
      <c r="AK582" s="157" t="str">
        <f t="shared" si="45"/>
        <v/>
      </c>
      <c r="AL582" s="160" t="str">
        <f t="shared" si="46"/>
        <v/>
      </c>
      <c r="AM582" s="210"/>
      <c r="AN582" s="209"/>
    </row>
    <row r="583" spans="1:40" ht="27.95" customHeight="1">
      <c r="A583" s="134" t="str">
        <f>IF(I583&lt;&gt;"",COUNTA($I$2:I583),"")</f>
        <v/>
      </c>
      <c r="B583" s="138" t="str">
        <f t="shared" si="47"/>
        <v/>
      </c>
      <c r="C583" s="93" t="str">
        <f t="array" ref="C583">IF(E583="","",IF(M583&lt;&gt;"",
M583&amp;"/"&amp;SUMPRODUCT((M$2:M583=M583)*1)&amp;" - "&amp;(ROW()-2),
"إداري/"&amp;SUMPRODUCT((M$2:M583="")*1)&amp;" - "&amp;(ROW()-2)))</f>
        <v/>
      </c>
      <c r="D583" s="141" t="str">
        <f>IF(AND(G583="",H583="",I583=""),"",IF(COUNTIFS(LISTS!$A$2:$A$67,G583,LISTS!$B$2:$B$67,H583,LISTS!$C$2:$C$67,I583)=0,"✗ هرم",IF(NOT(OR(Z583="ممتاز 100%",Z583="جيد 80%",Z583="مقبول 60%",Z583="خطر 40%",Z583="")),"✗ قائمة R",IF(NOT(OR(AA583="ممتاز 100%",AA583="جيد 85%",AA583="مقبول 70%",AA583="ضعيف 50%",AA583="")),"✗ قائمة S",IF(NOT(OR(AB583="مكتمل 100%",AB583="جزئي 60%",AB583="معلق 30%",AB583="مفتوح 0%",AB583="")),"✗ قائمة T",IF(NOT(OR(AC583="لا خصم 0",AC583="تأخير −5",AC583="عجز −10",AC583="جودة −15",AC583="امتثال −20",AC583="مخالفة −25",AC583="")),"✗ قائمة U",IF(AND(X583="لا",AC583&lt;&gt;"",AC583&lt;&gt;"لا خصم 0"),"✗ خصم",IF(AND(X583="نعم",AC583="لا خصم 0"),"✗ خصم",IF(AND(Z583="ممتاز 100%",AA583="ممتاز 100%",AB583&lt;&gt;"",AB583&lt;&gt;"مكتمل 100%"),"✗ إغلاق",IFERROR(IF(LEN(_xlfn.TEXTJOIN("، ",TRUE,IF(E583="","التاريخ",""),IF(F583="","الوقت",""),IF(G583="","المركز",""),IF(H583="","الدائرة",""),IF(I583="","القسم",""),IF(J583="","المسؤول",""),IF(K583="","نوع النشاط",""),IF(L583="","المشروع",""),IF(N583="","الممول",""),IF(V583="","الموضوع",""),IF(W583="","الملاحظة",""),IF(X583="","مشكلة",""),IF(Y583="","الإجراء",""),IF(Z583="","التنفيذ",""),IF(AA583="","الجودة",""),IF(AB583="","الإغلاق",""),IF(AC583="","الخصم",""),IF(AND(COUNTA($O583:$U583)&gt;0,O583=""),"مدير المشروع",""),IF(AND(COUNTA($O583:$U583)&gt;0,P583=""),"المستفيدين",""),IF(AND(COUNTA($O583:$U583)&gt;0,Q583=""),"المناطق",""),IF(AND(COUNTA($O583:$U583)&gt;0,R583=""),"الميزانية",""),IF(AND(COUNTA($O583:$U583)&gt;0,S583=""),"نسبة الجاهزية",""),IF(AND(COUNTA($O583:$U583)&gt;0,T583=""),"حالة الجاهزية",""),IF(AND(COUNTA($O583:$U583)&gt;0,U583=""),"التوصيات","")))&gt;0,"✗ ناقص: "&amp;_xlfn.TEXTJOIN("، ",TRUE,IF(E583="","التاريخ",""),IF(F583="","الوقت",""),IF(G583="","المركز",""),IF(H583="","الدائرة",""),IF(I583="","القسم",""),IF(J583="","المسؤول",""),IF(K583="","نوع النشاط",""),IF(L583="","المشروع",""),IF(N583="","الممول",""),IF(V583="","الموضوع",""),IF(W583="","الملاحظة",""),IF(X583="","مشكلة",""),IF(Y583="","الإجراء",""),IF(Z583="","التنفيذ",""),IF(AA583="","الجودة",""),IF(AB583="","الإغلاق",""),IF(AC583="","الخصم",""),IF(AND(COUNTA($O583:$U583)&gt;0,O583=""),"مدير المشروع",""),IF(AND(COUNTA($O583:$U583)&gt;0,P583=""),"المستفيدين",""),IF(AND(COUNTA($O583:$U583)&gt;0,Q583=""),"المناطق",""),IF(AND(COUNTA($O583:$U583)&gt;0,R583=""),"الميزانية",""),IF(AND(COUNTA($O583:$U583)&gt;0,S583=""),"نسبة الجاهزية",""),IF(AND(COUNTA($O583:$U583)&gt;0,T583=""),"حالة الجاهزية",""),IF(AND(COUNTA($O583:$U583)&gt;0,U583=""),"التوصيات","")),"✓"),"✓"))))))))))</f>
        <v/>
      </c>
      <c r="E583" s="235"/>
      <c r="F583" s="236"/>
      <c r="G583" s="90"/>
      <c r="H583" s="239"/>
      <c r="I583" s="89"/>
      <c r="J583" s="142"/>
      <c r="K583" s="90"/>
      <c r="L583" s="90"/>
      <c r="M583" s="90"/>
      <c r="N583" s="89"/>
      <c r="O583" s="200"/>
      <c r="P583" s="201"/>
      <c r="Q583" s="201"/>
      <c r="R583" s="237"/>
      <c r="S583" s="202"/>
      <c r="T583" s="200"/>
      <c r="U583" s="203"/>
      <c r="V583" s="89"/>
      <c r="W583" s="89"/>
      <c r="X583" s="145"/>
      <c r="Y583" s="89"/>
      <c r="Z583" s="90"/>
      <c r="AA583" s="90"/>
      <c r="AB583" s="90"/>
      <c r="AC583" s="90"/>
      <c r="AD583" s="92"/>
      <c r="AE583" s="149" t="str">
        <f>IFERROR(VLOOKUP(Z583,LISTS!$AL$2:$AM$1000,2,FALSE()),"")</f>
        <v/>
      </c>
      <c r="AF583" s="151" t="str">
        <f>IFERROR(VLOOKUP(AA583,LISTS!$AO$2:$AP$1000,2,FALSE()),"")</f>
        <v/>
      </c>
      <c r="AG583" s="152" t="str">
        <f>IFERROR(VLOOKUP(AB583,LISTS!$AR$2:$AS$1000,2,FALSE()),"")</f>
        <v/>
      </c>
      <c r="AH583" s="154" t="str">
        <f>IFERROR(VLOOKUP(AC583,LISTS!$AU$2:$AV$1000,2,FALSE()),"")</f>
        <v/>
      </c>
      <c r="AI583" s="238" t="str">
        <f t="shared" si="48"/>
        <v>—</v>
      </c>
      <c r="AJ583" s="190" t="str">
        <f t="shared" si="49"/>
        <v>—</v>
      </c>
      <c r="AK583" s="157" t="str">
        <f t="shared" si="45"/>
        <v/>
      </c>
      <c r="AL583" s="160" t="str">
        <f t="shared" si="46"/>
        <v/>
      </c>
      <c r="AM583" s="210"/>
      <c r="AN583" s="209"/>
    </row>
    <row r="584" spans="1:40" ht="27.95" customHeight="1">
      <c r="A584" s="134" t="str">
        <f>IF(I584&lt;&gt;"",COUNTA($I$2:I584),"")</f>
        <v/>
      </c>
      <c r="B584" s="138" t="str">
        <f t="shared" si="47"/>
        <v/>
      </c>
      <c r="C584" s="93" t="str">
        <f t="array" ref="C584">IF(E584="","",IF(M584&lt;&gt;"",
M584&amp;"/"&amp;SUMPRODUCT((M$2:M584=M584)*1)&amp;" - "&amp;(ROW()-2),
"إداري/"&amp;SUMPRODUCT((M$2:M584="")*1)&amp;" - "&amp;(ROW()-2)))</f>
        <v/>
      </c>
      <c r="D584" s="141" t="str">
        <f>IF(AND(G584="",H584="",I584=""),"",IF(COUNTIFS(LISTS!$A$2:$A$67,G584,LISTS!$B$2:$B$67,H584,LISTS!$C$2:$C$67,I584)=0,"✗ هرم",IF(NOT(OR(Z584="ممتاز 100%",Z584="جيد 80%",Z584="مقبول 60%",Z584="خطر 40%",Z584="")),"✗ قائمة R",IF(NOT(OR(AA584="ممتاز 100%",AA584="جيد 85%",AA584="مقبول 70%",AA584="ضعيف 50%",AA584="")),"✗ قائمة S",IF(NOT(OR(AB584="مكتمل 100%",AB584="جزئي 60%",AB584="معلق 30%",AB584="مفتوح 0%",AB584="")),"✗ قائمة T",IF(NOT(OR(AC584="لا خصم 0",AC584="تأخير −5",AC584="عجز −10",AC584="جودة −15",AC584="امتثال −20",AC584="مخالفة −25",AC584="")),"✗ قائمة U",IF(AND(X584="لا",AC584&lt;&gt;"",AC584&lt;&gt;"لا خصم 0"),"✗ خصم",IF(AND(X584="نعم",AC584="لا خصم 0"),"✗ خصم",IF(AND(Z584="ممتاز 100%",AA584="ممتاز 100%",AB584&lt;&gt;"",AB584&lt;&gt;"مكتمل 100%"),"✗ إغلاق",IFERROR(IF(LEN(_xlfn.TEXTJOIN("، ",TRUE,IF(E584="","التاريخ",""),IF(F584="","الوقت",""),IF(G584="","المركز",""),IF(H584="","الدائرة",""),IF(I584="","القسم",""),IF(J584="","المسؤول",""),IF(K584="","نوع النشاط",""),IF(L584="","المشروع",""),IF(N584="","الممول",""),IF(V584="","الموضوع",""),IF(W584="","الملاحظة",""),IF(X584="","مشكلة",""),IF(Y584="","الإجراء",""),IF(Z584="","التنفيذ",""),IF(AA584="","الجودة",""),IF(AB584="","الإغلاق",""),IF(AC584="","الخصم",""),IF(AND(COUNTA($O584:$U584)&gt;0,O584=""),"مدير المشروع",""),IF(AND(COUNTA($O584:$U584)&gt;0,P584=""),"المستفيدين",""),IF(AND(COUNTA($O584:$U584)&gt;0,Q584=""),"المناطق",""),IF(AND(COUNTA($O584:$U584)&gt;0,R584=""),"الميزانية",""),IF(AND(COUNTA($O584:$U584)&gt;0,S584=""),"نسبة الجاهزية",""),IF(AND(COUNTA($O584:$U584)&gt;0,T584=""),"حالة الجاهزية",""),IF(AND(COUNTA($O584:$U584)&gt;0,U584=""),"التوصيات","")))&gt;0,"✗ ناقص: "&amp;_xlfn.TEXTJOIN("، ",TRUE,IF(E584="","التاريخ",""),IF(F584="","الوقت",""),IF(G584="","المركز",""),IF(H584="","الدائرة",""),IF(I584="","القسم",""),IF(J584="","المسؤول",""),IF(K584="","نوع النشاط",""),IF(L584="","المشروع",""),IF(N584="","الممول",""),IF(V584="","الموضوع",""),IF(W584="","الملاحظة",""),IF(X584="","مشكلة",""),IF(Y584="","الإجراء",""),IF(Z584="","التنفيذ",""),IF(AA584="","الجودة",""),IF(AB584="","الإغلاق",""),IF(AC584="","الخصم",""),IF(AND(COUNTA($O584:$U584)&gt;0,O584=""),"مدير المشروع",""),IF(AND(COUNTA($O584:$U584)&gt;0,P584=""),"المستفيدين",""),IF(AND(COUNTA($O584:$U584)&gt;0,Q584=""),"المناطق",""),IF(AND(COUNTA($O584:$U584)&gt;0,R584=""),"الميزانية",""),IF(AND(COUNTA($O584:$U584)&gt;0,S584=""),"نسبة الجاهزية",""),IF(AND(COUNTA($O584:$U584)&gt;0,T584=""),"حالة الجاهزية",""),IF(AND(COUNTA($O584:$U584)&gt;0,U584=""),"التوصيات","")),"✓"),"✓"))))))))))</f>
        <v/>
      </c>
      <c r="E584" s="235"/>
      <c r="F584" s="236"/>
      <c r="G584" s="90"/>
      <c r="H584" s="239"/>
      <c r="I584" s="89"/>
      <c r="J584" s="142"/>
      <c r="K584" s="90"/>
      <c r="L584" s="90"/>
      <c r="M584" s="90"/>
      <c r="N584" s="89"/>
      <c r="O584" s="200"/>
      <c r="P584" s="201"/>
      <c r="Q584" s="201"/>
      <c r="R584" s="237"/>
      <c r="S584" s="202"/>
      <c r="T584" s="200"/>
      <c r="U584" s="203"/>
      <c r="V584" s="89"/>
      <c r="W584" s="89"/>
      <c r="X584" s="145"/>
      <c r="Y584" s="89"/>
      <c r="Z584" s="90"/>
      <c r="AA584" s="90"/>
      <c r="AB584" s="90"/>
      <c r="AC584" s="90"/>
      <c r="AD584" s="92"/>
      <c r="AE584" s="149" t="str">
        <f>IFERROR(VLOOKUP(Z584,LISTS!$AL$2:$AM$1000,2,FALSE()),"")</f>
        <v/>
      </c>
      <c r="AF584" s="151" t="str">
        <f>IFERROR(VLOOKUP(AA584,LISTS!$AO$2:$AP$1000,2,FALSE()),"")</f>
        <v/>
      </c>
      <c r="AG584" s="152" t="str">
        <f>IFERROR(VLOOKUP(AB584,LISTS!$AR$2:$AS$1000,2,FALSE()),"")</f>
        <v/>
      </c>
      <c r="AH584" s="154" t="str">
        <f>IFERROR(VLOOKUP(AC584,LISTS!$AU$2:$AV$1000,2,FALSE()),"")</f>
        <v/>
      </c>
      <c r="AI584" s="238" t="str">
        <f t="shared" si="48"/>
        <v>—</v>
      </c>
      <c r="AJ584" s="190" t="str">
        <f t="shared" si="49"/>
        <v>—</v>
      </c>
      <c r="AK584" s="157" t="str">
        <f t="shared" si="45"/>
        <v/>
      </c>
      <c r="AL584" s="160" t="str">
        <f t="shared" si="46"/>
        <v/>
      </c>
      <c r="AM584" s="210"/>
      <c r="AN584" s="209"/>
    </row>
    <row r="585" spans="1:40" ht="27.95" customHeight="1">
      <c r="A585" s="134" t="str">
        <f>IF(I585&lt;&gt;"",COUNTA($I$2:I585),"")</f>
        <v/>
      </c>
      <c r="B585" s="138" t="str">
        <f t="shared" si="47"/>
        <v/>
      </c>
      <c r="C585" s="93" t="str">
        <f t="array" ref="C585">IF(E585="","",IF(M585&lt;&gt;"",
M585&amp;"/"&amp;SUMPRODUCT((M$2:M585=M585)*1)&amp;" - "&amp;(ROW()-2),
"إداري/"&amp;SUMPRODUCT((M$2:M585="")*1)&amp;" - "&amp;(ROW()-2)))</f>
        <v/>
      </c>
      <c r="D585" s="141" t="str">
        <f>IF(AND(G585="",H585="",I585=""),"",IF(COUNTIFS(LISTS!$A$2:$A$67,G585,LISTS!$B$2:$B$67,H585,LISTS!$C$2:$C$67,I585)=0,"✗ هرم",IF(NOT(OR(Z585="ممتاز 100%",Z585="جيد 80%",Z585="مقبول 60%",Z585="خطر 40%",Z585="")),"✗ قائمة R",IF(NOT(OR(AA585="ممتاز 100%",AA585="جيد 85%",AA585="مقبول 70%",AA585="ضعيف 50%",AA585="")),"✗ قائمة S",IF(NOT(OR(AB585="مكتمل 100%",AB585="جزئي 60%",AB585="معلق 30%",AB585="مفتوح 0%",AB585="")),"✗ قائمة T",IF(NOT(OR(AC585="لا خصم 0",AC585="تأخير −5",AC585="عجز −10",AC585="جودة −15",AC585="امتثال −20",AC585="مخالفة −25",AC585="")),"✗ قائمة U",IF(AND(X585="لا",AC585&lt;&gt;"",AC585&lt;&gt;"لا خصم 0"),"✗ خصم",IF(AND(X585="نعم",AC585="لا خصم 0"),"✗ خصم",IF(AND(Z585="ممتاز 100%",AA585="ممتاز 100%",AB585&lt;&gt;"",AB585&lt;&gt;"مكتمل 100%"),"✗ إغلاق",IFERROR(IF(LEN(_xlfn.TEXTJOIN("، ",TRUE,IF(E585="","التاريخ",""),IF(F585="","الوقت",""),IF(G585="","المركز",""),IF(H585="","الدائرة",""),IF(I585="","القسم",""),IF(J585="","المسؤول",""),IF(K585="","نوع النشاط",""),IF(L585="","المشروع",""),IF(N585="","الممول",""),IF(V585="","الموضوع",""),IF(W585="","الملاحظة",""),IF(X585="","مشكلة",""),IF(Y585="","الإجراء",""),IF(Z585="","التنفيذ",""),IF(AA585="","الجودة",""),IF(AB585="","الإغلاق",""),IF(AC585="","الخصم",""),IF(AND(COUNTA($O585:$U585)&gt;0,O585=""),"مدير المشروع",""),IF(AND(COUNTA($O585:$U585)&gt;0,P585=""),"المستفيدين",""),IF(AND(COUNTA($O585:$U585)&gt;0,Q585=""),"المناطق",""),IF(AND(COUNTA($O585:$U585)&gt;0,R585=""),"الميزانية",""),IF(AND(COUNTA($O585:$U585)&gt;0,S585=""),"نسبة الجاهزية",""),IF(AND(COUNTA($O585:$U585)&gt;0,T585=""),"حالة الجاهزية",""),IF(AND(COUNTA($O585:$U585)&gt;0,U585=""),"التوصيات","")))&gt;0,"✗ ناقص: "&amp;_xlfn.TEXTJOIN("، ",TRUE,IF(E585="","التاريخ",""),IF(F585="","الوقت",""),IF(G585="","المركز",""),IF(H585="","الدائرة",""),IF(I585="","القسم",""),IF(J585="","المسؤول",""),IF(K585="","نوع النشاط",""),IF(L585="","المشروع",""),IF(N585="","الممول",""),IF(V585="","الموضوع",""),IF(W585="","الملاحظة",""),IF(X585="","مشكلة",""),IF(Y585="","الإجراء",""),IF(Z585="","التنفيذ",""),IF(AA585="","الجودة",""),IF(AB585="","الإغلاق",""),IF(AC585="","الخصم",""),IF(AND(COUNTA($O585:$U585)&gt;0,O585=""),"مدير المشروع",""),IF(AND(COUNTA($O585:$U585)&gt;0,P585=""),"المستفيدين",""),IF(AND(COUNTA($O585:$U585)&gt;0,Q585=""),"المناطق",""),IF(AND(COUNTA($O585:$U585)&gt;0,R585=""),"الميزانية",""),IF(AND(COUNTA($O585:$U585)&gt;0,S585=""),"نسبة الجاهزية",""),IF(AND(COUNTA($O585:$U585)&gt;0,T585=""),"حالة الجاهزية",""),IF(AND(COUNTA($O585:$U585)&gt;0,U585=""),"التوصيات","")),"✓"),"✓"))))))))))</f>
        <v/>
      </c>
      <c r="E585" s="235"/>
      <c r="F585" s="236"/>
      <c r="G585" s="90"/>
      <c r="H585" s="239"/>
      <c r="I585" s="89"/>
      <c r="J585" s="142"/>
      <c r="K585" s="90"/>
      <c r="L585" s="90"/>
      <c r="M585" s="90"/>
      <c r="N585" s="89"/>
      <c r="O585" s="200"/>
      <c r="P585" s="201"/>
      <c r="Q585" s="201"/>
      <c r="R585" s="237"/>
      <c r="S585" s="202"/>
      <c r="T585" s="200"/>
      <c r="U585" s="203"/>
      <c r="V585" s="89"/>
      <c r="W585" s="89"/>
      <c r="X585" s="145"/>
      <c r="Y585" s="89"/>
      <c r="Z585" s="90"/>
      <c r="AA585" s="90"/>
      <c r="AB585" s="90"/>
      <c r="AC585" s="90"/>
      <c r="AD585" s="92"/>
      <c r="AE585" s="149" t="str">
        <f>IFERROR(VLOOKUP(Z585,LISTS!$AL$2:$AM$1000,2,FALSE()),"")</f>
        <v/>
      </c>
      <c r="AF585" s="151" t="str">
        <f>IFERROR(VLOOKUP(AA585,LISTS!$AO$2:$AP$1000,2,FALSE()),"")</f>
        <v/>
      </c>
      <c r="AG585" s="152" t="str">
        <f>IFERROR(VLOOKUP(AB585,LISTS!$AR$2:$AS$1000,2,FALSE()),"")</f>
        <v/>
      </c>
      <c r="AH585" s="154" t="str">
        <f>IFERROR(VLOOKUP(AC585,LISTS!$AU$2:$AV$1000,2,FALSE()),"")</f>
        <v/>
      </c>
      <c r="AI585" s="238" t="str">
        <f t="shared" si="48"/>
        <v>—</v>
      </c>
      <c r="AJ585" s="190" t="str">
        <f t="shared" si="49"/>
        <v>—</v>
      </c>
      <c r="AK585" s="157" t="str">
        <f t="shared" si="45"/>
        <v/>
      </c>
      <c r="AL585" s="160" t="str">
        <f t="shared" si="46"/>
        <v/>
      </c>
      <c r="AM585" s="210"/>
      <c r="AN585" s="209"/>
    </row>
    <row r="586" spans="1:40" ht="27.95" customHeight="1">
      <c r="A586" s="134" t="str">
        <f>IF(I586&lt;&gt;"",COUNTA($I$2:I586),"")</f>
        <v/>
      </c>
      <c r="B586" s="138" t="str">
        <f t="shared" si="47"/>
        <v/>
      </c>
      <c r="C586" s="93" t="str">
        <f t="array" ref="C586">IF(E586="","",IF(M586&lt;&gt;"",
M586&amp;"/"&amp;SUMPRODUCT((M$2:M586=M586)*1)&amp;" - "&amp;(ROW()-2),
"إداري/"&amp;SUMPRODUCT((M$2:M586="")*1)&amp;" - "&amp;(ROW()-2)))</f>
        <v/>
      </c>
      <c r="D586" s="141" t="str">
        <f>IF(AND(G586="",H586="",I586=""),"",IF(COUNTIFS(LISTS!$A$2:$A$67,G586,LISTS!$B$2:$B$67,H586,LISTS!$C$2:$C$67,I586)=0,"✗ هرم",IF(NOT(OR(Z586="ممتاز 100%",Z586="جيد 80%",Z586="مقبول 60%",Z586="خطر 40%",Z586="")),"✗ قائمة R",IF(NOT(OR(AA586="ممتاز 100%",AA586="جيد 85%",AA586="مقبول 70%",AA586="ضعيف 50%",AA586="")),"✗ قائمة S",IF(NOT(OR(AB586="مكتمل 100%",AB586="جزئي 60%",AB586="معلق 30%",AB586="مفتوح 0%",AB586="")),"✗ قائمة T",IF(NOT(OR(AC586="لا خصم 0",AC586="تأخير −5",AC586="عجز −10",AC586="جودة −15",AC586="امتثال −20",AC586="مخالفة −25",AC586="")),"✗ قائمة U",IF(AND(X586="لا",AC586&lt;&gt;"",AC586&lt;&gt;"لا خصم 0"),"✗ خصم",IF(AND(X586="نعم",AC586="لا خصم 0"),"✗ خصم",IF(AND(Z586="ممتاز 100%",AA586="ممتاز 100%",AB586&lt;&gt;"",AB586&lt;&gt;"مكتمل 100%"),"✗ إغلاق",IFERROR(IF(LEN(_xlfn.TEXTJOIN("، ",TRUE,IF(E586="","التاريخ",""),IF(F586="","الوقت",""),IF(G586="","المركز",""),IF(H586="","الدائرة",""),IF(I586="","القسم",""),IF(J586="","المسؤول",""),IF(K586="","نوع النشاط",""),IF(L586="","المشروع",""),IF(N586="","الممول",""),IF(V586="","الموضوع",""),IF(W586="","الملاحظة",""),IF(X586="","مشكلة",""),IF(Y586="","الإجراء",""),IF(Z586="","التنفيذ",""),IF(AA586="","الجودة",""),IF(AB586="","الإغلاق",""),IF(AC586="","الخصم",""),IF(AND(COUNTA($O586:$U586)&gt;0,O586=""),"مدير المشروع",""),IF(AND(COUNTA($O586:$U586)&gt;0,P586=""),"المستفيدين",""),IF(AND(COUNTA($O586:$U586)&gt;0,Q586=""),"المناطق",""),IF(AND(COUNTA($O586:$U586)&gt;0,R586=""),"الميزانية",""),IF(AND(COUNTA($O586:$U586)&gt;0,S586=""),"نسبة الجاهزية",""),IF(AND(COUNTA($O586:$U586)&gt;0,T586=""),"حالة الجاهزية",""),IF(AND(COUNTA($O586:$U586)&gt;0,U586=""),"التوصيات","")))&gt;0,"✗ ناقص: "&amp;_xlfn.TEXTJOIN("، ",TRUE,IF(E586="","التاريخ",""),IF(F586="","الوقت",""),IF(G586="","المركز",""),IF(H586="","الدائرة",""),IF(I586="","القسم",""),IF(J586="","المسؤول",""),IF(K586="","نوع النشاط",""),IF(L586="","المشروع",""),IF(N586="","الممول",""),IF(V586="","الموضوع",""),IF(W586="","الملاحظة",""),IF(X586="","مشكلة",""),IF(Y586="","الإجراء",""),IF(Z586="","التنفيذ",""),IF(AA586="","الجودة",""),IF(AB586="","الإغلاق",""),IF(AC586="","الخصم",""),IF(AND(COUNTA($O586:$U586)&gt;0,O586=""),"مدير المشروع",""),IF(AND(COUNTA($O586:$U586)&gt;0,P586=""),"المستفيدين",""),IF(AND(COUNTA($O586:$U586)&gt;0,Q586=""),"المناطق",""),IF(AND(COUNTA($O586:$U586)&gt;0,R586=""),"الميزانية",""),IF(AND(COUNTA($O586:$U586)&gt;0,S586=""),"نسبة الجاهزية",""),IF(AND(COUNTA($O586:$U586)&gt;0,T586=""),"حالة الجاهزية",""),IF(AND(COUNTA($O586:$U586)&gt;0,U586=""),"التوصيات","")),"✓"),"✓"))))))))))</f>
        <v/>
      </c>
      <c r="E586" s="235"/>
      <c r="F586" s="236"/>
      <c r="G586" s="90"/>
      <c r="H586" s="239"/>
      <c r="I586" s="89"/>
      <c r="J586" s="142"/>
      <c r="K586" s="90"/>
      <c r="L586" s="90"/>
      <c r="M586" s="90"/>
      <c r="N586" s="89"/>
      <c r="O586" s="200"/>
      <c r="P586" s="201"/>
      <c r="Q586" s="201"/>
      <c r="R586" s="237"/>
      <c r="S586" s="202"/>
      <c r="T586" s="200"/>
      <c r="U586" s="203"/>
      <c r="V586" s="89"/>
      <c r="W586" s="89"/>
      <c r="X586" s="145"/>
      <c r="Y586" s="89"/>
      <c r="Z586" s="90"/>
      <c r="AA586" s="90"/>
      <c r="AB586" s="90"/>
      <c r="AC586" s="90"/>
      <c r="AD586" s="92"/>
      <c r="AE586" s="149" t="str">
        <f>IFERROR(VLOOKUP(Z586,LISTS!$AL$2:$AM$1000,2,FALSE()),"")</f>
        <v/>
      </c>
      <c r="AF586" s="151" t="str">
        <f>IFERROR(VLOOKUP(AA586,LISTS!$AO$2:$AP$1000,2,FALSE()),"")</f>
        <v/>
      </c>
      <c r="AG586" s="152" t="str">
        <f>IFERROR(VLOOKUP(AB586,LISTS!$AR$2:$AS$1000,2,FALSE()),"")</f>
        <v/>
      </c>
      <c r="AH586" s="154" t="str">
        <f>IFERROR(VLOOKUP(AC586,LISTS!$AU$2:$AV$1000,2,FALSE()),"")</f>
        <v/>
      </c>
      <c r="AI586" s="238" t="str">
        <f t="shared" si="48"/>
        <v>—</v>
      </c>
      <c r="AJ586" s="190" t="str">
        <f t="shared" si="49"/>
        <v>—</v>
      </c>
      <c r="AK586" s="157" t="str">
        <f t="shared" si="45"/>
        <v/>
      </c>
      <c r="AL586" s="160" t="str">
        <f t="shared" si="46"/>
        <v/>
      </c>
      <c r="AM586" s="210"/>
      <c r="AN586" s="209"/>
    </row>
    <row r="587" spans="1:40" ht="27.95" customHeight="1">
      <c r="A587" s="134" t="str">
        <f>IF(I587&lt;&gt;"",COUNTA($I$2:I587),"")</f>
        <v/>
      </c>
      <c r="B587" s="138" t="str">
        <f t="shared" si="47"/>
        <v/>
      </c>
      <c r="C587" s="93" t="str">
        <f t="array" ref="C587">IF(E587="","",IF(M587&lt;&gt;"",
M587&amp;"/"&amp;SUMPRODUCT((M$2:M587=M587)*1)&amp;" - "&amp;(ROW()-2),
"إداري/"&amp;SUMPRODUCT((M$2:M587="")*1)&amp;" - "&amp;(ROW()-2)))</f>
        <v/>
      </c>
      <c r="D587" s="141" t="str">
        <f>IF(AND(G587="",H587="",I587=""),"",IF(COUNTIFS(LISTS!$A$2:$A$67,G587,LISTS!$B$2:$B$67,H587,LISTS!$C$2:$C$67,I587)=0,"✗ هرم",IF(NOT(OR(Z587="ممتاز 100%",Z587="جيد 80%",Z587="مقبول 60%",Z587="خطر 40%",Z587="")),"✗ قائمة R",IF(NOT(OR(AA587="ممتاز 100%",AA587="جيد 85%",AA587="مقبول 70%",AA587="ضعيف 50%",AA587="")),"✗ قائمة S",IF(NOT(OR(AB587="مكتمل 100%",AB587="جزئي 60%",AB587="معلق 30%",AB587="مفتوح 0%",AB587="")),"✗ قائمة T",IF(NOT(OR(AC587="لا خصم 0",AC587="تأخير −5",AC587="عجز −10",AC587="جودة −15",AC587="امتثال −20",AC587="مخالفة −25",AC587="")),"✗ قائمة U",IF(AND(X587="لا",AC587&lt;&gt;"",AC587&lt;&gt;"لا خصم 0"),"✗ خصم",IF(AND(X587="نعم",AC587="لا خصم 0"),"✗ خصم",IF(AND(Z587="ممتاز 100%",AA587="ممتاز 100%",AB587&lt;&gt;"",AB587&lt;&gt;"مكتمل 100%"),"✗ إغلاق",IFERROR(IF(LEN(_xlfn.TEXTJOIN("، ",TRUE,IF(E587="","التاريخ",""),IF(F587="","الوقت",""),IF(G587="","المركز",""),IF(H587="","الدائرة",""),IF(I587="","القسم",""),IF(J587="","المسؤول",""),IF(K587="","نوع النشاط",""),IF(L587="","المشروع",""),IF(N587="","الممول",""),IF(V587="","الموضوع",""),IF(W587="","الملاحظة",""),IF(X587="","مشكلة",""),IF(Y587="","الإجراء",""),IF(Z587="","التنفيذ",""),IF(AA587="","الجودة",""),IF(AB587="","الإغلاق",""),IF(AC587="","الخصم",""),IF(AND(COUNTA($O587:$U587)&gt;0,O587=""),"مدير المشروع",""),IF(AND(COUNTA($O587:$U587)&gt;0,P587=""),"المستفيدين",""),IF(AND(COUNTA($O587:$U587)&gt;0,Q587=""),"المناطق",""),IF(AND(COUNTA($O587:$U587)&gt;0,R587=""),"الميزانية",""),IF(AND(COUNTA($O587:$U587)&gt;0,S587=""),"نسبة الجاهزية",""),IF(AND(COUNTA($O587:$U587)&gt;0,T587=""),"حالة الجاهزية",""),IF(AND(COUNTA($O587:$U587)&gt;0,U587=""),"التوصيات","")))&gt;0,"✗ ناقص: "&amp;_xlfn.TEXTJOIN("، ",TRUE,IF(E587="","التاريخ",""),IF(F587="","الوقت",""),IF(G587="","المركز",""),IF(H587="","الدائرة",""),IF(I587="","القسم",""),IF(J587="","المسؤول",""),IF(K587="","نوع النشاط",""),IF(L587="","المشروع",""),IF(N587="","الممول",""),IF(V587="","الموضوع",""),IF(W587="","الملاحظة",""),IF(X587="","مشكلة",""),IF(Y587="","الإجراء",""),IF(Z587="","التنفيذ",""),IF(AA587="","الجودة",""),IF(AB587="","الإغلاق",""),IF(AC587="","الخصم",""),IF(AND(COUNTA($O587:$U587)&gt;0,O587=""),"مدير المشروع",""),IF(AND(COUNTA($O587:$U587)&gt;0,P587=""),"المستفيدين",""),IF(AND(COUNTA($O587:$U587)&gt;0,Q587=""),"المناطق",""),IF(AND(COUNTA($O587:$U587)&gt;0,R587=""),"الميزانية",""),IF(AND(COUNTA($O587:$U587)&gt;0,S587=""),"نسبة الجاهزية",""),IF(AND(COUNTA($O587:$U587)&gt;0,T587=""),"حالة الجاهزية",""),IF(AND(COUNTA($O587:$U587)&gt;0,U587=""),"التوصيات","")),"✓"),"✓"))))))))))</f>
        <v/>
      </c>
      <c r="E587" s="235"/>
      <c r="F587" s="236"/>
      <c r="G587" s="90"/>
      <c r="H587" s="239"/>
      <c r="I587" s="89"/>
      <c r="J587" s="142"/>
      <c r="K587" s="90"/>
      <c r="L587" s="90"/>
      <c r="M587" s="90"/>
      <c r="N587" s="89"/>
      <c r="O587" s="200"/>
      <c r="P587" s="201"/>
      <c r="Q587" s="201"/>
      <c r="R587" s="237"/>
      <c r="S587" s="202"/>
      <c r="T587" s="200"/>
      <c r="U587" s="203"/>
      <c r="V587" s="89"/>
      <c r="W587" s="89"/>
      <c r="X587" s="145"/>
      <c r="Y587" s="89"/>
      <c r="Z587" s="90"/>
      <c r="AA587" s="90"/>
      <c r="AB587" s="90"/>
      <c r="AC587" s="90"/>
      <c r="AD587" s="92"/>
      <c r="AE587" s="149" t="str">
        <f>IFERROR(VLOOKUP(Z587,LISTS!$AL$2:$AM$1000,2,FALSE()),"")</f>
        <v/>
      </c>
      <c r="AF587" s="151" t="str">
        <f>IFERROR(VLOOKUP(AA587,LISTS!$AO$2:$AP$1000,2,FALSE()),"")</f>
        <v/>
      </c>
      <c r="AG587" s="152" t="str">
        <f>IFERROR(VLOOKUP(AB587,LISTS!$AR$2:$AS$1000,2,FALSE()),"")</f>
        <v/>
      </c>
      <c r="AH587" s="154" t="str">
        <f>IFERROR(VLOOKUP(AC587,LISTS!$AU$2:$AV$1000,2,FALSE()),"")</f>
        <v/>
      </c>
      <c r="AI587" s="238" t="str">
        <f t="shared" si="48"/>
        <v>—</v>
      </c>
      <c r="AJ587" s="190" t="str">
        <f t="shared" si="49"/>
        <v>—</v>
      </c>
      <c r="AK587" s="157" t="str">
        <f t="shared" si="45"/>
        <v/>
      </c>
      <c r="AL587" s="160" t="str">
        <f t="shared" si="46"/>
        <v/>
      </c>
      <c r="AM587" s="210"/>
      <c r="AN587" s="209"/>
    </row>
    <row r="588" spans="1:40" ht="27.95" customHeight="1">
      <c r="A588" s="134" t="str">
        <f>IF(I588&lt;&gt;"",COUNTA($I$2:I588),"")</f>
        <v/>
      </c>
      <c r="B588" s="138" t="str">
        <f t="shared" si="47"/>
        <v/>
      </c>
      <c r="C588" s="93" t="str">
        <f t="array" ref="C588">IF(E588="","",IF(M588&lt;&gt;"",
M588&amp;"/"&amp;SUMPRODUCT((M$2:M588=M588)*1)&amp;" - "&amp;(ROW()-2),
"إداري/"&amp;SUMPRODUCT((M$2:M588="")*1)&amp;" - "&amp;(ROW()-2)))</f>
        <v/>
      </c>
      <c r="D588" s="141" t="str">
        <f>IF(AND(G588="",H588="",I588=""),"",IF(COUNTIFS(LISTS!$A$2:$A$67,G588,LISTS!$B$2:$B$67,H588,LISTS!$C$2:$C$67,I588)=0,"✗ هرم",IF(NOT(OR(Z588="ممتاز 100%",Z588="جيد 80%",Z588="مقبول 60%",Z588="خطر 40%",Z588="")),"✗ قائمة R",IF(NOT(OR(AA588="ممتاز 100%",AA588="جيد 85%",AA588="مقبول 70%",AA588="ضعيف 50%",AA588="")),"✗ قائمة S",IF(NOT(OR(AB588="مكتمل 100%",AB588="جزئي 60%",AB588="معلق 30%",AB588="مفتوح 0%",AB588="")),"✗ قائمة T",IF(NOT(OR(AC588="لا خصم 0",AC588="تأخير −5",AC588="عجز −10",AC588="جودة −15",AC588="امتثال −20",AC588="مخالفة −25",AC588="")),"✗ قائمة U",IF(AND(X588="لا",AC588&lt;&gt;"",AC588&lt;&gt;"لا خصم 0"),"✗ خصم",IF(AND(X588="نعم",AC588="لا خصم 0"),"✗ خصم",IF(AND(Z588="ممتاز 100%",AA588="ممتاز 100%",AB588&lt;&gt;"",AB588&lt;&gt;"مكتمل 100%"),"✗ إغلاق",IFERROR(IF(LEN(_xlfn.TEXTJOIN("، ",TRUE,IF(E588="","التاريخ",""),IF(F588="","الوقت",""),IF(G588="","المركز",""),IF(H588="","الدائرة",""),IF(I588="","القسم",""),IF(J588="","المسؤول",""),IF(K588="","نوع النشاط",""),IF(L588="","المشروع",""),IF(N588="","الممول",""),IF(V588="","الموضوع",""),IF(W588="","الملاحظة",""),IF(X588="","مشكلة",""),IF(Y588="","الإجراء",""),IF(Z588="","التنفيذ",""),IF(AA588="","الجودة",""),IF(AB588="","الإغلاق",""),IF(AC588="","الخصم",""),IF(AND(COUNTA($O588:$U588)&gt;0,O588=""),"مدير المشروع",""),IF(AND(COUNTA($O588:$U588)&gt;0,P588=""),"المستفيدين",""),IF(AND(COUNTA($O588:$U588)&gt;0,Q588=""),"المناطق",""),IF(AND(COUNTA($O588:$U588)&gt;0,R588=""),"الميزانية",""),IF(AND(COUNTA($O588:$U588)&gt;0,S588=""),"نسبة الجاهزية",""),IF(AND(COUNTA($O588:$U588)&gt;0,T588=""),"حالة الجاهزية",""),IF(AND(COUNTA($O588:$U588)&gt;0,U588=""),"التوصيات","")))&gt;0,"✗ ناقص: "&amp;_xlfn.TEXTJOIN("، ",TRUE,IF(E588="","التاريخ",""),IF(F588="","الوقت",""),IF(G588="","المركز",""),IF(H588="","الدائرة",""),IF(I588="","القسم",""),IF(J588="","المسؤول",""),IF(K588="","نوع النشاط",""),IF(L588="","المشروع",""),IF(N588="","الممول",""),IF(V588="","الموضوع",""),IF(W588="","الملاحظة",""),IF(X588="","مشكلة",""),IF(Y588="","الإجراء",""),IF(Z588="","التنفيذ",""),IF(AA588="","الجودة",""),IF(AB588="","الإغلاق",""),IF(AC588="","الخصم",""),IF(AND(COUNTA($O588:$U588)&gt;0,O588=""),"مدير المشروع",""),IF(AND(COUNTA($O588:$U588)&gt;0,P588=""),"المستفيدين",""),IF(AND(COUNTA($O588:$U588)&gt;0,Q588=""),"المناطق",""),IF(AND(COUNTA($O588:$U588)&gt;0,R588=""),"الميزانية",""),IF(AND(COUNTA($O588:$U588)&gt;0,S588=""),"نسبة الجاهزية",""),IF(AND(COUNTA($O588:$U588)&gt;0,T588=""),"حالة الجاهزية",""),IF(AND(COUNTA($O588:$U588)&gt;0,U588=""),"التوصيات","")),"✓"),"✓"))))))))))</f>
        <v/>
      </c>
      <c r="E588" s="235"/>
      <c r="F588" s="236"/>
      <c r="G588" s="90"/>
      <c r="H588" s="239"/>
      <c r="I588" s="89"/>
      <c r="J588" s="142"/>
      <c r="K588" s="90"/>
      <c r="L588" s="90"/>
      <c r="M588" s="90"/>
      <c r="N588" s="89"/>
      <c r="O588" s="200"/>
      <c r="P588" s="201"/>
      <c r="Q588" s="201"/>
      <c r="R588" s="237"/>
      <c r="S588" s="202"/>
      <c r="T588" s="200"/>
      <c r="U588" s="203"/>
      <c r="V588" s="89"/>
      <c r="W588" s="89"/>
      <c r="X588" s="145"/>
      <c r="Y588" s="89"/>
      <c r="Z588" s="90"/>
      <c r="AA588" s="90"/>
      <c r="AB588" s="90"/>
      <c r="AC588" s="90"/>
      <c r="AD588" s="92"/>
      <c r="AE588" s="149" t="str">
        <f>IFERROR(VLOOKUP(Z588,LISTS!$AL$2:$AM$1000,2,FALSE()),"")</f>
        <v/>
      </c>
      <c r="AF588" s="151" t="str">
        <f>IFERROR(VLOOKUP(AA588,LISTS!$AO$2:$AP$1000,2,FALSE()),"")</f>
        <v/>
      </c>
      <c r="AG588" s="152" t="str">
        <f>IFERROR(VLOOKUP(AB588,LISTS!$AR$2:$AS$1000,2,FALSE()),"")</f>
        <v/>
      </c>
      <c r="AH588" s="154" t="str">
        <f>IFERROR(VLOOKUP(AC588,LISTS!$AU$2:$AV$1000,2,FALSE()),"")</f>
        <v/>
      </c>
      <c r="AI588" s="238" t="str">
        <f t="shared" si="48"/>
        <v>—</v>
      </c>
      <c r="AJ588" s="190" t="str">
        <f t="shared" si="49"/>
        <v>—</v>
      </c>
      <c r="AK588" s="157" t="str">
        <f t="shared" si="45"/>
        <v/>
      </c>
      <c r="AL588" s="160" t="str">
        <f t="shared" si="46"/>
        <v/>
      </c>
      <c r="AM588" s="210"/>
      <c r="AN588" s="209"/>
    </row>
    <row r="589" spans="1:40" ht="27.95" customHeight="1">
      <c r="A589" s="134" t="str">
        <f>IF(I589&lt;&gt;"",COUNTA($I$2:I589),"")</f>
        <v/>
      </c>
      <c r="B589" s="138" t="str">
        <f t="shared" si="47"/>
        <v/>
      </c>
      <c r="C589" s="93" t="str">
        <f t="array" ref="C589">IF(E589="","",IF(M589&lt;&gt;"",
M589&amp;"/"&amp;SUMPRODUCT((M$2:M589=M589)*1)&amp;" - "&amp;(ROW()-2),
"إداري/"&amp;SUMPRODUCT((M$2:M589="")*1)&amp;" - "&amp;(ROW()-2)))</f>
        <v/>
      </c>
      <c r="D589" s="141" t="str">
        <f>IF(AND(G589="",H589="",I589=""),"",IF(COUNTIFS(LISTS!$A$2:$A$67,G589,LISTS!$B$2:$B$67,H589,LISTS!$C$2:$C$67,I589)=0,"✗ هرم",IF(NOT(OR(Z589="ممتاز 100%",Z589="جيد 80%",Z589="مقبول 60%",Z589="خطر 40%",Z589="")),"✗ قائمة R",IF(NOT(OR(AA589="ممتاز 100%",AA589="جيد 85%",AA589="مقبول 70%",AA589="ضعيف 50%",AA589="")),"✗ قائمة S",IF(NOT(OR(AB589="مكتمل 100%",AB589="جزئي 60%",AB589="معلق 30%",AB589="مفتوح 0%",AB589="")),"✗ قائمة T",IF(NOT(OR(AC589="لا خصم 0",AC589="تأخير −5",AC589="عجز −10",AC589="جودة −15",AC589="امتثال −20",AC589="مخالفة −25",AC589="")),"✗ قائمة U",IF(AND(X589="لا",AC589&lt;&gt;"",AC589&lt;&gt;"لا خصم 0"),"✗ خصم",IF(AND(X589="نعم",AC589="لا خصم 0"),"✗ خصم",IF(AND(Z589="ممتاز 100%",AA589="ممتاز 100%",AB589&lt;&gt;"",AB589&lt;&gt;"مكتمل 100%"),"✗ إغلاق",IFERROR(IF(LEN(_xlfn.TEXTJOIN("، ",TRUE,IF(E589="","التاريخ",""),IF(F589="","الوقت",""),IF(G589="","المركز",""),IF(H589="","الدائرة",""),IF(I589="","القسم",""),IF(J589="","المسؤول",""),IF(K589="","نوع النشاط",""),IF(L589="","المشروع",""),IF(N589="","الممول",""),IF(V589="","الموضوع",""),IF(W589="","الملاحظة",""),IF(X589="","مشكلة",""),IF(Y589="","الإجراء",""),IF(Z589="","التنفيذ",""),IF(AA589="","الجودة",""),IF(AB589="","الإغلاق",""),IF(AC589="","الخصم",""),IF(AND(COUNTA($O589:$U589)&gt;0,O589=""),"مدير المشروع",""),IF(AND(COUNTA($O589:$U589)&gt;0,P589=""),"المستفيدين",""),IF(AND(COUNTA($O589:$U589)&gt;0,Q589=""),"المناطق",""),IF(AND(COUNTA($O589:$U589)&gt;0,R589=""),"الميزانية",""),IF(AND(COUNTA($O589:$U589)&gt;0,S589=""),"نسبة الجاهزية",""),IF(AND(COUNTA($O589:$U589)&gt;0,T589=""),"حالة الجاهزية",""),IF(AND(COUNTA($O589:$U589)&gt;0,U589=""),"التوصيات","")))&gt;0,"✗ ناقص: "&amp;_xlfn.TEXTJOIN("، ",TRUE,IF(E589="","التاريخ",""),IF(F589="","الوقت",""),IF(G589="","المركز",""),IF(H589="","الدائرة",""),IF(I589="","القسم",""),IF(J589="","المسؤول",""),IF(K589="","نوع النشاط",""),IF(L589="","المشروع",""),IF(N589="","الممول",""),IF(V589="","الموضوع",""),IF(W589="","الملاحظة",""),IF(X589="","مشكلة",""),IF(Y589="","الإجراء",""),IF(Z589="","التنفيذ",""),IF(AA589="","الجودة",""),IF(AB589="","الإغلاق",""),IF(AC589="","الخصم",""),IF(AND(COUNTA($O589:$U589)&gt;0,O589=""),"مدير المشروع",""),IF(AND(COUNTA($O589:$U589)&gt;0,P589=""),"المستفيدين",""),IF(AND(COUNTA($O589:$U589)&gt;0,Q589=""),"المناطق",""),IF(AND(COUNTA($O589:$U589)&gt;0,R589=""),"الميزانية",""),IF(AND(COUNTA($O589:$U589)&gt;0,S589=""),"نسبة الجاهزية",""),IF(AND(COUNTA($O589:$U589)&gt;0,T589=""),"حالة الجاهزية",""),IF(AND(COUNTA($O589:$U589)&gt;0,U589=""),"التوصيات","")),"✓"),"✓"))))))))))</f>
        <v/>
      </c>
      <c r="E589" s="235"/>
      <c r="F589" s="236"/>
      <c r="G589" s="90"/>
      <c r="H589" s="239"/>
      <c r="I589" s="89"/>
      <c r="J589" s="142"/>
      <c r="K589" s="90"/>
      <c r="L589" s="90"/>
      <c r="M589" s="90"/>
      <c r="N589" s="89"/>
      <c r="O589" s="200"/>
      <c r="P589" s="201"/>
      <c r="Q589" s="201"/>
      <c r="R589" s="237"/>
      <c r="S589" s="202"/>
      <c r="T589" s="200"/>
      <c r="U589" s="203"/>
      <c r="V589" s="89"/>
      <c r="W589" s="89"/>
      <c r="X589" s="145"/>
      <c r="Y589" s="89"/>
      <c r="Z589" s="90"/>
      <c r="AA589" s="90"/>
      <c r="AB589" s="90"/>
      <c r="AC589" s="90"/>
      <c r="AD589" s="92"/>
      <c r="AE589" s="149" t="str">
        <f>IFERROR(VLOOKUP(Z589,LISTS!$AL$2:$AM$1000,2,FALSE()),"")</f>
        <v/>
      </c>
      <c r="AF589" s="151" t="str">
        <f>IFERROR(VLOOKUP(AA589,LISTS!$AO$2:$AP$1000,2,FALSE()),"")</f>
        <v/>
      </c>
      <c r="AG589" s="152" t="str">
        <f>IFERROR(VLOOKUP(AB589,LISTS!$AR$2:$AS$1000,2,FALSE()),"")</f>
        <v/>
      </c>
      <c r="AH589" s="154" t="str">
        <f>IFERROR(VLOOKUP(AC589,LISTS!$AU$2:$AV$1000,2,FALSE()),"")</f>
        <v/>
      </c>
      <c r="AI589" s="238" t="str">
        <f t="shared" si="48"/>
        <v>—</v>
      </c>
      <c r="AJ589" s="190" t="str">
        <f t="shared" si="49"/>
        <v>—</v>
      </c>
      <c r="AK589" s="157" t="str">
        <f t="shared" si="45"/>
        <v/>
      </c>
      <c r="AL589" s="160" t="str">
        <f t="shared" si="46"/>
        <v/>
      </c>
      <c r="AM589" s="210"/>
      <c r="AN589" s="209"/>
    </row>
    <row r="590" spans="1:40" ht="27.95" customHeight="1">
      <c r="A590" s="134" t="str">
        <f>IF(I590&lt;&gt;"",COUNTA($I$2:I590),"")</f>
        <v/>
      </c>
      <c r="B590" s="138" t="str">
        <f t="shared" si="47"/>
        <v/>
      </c>
      <c r="C590" s="93" t="str">
        <f t="array" ref="C590">IF(E590="","",IF(M590&lt;&gt;"",
M590&amp;"/"&amp;SUMPRODUCT((M$2:M590=M590)*1)&amp;" - "&amp;(ROW()-2),
"إداري/"&amp;SUMPRODUCT((M$2:M590="")*1)&amp;" - "&amp;(ROW()-2)))</f>
        <v/>
      </c>
      <c r="D590" s="141" t="str">
        <f>IF(AND(G590="",H590="",I590=""),"",IF(COUNTIFS(LISTS!$A$2:$A$67,G590,LISTS!$B$2:$B$67,H590,LISTS!$C$2:$C$67,I590)=0,"✗ هرم",IF(NOT(OR(Z590="ممتاز 100%",Z590="جيد 80%",Z590="مقبول 60%",Z590="خطر 40%",Z590="")),"✗ قائمة R",IF(NOT(OR(AA590="ممتاز 100%",AA590="جيد 85%",AA590="مقبول 70%",AA590="ضعيف 50%",AA590="")),"✗ قائمة S",IF(NOT(OR(AB590="مكتمل 100%",AB590="جزئي 60%",AB590="معلق 30%",AB590="مفتوح 0%",AB590="")),"✗ قائمة T",IF(NOT(OR(AC590="لا خصم 0",AC590="تأخير −5",AC590="عجز −10",AC590="جودة −15",AC590="امتثال −20",AC590="مخالفة −25",AC590="")),"✗ قائمة U",IF(AND(X590="لا",AC590&lt;&gt;"",AC590&lt;&gt;"لا خصم 0"),"✗ خصم",IF(AND(X590="نعم",AC590="لا خصم 0"),"✗ خصم",IF(AND(Z590="ممتاز 100%",AA590="ممتاز 100%",AB590&lt;&gt;"",AB590&lt;&gt;"مكتمل 100%"),"✗ إغلاق",IFERROR(IF(LEN(_xlfn.TEXTJOIN("، ",TRUE,IF(E590="","التاريخ",""),IF(F590="","الوقت",""),IF(G590="","المركز",""),IF(H590="","الدائرة",""),IF(I590="","القسم",""),IF(J590="","المسؤول",""),IF(K590="","نوع النشاط",""),IF(L590="","المشروع",""),IF(N590="","الممول",""),IF(V590="","الموضوع",""),IF(W590="","الملاحظة",""),IF(X590="","مشكلة",""),IF(Y590="","الإجراء",""),IF(Z590="","التنفيذ",""),IF(AA590="","الجودة",""),IF(AB590="","الإغلاق",""),IF(AC590="","الخصم",""),IF(AND(COUNTA($O590:$U590)&gt;0,O590=""),"مدير المشروع",""),IF(AND(COUNTA($O590:$U590)&gt;0,P590=""),"المستفيدين",""),IF(AND(COUNTA($O590:$U590)&gt;0,Q590=""),"المناطق",""),IF(AND(COUNTA($O590:$U590)&gt;0,R590=""),"الميزانية",""),IF(AND(COUNTA($O590:$U590)&gt;0,S590=""),"نسبة الجاهزية",""),IF(AND(COUNTA($O590:$U590)&gt;0,T590=""),"حالة الجاهزية",""),IF(AND(COUNTA($O590:$U590)&gt;0,U590=""),"التوصيات","")))&gt;0,"✗ ناقص: "&amp;_xlfn.TEXTJOIN("، ",TRUE,IF(E590="","التاريخ",""),IF(F590="","الوقت",""),IF(G590="","المركز",""),IF(H590="","الدائرة",""),IF(I590="","القسم",""),IF(J590="","المسؤول",""),IF(K590="","نوع النشاط",""),IF(L590="","المشروع",""),IF(N590="","الممول",""),IF(V590="","الموضوع",""),IF(W590="","الملاحظة",""),IF(X590="","مشكلة",""),IF(Y590="","الإجراء",""),IF(Z590="","التنفيذ",""),IF(AA590="","الجودة",""),IF(AB590="","الإغلاق",""),IF(AC590="","الخصم",""),IF(AND(COUNTA($O590:$U590)&gt;0,O590=""),"مدير المشروع",""),IF(AND(COUNTA($O590:$U590)&gt;0,P590=""),"المستفيدين",""),IF(AND(COUNTA($O590:$U590)&gt;0,Q590=""),"المناطق",""),IF(AND(COUNTA($O590:$U590)&gt;0,R590=""),"الميزانية",""),IF(AND(COUNTA($O590:$U590)&gt;0,S590=""),"نسبة الجاهزية",""),IF(AND(COUNTA($O590:$U590)&gt;0,T590=""),"حالة الجاهزية",""),IF(AND(COUNTA($O590:$U590)&gt;0,U590=""),"التوصيات","")),"✓"),"✓"))))))))))</f>
        <v/>
      </c>
      <c r="E590" s="235"/>
      <c r="F590" s="236"/>
      <c r="G590" s="90"/>
      <c r="H590" s="239"/>
      <c r="I590" s="89"/>
      <c r="J590" s="142"/>
      <c r="K590" s="90"/>
      <c r="L590" s="90"/>
      <c r="M590" s="90"/>
      <c r="N590" s="89"/>
      <c r="O590" s="200"/>
      <c r="P590" s="201"/>
      <c r="Q590" s="201"/>
      <c r="R590" s="237"/>
      <c r="S590" s="202"/>
      <c r="T590" s="200"/>
      <c r="U590" s="203"/>
      <c r="V590" s="89"/>
      <c r="W590" s="89"/>
      <c r="X590" s="145"/>
      <c r="Y590" s="89"/>
      <c r="Z590" s="90"/>
      <c r="AA590" s="90"/>
      <c r="AB590" s="90"/>
      <c r="AC590" s="90"/>
      <c r="AD590" s="92"/>
      <c r="AE590" s="149" t="str">
        <f>IFERROR(VLOOKUP(Z590,LISTS!$AL$2:$AM$1000,2,FALSE()),"")</f>
        <v/>
      </c>
      <c r="AF590" s="151" t="str">
        <f>IFERROR(VLOOKUP(AA590,LISTS!$AO$2:$AP$1000,2,FALSE()),"")</f>
        <v/>
      </c>
      <c r="AG590" s="152" t="str">
        <f>IFERROR(VLOOKUP(AB590,LISTS!$AR$2:$AS$1000,2,FALSE()),"")</f>
        <v/>
      </c>
      <c r="AH590" s="154" t="str">
        <f>IFERROR(VLOOKUP(AC590,LISTS!$AU$2:$AV$1000,2,FALSE()),"")</f>
        <v/>
      </c>
      <c r="AI590" s="238" t="str">
        <f t="shared" si="48"/>
        <v>—</v>
      </c>
      <c r="AJ590" s="190" t="str">
        <f t="shared" si="49"/>
        <v>—</v>
      </c>
      <c r="AK590" s="157" t="str">
        <f t="shared" si="45"/>
        <v/>
      </c>
      <c r="AL590" s="160" t="str">
        <f t="shared" si="46"/>
        <v/>
      </c>
      <c r="AM590" s="210"/>
      <c r="AN590" s="209"/>
    </row>
    <row r="591" spans="1:40" ht="27.95" customHeight="1">
      <c r="A591" s="134" t="str">
        <f>IF(I591&lt;&gt;"",COUNTA($I$2:I591),"")</f>
        <v/>
      </c>
      <c r="B591" s="138" t="str">
        <f t="shared" si="47"/>
        <v/>
      </c>
      <c r="C591" s="93" t="str">
        <f t="array" ref="C591">IF(E591="","",IF(M591&lt;&gt;"",
M591&amp;"/"&amp;SUMPRODUCT((M$2:M591=M591)*1)&amp;" - "&amp;(ROW()-2),
"إداري/"&amp;SUMPRODUCT((M$2:M591="")*1)&amp;" - "&amp;(ROW()-2)))</f>
        <v/>
      </c>
      <c r="D591" s="141" t="str">
        <f>IF(AND(G591="",H591="",I591=""),"",IF(COUNTIFS(LISTS!$A$2:$A$67,G591,LISTS!$B$2:$B$67,H591,LISTS!$C$2:$C$67,I591)=0,"✗ هرم",IF(NOT(OR(Z591="ممتاز 100%",Z591="جيد 80%",Z591="مقبول 60%",Z591="خطر 40%",Z591="")),"✗ قائمة R",IF(NOT(OR(AA591="ممتاز 100%",AA591="جيد 85%",AA591="مقبول 70%",AA591="ضعيف 50%",AA591="")),"✗ قائمة S",IF(NOT(OR(AB591="مكتمل 100%",AB591="جزئي 60%",AB591="معلق 30%",AB591="مفتوح 0%",AB591="")),"✗ قائمة T",IF(NOT(OR(AC591="لا خصم 0",AC591="تأخير −5",AC591="عجز −10",AC591="جودة −15",AC591="امتثال −20",AC591="مخالفة −25",AC591="")),"✗ قائمة U",IF(AND(X591="لا",AC591&lt;&gt;"",AC591&lt;&gt;"لا خصم 0"),"✗ خصم",IF(AND(X591="نعم",AC591="لا خصم 0"),"✗ خصم",IF(AND(Z591="ممتاز 100%",AA591="ممتاز 100%",AB591&lt;&gt;"",AB591&lt;&gt;"مكتمل 100%"),"✗ إغلاق",IFERROR(IF(LEN(_xlfn.TEXTJOIN("، ",TRUE,IF(E591="","التاريخ",""),IF(F591="","الوقت",""),IF(G591="","المركز",""),IF(H591="","الدائرة",""),IF(I591="","القسم",""),IF(J591="","المسؤول",""),IF(K591="","نوع النشاط",""),IF(L591="","المشروع",""),IF(N591="","الممول",""),IF(V591="","الموضوع",""),IF(W591="","الملاحظة",""),IF(X591="","مشكلة",""),IF(Y591="","الإجراء",""),IF(Z591="","التنفيذ",""),IF(AA591="","الجودة",""),IF(AB591="","الإغلاق",""),IF(AC591="","الخصم",""),IF(AND(COUNTA($O591:$U591)&gt;0,O591=""),"مدير المشروع",""),IF(AND(COUNTA($O591:$U591)&gt;0,P591=""),"المستفيدين",""),IF(AND(COUNTA($O591:$U591)&gt;0,Q591=""),"المناطق",""),IF(AND(COUNTA($O591:$U591)&gt;0,R591=""),"الميزانية",""),IF(AND(COUNTA($O591:$U591)&gt;0,S591=""),"نسبة الجاهزية",""),IF(AND(COUNTA($O591:$U591)&gt;0,T591=""),"حالة الجاهزية",""),IF(AND(COUNTA($O591:$U591)&gt;0,U591=""),"التوصيات","")))&gt;0,"✗ ناقص: "&amp;_xlfn.TEXTJOIN("، ",TRUE,IF(E591="","التاريخ",""),IF(F591="","الوقت",""),IF(G591="","المركز",""),IF(H591="","الدائرة",""),IF(I591="","القسم",""),IF(J591="","المسؤول",""),IF(K591="","نوع النشاط",""),IF(L591="","المشروع",""),IF(N591="","الممول",""),IF(V591="","الموضوع",""),IF(W591="","الملاحظة",""),IF(X591="","مشكلة",""),IF(Y591="","الإجراء",""),IF(Z591="","التنفيذ",""),IF(AA591="","الجودة",""),IF(AB591="","الإغلاق",""),IF(AC591="","الخصم",""),IF(AND(COUNTA($O591:$U591)&gt;0,O591=""),"مدير المشروع",""),IF(AND(COUNTA($O591:$U591)&gt;0,P591=""),"المستفيدين",""),IF(AND(COUNTA($O591:$U591)&gt;0,Q591=""),"المناطق",""),IF(AND(COUNTA($O591:$U591)&gt;0,R591=""),"الميزانية",""),IF(AND(COUNTA($O591:$U591)&gt;0,S591=""),"نسبة الجاهزية",""),IF(AND(COUNTA($O591:$U591)&gt;0,T591=""),"حالة الجاهزية",""),IF(AND(COUNTA($O591:$U591)&gt;0,U591=""),"التوصيات","")),"✓"),"✓"))))))))))</f>
        <v/>
      </c>
      <c r="E591" s="235"/>
      <c r="F591" s="236"/>
      <c r="G591" s="90"/>
      <c r="H591" s="239"/>
      <c r="I591" s="89"/>
      <c r="J591" s="142"/>
      <c r="K591" s="90"/>
      <c r="L591" s="90"/>
      <c r="M591" s="90"/>
      <c r="N591" s="89"/>
      <c r="O591" s="200"/>
      <c r="P591" s="201"/>
      <c r="Q591" s="201"/>
      <c r="R591" s="237"/>
      <c r="S591" s="202"/>
      <c r="T591" s="200"/>
      <c r="U591" s="203"/>
      <c r="V591" s="89"/>
      <c r="W591" s="89"/>
      <c r="X591" s="145"/>
      <c r="Y591" s="89"/>
      <c r="Z591" s="90"/>
      <c r="AA591" s="90"/>
      <c r="AB591" s="90"/>
      <c r="AC591" s="90"/>
      <c r="AD591" s="92"/>
      <c r="AE591" s="149" t="str">
        <f>IFERROR(VLOOKUP(Z591,LISTS!$AL$2:$AM$1000,2,FALSE()),"")</f>
        <v/>
      </c>
      <c r="AF591" s="151" t="str">
        <f>IFERROR(VLOOKUP(AA591,LISTS!$AO$2:$AP$1000,2,FALSE()),"")</f>
        <v/>
      </c>
      <c r="AG591" s="152" t="str">
        <f>IFERROR(VLOOKUP(AB591,LISTS!$AR$2:$AS$1000,2,FALSE()),"")</f>
        <v/>
      </c>
      <c r="AH591" s="154" t="str">
        <f>IFERROR(VLOOKUP(AC591,LISTS!$AU$2:$AV$1000,2,FALSE()),"")</f>
        <v/>
      </c>
      <c r="AI591" s="238" t="str">
        <f t="shared" si="48"/>
        <v>—</v>
      </c>
      <c r="AJ591" s="190" t="str">
        <f t="shared" si="49"/>
        <v>—</v>
      </c>
      <c r="AK591" s="157" t="str">
        <f t="shared" si="45"/>
        <v/>
      </c>
      <c r="AL591" s="160" t="str">
        <f t="shared" si="46"/>
        <v/>
      </c>
      <c r="AM591" s="210"/>
      <c r="AN591" s="209"/>
    </row>
    <row r="592" spans="1:40" ht="27.95" customHeight="1">
      <c r="A592" s="134" t="str">
        <f>IF(I592&lt;&gt;"",COUNTA($I$2:I592),"")</f>
        <v/>
      </c>
      <c r="B592" s="138" t="str">
        <f t="shared" si="47"/>
        <v/>
      </c>
      <c r="C592" s="93" t="str">
        <f t="array" ref="C592">IF(E592="","",IF(M592&lt;&gt;"",
M592&amp;"/"&amp;SUMPRODUCT((M$2:M592=M592)*1)&amp;" - "&amp;(ROW()-2),
"إداري/"&amp;SUMPRODUCT((M$2:M592="")*1)&amp;" - "&amp;(ROW()-2)))</f>
        <v/>
      </c>
      <c r="D592" s="141" t="str">
        <f>IF(AND(G592="",H592="",I592=""),"",IF(COUNTIFS(LISTS!$A$2:$A$67,G592,LISTS!$B$2:$B$67,H592,LISTS!$C$2:$C$67,I592)=0,"✗ هرم",IF(NOT(OR(Z592="ممتاز 100%",Z592="جيد 80%",Z592="مقبول 60%",Z592="خطر 40%",Z592="")),"✗ قائمة R",IF(NOT(OR(AA592="ممتاز 100%",AA592="جيد 85%",AA592="مقبول 70%",AA592="ضعيف 50%",AA592="")),"✗ قائمة S",IF(NOT(OR(AB592="مكتمل 100%",AB592="جزئي 60%",AB592="معلق 30%",AB592="مفتوح 0%",AB592="")),"✗ قائمة T",IF(NOT(OR(AC592="لا خصم 0",AC592="تأخير −5",AC592="عجز −10",AC592="جودة −15",AC592="امتثال −20",AC592="مخالفة −25",AC592="")),"✗ قائمة U",IF(AND(X592="لا",AC592&lt;&gt;"",AC592&lt;&gt;"لا خصم 0"),"✗ خصم",IF(AND(X592="نعم",AC592="لا خصم 0"),"✗ خصم",IF(AND(Z592="ممتاز 100%",AA592="ممتاز 100%",AB592&lt;&gt;"",AB592&lt;&gt;"مكتمل 100%"),"✗ إغلاق",IFERROR(IF(LEN(_xlfn.TEXTJOIN("، ",TRUE,IF(E592="","التاريخ",""),IF(F592="","الوقت",""),IF(G592="","المركز",""),IF(H592="","الدائرة",""),IF(I592="","القسم",""),IF(J592="","المسؤول",""),IF(K592="","نوع النشاط",""),IF(L592="","المشروع",""),IF(N592="","الممول",""),IF(V592="","الموضوع",""),IF(W592="","الملاحظة",""),IF(X592="","مشكلة",""),IF(Y592="","الإجراء",""),IF(Z592="","التنفيذ",""),IF(AA592="","الجودة",""),IF(AB592="","الإغلاق",""),IF(AC592="","الخصم",""),IF(AND(COUNTA($O592:$U592)&gt;0,O592=""),"مدير المشروع",""),IF(AND(COUNTA($O592:$U592)&gt;0,P592=""),"المستفيدين",""),IF(AND(COUNTA($O592:$U592)&gt;0,Q592=""),"المناطق",""),IF(AND(COUNTA($O592:$U592)&gt;0,R592=""),"الميزانية",""),IF(AND(COUNTA($O592:$U592)&gt;0,S592=""),"نسبة الجاهزية",""),IF(AND(COUNTA($O592:$U592)&gt;0,T592=""),"حالة الجاهزية",""),IF(AND(COUNTA($O592:$U592)&gt;0,U592=""),"التوصيات","")))&gt;0,"✗ ناقص: "&amp;_xlfn.TEXTJOIN("، ",TRUE,IF(E592="","التاريخ",""),IF(F592="","الوقت",""),IF(G592="","المركز",""),IF(H592="","الدائرة",""),IF(I592="","القسم",""),IF(J592="","المسؤول",""),IF(K592="","نوع النشاط",""),IF(L592="","المشروع",""),IF(N592="","الممول",""),IF(V592="","الموضوع",""),IF(W592="","الملاحظة",""),IF(X592="","مشكلة",""),IF(Y592="","الإجراء",""),IF(Z592="","التنفيذ",""),IF(AA592="","الجودة",""),IF(AB592="","الإغلاق",""),IF(AC592="","الخصم",""),IF(AND(COUNTA($O592:$U592)&gt;0,O592=""),"مدير المشروع",""),IF(AND(COUNTA($O592:$U592)&gt;0,P592=""),"المستفيدين",""),IF(AND(COUNTA($O592:$U592)&gt;0,Q592=""),"المناطق",""),IF(AND(COUNTA($O592:$U592)&gt;0,R592=""),"الميزانية",""),IF(AND(COUNTA($O592:$U592)&gt;0,S592=""),"نسبة الجاهزية",""),IF(AND(COUNTA($O592:$U592)&gt;0,T592=""),"حالة الجاهزية",""),IF(AND(COUNTA($O592:$U592)&gt;0,U592=""),"التوصيات","")),"✓"),"✓"))))))))))</f>
        <v/>
      </c>
      <c r="E592" s="235"/>
      <c r="F592" s="236"/>
      <c r="G592" s="90"/>
      <c r="H592" s="239"/>
      <c r="I592" s="89"/>
      <c r="J592" s="142"/>
      <c r="K592" s="90"/>
      <c r="L592" s="90"/>
      <c r="M592" s="90"/>
      <c r="N592" s="89"/>
      <c r="O592" s="200"/>
      <c r="P592" s="201"/>
      <c r="Q592" s="201"/>
      <c r="R592" s="237"/>
      <c r="S592" s="202"/>
      <c r="T592" s="200"/>
      <c r="U592" s="203"/>
      <c r="V592" s="89"/>
      <c r="W592" s="89"/>
      <c r="X592" s="145"/>
      <c r="Y592" s="89"/>
      <c r="Z592" s="90"/>
      <c r="AA592" s="90"/>
      <c r="AB592" s="90"/>
      <c r="AC592" s="90"/>
      <c r="AD592" s="92"/>
      <c r="AE592" s="149" t="str">
        <f>IFERROR(VLOOKUP(Z592,LISTS!$AL$2:$AM$1000,2,FALSE()),"")</f>
        <v/>
      </c>
      <c r="AF592" s="151" t="str">
        <f>IFERROR(VLOOKUP(AA592,LISTS!$AO$2:$AP$1000,2,FALSE()),"")</f>
        <v/>
      </c>
      <c r="AG592" s="152" t="str">
        <f>IFERROR(VLOOKUP(AB592,LISTS!$AR$2:$AS$1000,2,FALSE()),"")</f>
        <v/>
      </c>
      <c r="AH592" s="154" t="str">
        <f>IFERROR(VLOOKUP(AC592,LISTS!$AU$2:$AV$1000,2,FALSE()),"")</f>
        <v/>
      </c>
      <c r="AI592" s="238" t="str">
        <f t="shared" si="48"/>
        <v>—</v>
      </c>
      <c r="AJ592" s="190" t="str">
        <f t="shared" si="49"/>
        <v>—</v>
      </c>
      <c r="AK592" s="157" t="str">
        <f t="shared" si="45"/>
        <v/>
      </c>
      <c r="AL592" s="160" t="str">
        <f t="shared" si="46"/>
        <v/>
      </c>
      <c r="AM592" s="210"/>
      <c r="AN592" s="209"/>
    </row>
    <row r="593" spans="1:40" ht="27.95" customHeight="1">
      <c r="A593" s="134" t="str">
        <f>IF(I593&lt;&gt;"",COUNTA($I$2:I593),"")</f>
        <v/>
      </c>
      <c r="B593" s="138" t="str">
        <f t="shared" si="47"/>
        <v/>
      </c>
      <c r="C593" s="93" t="str">
        <f t="array" ref="C593">IF(E593="","",IF(M593&lt;&gt;"",
M593&amp;"/"&amp;SUMPRODUCT((M$2:M593=M593)*1)&amp;" - "&amp;(ROW()-2),
"إداري/"&amp;SUMPRODUCT((M$2:M593="")*1)&amp;" - "&amp;(ROW()-2)))</f>
        <v/>
      </c>
      <c r="D593" s="141" t="str">
        <f>IF(AND(G593="",H593="",I593=""),"",IF(COUNTIFS(LISTS!$A$2:$A$67,G593,LISTS!$B$2:$B$67,H593,LISTS!$C$2:$C$67,I593)=0,"✗ هرم",IF(NOT(OR(Z593="ممتاز 100%",Z593="جيد 80%",Z593="مقبول 60%",Z593="خطر 40%",Z593="")),"✗ قائمة R",IF(NOT(OR(AA593="ممتاز 100%",AA593="جيد 85%",AA593="مقبول 70%",AA593="ضعيف 50%",AA593="")),"✗ قائمة S",IF(NOT(OR(AB593="مكتمل 100%",AB593="جزئي 60%",AB593="معلق 30%",AB593="مفتوح 0%",AB593="")),"✗ قائمة T",IF(NOT(OR(AC593="لا خصم 0",AC593="تأخير −5",AC593="عجز −10",AC593="جودة −15",AC593="امتثال −20",AC593="مخالفة −25",AC593="")),"✗ قائمة U",IF(AND(X593="لا",AC593&lt;&gt;"",AC593&lt;&gt;"لا خصم 0"),"✗ خصم",IF(AND(X593="نعم",AC593="لا خصم 0"),"✗ خصم",IF(AND(Z593="ممتاز 100%",AA593="ممتاز 100%",AB593&lt;&gt;"",AB593&lt;&gt;"مكتمل 100%"),"✗ إغلاق",IFERROR(IF(LEN(_xlfn.TEXTJOIN("، ",TRUE,IF(E593="","التاريخ",""),IF(F593="","الوقت",""),IF(G593="","المركز",""),IF(H593="","الدائرة",""),IF(I593="","القسم",""),IF(J593="","المسؤول",""),IF(K593="","نوع النشاط",""),IF(L593="","المشروع",""),IF(N593="","الممول",""),IF(V593="","الموضوع",""),IF(W593="","الملاحظة",""),IF(X593="","مشكلة",""),IF(Y593="","الإجراء",""),IF(Z593="","التنفيذ",""),IF(AA593="","الجودة",""),IF(AB593="","الإغلاق",""),IF(AC593="","الخصم",""),IF(AND(COUNTA($O593:$U593)&gt;0,O593=""),"مدير المشروع",""),IF(AND(COUNTA($O593:$U593)&gt;0,P593=""),"المستفيدين",""),IF(AND(COUNTA($O593:$U593)&gt;0,Q593=""),"المناطق",""),IF(AND(COUNTA($O593:$U593)&gt;0,R593=""),"الميزانية",""),IF(AND(COUNTA($O593:$U593)&gt;0,S593=""),"نسبة الجاهزية",""),IF(AND(COUNTA($O593:$U593)&gt;0,T593=""),"حالة الجاهزية",""),IF(AND(COUNTA($O593:$U593)&gt;0,U593=""),"التوصيات","")))&gt;0,"✗ ناقص: "&amp;_xlfn.TEXTJOIN("، ",TRUE,IF(E593="","التاريخ",""),IF(F593="","الوقت",""),IF(G593="","المركز",""),IF(H593="","الدائرة",""),IF(I593="","القسم",""),IF(J593="","المسؤول",""),IF(K593="","نوع النشاط",""),IF(L593="","المشروع",""),IF(N593="","الممول",""),IF(V593="","الموضوع",""),IF(W593="","الملاحظة",""),IF(X593="","مشكلة",""),IF(Y593="","الإجراء",""),IF(Z593="","التنفيذ",""),IF(AA593="","الجودة",""),IF(AB593="","الإغلاق",""),IF(AC593="","الخصم",""),IF(AND(COUNTA($O593:$U593)&gt;0,O593=""),"مدير المشروع",""),IF(AND(COUNTA($O593:$U593)&gt;0,P593=""),"المستفيدين",""),IF(AND(COUNTA($O593:$U593)&gt;0,Q593=""),"المناطق",""),IF(AND(COUNTA($O593:$U593)&gt;0,R593=""),"الميزانية",""),IF(AND(COUNTA($O593:$U593)&gt;0,S593=""),"نسبة الجاهزية",""),IF(AND(COUNTA($O593:$U593)&gt;0,T593=""),"حالة الجاهزية",""),IF(AND(COUNTA($O593:$U593)&gt;0,U593=""),"التوصيات","")),"✓"),"✓"))))))))))</f>
        <v/>
      </c>
      <c r="E593" s="235"/>
      <c r="F593" s="236"/>
      <c r="G593" s="90"/>
      <c r="H593" s="239"/>
      <c r="I593" s="89"/>
      <c r="J593" s="142"/>
      <c r="K593" s="90"/>
      <c r="L593" s="90"/>
      <c r="M593" s="90"/>
      <c r="N593" s="89"/>
      <c r="O593" s="200"/>
      <c r="P593" s="201"/>
      <c r="Q593" s="201"/>
      <c r="R593" s="237"/>
      <c r="S593" s="202"/>
      <c r="T593" s="200"/>
      <c r="U593" s="203"/>
      <c r="V593" s="89"/>
      <c r="W593" s="89"/>
      <c r="X593" s="145"/>
      <c r="Y593" s="89"/>
      <c r="Z593" s="90"/>
      <c r="AA593" s="90"/>
      <c r="AB593" s="90"/>
      <c r="AC593" s="90"/>
      <c r="AD593" s="92"/>
      <c r="AE593" s="149" t="str">
        <f>IFERROR(VLOOKUP(Z593,LISTS!$AL$2:$AM$1000,2,FALSE()),"")</f>
        <v/>
      </c>
      <c r="AF593" s="151" t="str">
        <f>IFERROR(VLOOKUP(AA593,LISTS!$AO$2:$AP$1000,2,FALSE()),"")</f>
        <v/>
      </c>
      <c r="AG593" s="152" t="str">
        <f>IFERROR(VLOOKUP(AB593,LISTS!$AR$2:$AS$1000,2,FALSE()),"")</f>
        <v/>
      </c>
      <c r="AH593" s="154" t="str">
        <f>IFERROR(VLOOKUP(AC593,LISTS!$AU$2:$AV$1000,2,FALSE()),"")</f>
        <v/>
      </c>
      <c r="AI593" s="238" t="str">
        <f t="shared" si="48"/>
        <v>—</v>
      </c>
      <c r="AJ593" s="190" t="str">
        <f t="shared" si="49"/>
        <v>—</v>
      </c>
      <c r="AK593" s="157" t="str">
        <f t="shared" si="45"/>
        <v/>
      </c>
      <c r="AL593" s="160" t="str">
        <f t="shared" si="46"/>
        <v/>
      </c>
      <c r="AM593" s="210"/>
      <c r="AN593" s="209"/>
    </row>
    <row r="594" spans="1:40" ht="27.95" customHeight="1">
      <c r="A594" s="134" t="str">
        <f>IF(I594&lt;&gt;"",COUNTA($I$2:I594),"")</f>
        <v/>
      </c>
      <c r="B594" s="138" t="str">
        <f t="shared" si="47"/>
        <v/>
      </c>
      <c r="C594" s="93" t="str">
        <f t="array" ref="C594">IF(E594="","",IF(M594&lt;&gt;"",
M594&amp;"/"&amp;SUMPRODUCT((M$2:M594=M594)*1)&amp;" - "&amp;(ROW()-2),
"إداري/"&amp;SUMPRODUCT((M$2:M594="")*1)&amp;" - "&amp;(ROW()-2)))</f>
        <v/>
      </c>
      <c r="D594" s="141" t="str">
        <f>IF(AND(G594="",H594="",I594=""),"",IF(COUNTIFS(LISTS!$A$2:$A$67,G594,LISTS!$B$2:$B$67,H594,LISTS!$C$2:$C$67,I594)=0,"✗ هرم",IF(NOT(OR(Z594="ممتاز 100%",Z594="جيد 80%",Z594="مقبول 60%",Z594="خطر 40%",Z594="")),"✗ قائمة R",IF(NOT(OR(AA594="ممتاز 100%",AA594="جيد 85%",AA594="مقبول 70%",AA594="ضعيف 50%",AA594="")),"✗ قائمة S",IF(NOT(OR(AB594="مكتمل 100%",AB594="جزئي 60%",AB594="معلق 30%",AB594="مفتوح 0%",AB594="")),"✗ قائمة T",IF(NOT(OR(AC594="لا خصم 0",AC594="تأخير −5",AC594="عجز −10",AC594="جودة −15",AC594="امتثال −20",AC594="مخالفة −25",AC594="")),"✗ قائمة U",IF(AND(X594="لا",AC594&lt;&gt;"",AC594&lt;&gt;"لا خصم 0"),"✗ خصم",IF(AND(X594="نعم",AC594="لا خصم 0"),"✗ خصم",IF(AND(Z594="ممتاز 100%",AA594="ممتاز 100%",AB594&lt;&gt;"",AB594&lt;&gt;"مكتمل 100%"),"✗ إغلاق",IFERROR(IF(LEN(_xlfn.TEXTJOIN("، ",TRUE,IF(E594="","التاريخ",""),IF(F594="","الوقت",""),IF(G594="","المركز",""),IF(H594="","الدائرة",""),IF(I594="","القسم",""),IF(J594="","المسؤول",""),IF(K594="","نوع النشاط",""),IF(L594="","المشروع",""),IF(N594="","الممول",""),IF(V594="","الموضوع",""),IF(W594="","الملاحظة",""),IF(X594="","مشكلة",""),IF(Y594="","الإجراء",""),IF(Z594="","التنفيذ",""),IF(AA594="","الجودة",""),IF(AB594="","الإغلاق",""),IF(AC594="","الخصم",""),IF(AND(COUNTA($O594:$U594)&gt;0,O594=""),"مدير المشروع",""),IF(AND(COUNTA($O594:$U594)&gt;0,P594=""),"المستفيدين",""),IF(AND(COUNTA($O594:$U594)&gt;0,Q594=""),"المناطق",""),IF(AND(COUNTA($O594:$U594)&gt;0,R594=""),"الميزانية",""),IF(AND(COUNTA($O594:$U594)&gt;0,S594=""),"نسبة الجاهزية",""),IF(AND(COUNTA($O594:$U594)&gt;0,T594=""),"حالة الجاهزية",""),IF(AND(COUNTA($O594:$U594)&gt;0,U594=""),"التوصيات","")))&gt;0,"✗ ناقص: "&amp;_xlfn.TEXTJOIN("، ",TRUE,IF(E594="","التاريخ",""),IF(F594="","الوقت",""),IF(G594="","المركز",""),IF(H594="","الدائرة",""),IF(I594="","القسم",""),IF(J594="","المسؤول",""),IF(K594="","نوع النشاط",""),IF(L594="","المشروع",""),IF(N594="","الممول",""),IF(V594="","الموضوع",""),IF(W594="","الملاحظة",""),IF(X594="","مشكلة",""),IF(Y594="","الإجراء",""),IF(Z594="","التنفيذ",""),IF(AA594="","الجودة",""),IF(AB594="","الإغلاق",""),IF(AC594="","الخصم",""),IF(AND(COUNTA($O594:$U594)&gt;0,O594=""),"مدير المشروع",""),IF(AND(COUNTA($O594:$U594)&gt;0,P594=""),"المستفيدين",""),IF(AND(COUNTA($O594:$U594)&gt;0,Q594=""),"المناطق",""),IF(AND(COUNTA($O594:$U594)&gt;0,R594=""),"الميزانية",""),IF(AND(COUNTA($O594:$U594)&gt;0,S594=""),"نسبة الجاهزية",""),IF(AND(COUNTA($O594:$U594)&gt;0,T594=""),"حالة الجاهزية",""),IF(AND(COUNTA($O594:$U594)&gt;0,U594=""),"التوصيات","")),"✓"),"✓"))))))))))</f>
        <v/>
      </c>
      <c r="E594" s="235"/>
      <c r="F594" s="236"/>
      <c r="G594" s="90"/>
      <c r="H594" s="239"/>
      <c r="I594" s="89"/>
      <c r="J594" s="142"/>
      <c r="K594" s="90"/>
      <c r="L594" s="90"/>
      <c r="M594" s="90"/>
      <c r="N594" s="89"/>
      <c r="O594" s="200"/>
      <c r="P594" s="201"/>
      <c r="Q594" s="201"/>
      <c r="R594" s="237"/>
      <c r="S594" s="202"/>
      <c r="T594" s="200"/>
      <c r="U594" s="203"/>
      <c r="V594" s="89"/>
      <c r="W594" s="89"/>
      <c r="X594" s="145"/>
      <c r="Y594" s="89"/>
      <c r="Z594" s="90"/>
      <c r="AA594" s="90"/>
      <c r="AB594" s="90"/>
      <c r="AC594" s="90"/>
      <c r="AD594" s="92"/>
      <c r="AE594" s="149" t="str">
        <f>IFERROR(VLOOKUP(Z594,LISTS!$AL$2:$AM$1000,2,FALSE()),"")</f>
        <v/>
      </c>
      <c r="AF594" s="151" t="str">
        <f>IFERROR(VLOOKUP(AA594,LISTS!$AO$2:$AP$1000,2,FALSE()),"")</f>
        <v/>
      </c>
      <c r="AG594" s="152" t="str">
        <f>IFERROR(VLOOKUP(AB594,LISTS!$AR$2:$AS$1000,2,FALSE()),"")</f>
        <v/>
      </c>
      <c r="AH594" s="154" t="str">
        <f>IFERROR(VLOOKUP(AC594,LISTS!$AU$2:$AV$1000,2,FALSE()),"")</f>
        <v/>
      </c>
      <c r="AI594" s="238" t="str">
        <f t="shared" si="48"/>
        <v>—</v>
      </c>
      <c r="AJ594" s="190" t="str">
        <f t="shared" si="49"/>
        <v>—</v>
      </c>
      <c r="AK594" s="157" t="str">
        <f t="shared" si="45"/>
        <v/>
      </c>
      <c r="AL594" s="160" t="str">
        <f t="shared" si="46"/>
        <v/>
      </c>
      <c r="AM594" s="210"/>
      <c r="AN594" s="209"/>
    </row>
    <row r="595" spans="1:40" ht="27.95" customHeight="1">
      <c r="A595" s="134" t="str">
        <f>IF(I595&lt;&gt;"",COUNTA($I$2:I595),"")</f>
        <v/>
      </c>
      <c r="B595" s="138" t="str">
        <f t="shared" si="47"/>
        <v/>
      </c>
      <c r="C595" s="93" t="str">
        <f t="array" ref="C595">IF(E595="","",IF(M595&lt;&gt;"",
M595&amp;"/"&amp;SUMPRODUCT((M$2:M595=M595)*1)&amp;" - "&amp;(ROW()-2),
"إداري/"&amp;SUMPRODUCT((M$2:M595="")*1)&amp;" - "&amp;(ROW()-2)))</f>
        <v/>
      </c>
      <c r="D595" s="141" t="str">
        <f>IF(AND(G595="",H595="",I595=""),"",IF(COUNTIFS(LISTS!$A$2:$A$67,G595,LISTS!$B$2:$B$67,H595,LISTS!$C$2:$C$67,I595)=0,"✗ هرم",IF(NOT(OR(Z595="ممتاز 100%",Z595="جيد 80%",Z595="مقبول 60%",Z595="خطر 40%",Z595="")),"✗ قائمة R",IF(NOT(OR(AA595="ممتاز 100%",AA595="جيد 85%",AA595="مقبول 70%",AA595="ضعيف 50%",AA595="")),"✗ قائمة S",IF(NOT(OR(AB595="مكتمل 100%",AB595="جزئي 60%",AB595="معلق 30%",AB595="مفتوح 0%",AB595="")),"✗ قائمة T",IF(NOT(OR(AC595="لا خصم 0",AC595="تأخير −5",AC595="عجز −10",AC595="جودة −15",AC595="امتثال −20",AC595="مخالفة −25",AC595="")),"✗ قائمة U",IF(AND(X595="لا",AC595&lt;&gt;"",AC595&lt;&gt;"لا خصم 0"),"✗ خصم",IF(AND(X595="نعم",AC595="لا خصم 0"),"✗ خصم",IF(AND(Z595="ممتاز 100%",AA595="ممتاز 100%",AB595&lt;&gt;"",AB595&lt;&gt;"مكتمل 100%"),"✗ إغلاق",IFERROR(IF(LEN(_xlfn.TEXTJOIN("، ",TRUE,IF(E595="","التاريخ",""),IF(F595="","الوقت",""),IF(G595="","المركز",""),IF(H595="","الدائرة",""),IF(I595="","القسم",""),IF(J595="","المسؤول",""),IF(K595="","نوع النشاط",""),IF(L595="","المشروع",""),IF(N595="","الممول",""),IF(V595="","الموضوع",""),IF(W595="","الملاحظة",""),IF(X595="","مشكلة",""),IF(Y595="","الإجراء",""),IF(Z595="","التنفيذ",""),IF(AA595="","الجودة",""),IF(AB595="","الإغلاق",""),IF(AC595="","الخصم",""),IF(AND(COUNTA($O595:$U595)&gt;0,O595=""),"مدير المشروع",""),IF(AND(COUNTA($O595:$U595)&gt;0,P595=""),"المستفيدين",""),IF(AND(COUNTA($O595:$U595)&gt;0,Q595=""),"المناطق",""),IF(AND(COUNTA($O595:$U595)&gt;0,R595=""),"الميزانية",""),IF(AND(COUNTA($O595:$U595)&gt;0,S595=""),"نسبة الجاهزية",""),IF(AND(COUNTA($O595:$U595)&gt;0,T595=""),"حالة الجاهزية",""),IF(AND(COUNTA($O595:$U595)&gt;0,U595=""),"التوصيات","")))&gt;0,"✗ ناقص: "&amp;_xlfn.TEXTJOIN("، ",TRUE,IF(E595="","التاريخ",""),IF(F595="","الوقت",""),IF(G595="","المركز",""),IF(H595="","الدائرة",""),IF(I595="","القسم",""),IF(J595="","المسؤول",""),IF(K595="","نوع النشاط",""),IF(L595="","المشروع",""),IF(N595="","الممول",""),IF(V595="","الموضوع",""),IF(W595="","الملاحظة",""),IF(X595="","مشكلة",""),IF(Y595="","الإجراء",""),IF(Z595="","التنفيذ",""),IF(AA595="","الجودة",""),IF(AB595="","الإغلاق",""),IF(AC595="","الخصم",""),IF(AND(COUNTA($O595:$U595)&gt;0,O595=""),"مدير المشروع",""),IF(AND(COUNTA($O595:$U595)&gt;0,P595=""),"المستفيدين",""),IF(AND(COUNTA($O595:$U595)&gt;0,Q595=""),"المناطق",""),IF(AND(COUNTA($O595:$U595)&gt;0,R595=""),"الميزانية",""),IF(AND(COUNTA($O595:$U595)&gt;0,S595=""),"نسبة الجاهزية",""),IF(AND(COUNTA($O595:$U595)&gt;0,T595=""),"حالة الجاهزية",""),IF(AND(COUNTA($O595:$U595)&gt;0,U595=""),"التوصيات","")),"✓"),"✓"))))))))))</f>
        <v/>
      </c>
      <c r="E595" s="235"/>
      <c r="F595" s="236"/>
      <c r="G595" s="90"/>
      <c r="H595" s="239"/>
      <c r="I595" s="89"/>
      <c r="J595" s="142"/>
      <c r="K595" s="90"/>
      <c r="L595" s="90"/>
      <c r="M595" s="90"/>
      <c r="N595" s="89"/>
      <c r="O595" s="200"/>
      <c r="P595" s="201"/>
      <c r="Q595" s="201"/>
      <c r="R595" s="237"/>
      <c r="S595" s="202"/>
      <c r="T595" s="200"/>
      <c r="U595" s="203"/>
      <c r="V595" s="89"/>
      <c r="W595" s="89"/>
      <c r="X595" s="145"/>
      <c r="Y595" s="89"/>
      <c r="Z595" s="90"/>
      <c r="AA595" s="90"/>
      <c r="AB595" s="90"/>
      <c r="AC595" s="90"/>
      <c r="AD595" s="92"/>
      <c r="AE595" s="149" t="str">
        <f>IFERROR(VLOOKUP(Z595,LISTS!$AL$2:$AM$1000,2,FALSE()),"")</f>
        <v/>
      </c>
      <c r="AF595" s="151" t="str">
        <f>IFERROR(VLOOKUP(AA595,LISTS!$AO$2:$AP$1000,2,FALSE()),"")</f>
        <v/>
      </c>
      <c r="AG595" s="152" t="str">
        <f>IFERROR(VLOOKUP(AB595,LISTS!$AR$2:$AS$1000,2,FALSE()),"")</f>
        <v/>
      </c>
      <c r="AH595" s="154" t="str">
        <f>IFERROR(VLOOKUP(AC595,LISTS!$AU$2:$AV$1000,2,FALSE()),"")</f>
        <v/>
      </c>
      <c r="AI595" s="238" t="str">
        <f t="shared" si="48"/>
        <v>—</v>
      </c>
      <c r="AJ595" s="190" t="str">
        <f t="shared" si="49"/>
        <v>—</v>
      </c>
      <c r="AK595" s="157" t="str">
        <f t="shared" si="45"/>
        <v/>
      </c>
      <c r="AL595" s="160" t="str">
        <f t="shared" si="46"/>
        <v/>
      </c>
      <c r="AM595" s="210"/>
      <c r="AN595" s="209"/>
    </row>
    <row r="596" spans="1:40" ht="27.95" customHeight="1">
      <c r="A596" s="134" t="str">
        <f>IF(I596&lt;&gt;"",COUNTA($I$2:I596),"")</f>
        <v/>
      </c>
      <c r="B596" s="138" t="str">
        <f t="shared" si="47"/>
        <v/>
      </c>
      <c r="C596" s="93" t="str">
        <f t="array" ref="C596">IF(E596="","",IF(M596&lt;&gt;"",
M596&amp;"/"&amp;SUMPRODUCT((M$2:M596=M596)*1)&amp;" - "&amp;(ROW()-2),
"إداري/"&amp;SUMPRODUCT((M$2:M596="")*1)&amp;" - "&amp;(ROW()-2)))</f>
        <v/>
      </c>
      <c r="D596" s="141" t="str">
        <f>IF(AND(G596="",H596="",I596=""),"",IF(COUNTIFS(LISTS!$A$2:$A$67,G596,LISTS!$B$2:$B$67,H596,LISTS!$C$2:$C$67,I596)=0,"✗ هرم",IF(NOT(OR(Z596="ممتاز 100%",Z596="جيد 80%",Z596="مقبول 60%",Z596="خطر 40%",Z596="")),"✗ قائمة R",IF(NOT(OR(AA596="ممتاز 100%",AA596="جيد 85%",AA596="مقبول 70%",AA596="ضعيف 50%",AA596="")),"✗ قائمة S",IF(NOT(OR(AB596="مكتمل 100%",AB596="جزئي 60%",AB596="معلق 30%",AB596="مفتوح 0%",AB596="")),"✗ قائمة T",IF(NOT(OR(AC596="لا خصم 0",AC596="تأخير −5",AC596="عجز −10",AC596="جودة −15",AC596="امتثال −20",AC596="مخالفة −25",AC596="")),"✗ قائمة U",IF(AND(X596="لا",AC596&lt;&gt;"",AC596&lt;&gt;"لا خصم 0"),"✗ خصم",IF(AND(X596="نعم",AC596="لا خصم 0"),"✗ خصم",IF(AND(Z596="ممتاز 100%",AA596="ممتاز 100%",AB596&lt;&gt;"",AB596&lt;&gt;"مكتمل 100%"),"✗ إغلاق",IFERROR(IF(LEN(_xlfn.TEXTJOIN("، ",TRUE,IF(E596="","التاريخ",""),IF(F596="","الوقت",""),IF(G596="","المركز",""),IF(H596="","الدائرة",""),IF(I596="","القسم",""),IF(J596="","المسؤول",""),IF(K596="","نوع النشاط",""),IF(L596="","المشروع",""),IF(N596="","الممول",""),IF(V596="","الموضوع",""),IF(W596="","الملاحظة",""),IF(X596="","مشكلة",""),IF(Y596="","الإجراء",""),IF(Z596="","التنفيذ",""),IF(AA596="","الجودة",""),IF(AB596="","الإغلاق",""),IF(AC596="","الخصم",""),IF(AND(COUNTA($O596:$U596)&gt;0,O596=""),"مدير المشروع",""),IF(AND(COUNTA($O596:$U596)&gt;0,P596=""),"المستفيدين",""),IF(AND(COUNTA($O596:$U596)&gt;0,Q596=""),"المناطق",""),IF(AND(COUNTA($O596:$U596)&gt;0,R596=""),"الميزانية",""),IF(AND(COUNTA($O596:$U596)&gt;0,S596=""),"نسبة الجاهزية",""),IF(AND(COUNTA($O596:$U596)&gt;0,T596=""),"حالة الجاهزية",""),IF(AND(COUNTA($O596:$U596)&gt;0,U596=""),"التوصيات","")))&gt;0,"✗ ناقص: "&amp;_xlfn.TEXTJOIN("، ",TRUE,IF(E596="","التاريخ",""),IF(F596="","الوقت",""),IF(G596="","المركز",""),IF(H596="","الدائرة",""),IF(I596="","القسم",""),IF(J596="","المسؤول",""),IF(K596="","نوع النشاط",""),IF(L596="","المشروع",""),IF(N596="","الممول",""),IF(V596="","الموضوع",""),IF(W596="","الملاحظة",""),IF(X596="","مشكلة",""),IF(Y596="","الإجراء",""),IF(Z596="","التنفيذ",""),IF(AA596="","الجودة",""),IF(AB596="","الإغلاق",""),IF(AC596="","الخصم",""),IF(AND(COUNTA($O596:$U596)&gt;0,O596=""),"مدير المشروع",""),IF(AND(COUNTA($O596:$U596)&gt;0,P596=""),"المستفيدين",""),IF(AND(COUNTA($O596:$U596)&gt;0,Q596=""),"المناطق",""),IF(AND(COUNTA($O596:$U596)&gt;0,R596=""),"الميزانية",""),IF(AND(COUNTA($O596:$U596)&gt;0,S596=""),"نسبة الجاهزية",""),IF(AND(COUNTA($O596:$U596)&gt;0,T596=""),"حالة الجاهزية",""),IF(AND(COUNTA($O596:$U596)&gt;0,U596=""),"التوصيات","")),"✓"),"✓"))))))))))</f>
        <v/>
      </c>
      <c r="E596" s="235"/>
      <c r="F596" s="236"/>
      <c r="G596" s="90"/>
      <c r="H596" s="239"/>
      <c r="I596" s="89"/>
      <c r="J596" s="142"/>
      <c r="K596" s="90"/>
      <c r="L596" s="90"/>
      <c r="M596" s="90"/>
      <c r="N596" s="89"/>
      <c r="O596" s="200"/>
      <c r="P596" s="201"/>
      <c r="Q596" s="201"/>
      <c r="R596" s="237"/>
      <c r="S596" s="202"/>
      <c r="T596" s="200"/>
      <c r="U596" s="203"/>
      <c r="V596" s="89"/>
      <c r="W596" s="89"/>
      <c r="X596" s="145"/>
      <c r="Y596" s="89"/>
      <c r="Z596" s="90"/>
      <c r="AA596" s="90"/>
      <c r="AB596" s="90"/>
      <c r="AC596" s="90"/>
      <c r="AD596" s="92"/>
      <c r="AE596" s="149" t="str">
        <f>IFERROR(VLOOKUP(Z596,LISTS!$AL$2:$AM$1000,2,FALSE()),"")</f>
        <v/>
      </c>
      <c r="AF596" s="151" t="str">
        <f>IFERROR(VLOOKUP(AA596,LISTS!$AO$2:$AP$1000,2,FALSE()),"")</f>
        <v/>
      </c>
      <c r="AG596" s="152" t="str">
        <f>IFERROR(VLOOKUP(AB596,LISTS!$AR$2:$AS$1000,2,FALSE()),"")</f>
        <v/>
      </c>
      <c r="AH596" s="154" t="str">
        <f>IFERROR(VLOOKUP(AC596,LISTS!$AU$2:$AV$1000,2,FALSE()),"")</f>
        <v/>
      </c>
      <c r="AI596" s="238" t="str">
        <f t="shared" si="48"/>
        <v>—</v>
      </c>
      <c r="AJ596" s="190" t="str">
        <f t="shared" si="49"/>
        <v>—</v>
      </c>
      <c r="AK596" s="157" t="str">
        <f t="shared" si="45"/>
        <v/>
      </c>
      <c r="AL596" s="160" t="str">
        <f t="shared" si="46"/>
        <v/>
      </c>
      <c r="AM596" s="210"/>
      <c r="AN596" s="209"/>
    </row>
    <row r="597" spans="1:40" ht="27.95" customHeight="1">
      <c r="A597" s="134" t="str">
        <f>IF(I597&lt;&gt;"",COUNTA($I$2:I597),"")</f>
        <v/>
      </c>
      <c r="B597" s="138" t="str">
        <f t="shared" si="47"/>
        <v/>
      </c>
      <c r="C597" s="93" t="str">
        <f t="array" ref="C597">IF(E597="","",IF(M597&lt;&gt;"",
M597&amp;"/"&amp;SUMPRODUCT((M$2:M597=M597)*1)&amp;" - "&amp;(ROW()-2),
"إداري/"&amp;SUMPRODUCT((M$2:M597="")*1)&amp;" - "&amp;(ROW()-2)))</f>
        <v/>
      </c>
      <c r="D597" s="141" t="str">
        <f>IF(AND(G597="",H597="",I597=""),"",IF(COUNTIFS(LISTS!$A$2:$A$67,G597,LISTS!$B$2:$B$67,H597,LISTS!$C$2:$C$67,I597)=0,"✗ هرم",IF(NOT(OR(Z597="ممتاز 100%",Z597="جيد 80%",Z597="مقبول 60%",Z597="خطر 40%",Z597="")),"✗ قائمة R",IF(NOT(OR(AA597="ممتاز 100%",AA597="جيد 85%",AA597="مقبول 70%",AA597="ضعيف 50%",AA597="")),"✗ قائمة S",IF(NOT(OR(AB597="مكتمل 100%",AB597="جزئي 60%",AB597="معلق 30%",AB597="مفتوح 0%",AB597="")),"✗ قائمة T",IF(NOT(OR(AC597="لا خصم 0",AC597="تأخير −5",AC597="عجز −10",AC597="جودة −15",AC597="امتثال −20",AC597="مخالفة −25",AC597="")),"✗ قائمة U",IF(AND(X597="لا",AC597&lt;&gt;"",AC597&lt;&gt;"لا خصم 0"),"✗ خصم",IF(AND(X597="نعم",AC597="لا خصم 0"),"✗ خصم",IF(AND(Z597="ممتاز 100%",AA597="ممتاز 100%",AB597&lt;&gt;"",AB597&lt;&gt;"مكتمل 100%"),"✗ إغلاق",IFERROR(IF(LEN(_xlfn.TEXTJOIN("، ",TRUE,IF(E597="","التاريخ",""),IF(F597="","الوقت",""),IF(G597="","المركز",""),IF(H597="","الدائرة",""),IF(I597="","القسم",""),IF(J597="","المسؤول",""),IF(K597="","نوع النشاط",""),IF(L597="","المشروع",""),IF(N597="","الممول",""),IF(V597="","الموضوع",""),IF(W597="","الملاحظة",""),IF(X597="","مشكلة",""),IF(Y597="","الإجراء",""),IF(Z597="","التنفيذ",""),IF(AA597="","الجودة",""),IF(AB597="","الإغلاق",""),IF(AC597="","الخصم",""),IF(AND(COUNTA($O597:$U597)&gt;0,O597=""),"مدير المشروع",""),IF(AND(COUNTA($O597:$U597)&gt;0,P597=""),"المستفيدين",""),IF(AND(COUNTA($O597:$U597)&gt;0,Q597=""),"المناطق",""),IF(AND(COUNTA($O597:$U597)&gt;0,R597=""),"الميزانية",""),IF(AND(COUNTA($O597:$U597)&gt;0,S597=""),"نسبة الجاهزية",""),IF(AND(COUNTA($O597:$U597)&gt;0,T597=""),"حالة الجاهزية",""),IF(AND(COUNTA($O597:$U597)&gt;0,U597=""),"التوصيات","")))&gt;0,"✗ ناقص: "&amp;_xlfn.TEXTJOIN("، ",TRUE,IF(E597="","التاريخ",""),IF(F597="","الوقت",""),IF(G597="","المركز",""),IF(H597="","الدائرة",""),IF(I597="","القسم",""),IF(J597="","المسؤول",""),IF(K597="","نوع النشاط",""),IF(L597="","المشروع",""),IF(N597="","الممول",""),IF(V597="","الموضوع",""),IF(W597="","الملاحظة",""),IF(X597="","مشكلة",""),IF(Y597="","الإجراء",""),IF(Z597="","التنفيذ",""),IF(AA597="","الجودة",""),IF(AB597="","الإغلاق",""),IF(AC597="","الخصم",""),IF(AND(COUNTA($O597:$U597)&gt;0,O597=""),"مدير المشروع",""),IF(AND(COUNTA($O597:$U597)&gt;0,P597=""),"المستفيدين",""),IF(AND(COUNTA($O597:$U597)&gt;0,Q597=""),"المناطق",""),IF(AND(COUNTA($O597:$U597)&gt;0,R597=""),"الميزانية",""),IF(AND(COUNTA($O597:$U597)&gt;0,S597=""),"نسبة الجاهزية",""),IF(AND(COUNTA($O597:$U597)&gt;0,T597=""),"حالة الجاهزية",""),IF(AND(COUNTA($O597:$U597)&gt;0,U597=""),"التوصيات","")),"✓"),"✓"))))))))))</f>
        <v/>
      </c>
      <c r="E597" s="235"/>
      <c r="F597" s="236"/>
      <c r="G597" s="90"/>
      <c r="H597" s="239"/>
      <c r="I597" s="89"/>
      <c r="J597" s="142"/>
      <c r="K597" s="90"/>
      <c r="L597" s="90"/>
      <c r="M597" s="90"/>
      <c r="N597" s="89"/>
      <c r="O597" s="200"/>
      <c r="P597" s="201"/>
      <c r="Q597" s="201"/>
      <c r="R597" s="237"/>
      <c r="S597" s="202"/>
      <c r="T597" s="200"/>
      <c r="U597" s="203"/>
      <c r="V597" s="89"/>
      <c r="W597" s="89"/>
      <c r="X597" s="145"/>
      <c r="Y597" s="89"/>
      <c r="Z597" s="90"/>
      <c r="AA597" s="90"/>
      <c r="AB597" s="90"/>
      <c r="AC597" s="90"/>
      <c r="AD597" s="92"/>
      <c r="AE597" s="149" t="str">
        <f>IFERROR(VLOOKUP(Z597,LISTS!$AL$2:$AM$1000,2,FALSE()),"")</f>
        <v/>
      </c>
      <c r="AF597" s="151" t="str">
        <f>IFERROR(VLOOKUP(AA597,LISTS!$AO$2:$AP$1000,2,FALSE()),"")</f>
        <v/>
      </c>
      <c r="AG597" s="152" t="str">
        <f>IFERROR(VLOOKUP(AB597,LISTS!$AR$2:$AS$1000,2,FALSE()),"")</f>
        <v/>
      </c>
      <c r="AH597" s="154" t="str">
        <f>IFERROR(VLOOKUP(AC597,LISTS!$AU$2:$AV$1000,2,FALSE()),"")</f>
        <v/>
      </c>
      <c r="AI597" s="238" t="str">
        <f t="shared" si="48"/>
        <v>—</v>
      </c>
      <c r="AJ597" s="190" t="str">
        <f t="shared" si="49"/>
        <v>—</v>
      </c>
      <c r="AK597" s="157" t="str">
        <f t="shared" si="45"/>
        <v/>
      </c>
      <c r="AL597" s="160" t="str">
        <f t="shared" si="46"/>
        <v/>
      </c>
      <c r="AM597" s="210"/>
      <c r="AN597" s="209"/>
    </row>
    <row r="598" spans="1:40" ht="27.95" customHeight="1">
      <c r="A598" s="134" t="str">
        <f>IF(I598&lt;&gt;"",COUNTA($I$2:I598),"")</f>
        <v/>
      </c>
      <c r="B598" s="138" t="str">
        <f t="shared" si="47"/>
        <v/>
      </c>
      <c r="C598" s="93" t="str">
        <f t="array" ref="C598">IF(E598="","",IF(M598&lt;&gt;"",
M598&amp;"/"&amp;SUMPRODUCT((M$2:M598=M598)*1)&amp;" - "&amp;(ROW()-2),
"إداري/"&amp;SUMPRODUCT((M$2:M598="")*1)&amp;" - "&amp;(ROW()-2)))</f>
        <v/>
      </c>
      <c r="D598" s="141" t="str">
        <f>IF(AND(G598="",H598="",I598=""),"",IF(COUNTIFS(LISTS!$A$2:$A$67,G598,LISTS!$B$2:$B$67,H598,LISTS!$C$2:$C$67,I598)=0,"✗ هرم",IF(NOT(OR(Z598="ممتاز 100%",Z598="جيد 80%",Z598="مقبول 60%",Z598="خطر 40%",Z598="")),"✗ قائمة R",IF(NOT(OR(AA598="ممتاز 100%",AA598="جيد 85%",AA598="مقبول 70%",AA598="ضعيف 50%",AA598="")),"✗ قائمة S",IF(NOT(OR(AB598="مكتمل 100%",AB598="جزئي 60%",AB598="معلق 30%",AB598="مفتوح 0%",AB598="")),"✗ قائمة T",IF(NOT(OR(AC598="لا خصم 0",AC598="تأخير −5",AC598="عجز −10",AC598="جودة −15",AC598="امتثال −20",AC598="مخالفة −25",AC598="")),"✗ قائمة U",IF(AND(X598="لا",AC598&lt;&gt;"",AC598&lt;&gt;"لا خصم 0"),"✗ خصم",IF(AND(X598="نعم",AC598="لا خصم 0"),"✗ خصم",IF(AND(Z598="ممتاز 100%",AA598="ممتاز 100%",AB598&lt;&gt;"",AB598&lt;&gt;"مكتمل 100%"),"✗ إغلاق",IFERROR(IF(LEN(_xlfn.TEXTJOIN("، ",TRUE,IF(E598="","التاريخ",""),IF(F598="","الوقت",""),IF(G598="","المركز",""),IF(H598="","الدائرة",""),IF(I598="","القسم",""),IF(J598="","المسؤول",""),IF(K598="","نوع النشاط",""),IF(L598="","المشروع",""),IF(N598="","الممول",""),IF(V598="","الموضوع",""),IF(W598="","الملاحظة",""),IF(X598="","مشكلة",""),IF(Y598="","الإجراء",""),IF(Z598="","التنفيذ",""),IF(AA598="","الجودة",""),IF(AB598="","الإغلاق",""),IF(AC598="","الخصم",""),IF(AND(COUNTA($O598:$U598)&gt;0,O598=""),"مدير المشروع",""),IF(AND(COUNTA($O598:$U598)&gt;0,P598=""),"المستفيدين",""),IF(AND(COUNTA($O598:$U598)&gt;0,Q598=""),"المناطق",""),IF(AND(COUNTA($O598:$U598)&gt;0,R598=""),"الميزانية",""),IF(AND(COUNTA($O598:$U598)&gt;0,S598=""),"نسبة الجاهزية",""),IF(AND(COUNTA($O598:$U598)&gt;0,T598=""),"حالة الجاهزية",""),IF(AND(COUNTA($O598:$U598)&gt;0,U598=""),"التوصيات","")))&gt;0,"✗ ناقص: "&amp;_xlfn.TEXTJOIN("، ",TRUE,IF(E598="","التاريخ",""),IF(F598="","الوقت",""),IF(G598="","المركز",""),IF(H598="","الدائرة",""),IF(I598="","القسم",""),IF(J598="","المسؤول",""),IF(K598="","نوع النشاط",""),IF(L598="","المشروع",""),IF(N598="","الممول",""),IF(V598="","الموضوع",""),IF(W598="","الملاحظة",""),IF(X598="","مشكلة",""),IF(Y598="","الإجراء",""),IF(Z598="","التنفيذ",""),IF(AA598="","الجودة",""),IF(AB598="","الإغلاق",""),IF(AC598="","الخصم",""),IF(AND(COUNTA($O598:$U598)&gt;0,O598=""),"مدير المشروع",""),IF(AND(COUNTA($O598:$U598)&gt;0,P598=""),"المستفيدين",""),IF(AND(COUNTA($O598:$U598)&gt;0,Q598=""),"المناطق",""),IF(AND(COUNTA($O598:$U598)&gt;0,R598=""),"الميزانية",""),IF(AND(COUNTA($O598:$U598)&gt;0,S598=""),"نسبة الجاهزية",""),IF(AND(COUNTA($O598:$U598)&gt;0,T598=""),"حالة الجاهزية",""),IF(AND(COUNTA($O598:$U598)&gt;0,U598=""),"التوصيات","")),"✓"),"✓"))))))))))</f>
        <v/>
      </c>
      <c r="E598" s="235"/>
      <c r="F598" s="236"/>
      <c r="G598" s="90"/>
      <c r="H598" s="239"/>
      <c r="I598" s="89"/>
      <c r="J598" s="142"/>
      <c r="K598" s="90"/>
      <c r="L598" s="90"/>
      <c r="M598" s="90"/>
      <c r="N598" s="89"/>
      <c r="O598" s="200"/>
      <c r="P598" s="201"/>
      <c r="Q598" s="201"/>
      <c r="R598" s="237"/>
      <c r="S598" s="202"/>
      <c r="T598" s="200"/>
      <c r="U598" s="203"/>
      <c r="V598" s="89"/>
      <c r="W598" s="89"/>
      <c r="X598" s="145"/>
      <c r="Y598" s="89"/>
      <c r="Z598" s="90"/>
      <c r="AA598" s="90"/>
      <c r="AB598" s="90"/>
      <c r="AC598" s="90"/>
      <c r="AD598" s="92"/>
      <c r="AE598" s="149" t="str">
        <f>IFERROR(VLOOKUP(Z598,LISTS!$AL$2:$AM$1000,2,FALSE()),"")</f>
        <v/>
      </c>
      <c r="AF598" s="151" t="str">
        <f>IFERROR(VLOOKUP(AA598,LISTS!$AO$2:$AP$1000,2,FALSE()),"")</f>
        <v/>
      </c>
      <c r="AG598" s="152" t="str">
        <f>IFERROR(VLOOKUP(AB598,LISTS!$AR$2:$AS$1000,2,FALSE()),"")</f>
        <v/>
      </c>
      <c r="AH598" s="154" t="str">
        <f>IFERROR(VLOOKUP(AC598,LISTS!$AU$2:$AV$1000,2,FALSE()),"")</f>
        <v/>
      </c>
      <c r="AI598" s="238" t="str">
        <f t="shared" si="48"/>
        <v>—</v>
      </c>
      <c r="AJ598" s="190" t="str">
        <f t="shared" si="49"/>
        <v>—</v>
      </c>
      <c r="AK598" s="157" t="str">
        <f t="shared" si="45"/>
        <v/>
      </c>
      <c r="AL598" s="160" t="str">
        <f t="shared" si="46"/>
        <v/>
      </c>
      <c r="AM598" s="210"/>
      <c r="AN598" s="209"/>
    </row>
    <row r="599" spans="1:40" ht="27.95" customHeight="1">
      <c r="A599" s="134" t="str">
        <f>IF(I599&lt;&gt;"",COUNTA($I$2:I599),"")</f>
        <v/>
      </c>
      <c r="B599" s="138" t="str">
        <f t="shared" si="47"/>
        <v/>
      </c>
      <c r="C599" s="93" t="str">
        <f t="array" ref="C599">IF(E599="","",IF(M599&lt;&gt;"",
M599&amp;"/"&amp;SUMPRODUCT((M$2:M599=M599)*1)&amp;" - "&amp;(ROW()-2),
"إداري/"&amp;SUMPRODUCT((M$2:M599="")*1)&amp;" - "&amp;(ROW()-2)))</f>
        <v/>
      </c>
      <c r="D599" s="141" t="str">
        <f>IF(AND(G599="",H599="",I599=""),"",IF(COUNTIFS(LISTS!$A$2:$A$67,G599,LISTS!$B$2:$B$67,H599,LISTS!$C$2:$C$67,I599)=0,"✗ هرم",IF(NOT(OR(Z599="ممتاز 100%",Z599="جيد 80%",Z599="مقبول 60%",Z599="خطر 40%",Z599="")),"✗ قائمة R",IF(NOT(OR(AA599="ممتاز 100%",AA599="جيد 85%",AA599="مقبول 70%",AA599="ضعيف 50%",AA599="")),"✗ قائمة S",IF(NOT(OR(AB599="مكتمل 100%",AB599="جزئي 60%",AB599="معلق 30%",AB599="مفتوح 0%",AB599="")),"✗ قائمة T",IF(NOT(OR(AC599="لا خصم 0",AC599="تأخير −5",AC599="عجز −10",AC599="جودة −15",AC599="امتثال −20",AC599="مخالفة −25",AC599="")),"✗ قائمة U",IF(AND(X599="لا",AC599&lt;&gt;"",AC599&lt;&gt;"لا خصم 0"),"✗ خصم",IF(AND(X599="نعم",AC599="لا خصم 0"),"✗ خصم",IF(AND(Z599="ممتاز 100%",AA599="ممتاز 100%",AB599&lt;&gt;"",AB599&lt;&gt;"مكتمل 100%"),"✗ إغلاق",IFERROR(IF(LEN(_xlfn.TEXTJOIN("، ",TRUE,IF(E599="","التاريخ",""),IF(F599="","الوقت",""),IF(G599="","المركز",""),IF(H599="","الدائرة",""),IF(I599="","القسم",""),IF(J599="","المسؤول",""),IF(K599="","نوع النشاط",""),IF(L599="","المشروع",""),IF(N599="","الممول",""),IF(V599="","الموضوع",""),IF(W599="","الملاحظة",""),IF(X599="","مشكلة",""),IF(Y599="","الإجراء",""),IF(Z599="","التنفيذ",""),IF(AA599="","الجودة",""),IF(AB599="","الإغلاق",""),IF(AC599="","الخصم",""),IF(AND(COUNTA($O599:$U599)&gt;0,O599=""),"مدير المشروع",""),IF(AND(COUNTA($O599:$U599)&gt;0,P599=""),"المستفيدين",""),IF(AND(COUNTA($O599:$U599)&gt;0,Q599=""),"المناطق",""),IF(AND(COUNTA($O599:$U599)&gt;0,R599=""),"الميزانية",""),IF(AND(COUNTA($O599:$U599)&gt;0,S599=""),"نسبة الجاهزية",""),IF(AND(COUNTA($O599:$U599)&gt;0,T599=""),"حالة الجاهزية",""),IF(AND(COUNTA($O599:$U599)&gt;0,U599=""),"التوصيات","")))&gt;0,"✗ ناقص: "&amp;_xlfn.TEXTJOIN("، ",TRUE,IF(E599="","التاريخ",""),IF(F599="","الوقت",""),IF(G599="","المركز",""),IF(H599="","الدائرة",""),IF(I599="","القسم",""),IF(J599="","المسؤول",""),IF(K599="","نوع النشاط",""),IF(L599="","المشروع",""),IF(N599="","الممول",""),IF(V599="","الموضوع",""),IF(W599="","الملاحظة",""),IF(X599="","مشكلة",""),IF(Y599="","الإجراء",""),IF(Z599="","التنفيذ",""),IF(AA599="","الجودة",""),IF(AB599="","الإغلاق",""),IF(AC599="","الخصم",""),IF(AND(COUNTA($O599:$U599)&gt;0,O599=""),"مدير المشروع",""),IF(AND(COUNTA($O599:$U599)&gt;0,P599=""),"المستفيدين",""),IF(AND(COUNTA($O599:$U599)&gt;0,Q599=""),"المناطق",""),IF(AND(COUNTA($O599:$U599)&gt;0,R599=""),"الميزانية",""),IF(AND(COUNTA($O599:$U599)&gt;0,S599=""),"نسبة الجاهزية",""),IF(AND(COUNTA($O599:$U599)&gt;0,T599=""),"حالة الجاهزية",""),IF(AND(COUNTA($O599:$U599)&gt;0,U599=""),"التوصيات","")),"✓"),"✓"))))))))))</f>
        <v/>
      </c>
      <c r="E599" s="235"/>
      <c r="F599" s="236"/>
      <c r="G599" s="90"/>
      <c r="H599" s="239"/>
      <c r="I599" s="89"/>
      <c r="J599" s="142"/>
      <c r="K599" s="90"/>
      <c r="L599" s="90"/>
      <c r="M599" s="90"/>
      <c r="N599" s="89"/>
      <c r="O599" s="200"/>
      <c r="P599" s="201"/>
      <c r="Q599" s="201"/>
      <c r="R599" s="237"/>
      <c r="S599" s="202"/>
      <c r="T599" s="200"/>
      <c r="U599" s="203"/>
      <c r="V599" s="89"/>
      <c r="W599" s="89"/>
      <c r="X599" s="145"/>
      <c r="Y599" s="89"/>
      <c r="Z599" s="90"/>
      <c r="AA599" s="90"/>
      <c r="AB599" s="90"/>
      <c r="AC599" s="90"/>
      <c r="AD599" s="92"/>
      <c r="AE599" s="149" t="str">
        <f>IFERROR(VLOOKUP(Z599,LISTS!$AL$2:$AM$1000,2,FALSE()),"")</f>
        <v/>
      </c>
      <c r="AF599" s="151" t="str">
        <f>IFERROR(VLOOKUP(AA599,LISTS!$AO$2:$AP$1000,2,FALSE()),"")</f>
        <v/>
      </c>
      <c r="AG599" s="152" t="str">
        <f>IFERROR(VLOOKUP(AB599,LISTS!$AR$2:$AS$1000,2,FALSE()),"")</f>
        <v/>
      </c>
      <c r="AH599" s="154" t="str">
        <f>IFERROR(VLOOKUP(AC599,LISTS!$AU$2:$AV$1000,2,FALSE()),"")</f>
        <v/>
      </c>
      <c r="AI599" s="238" t="str">
        <f t="shared" si="48"/>
        <v>—</v>
      </c>
      <c r="AJ599" s="190" t="str">
        <f t="shared" si="49"/>
        <v>—</v>
      </c>
      <c r="AK599" s="157" t="str">
        <f t="shared" si="45"/>
        <v/>
      </c>
      <c r="AL599" s="160" t="str">
        <f t="shared" si="46"/>
        <v/>
      </c>
      <c r="AM599" s="210"/>
      <c r="AN599" s="209"/>
    </row>
    <row r="600" spans="1:40" ht="27.95" customHeight="1">
      <c r="A600" s="134" t="str">
        <f>IF(I600&lt;&gt;"",COUNTA($I$2:I600),"")</f>
        <v/>
      </c>
      <c r="B600" s="138" t="str">
        <f t="shared" si="47"/>
        <v/>
      </c>
      <c r="C600" s="93" t="str">
        <f t="array" ref="C600">IF(E600="","",IF(M600&lt;&gt;"",
M600&amp;"/"&amp;SUMPRODUCT((M$2:M600=M600)*1)&amp;" - "&amp;(ROW()-2),
"إداري/"&amp;SUMPRODUCT((M$2:M600="")*1)&amp;" - "&amp;(ROW()-2)))</f>
        <v/>
      </c>
      <c r="D600" s="141" t="str">
        <f>IF(AND(G600="",H600="",I600=""),"",IF(COUNTIFS(LISTS!$A$2:$A$67,G600,LISTS!$B$2:$B$67,H600,LISTS!$C$2:$C$67,I600)=0,"✗ هرم",IF(NOT(OR(Z600="ممتاز 100%",Z600="جيد 80%",Z600="مقبول 60%",Z600="خطر 40%",Z600="")),"✗ قائمة R",IF(NOT(OR(AA600="ممتاز 100%",AA600="جيد 85%",AA600="مقبول 70%",AA600="ضعيف 50%",AA600="")),"✗ قائمة S",IF(NOT(OR(AB600="مكتمل 100%",AB600="جزئي 60%",AB600="معلق 30%",AB600="مفتوح 0%",AB600="")),"✗ قائمة T",IF(NOT(OR(AC600="لا خصم 0",AC600="تأخير −5",AC600="عجز −10",AC600="جودة −15",AC600="امتثال −20",AC600="مخالفة −25",AC600="")),"✗ قائمة U",IF(AND(X600="لا",AC600&lt;&gt;"",AC600&lt;&gt;"لا خصم 0"),"✗ خصم",IF(AND(X600="نعم",AC600="لا خصم 0"),"✗ خصم",IF(AND(Z600="ممتاز 100%",AA600="ممتاز 100%",AB600&lt;&gt;"",AB600&lt;&gt;"مكتمل 100%"),"✗ إغلاق",IFERROR(IF(LEN(_xlfn.TEXTJOIN("، ",TRUE,IF(E600="","التاريخ",""),IF(F600="","الوقت",""),IF(G600="","المركز",""),IF(H600="","الدائرة",""),IF(I600="","القسم",""),IF(J600="","المسؤول",""),IF(K600="","نوع النشاط",""),IF(L600="","المشروع",""),IF(N600="","الممول",""),IF(V600="","الموضوع",""),IF(W600="","الملاحظة",""),IF(X600="","مشكلة",""),IF(Y600="","الإجراء",""),IF(Z600="","التنفيذ",""),IF(AA600="","الجودة",""),IF(AB600="","الإغلاق",""),IF(AC600="","الخصم",""),IF(AND(COUNTA($O600:$U600)&gt;0,O600=""),"مدير المشروع",""),IF(AND(COUNTA($O600:$U600)&gt;0,P600=""),"المستفيدين",""),IF(AND(COUNTA($O600:$U600)&gt;0,Q600=""),"المناطق",""),IF(AND(COUNTA($O600:$U600)&gt;0,R600=""),"الميزانية",""),IF(AND(COUNTA($O600:$U600)&gt;0,S600=""),"نسبة الجاهزية",""),IF(AND(COUNTA($O600:$U600)&gt;0,T600=""),"حالة الجاهزية",""),IF(AND(COUNTA($O600:$U600)&gt;0,U600=""),"التوصيات","")))&gt;0,"✗ ناقص: "&amp;_xlfn.TEXTJOIN("، ",TRUE,IF(E600="","التاريخ",""),IF(F600="","الوقت",""),IF(G600="","المركز",""),IF(H600="","الدائرة",""),IF(I600="","القسم",""),IF(J600="","المسؤول",""),IF(K600="","نوع النشاط",""),IF(L600="","المشروع",""),IF(N600="","الممول",""),IF(V600="","الموضوع",""),IF(W600="","الملاحظة",""),IF(X600="","مشكلة",""),IF(Y600="","الإجراء",""),IF(Z600="","التنفيذ",""),IF(AA600="","الجودة",""),IF(AB600="","الإغلاق",""),IF(AC600="","الخصم",""),IF(AND(COUNTA($O600:$U600)&gt;0,O600=""),"مدير المشروع",""),IF(AND(COUNTA($O600:$U600)&gt;0,P600=""),"المستفيدين",""),IF(AND(COUNTA($O600:$U600)&gt;0,Q600=""),"المناطق",""),IF(AND(COUNTA($O600:$U600)&gt;0,R600=""),"الميزانية",""),IF(AND(COUNTA($O600:$U600)&gt;0,S600=""),"نسبة الجاهزية",""),IF(AND(COUNTA($O600:$U600)&gt;0,T600=""),"حالة الجاهزية",""),IF(AND(COUNTA($O600:$U600)&gt;0,U600=""),"التوصيات","")),"✓"),"✓"))))))))))</f>
        <v/>
      </c>
      <c r="E600" s="235"/>
      <c r="F600" s="236"/>
      <c r="G600" s="90"/>
      <c r="H600" s="239"/>
      <c r="I600" s="89"/>
      <c r="J600" s="142"/>
      <c r="K600" s="90"/>
      <c r="L600" s="90"/>
      <c r="M600" s="90"/>
      <c r="N600" s="89"/>
      <c r="O600" s="200"/>
      <c r="P600" s="201"/>
      <c r="Q600" s="201"/>
      <c r="R600" s="237"/>
      <c r="S600" s="202"/>
      <c r="T600" s="200"/>
      <c r="U600" s="203"/>
      <c r="V600" s="89"/>
      <c r="W600" s="89"/>
      <c r="X600" s="145"/>
      <c r="Y600" s="89"/>
      <c r="Z600" s="90"/>
      <c r="AA600" s="90"/>
      <c r="AB600" s="90"/>
      <c r="AC600" s="90"/>
      <c r="AD600" s="92"/>
      <c r="AE600" s="149" t="str">
        <f>IFERROR(VLOOKUP(Z600,LISTS!$AL$2:$AM$1000,2,FALSE()),"")</f>
        <v/>
      </c>
      <c r="AF600" s="151" t="str">
        <f>IFERROR(VLOOKUP(AA600,LISTS!$AO$2:$AP$1000,2,FALSE()),"")</f>
        <v/>
      </c>
      <c r="AG600" s="152" t="str">
        <f>IFERROR(VLOOKUP(AB600,LISTS!$AR$2:$AS$1000,2,FALSE()),"")</f>
        <v/>
      </c>
      <c r="AH600" s="154" t="str">
        <f>IFERROR(VLOOKUP(AC600,LISTS!$AU$2:$AV$1000,2,FALSE()),"")</f>
        <v/>
      </c>
      <c r="AI600" s="238" t="str">
        <f t="shared" si="48"/>
        <v>—</v>
      </c>
      <c r="AJ600" s="190" t="str">
        <f t="shared" si="49"/>
        <v>—</v>
      </c>
      <c r="AK600" s="157" t="str">
        <f t="shared" si="45"/>
        <v/>
      </c>
      <c r="AL600" s="160" t="str">
        <f t="shared" si="46"/>
        <v/>
      </c>
      <c r="AM600" s="210"/>
      <c r="AN600" s="209"/>
    </row>
    <row r="601" spans="1:40" ht="27.95" customHeight="1">
      <c r="A601" s="134" t="str">
        <f>IF(I601&lt;&gt;"",COUNTA($I$2:I601),"")</f>
        <v/>
      </c>
      <c r="B601" s="138" t="str">
        <f t="shared" si="47"/>
        <v/>
      </c>
      <c r="C601" s="93" t="str">
        <f t="array" ref="C601">IF(E601="","",IF(M601&lt;&gt;"",
M601&amp;"/"&amp;SUMPRODUCT((M$2:M601=M601)*1)&amp;" - "&amp;(ROW()-2),
"إداري/"&amp;SUMPRODUCT((M$2:M601="")*1)&amp;" - "&amp;(ROW()-2)))</f>
        <v/>
      </c>
      <c r="D601" s="141" t="str">
        <f>IF(AND(G601="",H601="",I601=""),"",IF(COUNTIFS(LISTS!$A$2:$A$67,G601,LISTS!$B$2:$B$67,H601,LISTS!$C$2:$C$67,I601)=0,"✗ هرم",IF(NOT(OR(Z601="ممتاز 100%",Z601="جيد 80%",Z601="مقبول 60%",Z601="خطر 40%",Z601="")),"✗ قائمة R",IF(NOT(OR(AA601="ممتاز 100%",AA601="جيد 85%",AA601="مقبول 70%",AA601="ضعيف 50%",AA601="")),"✗ قائمة S",IF(NOT(OR(AB601="مكتمل 100%",AB601="جزئي 60%",AB601="معلق 30%",AB601="مفتوح 0%",AB601="")),"✗ قائمة T",IF(NOT(OR(AC601="لا خصم 0",AC601="تأخير −5",AC601="عجز −10",AC601="جودة −15",AC601="امتثال −20",AC601="مخالفة −25",AC601="")),"✗ قائمة U",IF(AND(X601="لا",AC601&lt;&gt;"",AC601&lt;&gt;"لا خصم 0"),"✗ خصم",IF(AND(X601="نعم",AC601="لا خصم 0"),"✗ خصم",IF(AND(Z601="ممتاز 100%",AA601="ممتاز 100%",AB601&lt;&gt;"",AB601&lt;&gt;"مكتمل 100%"),"✗ إغلاق",IFERROR(IF(LEN(_xlfn.TEXTJOIN("، ",TRUE,IF(E601="","التاريخ",""),IF(F601="","الوقت",""),IF(G601="","المركز",""),IF(H601="","الدائرة",""),IF(I601="","القسم",""),IF(J601="","المسؤول",""),IF(K601="","نوع النشاط",""),IF(L601="","المشروع",""),IF(N601="","الممول",""),IF(V601="","الموضوع",""),IF(W601="","الملاحظة",""),IF(X601="","مشكلة",""),IF(Y601="","الإجراء",""),IF(Z601="","التنفيذ",""),IF(AA601="","الجودة",""),IF(AB601="","الإغلاق",""),IF(AC601="","الخصم",""),IF(AND(COUNTA($O601:$U601)&gt;0,O601=""),"مدير المشروع",""),IF(AND(COUNTA($O601:$U601)&gt;0,P601=""),"المستفيدين",""),IF(AND(COUNTA($O601:$U601)&gt;0,Q601=""),"المناطق",""),IF(AND(COUNTA($O601:$U601)&gt;0,R601=""),"الميزانية",""),IF(AND(COUNTA($O601:$U601)&gt;0,S601=""),"نسبة الجاهزية",""),IF(AND(COUNTA($O601:$U601)&gt;0,T601=""),"حالة الجاهزية",""),IF(AND(COUNTA($O601:$U601)&gt;0,U601=""),"التوصيات","")))&gt;0,"✗ ناقص: "&amp;_xlfn.TEXTJOIN("، ",TRUE,IF(E601="","التاريخ",""),IF(F601="","الوقت",""),IF(G601="","المركز",""),IF(H601="","الدائرة",""),IF(I601="","القسم",""),IF(J601="","المسؤول",""),IF(K601="","نوع النشاط",""),IF(L601="","المشروع",""),IF(N601="","الممول",""),IF(V601="","الموضوع",""),IF(W601="","الملاحظة",""),IF(X601="","مشكلة",""),IF(Y601="","الإجراء",""),IF(Z601="","التنفيذ",""),IF(AA601="","الجودة",""),IF(AB601="","الإغلاق",""),IF(AC601="","الخصم",""),IF(AND(COUNTA($O601:$U601)&gt;0,O601=""),"مدير المشروع",""),IF(AND(COUNTA($O601:$U601)&gt;0,P601=""),"المستفيدين",""),IF(AND(COUNTA($O601:$U601)&gt;0,Q601=""),"المناطق",""),IF(AND(COUNTA($O601:$U601)&gt;0,R601=""),"الميزانية",""),IF(AND(COUNTA($O601:$U601)&gt;0,S601=""),"نسبة الجاهزية",""),IF(AND(COUNTA($O601:$U601)&gt;0,T601=""),"حالة الجاهزية",""),IF(AND(COUNTA($O601:$U601)&gt;0,U601=""),"التوصيات","")),"✓"),"✓"))))))))))</f>
        <v/>
      </c>
      <c r="E601" s="235"/>
      <c r="F601" s="236"/>
      <c r="G601" s="90"/>
      <c r="H601" s="239"/>
      <c r="I601" s="89"/>
      <c r="J601" s="142"/>
      <c r="K601" s="90"/>
      <c r="L601" s="90"/>
      <c r="M601" s="90"/>
      <c r="N601" s="89"/>
      <c r="O601" s="200"/>
      <c r="P601" s="201"/>
      <c r="Q601" s="201"/>
      <c r="R601" s="237"/>
      <c r="S601" s="202"/>
      <c r="T601" s="200"/>
      <c r="U601" s="203"/>
      <c r="V601" s="89"/>
      <c r="W601" s="89"/>
      <c r="X601" s="145"/>
      <c r="Y601" s="89"/>
      <c r="Z601" s="90"/>
      <c r="AA601" s="90"/>
      <c r="AB601" s="90"/>
      <c r="AC601" s="90"/>
      <c r="AD601" s="92"/>
      <c r="AE601" s="149" t="str">
        <f>IFERROR(VLOOKUP(Z601,LISTS!$AL$2:$AM$1000,2,FALSE()),"")</f>
        <v/>
      </c>
      <c r="AF601" s="151" t="str">
        <f>IFERROR(VLOOKUP(AA601,LISTS!$AO$2:$AP$1000,2,FALSE()),"")</f>
        <v/>
      </c>
      <c r="AG601" s="152" t="str">
        <f>IFERROR(VLOOKUP(AB601,LISTS!$AR$2:$AS$1000,2,FALSE()),"")</f>
        <v/>
      </c>
      <c r="AH601" s="154" t="str">
        <f>IFERROR(VLOOKUP(AC601,LISTS!$AU$2:$AV$1000,2,FALSE()),"")</f>
        <v/>
      </c>
      <c r="AI601" s="238" t="str">
        <f t="shared" si="48"/>
        <v>—</v>
      </c>
      <c r="AJ601" s="190" t="str">
        <f t="shared" si="49"/>
        <v>—</v>
      </c>
      <c r="AK601" s="157" t="str">
        <f t="shared" si="45"/>
        <v/>
      </c>
      <c r="AL601" s="160" t="str">
        <f t="shared" si="46"/>
        <v/>
      </c>
      <c r="AM601" s="210"/>
      <c r="AN601" s="209"/>
    </row>
    <row r="602" spans="1:40" ht="27.95" customHeight="1">
      <c r="A602" s="134" t="str">
        <f>IF(I602&lt;&gt;"",COUNTA($I$2:I602),"")</f>
        <v/>
      </c>
      <c r="B602" s="138" t="str">
        <f t="shared" si="47"/>
        <v/>
      </c>
      <c r="C602" s="93" t="str">
        <f t="array" ref="C602">IF(E602="","",IF(M602&lt;&gt;"",
M602&amp;"/"&amp;SUMPRODUCT((M$2:M602=M602)*1)&amp;" - "&amp;(ROW()-2),
"إداري/"&amp;SUMPRODUCT((M$2:M602="")*1)&amp;" - "&amp;(ROW()-2)))</f>
        <v/>
      </c>
      <c r="D602" s="141" t="str">
        <f>IF(AND(G602="",H602="",I602=""),"",IF(COUNTIFS(LISTS!$A$2:$A$67,G602,LISTS!$B$2:$B$67,H602,LISTS!$C$2:$C$67,I602)=0,"✗ هرم",IF(NOT(OR(Z602="ممتاز 100%",Z602="جيد 80%",Z602="مقبول 60%",Z602="خطر 40%",Z602="")),"✗ قائمة R",IF(NOT(OR(AA602="ممتاز 100%",AA602="جيد 85%",AA602="مقبول 70%",AA602="ضعيف 50%",AA602="")),"✗ قائمة S",IF(NOT(OR(AB602="مكتمل 100%",AB602="جزئي 60%",AB602="معلق 30%",AB602="مفتوح 0%",AB602="")),"✗ قائمة T",IF(NOT(OR(AC602="لا خصم 0",AC602="تأخير −5",AC602="عجز −10",AC602="جودة −15",AC602="امتثال −20",AC602="مخالفة −25",AC602="")),"✗ قائمة U",IF(AND(X602="لا",AC602&lt;&gt;"",AC602&lt;&gt;"لا خصم 0"),"✗ خصم",IF(AND(X602="نعم",AC602="لا خصم 0"),"✗ خصم",IF(AND(Z602="ممتاز 100%",AA602="ممتاز 100%",AB602&lt;&gt;"",AB602&lt;&gt;"مكتمل 100%"),"✗ إغلاق",IFERROR(IF(LEN(_xlfn.TEXTJOIN("، ",TRUE,IF(E602="","التاريخ",""),IF(F602="","الوقت",""),IF(G602="","المركز",""),IF(H602="","الدائرة",""),IF(I602="","القسم",""),IF(J602="","المسؤول",""),IF(K602="","نوع النشاط",""),IF(L602="","المشروع",""),IF(N602="","الممول",""),IF(V602="","الموضوع",""),IF(W602="","الملاحظة",""),IF(X602="","مشكلة",""),IF(Y602="","الإجراء",""),IF(Z602="","التنفيذ",""),IF(AA602="","الجودة",""),IF(AB602="","الإغلاق",""),IF(AC602="","الخصم",""),IF(AND(COUNTA($O602:$U602)&gt;0,O602=""),"مدير المشروع",""),IF(AND(COUNTA($O602:$U602)&gt;0,P602=""),"المستفيدين",""),IF(AND(COUNTA($O602:$U602)&gt;0,Q602=""),"المناطق",""),IF(AND(COUNTA($O602:$U602)&gt;0,R602=""),"الميزانية",""),IF(AND(COUNTA($O602:$U602)&gt;0,S602=""),"نسبة الجاهزية",""),IF(AND(COUNTA($O602:$U602)&gt;0,T602=""),"حالة الجاهزية",""),IF(AND(COUNTA($O602:$U602)&gt;0,U602=""),"التوصيات","")))&gt;0,"✗ ناقص: "&amp;_xlfn.TEXTJOIN("، ",TRUE,IF(E602="","التاريخ",""),IF(F602="","الوقت",""),IF(G602="","المركز",""),IF(H602="","الدائرة",""),IF(I602="","القسم",""),IF(J602="","المسؤول",""),IF(K602="","نوع النشاط",""),IF(L602="","المشروع",""),IF(N602="","الممول",""),IF(V602="","الموضوع",""),IF(W602="","الملاحظة",""),IF(X602="","مشكلة",""),IF(Y602="","الإجراء",""),IF(Z602="","التنفيذ",""),IF(AA602="","الجودة",""),IF(AB602="","الإغلاق",""),IF(AC602="","الخصم",""),IF(AND(COUNTA($O602:$U602)&gt;0,O602=""),"مدير المشروع",""),IF(AND(COUNTA($O602:$U602)&gt;0,P602=""),"المستفيدين",""),IF(AND(COUNTA($O602:$U602)&gt;0,Q602=""),"المناطق",""),IF(AND(COUNTA($O602:$U602)&gt;0,R602=""),"الميزانية",""),IF(AND(COUNTA($O602:$U602)&gt;0,S602=""),"نسبة الجاهزية",""),IF(AND(COUNTA($O602:$U602)&gt;0,T602=""),"حالة الجاهزية",""),IF(AND(COUNTA($O602:$U602)&gt;0,U602=""),"التوصيات","")),"✓"),"✓"))))))))))</f>
        <v/>
      </c>
      <c r="E602" s="235"/>
      <c r="F602" s="236"/>
      <c r="G602" s="90"/>
      <c r="H602" s="239"/>
      <c r="I602" s="89"/>
      <c r="J602" s="142"/>
      <c r="K602" s="90"/>
      <c r="L602" s="90"/>
      <c r="M602" s="90"/>
      <c r="N602" s="89"/>
      <c r="O602" s="200"/>
      <c r="P602" s="201"/>
      <c r="Q602" s="201"/>
      <c r="R602" s="237"/>
      <c r="S602" s="202"/>
      <c r="T602" s="200"/>
      <c r="U602" s="203"/>
      <c r="V602" s="89"/>
      <c r="W602" s="89"/>
      <c r="X602" s="145"/>
      <c r="Y602" s="89"/>
      <c r="Z602" s="90"/>
      <c r="AA602" s="90"/>
      <c r="AB602" s="90"/>
      <c r="AC602" s="90"/>
      <c r="AD602" s="92"/>
      <c r="AE602" s="149" t="str">
        <f>IFERROR(VLOOKUP(Z602,LISTS!$AL$2:$AM$1000,2,FALSE()),"")</f>
        <v/>
      </c>
      <c r="AF602" s="151" t="str">
        <f>IFERROR(VLOOKUP(AA602,LISTS!$AO$2:$AP$1000,2,FALSE()),"")</f>
        <v/>
      </c>
      <c r="AG602" s="152" t="str">
        <f>IFERROR(VLOOKUP(AB602,LISTS!$AR$2:$AS$1000,2,FALSE()),"")</f>
        <v/>
      </c>
      <c r="AH602" s="154" t="str">
        <f>IFERROR(VLOOKUP(AC602,LISTS!$AU$2:$AV$1000,2,FALSE()),"")</f>
        <v/>
      </c>
      <c r="AI602" s="238" t="str">
        <f t="shared" si="48"/>
        <v>—</v>
      </c>
      <c r="AJ602" s="190" t="str">
        <f t="shared" si="49"/>
        <v>—</v>
      </c>
      <c r="AK602" s="157" t="str">
        <f t="shared" si="45"/>
        <v/>
      </c>
      <c r="AL602" s="160" t="str">
        <f t="shared" si="46"/>
        <v/>
      </c>
      <c r="AM602" s="210"/>
      <c r="AN602" s="209"/>
    </row>
    <row r="603" spans="1:40" ht="27.95" customHeight="1">
      <c r="A603" s="134" t="str">
        <f>IF(I603&lt;&gt;"",COUNTA($I$2:I603),"")</f>
        <v/>
      </c>
      <c r="B603" s="138" t="str">
        <f t="shared" si="47"/>
        <v/>
      </c>
      <c r="C603" s="93" t="str">
        <f t="array" ref="C603">IF(E603="","",IF(M603&lt;&gt;"",
M603&amp;"/"&amp;SUMPRODUCT((M$2:M603=M603)*1)&amp;" - "&amp;(ROW()-2),
"إداري/"&amp;SUMPRODUCT((M$2:M603="")*1)&amp;" - "&amp;(ROW()-2)))</f>
        <v/>
      </c>
      <c r="D603" s="141" t="str">
        <f>IF(AND(G603="",H603="",I603=""),"",IF(COUNTIFS(LISTS!$A$2:$A$67,G603,LISTS!$B$2:$B$67,H603,LISTS!$C$2:$C$67,I603)=0,"✗ هرم",IF(NOT(OR(Z603="ممتاز 100%",Z603="جيد 80%",Z603="مقبول 60%",Z603="خطر 40%",Z603="")),"✗ قائمة R",IF(NOT(OR(AA603="ممتاز 100%",AA603="جيد 85%",AA603="مقبول 70%",AA603="ضعيف 50%",AA603="")),"✗ قائمة S",IF(NOT(OR(AB603="مكتمل 100%",AB603="جزئي 60%",AB603="معلق 30%",AB603="مفتوح 0%",AB603="")),"✗ قائمة T",IF(NOT(OR(AC603="لا خصم 0",AC603="تأخير −5",AC603="عجز −10",AC603="جودة −15",AC603="امتثال −20",AC603="مخالفة −25",AC603="")),"✗ قائمة U",IF(AND(X603="لا",AC603&lt;&gt;"",AC603&lt;&gt;"لا خصم 0"),"✗ خصم",IF(AND(X603="نعم",AC603="لا خصم 0"),"✗ خصم",IF(AND(Z603="ممتاز 100%",AA603="ممتاز 100%",AB603&lt;&gt;"",AB603&lt;&gt;"مكتمل 100%"),"✗ إغلاق",IFERROR(IF(LEN(_xlfn.TEXTJOIN("، ",TRUE,IF(E603="","التاريخ",""),IF(F603="","الوقت",""),IF(G603="","المركز",""),IF(H603="","الدائرة",""),IF(I603="","القسم",""),IF(J603="","المسؤول",""),IF(K603="","نوع النشاط",""),IF(L603="","المشروع",""),IF(N603="","الممول",""),IF(V603="","الموضوع",""),IF(W603="","الملاحظة",""),IF(X603="","مشكلة",""),IF(Y603="","الإجراء",""),IF(Z603="","التنفيذ",""),IF(AA603="","الجودة",""),IF(AB603="","الإغلاق",""),IF(AC603="","الخصم",""),IF(AND(COUNTA($O603:$U603)&gt;0,O603=""),"مدير المشروع",""),IF(AND(COUNTA($O603:$U603)&gt;0,P603=""),"المستفيدين",""),IF(AND(COUNTA($O603:$U603)&gt;0,Q603=""),"المناطق",""),IF(AND(COUNTA($O603:$U603)&gt;0,R603=""),"الميزانية",""),IF(AND(COUNTA($O603:$U603)&gt;0,S603=""),"نسبة الجاهزية",""),IF(AND(COUNTA($O603:$U603)&gt;0,T603=""),"حالة الجاهزية",""),IF(AND(COUNTA($O603:$U603)&gt;0,U603=""),"التوصيات","")))&gt;0,"✗ ناقص: "&amp;_xlfn.TEXTJOIN("، ",TRUE,IF(E603="","التاريخ",""),IF(F603="","الوقت",""),IF(G603="","المركز",""),IF(H603="","الدائرة",""),IF(I603="","القسم",""),IF(J603="","المسؤول",""),IF(K603="","نوع النشاط",""),IF(L603="","المشروع",""),IF(N603="","الممول",""),IF(V603="","الموضوع",""),IF(W603="","الملاحظة",""),IF(X603="","مشكلة",""),IF(Y603="","الإجراء",""),IF(Z603="","التنفيذ",""),IF(AA603="","الجودة",""),IF(AB603="","الإغلاق",""),IF(AC603="","الخصم",""),IF(AND(COUNTA($O603:$U603)&gt;0,O603=""),"مدير المشروع",""),IF(AND(COUNTA($O603:$U603)&gt;0,P603=""),"المستفيدين",""),IF(AND(COUNTA($O603:$U603)&gt;0,Q603=""),"المناطق",""),IF(AND(COUNTA($O603:$U603)&gt;0,R603=""),"الميزانية",""),IF(AND(COUNTA($O603:$U603)&gt;0,S603=""),"نسبة الجاهزية",""),IF(AND(COUNTA($O603:$U603)&gt;0,T603=""),"حالة الجاهزية",""),IF(AND(COUNTA($O603:$U603)&gt;0,U603=""),"التوصيات","")),"✓"),"✓"))))))))))</f>
        <v/>
      </c>
      <c r="E603" s="235"/>
      <c r="F603" s="236"/>
      <c r="G603" s="90"/>
      <c r="H603" s="239"/>
      <c r="I603" s="89"/>
      <c r="J603" s="142"/>
      <c r="K603" s="90"/>
      <c r="L603" s="90"/>
      <c r="M603" s="90"/>
      <c r="N603" s="89"/>
      <c r="O603" s="200"/>
      <c r="P603" s="201"/>
      <c r="Q603" s="201"/>
      <c r="R603" s="237"/>
      <c r="S603" s="202"/>
      <c r="T603" s="200"/>
      <c r="U603" s="203"/>
      <c r="V603" s="89"/>
      <c r="W603" s="89"/>
      <c r="X603" s="145"/>
      <c r="Y603" s="89"/>
      <c r="Z603" s="90"/>
      <c r="AA603" s="90"/>
      <c r="AB603" s="90"/>
      <c r="AC603" s="90"/>
      <c r="AD603" s="92"/>
      <c r="AE603" s="149" t="str">
        <f>IFERROR(VLOOKUP(Z603,LISTS!$AL$2:$AM$1000,2,FALSE()),"")</f>
        <v/>
      </c>
      <c r="AF603" s="151" t="str">
        <f>IFERROR(VLOOKUP(AA603,LISTS!$AO$2:$AP$1000,2,FALSE()),"")</f>
        <v/>
      </c>
      <c r="AG603" s="152" t="str">
        <f>IFERROR(VLOOKUP(AB603,LISTS!$AR$2:$AS$1000,2,FALSE()),"")</f>
        <v/>
      </c>
      <c r="AH603" s="154" t="str">
        <f>IFERROR(VLOOKUP(AC603,LISTS!$AU$2:$AV$1000,2,FALSE()),"")</f>
        <v/>
      </c>
      <c r="AI603" s="238" t="str">
        <f t="shared" si="48"/>
        <v>—</v>
      </c>
      <c r="AJ603" s="190" t="str">
        <f t="shared" si="49"/>
        <v>—</v>
      </c>
      <c r="AK603" s="157" t="str">
        <f t="shared" si="45"/>
        <v/>
      </c>
      <c r="AL603" s="160" t="str">
        <f t="shared" si="46"/>
        <v/>
      </c>
      <c r="AM603" s="210"/>
      <c r="AN603" s="209"/>
    </row>
    <row r="604" spans="1:40" ht="27.95" customHeight="1">
      <c r="A604" s="134" t="str">
        <f>IF(I604&lt;&gt;"",COUNTA($I$2:I604),"")</f>
        <v/>
      </c>
      <c r="B604" s="138" t="str">
        <f t="shared" si="47"/>
        <v/>
      </c>
      <c r="C604" s="93" t="str">
        <f t="array" ref="C604">IF(E604="","",IF(M604&lt;&gt;"",
M604&amp;"/"&amp;SUMPRODUCT((M$2:M604=M604)*1)&amp;" - "&amp;(ROW()-2),
"إداري/"&amp;SUMPRODUCT((M$2:M604="")*1)&amp;" - "&amp;(ROW()-2)))</f>
        <v/>
      </c>
      <c r="D604" s="141" t="str">
        <f>IF(AND(G604="",H604="",I604=""),"",IF(COUNTIFS(LISTS!$A$2:$A$67,G604,LISTS!$B$2:$B$67,H604,LISTS!$C$2:$C$67,I604)=0,"✗ هرم",IF(NOT(OR(Z604="ممتاز 100%",Z604="جيد 80%",Z604="مقبول 60%",Z604="خطر 40%",Z604="")),"✗ قائمة R",IF(NOT(OR(AA604="ممتاز 100%",AA604="جيد 85%",AA604="مقبول 70%",AA604="ضعيف 50%",AA604="")),"✗ قائمة S",IF(NOT(OR(AB604="مكتمل 100%",AB604="جزئي 60%",AB604="معلق 30%",AB604="مفتوح 0%",AB604="")),"✗ قائمة T",IF(NOT(OR(AC604="لا خصم 0",AC604="تأخير −5",AC604="عجز −10",AC604="جودة −15",AC604="امتثال −20",AC604="مخالفة −25",AC604="")),"✗ قائمة U",IF(AND(X604="لا",AC604&lt;&gt;"",AC604&lt;&gt;"لا خصم 0"),"✗ خصم",IF(AND(X604="نعم",AC604="لا خصم 0"),"✗ خصم",IF(AND(Z604="ممتاز 100%",AA604="ممتاز 100%",AB604&lt;&gt;"",AB604&lt;&gt;"مكتمل 100%"),"✗ إغلاق",IFERROR(IF(LEN(_xlfn.TEXTJOIN("، ",TRUE,IF(E604="","التاريخ",""),IF(F604="","الوقت",""),IF(G604="","المركز",""),IF(H604="","الدائرة",""),IF(I604="","القسم",""),IF(J604="","المسؤول",""),IF(K604="","نوع النشاط",""),IF(L604="","المشروع",""),IF(N604="","الممول",""),IF(V604="","الموضوع",""),IF(W604="","الملاحظة",""),IF(X604="","مشكلة",""),IF(Y604="","الإجراء",""),IF(Z604="","التنفيذ",""),IF(AA604="","الجودة",""),IF(AB604="","الإغلاق",""),IF(AC604="","الخصم",""),IF(AND(COUNTA($O604:$U604)&gt;0,O604=""),"مدير المشروع",""),IF(AND(COUNTA($O604:$U604)&gt;0,P604=""),"المستفيدين",""),IF(AND(COUNTA($O604:$U604)&gt;0,Q604=""),"المناطق",""),IF(AND(COUNTA($O604:$U604)&gt;0,R604=""),"الميزانية",""),IF(AND(COUNTA($O604:$U604)&gt;0,S604=""),"نسبة الجاهزية",""),IF(AND(COUNTA($O604:$U604)&gt;0,T604=""),"حالة الجاهزية",""),IF(AND(COUNTA($O604:$U604)&gt;0,U604=""),"التوصيات","")))&gt;0,"✗ ناقص: "&amp;_xlfn.TEXTJOIN("، ",TRUE,IF(E604="","التاريخ",""),IF(F604="","الوقت",""),IF(G604="","المركز",""),IF(H604="","الدائرة",""),IF(I604="","القسم",""),IF(J604="","المسؤول",""),IF(K604="","نوع النشاط",""),IF(L604="","المشروع",""),IF(N604="","الممول",""),IF(V604="","الموضوع",""),IF(W604="","الملاحظة",""),IF(X604="","مشكلة",""),IF(Y604="","الإجراء",""),IF(Z604="","التنفيذ",""),IF(AA604="","الجودة",""),IF(AB604="","الإغلاق",""),IF(AC604="","الخصم",""),IF(AND(COUNTA($O604:$U604)&gt;0,O604=""),"مدير المشروع",""),IF(AND(COUNTA($O604:$U604)&gt;0,P604=""),"المستفيدين",""),IF(AND(COUNTA($O604:$U604)&gt;0,Q604=""),"المناطق",""),IF(AND(COUNTA($O604:$U604)&gt;0,R604=""),"الميزانية",""),IF(AND(COUNTA($O604:$U604)&gt;0,S604=""),"نسبة الجاهزية",""),IF(AND(COUNTA($O604:$U604)&gt;0,T604=""),"حالة الجاهزية",""),IF(AND(COUNTA($O604:$U604)&gt;0,U604=""),"التوصيات","")),"✓"),"✓"))))))))))</f>
        <v/>
      </c>
      <c r="E604" s="235"/>
      <c r="F604" s="236"/>
      <c r="G604" s="90"/>
      <c r="H604" s="239"/>
      <c r="I604" s="89"/>
      <c r="J604" s="142"/>
      <c r="K604" s="90"/>
      <c r="L604" s="90"/>
      <c r="M604" s="90"/>
      <c r="N604" s="89"/>
      <c r="O604" s="200"/>
      <c r="P604" s="201"/>
      <c r="Q604" s="201"/>
      <c r="R604" s="237"/>
      <c r="S604" s="202"/>
      <c r="T604" s="200"/>
      <c r="U604" s="203"/>
      <c r="V604" s="89"/>
      <c r="W604" s="89"/>
      <c r="X604" s="145"/>
      <c r="Y604" s="89"/>
      <c r="Z604" s="90"/>
      <c r="AA604" s="90"/>
      <c r="AB604" s="90"/>
      <c r="AC604" s="90"/>
      <c r="AD604" s="92"/>
      <c r="AE604" s="149" t="str">
        <f>IFERROR(VLOOKUP(Z604,LISTS!$AL$2:$AM$1000,2,FALSE()),"")</f>
        <v/>
      </c>
      <c r="AF604" s="151" t="str">
        <f>IFERROR(VLOOKUP(AA604,LISTS!$AO$2:$AP$1000,2,FALSE()),"")</f>
        <v/>
      </c>
      <c r="AG604" s="152" t="str">
        <f>IFERROR(VLOOKUP(AB604,LISTS!$AR$2:$AS$1000,2,FALSE()),"")</f>
        <v/>
      </c>
      <c r="AH604" s="154" t="str">
        <f>IFERROR(VLOOKUP(AC604,LISTS!$AU$2:$AV$1000,2,FALSE()),"")</f>
        <v/>
      </c>
      <c r="AI604" s="238" t="str">
        <f t="shared" si="48"/>
        <v>—</v>
      </c>
      <c r="AJ604" s="190" t="str">
        <f t="shared" si="49"/>
        <v>—</v>
      </c>
      <c r="AK604" s="157" t="str">
        <f t="shared" si="45"/>
        <v/>
      </c>
      <c r="AL604" s="160" t="str">
        <f t="shared" si="46"/>
        <v/>
      </c>
      <c r="AM604" s="210"/>
      <c r="AN604" s="209"/>
    </row>
    <row r="605" spans="1:40" ht="27.95" customHeight="1">
      <c r="A605" s="134" t="str">
        <f>IF(I605&lt;&gt;"",COUNTA($I$2:I605),"")</f>
        <v/>
      </c>
      <c r="B605" s="138" t="str">
        <f t="shared" si="47"/>
        <v/>
      </c>
      <c r="C605" s="93" t="str">
        <f t="array" ref="C605">IF(E605="","",IF(M605&lt;&gt;"",
M605&amp;"/"&amp;SUMPRODUCT((M$2:M605=M605)*1)&amp;" - "&amp;(ROW()-2),
"إداري/"&amp;SUMPRODUCT((M$2:M605="")*1)&amp;" - "&amp;(ROW()-2)))</f>
        <v/>
      </c>
      <c r="D605" s="141" t="str">
        <f>IF(AND(G605="",H605="",I605=""),"",IF(COUNTIFS(LISTS!$A$2:$A$67,G605,LISTS!$B$2:$B$67,H605,LISTS!$C$2:$C$67,I605)=0,"✗ هرم",IF(NOT(OR(Z605="ممتاز 100%",Z605="جيد 80%",Z605="مقبول 60%",Z605="خطر 40%",Z605="")),"✗ قائمة R",IF(NOT(OR(AA605="ممتاز 100%",AA605="جيد 85%",AA605="مقبول 70%",AA605="ضعيف 50%",AA605="")),"✗ قائمة S",IF(NOT(OR(AB605="مكتمل 100%",AB605="جزئي 60%",AB605="معلق 30%",AB605="مفتوح 0%",AB605="")),"✗ قائمة T",IF(NOT(OR(AC605="لا خصم 0",AC605="تأخير −5",AC605="عجز −10",AC605="جودة −15",AC605="امتثال −20",AC605="مخالفة −25",AC605="")),"✗ قائمة U",IF(AND(X605="لا",AC605&lt;&gt;"",AC605&lt;&gt;"لا خصم 0"),"✗ خصم",IF(AND(X605="نعم",AC605="لا خصم 0"),"✗ خصم",IF(AND(Z605="ممتاز 100%",AA605="ممتاز 100%",AB605&lt;&gt;"",AB605&lt;&gt;"مكتمل 100%"),"✗ إغلاق",IFERROR(IF(LEN(_xlfn.TEXTJOIN("، ",TRUE,IF(E605="","التاريخ",""),IF(F605="","الوقت",""),IF(G605="","المركز",""),IF(H605="","الدائرة",""),IF(I605="","القسم",""),IF(J605="","المسؤول",""),IF(K605="","نوع النشاط",""),IF(L605="","المشروع",""),IF(N605="","الممول",""),IF(V605="","الموضوع",""),IF(W605="","الملاحظة",""),IF(X605="","مشكلة",""),IF(Y605="","الإجراء",""),IF(Z605="","التنفيذ",""),IF(AA605="","الجودة",""),IF(AB605="","الإغلاق",""),IF(AC605="","الخصم",""),IF(AND(COUNTA($O605:$U605)&gt;0,O605=""),"مدير المشروع",""),IF(AND(COUNTA($O605:$U605)&gt;0,P605=""),"المستفيدين",""),IF(AND(COUNTA($O605:$U605)&gt;0,Q605=""),"المناطق",""),IF(AND(COUNTA($O605:$U605)&gt;0,R605=""),"الميزانية",""),IF(AND(COUNTA($O605:$U605)&gt;0,S605=""),"نسبة الجاهزية",""),IF(AND(COUNTA($O605:$U605)&gt;0,T605=""),"حالة الجاهزية",""),IF(AND(COUNTA($O605:$U605)&gt;0,U605=""),"التوصيات","")))&gt;0,"✗ ناقص: "&amp;_xlfn.TEXTJOIN("، ",TRUE,IF(E605="","التاريخ",""),IF(F605="","الوقت",""),IF(G605="","المركز",""),IF(H605="","الدائرة",""),IF(I605="","القسم",""),IF(J605="","المسؤول",""),IF(K605="","نوع النشاط",""),IF(L605="","المشروع",""),IF(N605="","الممول",""),IF(V605="","الموضوع",""),IF(W605="","الملاحظة",""),IF(X605="","مشكلة",""),IF(Y605="","الإجراء",""),IF(Z605="","التنفيذ",""),IF(AA605="","الجودة",""),IF(AB605="","الإغلاق",""),IF(AC605="","الخصم",""),IF(AND(COUNTA($O605:$U605)&gt;0,O605=""),"مدير المشروع",""),IF(AND(COUNTA($O605:$U605)&gt;0,P605=""),"المستفيدين",""),IF(AND(COUNTA($O605:$U605)&gt;0,Q605=""),"المناطق",""),IF(AND(COUNTA($O605:$U605)&gt;0,R605=""),"الميزانية",""),IF(AND(COUNTA($O605:$U605)&gt;0,S605=""),"نسبة الجاهزية",""),IF(AND(COUNTA($O605:$U605)&gt;0,T605=""),"حالة الجاهزية",""),IF(AND(COUNTA($O605:$U605)&gt;0,U605=""),"التوصيات","")),"✓"),"✓"))))))))))</f>
        <v/>
      </c>
      <c r="E605" s="235"/>
      <c r="F605" s="236"/>
      <c r="G605" s="90"/>
      <c r="H605" s="239"/>
      <c r="I605" s="89"/>
      <c r="J605" s="142"/>
      <c r="K605" s="90"/>
      <c r="L605" s="90"/>
      <c r="M605" s="90"/>
      <c r="N605" s="89"/>
      <c r="O605" s="200"/>
      <c r="P605" s="201"/>
      <c r="Q605" s="201"/>
      <c r="R605" s="237"/>
      <c r="S605" s="202"/>
      <c r="T605" s="200"/>
      <c r="U605" s="203"/>
      <c r="V605" s="89"/>
      <c r="W605" s="89"/>
      <c r="X605" s="145"/>
      <c r="Y605" s="89"/>
      <c r="Z605" s="90"/>
      <c r="AA605" s="90"/>
      <c r="AB605" s="90"/>
      <c r="AC605" s="90"/>
      <c r="AD605" s="92"/>
      <c r="AE605" s="149" t="str">
        <f>IFERROR(VLOOKUP(Z605,LISTS!$AL$2:$AM$1000,2,FALSE()),"")</f>
        <v/>
      </c>
      <c r="AF605" s="151" t="str">
        <f>IFERROR(VLOOKUP(AA605,LISTS!$AO$2:$AP$1000,2,FALSE()),"")</f>
        <v/>
      </c>
      <c r="AG605" s="152" t="str">
        <f>IFERROR(VLOOKUP(AB605,LISTS!$AR$2:$AS$1000,2,FALSE()),"")</f>
        <v/>
      </c>
      <c r="AH605" s="154" t="str">
        <f>IFERROR(VLOOKUP(AC605,LISTS!$AU$2:$AV$1000,2,FALSE()),"")</f>
        <v/>
      </c>
      <c r="AI605" s="238" t="str">
        <f t="shared" si="48"/>
        <v>—</v>
      </c>
      <c r="AJ605" s="190" t="str">
        <f t="shared" si="49"/>
        <v>—</v>
      </c>
      <c r="AK605" s="157" t="str">
        <f t="shared" si="45"/>
        <v/>
      </c>
      <c r="AL605" s="160" t="str">
        <f t="shared" si="46"/>
        <v/>
      </c>
      <c r="AM605" s="210"/>
      <c r="AN605" s="209"/>
    </row>
    <row r="606" spans="1:40" ht="27.95" customHeight="1">
      <c r="A606" s="134" t="str">
        <f>IF(I606&lt;&gt;"",COUNTA($I$2:I606),"")</f>
        <v/>
      </c>
      <c r="B606" s="138" t="str">
        <f t="shared" si="47"/>
        <v/>
      </c>
      <c r="C606" s="93" t="str">
        <f t="array" ref="C606">IF(E606="","",IF(M606&lt;&gt;"",
M606&amp;"/"&amp;SUMPRODUCT((M$2:M606=M606)*1)&amp;" - "&amp;(ROW()-2),
"إداري/"&amp;SUMPRODUCT((M$2:M606="")*1)&amp;" - "&amp;(ROW()-2)))</f>
        <v/>
      </c>
      <c r="D606" s="141" t="str">
        <f>IF(AND(G606="",H606="",I606=""),"",IF(COUNTIFS(LISTS!$A$2:$A$67,G606,LISTS!$B$2:$B$67,H606,LISTS!$C$2:$C$67,I606)=0,"✗ هرم",IF(NOT(OR(Z606="ممتاز 100%",Z606="جيد 80%",Z606="مقبول 60%",Z606="خطر 40%",Z606="")),"✗ قائمة R",IF(NOT(OR(AA606="ممتاز 100%",AA606="جيد 85%",AA606="مقبول 70%",AA606="ضعيف 50%",AA606="")),"✗ قائمة S",IF(NOT(OR(AB606="مكتمل 100%",AB606="جزئي 60%",AB606="معلق 30%",AB606="مفتوح 0%",AB606="")),"✗ قائمة T",IF(NOT(OR(AC606="لا خصم 0",AC606="تأخير −5",AC606="عجز −10",AC606="جودة −15",AC606="امتثال −20",AC606="مخالفة −25",AC606="")),"✗ قائمة U",IF(AND(X606="لا",AC606&lt;&gt;"",AC606&lt;&gt;"لا خصم 0"),"✗ خصم",IF(AND(X606="نعم",AC606="لا خصم 0"),"✗ خصم",IF(AND(Z606="ممتاز 100%",AA606="ممتاز 100%",AB606&lt;&gt;"",AB606&lt;&gt;"مكتمل 100%"),"✗ إغلاق",IFERROR(IF(LEN(_xlfn.TEXTJOIN("، ",TRUE,IF(E606="","التاريخ",""),IF(F606="","الوقت",""),IF(G606="","المركز",""),IF(H606="","الدائرة",""),IF(I606="","القسم",""),IF(J606="","المسؤول",""),IF(K606="","نوع النشاط",""),IF(L606="","المشروع",""),IF(N606="","الممول",""),IF(V606="","الموضوع",""),IF(W606="","الملاحظة",""),IF(X606="","مشكلة",""),IF(Y606="","الإجراء",""),IF(Z606="","التنفيذ",""),IF(AA606="","الجودة",""),IF(AB606="","الإغلاق",""),IF(AC606="","الخصم",""),IF(AND(COUNTA($O606:$U606)&gt;0,O606=""),"مدير المشروع",""),IF(AND(COUNTA($O606:$U606)&gt;0,P606=""),"المستفيدين",""),IF(AND(COUNTA($O606:$U606)&gt;0,Q606=""),"المناطق",""),IF(AND(COUNTA($O606:$U606)&gt;0,R606=""),"الميزانية",""),IF(AND(COUNTA($O606:$U606)&gt;0,S606=""),"نسبة الجاهزية",""),IF(AND(COUNTA($O606:$U606)&gt;0,T606=""),"حالة الجاهزية",""),IF(AND(COUNTA($O606:$U606)&gt;0,U606=""),"التوصيات","")))&gt;0,"✗ ناقص: "&amp;_xlfn.TEXTJOIN("، ",TRUE,IF(E606="","التاريخ",""),IF(F606="","الوقت",""),IF(G606="","المركز",""),IF(H606="","الدائرة",""),IF(I606="","القسم",""),IF(J606="","المسؤول",""),IF(K606="","نوع النشاط",""),IF(L606="","المشروع",""),IF(N606="","الممول",""),IF(V606="","الموضوع",""),IF(W606="","الملاحظة",""),IF(X606="","مشكلة",""),IF(Y606="","الإجراء",""),IF(Z606="","التنفيذ",""),IF(AA606="","الجودة",""),IF(AB606="","الإغلاق",""),IF(AC606="","الخصم",""),IF(AND(COUNTA($O606:$U606)&gt;0,O606=""),"مدير المشروع",""),IF(AND(COUNTA($O606:$U606)&gt;0,P606=""),"المستفيدين",""),IF(AND(COUNTA($O606:$U606)&gt;0,Q606=""),"المناطق",""),IF(AND(COUNTA($O606:$U606)&gt;0,R606=""),"الميزانية",""),IF(AND(COUNTA($O606:$U606)&gt;0,S606=""),"نسبة الجاهزية",""),IF(AND(COUNTA($O606:$U606)&gt;0,T606=""),"حالة الجاهزية",""),IF(AND(COUNTA($O606:$U606)&gt;0,U606=""),"التوصيات","")),"✓"),"✓"))))))))))</f>
        <v/>
      </c>
      <c r="E606" s="235"/>
      <c r="F606" s="236"/>
      <c r="G606" s="90"/>
      <c r="H606" s="239"/>
      <c r="I606" s="89"/>
      <c r="J606" s="142"/>
      <c r="K606" s="90"/>
      <c r="L606" s="90"/>
      <c r="M606" s="90"/>
      <c r="N606" s="89"/>
      <c r="O606" s="200"/>
      <c r="P606" s="201"/>
      <c r="Q606" s="201"/>
      <c r="R606" s="237"/>
      <c r="S606" s="202"/>
      <c r="T606" s="200"/>
      <c r="U606" s="203"/>
      <c r="V606" s="89"/>
      <c r="W606" s="89"/>
      <c r="X606" s="145"/>
      <c r="Y606" s="89"/>
      <c r="Z606" s="90"/>
      <c r="AA606" s="90"/>
      <c r="AB606" s="90"/>
      <c r="AC606" s="90"/>
      <c r="AD606" s="92"/>
      <c r="AE606" s="149" t="str">
        <f>IFERROR(VLOOKUP(Z606,LISTS!$AL$2:$AM$1000,2,FALSE()),"")</f>
        <v/>
      </c>
      <c r="AF606" s="151" t="str">
        <f>IFERROR(VLOOKUP(AA606,LISTS!$AO$2:$AP$1000,2,FALSE()),"")</f>
        <v/>
      </c>
      <c r="AG606" s="152" t="str">
        <f>IFERROR(VLOOKUP(AB606,LISTS!$AR$2:$AS$1000,2,FALSE()),"")</f>
        <v/>
      </c>
      <c r="AH606" s="154" t="str">
        <f>IFERROR(VLOOKUP(AC606,LISTS!$AU$2:$AV$1000,2,FALSE()),"")</f>
        <v/>
      </c>
      <c r="AI606" s="238" t="str">
        <f t="shared" si="48"/>
        <v>—</v>
      </c>
      <c r="AJ606" s="190" t="str">
        <f t="shared" si="49"/>
        <v>—</v>
      </c>
      <c r="AK606" s="157" t="str">
        <f t="shared" ref="AK606:AK669" si="50">IF(E606="","",MONTH(E606))</f>
        <v/>
      </c>
      <c r="AL606" s="160" t="str">
        <f t="shared" ref="AL606:AL669" si="51">IF(E606="","",YEAR(E606))</f>
        <v/>
      </c>
      <c r="AM606" s="210"/>
      <c r="AN606" s="209"/>
    </row>
    <row r="607" spans="1:40" ht="27.95" customHeight="1">
      <c r="A607" s="134" t="str">
        <f>IF(I607&lt;&gt;"",COUNTA($I$2:I607),"")</f>
        <v/>
      </c>
      <c r="B607" s="138" t="str">
        <f t="shared" ref="B607:B670" si="52">IF(E607="","",CHOOSE(WEEKDAY(E607,2),"الاثنين","الثلاثاء","الأربعاء","الخميس","الجمعة","السبت","الأحد"))</f>
        <v/>
      </c>
      <c r="C607" s="93" t="str">
        <f t="array" ref="C607">IF(E607="","",IF(M607&lt;&gt;"",
M607&amp;"/"&amp;SUMPRODUCT((M$2:M607=M607)*1)&amp;" - "&amp;(ROW()-2),
"إداري/"&amp;SUMPRODUCT((M$2:M607="")*1)&amp;" - "&amp;(ROW()-2)))</f>
        <v/>
      </c>
      <c r="D607" s="141" t="str">
        <f>IF(AND(G607="",H607="",I607=""),"",IF(COUNTIFS(LISTS!$A$2:$A$67,G607,LISTS!$B$2:$B$67,H607,LISTS!$C$2:$C$67,I607)=0,"✗ هرم",IF(NOT(OR(Z607="ممتاز 100%",Z607="جيد 80%",Z607="مقبول 60%",Z607="خطر 40%",Z607="")),"✗ قائمة R",IF(NOT(OR(AA607="ممتاز 100%",AA607="جيد 85%",AA607="مقبول 70%",AA607="ضعيف 50%",AA607="")),"✗ قائمة S",IF(NOT(OR(AB607="مكتمل 100%",AB607="جزئي 60%",AB607="معلق 30%",AB607="مفتوح 0%",AB607="")),"✗ قائمة T",IF(NOT(OR(AC607="لا خصم 0",AC607="تأخير −5",AC607="عجز −10",AC607="جودة −15",AC607="امتثال −20",AC607="مخالفة −25",AC607="")),"✗ قائمة U",IF(AND(X607="لا",AC607&lt;&gt;"",AC607&lt;&gt;"لا خصم 0"),"✗ خصم",IF(AND(X607="نعم",AC607="لا خصم 0"),"✗ خصم",IF(AND(Z607="ممتاز 100%",AA607="ممتاز 100%",AB607&lt;&gt;"",AB607&lt;&gt;"مكتمل 100%"),"✗ إغلاق",IFERROR(IF(LEN(_xlfn.TEXTJOIN("، ",TRUE,IF(E607="","التاريخ",""),IF(F607="","الوقت",""),IF(G607="","المركز",""),IF(H607="","الدائرة",""),IF(I607="","القسم",""),IF(J607="","المسؤول",""),IF(K607="","نوع النشاط",""),IF(L607="","المشروع",""),IF(N607="","الممول",""),IF(V607="","الموضوع",""),IF(W607="","الملاحظة",""),IF(X607="","مشكلة",""),IF(Y607="","الإجراء",""),IF(Z607="","التنفيذ",""),IF(AA607="","الجودة",""),IF(AB607="","الإغلاق",""),IF(AC607="","الخصم",""),IF(AND(COUNTA($O607:$U607)&gt;0,O607=""),"مدير المشروع",""),IF(AND(COUNTA($O607:$U607)&gt;0,P607=""),"المستفيدين",""),IF(AND(COUNTA($O607:$U607)&gt;0,Q607=""),"المناطق",""),IF(AND(COUNTA($O607:$U607)&gt;0,R607=""),"الميزانية",""),IF(AND(COUNTA($O607:$U607)&gt;0,S607=""),"نسبة الجاهزية",""),IF(AND(COUNTA($O607:$U607)&gt;0,T607=""),"حالة الجاهزية",""),IF(AND(COUNTA($O607:$U607)&gt;0,U607=""),"التوصيات","")))&gt;0,"✗ ناقص: "&amp;_xlfn.TEXTJOIN("، ",TRUE,IF(E607="","التاريخ",""),IF(F607="","الوقت",""),IF(G607="","المركز",""),IF(H607="","الدائرة",""),IF(I607="","القسم",""),IF(J607="","المسؤول",""),IF(K607="","نوع النشاط",""),IF(L607="","المشروع",""),IF(N607="","الممول",""),IF(V607="","الموضوع",""),IF(W607="","الملاحظة",""),IF(X607="","مشكلة",""),IF(Y607="","الإجراء",""),IF(Z607="","التنفيذ",""),IF(AA607="","الجودة",""),IF(AB607="","الإغلاق",""),IF(AC607="","الخصم",""),IF(AND(COUNTA($O607:$U607)&gt;0,O607=""),"مدير المشروع",""),IF(AND(COUNTA($O607:$U607)&gt;0,P607=""),"المستفيدين",""),IF(AND(COUNTA($O607:$U607)&gt;0,Q607=""),"المناطق",""),IF(AND(COUNTA($O607:$U607)&gt;0,R607=""),"الميزانية",""),IF(AND(COUNTA($O607:$U607)&gt;0,S607=""),"نسبة الجاهزية",""),IF(AND(COUNTA($O607:$U607)&gt;0,T607=""),"حالة الجاهزية",""),IF(AND(COUNTA($O607:$U607)&gt;0,U607=""),"التوصيات","")),"✓"),"✓"))))))))))</f>
        <v/>
      </c>
      <c r="E607" s="235"/>
      <c r="F607" s="236"/>
      <c r="G607" s="90"/>
      <c r="H607" s="239"/>
      <c r="I607" s="89"/>
      <c r="J607" s="142"/>
      <c r="K607" s="90"/>
      <c r="L607" s="90"/>
      <c r="M607" s="90"/>
      <c r="N607" s="89"/>
      <c r="O607" s="200"/>
      <c r="P607" s="201"/>
      <c r="Q607" s="201"/>
      <c r="R607" s="237"/>
      <c r="S607" s="202"/>
      <c r="T607" s="200"/>
      <c r="U607" s="203"/>
      <c r="V607" s="89"/>
      <c r="W607" s="89"/>
      <c r="X607" s="145"/>
      <c r="Y607" s="89"/>
      <c r="Z607" s="90"/>
      <c r="AA607" s="90"/>
      <c r="AB607" s="90"/>
      <c r="AC607" s="90"/>
      <c r="AD607" s="92"/>
      <c r="AE607" s="149" t="str">
        <f>IFERROR(VLOOKUP(Z607,LISTS!$AL$2:$AM$1000,2,FALSE()),"")</f>
        <v/>
      </c>
      <c r="AF607" s="151" t="str">
        <f>IFERROR(VLOOKUP(AA607,LISTS!$AO$2:$AP$1000,2,FALSE()),"")</f>
        <v/>
      </c>
      <c r="AG607" s="152" t="str">
        <f>IFERROR(VLOOKUP(AB607,LISTS!$AR$2:$AS$1000,2,FALSE()),"")</f>
        <v/>
      </c>
      <c r="AH607" s="154" t="str">
        <f>IFERROR(VLOOKUP(AC607,LISTS!$AU$2:$AV$1000,2,FALSE()),"")</f>
        <v/>
      </c>
      <c r="AI607" s="238" t="str">
        <f t="shared" si="48"/>
        <v>—</v>
      </c>
      <c r="AJ607" s="190" t="str">
        <f t="shared" si="49"/>
        <v>—</v>
      </c>
      <c r="AK607" s="157" t="str">
        <f t="shared" si="50"/>
        <v/>
      </c>
      <c r="AL607" s="160" t="str">
        <f t="shared" si="51"/>
        <v/>
      </c>
      <c r="AM607" s="210"/>
      <c r="AN607" s="209"/>
    </row>
    <row r="608" spans="1:40" ht="27.95" customHeight="1">
      <c r="A608" s="134" t="str">
        <f>IF(I608&lt;&gt;"",COUNTA($I$2:I608),"")</f>
        <v/>
      </c>
      <c r="B608" s="138" t="str">
        <f t="shared" si="52"/>
        <v/>
      </c>
      <c r="C608" s="93" t="str">
        <f t="array" ref="C608">IF(E608="","",IF(M608&lt;&gt;"",
M608&amp;"/"&amp;SUMPRODUCT((M$2:M608=M608)*1)&amp;" - "&amp;(ROW()-2),
"إداري/"&amp;SUMPRODUCT((M$2:M608="")*1)&amp;" - "&amp;(ROW()-2)))</f>
        <v/>
      </c>
      <c r="D608" s="141" t="str">
        <f>IF(AND(G608="",H608="",I608=""),"",IF(COUNTIFS(LISTS!$A$2:$A$67,G608,LISTS!$B$2:$B$67,H608,LISTS!$C$2:$C$67,I608)=0,"✗ هرم",IF(NOT(OR(Z608="ممتاز 100%",Z608="جيد 80%",Z608="مقبول 60%",Z608="خطر 40%",Z608="")),"✗ قائمة R",IF(NOT(OR(AA608="ممتاز 100%",AA608="جيد 85%",AA608="مقبول 70%",AA608="ضعيف 50%",AA608="")),"✗ قائمة S",IF(NOT(OR(AB608="مكتمل 100%",AB608="جزئي 60%",AB608="معلق 30%",AB608="مفتوح 0%",AB608="")),"✗ قائمة T",IF(NOT(OR(AC608="لا خصم 0",AC608="تأخير −5",AC608="عجز −10",AC608="جودة −15",AC608="امتثال −20",AC608="مخالفة −25",AC608="")),"✗ قائمة U",IF(AND(X608="لا",AC608&lt;&gt;"",AC608&lt;&gt;"لا خصم 0"),"✗ خصم",IF(AND(X608="نعم",AC608="لا خصم 0"),"✗ خصم",IF(AND(Z608="ممتاز 100%",AA608="ممتاز 100%",AB608&lt;&gt;"",AB608&lt;&gt;"مكتمل 100%"),"✗ إغلاق",IFERROR(IF(LEN(_xlfn.TEXTJOIN("، ",TRUE,IF(E608="","التاريخ",""),IF(F608="","الوقت",""),IF(G608="","المركز",""),IF(H608="","الدائرة",""),IF(I608="","القسم",""),IF(J608="","المسؤول",""),IF(K608="","نوع النشاط",""),IF(L608="","المشروع",""),IF(N608="","الممول",""),IF(V608="","الموضوع",""),IF(W608="","الملاحظة",""),IF(X608="","مشكلة",""),IF(Y608="","الإجراء",""),IF(Z608="","التنفيذ",""),IF(AA608="","الجودة",""),IF(AB608="","الإغلاق",""),IF(AC608="","الخصم",""),IF(AND(COUNTA($O608:$U608)&gt;0,O608=""),"مدير المشروع",""),IF(AND(COUNTA($O608:$U608)&gt;0,P608=""),"المستفيدين",""),IF(AND(COUNTA($O608:$U608)&gt;0,Q608=""),"المناطق",""),IF(AND(COUNTA($O608:$U608)&gt;0,R608=""),"الميزانية",""),IF(AND(COUNTA($O608:$U608)&gt;0,S608=""),"نسبة الجاهزية",""),IF(AND(COUNTA($O608:$U608)&gt;0,T608=""),"حالة الجاهزية",""),IF(AND(COUNTA($O608:$U608)&gt;0,U608=""),"التوصيات","")))&gt;0,"✗ ناقص: "&amp;_xlfn.TEXTJOIN("، ",TRUE,IF(E608="","التاريخ",""),IF(F608="","الوقت",""),IF(G608="","المركز",""),IF(H608="","الدائرة",""),IF(I608="","القسم",""),IF(J608="","المسؤول",""),IF(K608="","نوع النشاط",""),IF(L608="","المشروع",""),IF(N608="","الممول",""),IF(V608="","الموضوع",""),IF(W608="","الملاحظة",""),IF(X608="","مشكلة",""),IF(Y608="","الإجراء",""),IF(Z608="","التنفيذ",""),IF(AA608="","الجودة",""),IF(AB608="","الإغلاق",""),IF(AC608="","الخصم",""),IF(AND(COUNTA($O608:$U608)&gt;0,O608=""),"مدير المشروع",""),IF(AND(COUNTA($O608:$U608)&gt;0,P608=""),"المستفيدين",""),IF(AND(COUNTA($O608:$U608)&gt;0,Q608=""),"المناطق",""),IF(AND(COUNTA($O608:$U608)&gt;0,R608=""),"الميزانية",""),IF(AND(COUNTA($O608:$U608)&gt;0,S608=""),"نسبة الجاهزية",""),IF(AND(COUNTA($O608:$U608)&gt;0,T608=""),"حالة الجاهزية",""),IF(AND(COUNTA($O608:$U608)&gt;0,U608=""),"التوصيات","")),"✓"),"✓"))))))))))</f>
        <v/>
      </c>
      <c r="E608" s="235"/>
      <c r="F608" s="236"/>
      <c r="G608" s="90"/>
      <c r="H608" s="239"/>
      <c r="I608" s="89"/>
      <c r="J608" s="142"/>
      <c r="K608" s="90"/>
      <c r="L608" s="90"/>
      <c r="M608" s="90"/>
      <c r="N608" s="89"/>
      <c r="O608" s="200"/>
      <c r="P608" s="201"/>
      <c r="Q608" s="201"/>
      <c r="R608" s="237"/>
      <c r="S608" s="202"/>
      <c r="T608" s="200"/>
      <c r="U608" s="203"/>
      <c r="V608" s="89"/>
      <c r="W608" s="89"/>
      <c r="X608" s="145"/>
      <c r="Y608" s="89"/>
      <c r="Z608" s="90"/>
      <c r="AA608" s="90"/>
      <c r="AB608" s="90"/>
      <c r="AC608" s="90"/>
      <c r="AD608" s="92"/>
      <c r="AE608" s="149" t="str">
        <f>IFERROR(VLOOKUP(Z608,LISTS!$AL$2:$AM$1000,2,FALSE()),"")</f>
        <v/>
      </c>
      <c r="AF608" s="151" t="str">
        <f>IFERROR(VLOOKUP(AA608,LISTS!$AO$2:$AP$1000,2,FALSE()),"")</f>
        <v/>
      </c>
      <c r="AG608" s="152" t="str">
        <f>IFERROR(VLOOKUP(AB608,LISTS!$AR$2:$AS$1000,2,FALSE()),"")</f>
        <v/>
      </c>
      <c r="AH608" s="154" t="str">
        <f>IFERROR(VLOOKUP(AC608,LISTS!$AU$2:$AV$1000,2,FALSE()),"")</f>
        <v/>
      </c>
      <c r="AI608" s="238" t="str">
        <f t="shared" si="48"/>
        <v>—</v>
      </c>
      <c r="AJ608" s="190" t="str">
        <f t="shared" si="49"/>
        <v>—</v>
      </c>
      <c r="AK608" s="157" t="str">
        <f t="shared" si="50"/>
        <v/>
      </c>
      <c r="AL608" s="160" t="str">
        <f t="shared" si="51"/>
        <v/>
      </c>
      <c r="AM608" s="210"/>
      <c r="AN608" s="209"/>
    </row>
    <row r="609" spans="1:40" ht="27.95" customHeight="1">
      <c r="A609" s="134" t="str">
        <f>IF(I609&lt;&gt;"",COUNTA($I$2:I609),"")</f>
        <v/>
      </c>
      <c r="B609" s="138" t="str">
        <f t="shared" si="52"/>
        <v/>
      </c>
      <c r="C609" s="93" t="str">
        <f t="array" ref="C609">IF(E609="","",IF(M609&lt;&gt;"",
M609&amp;"/"&amp;SUMPRODUCT((M$2:M609=M609)*1)&amp;" - "&amp;(ROW()-2),
"إداري/"&amp;SUMPRODUCT((M$2:M609="")*1)&amp;" - "&amp;(ROW()-2)))</f>
        <v/>
      </c>
      <c r="D609" s="141" t="str">
        <f>IF(AND(G609="",H609="",I609=""),"",IF(COUNTIFS(LISTS!$A$2:$A$67,G609,LISTS!$B$2:$B$67,H609,LISTS!$C$2:$C$67,I609)=0,"✗ هرم",IF(NOT(OR(Z609="ممتاز 100%",Z609="جيد 80%",Z609="مقبول 60%",Z609="خطر 40%",Z609="")),"✗ قائمة R",IF(NOT(OR(AA609="ممتاز 100%",AA609="جيد 85%",AA609="مقبول 70%",AA609="ضعيف 50%",AA609="")),"✗ قائمة S",IF(NOT(OR(AB609="مكتمل 100%",AB609="جزئي 60%",AB609="معلق 30%",AB609="مفتوح 0%",AB609="")),"✗ قائمة T",IF(NOT(OR(AC609="لا خصم 0",AC609="تأخير −5",AC609="عجز −10",AC609="جودة −15",AC609="امتثال −20",AC609="مخالفة −25",AC609="")),"✗ قائمة U",IF(AND(X609="لا",AC609&lt;&gt;"",AC609&lt;&gt;"لا خصم 0"),"✗ خصم",IF(AND(X609="نعم",AC609="لا خصم 0"),"✗ خصم",IF(AND(Z609="ممتاز 100%",AA609="ممتاز 100%",AB609&lt;&gt;"",AB609&lt;&gt;"مكتمل 100%"),"✗ إغلاق",IFERROR(IF(LEN(_xlfn.TEXTJOIN("، ",TRUE,IF(E609="","التاريخ",""),IF(F609="","الوقت",""),IF(G609="","المركز",""),IF(H609="","الدائرة",""),IF(I609="","القسم",""),IF(J609="","المسؤول",""),IF(K609="","نوع النشاط",""),IF(L609="","المشروع",""),IF(N609="","الممول",""),IF(V609="","الموضوع",""),IF(W609="","الملاحظة",""),IF(X609="","مشكلة",""),IF(Y609="","الإجراء",""),IF(Z609="","التنفيذ",""),IF(AA609="","الجودة",""),IF(AB609="","الإغلاق",""),IF(AC609="","الخصم",""),IF(AND(COUNTA($O609:$U609)&gt;0,O609=""),"مدير المشروع",""),IF(AND(COUNTA($O609:$U609)&gt;0,P609=""),"المستفيدين",""),IF(AND(COUNTA($O609:$U609)&gt;0,Q609=""),"المناطق",""),IF(AND(COUNTA($O609:$U609)&gt;0,R609=""),"الميزانية",""),IF(AND(COUNTA($O609:$U609)&gt;0,S609=""),"نسبة الجاهزية",""),IF(AND(COUNTA($O609:$U609)&gt;0,T609=""),"حالة الجاهزية",""),IF(AND(COUNTA($O609:$U609)&gt;0,U609=""),"التوصيات","")))&gt;0,"✗ ناقص: "&amp;_xlfn.TEXTJOIN("، ",TRUE,IF(E609="","التاريخ",""),IF(F609="","الوقت",""),IF(G609="","المركز",""),IF(H609="","الدائرة",""),IF(I609="","القسم",""),IF(J609="","المسؤول",""),IF(K609="","نوع النشاط",""),IF(L609="","المشروع",""),IF(N609="","الممول",""),IF(V609="","الموضوع",""),IF(W609="","الملاحظة",""),IF(X609="","مشكلة",""),IF(Y609="","الإجراء",""),IF(Z609="","التنفيذ",""),IF(AA609="","الجودة",""),IF(AB609="","الإغلاق",""),IF(AC609="","الخصم",""),IF(AND(COUNTA($O609:$U609)&gt;0,O609=""),"مدير المشروع",""),IF(AND(COUNTA($O609:$U609)&gt;0,P609=""),"المستفيدين",""),IF(AND(COUNTA($O609:$U609)&gt;0,Q609=""),"المناطق",""),IF(AND(COUNTA($O609:$U609)&gt;0,R609=""),"الميزانية",""),IF(AND(COUNTA($O609:$U609)&gt;0,S609=""),"نسبة الجاهزية",""),IF(AND(COUNTA($O609:$U609)&gt;0,T609=""),"حالة الجاهزية",""),IF(AND(COUNTA($O609:$U609)&gt;0,U609=""),"التوصيات","")),"✓"),"✓"))))))))))</f>
        <v/>
      </c>
      <c r="E609" s="235"/>
      <c r="F609" s="236"/>
      <c r="G609" s="90"/>
      <c r="H609" s="239"/>
      <c r="I609" s="89"/>
      <c r="J609" s="142"/>
      <c r="K609" s="90"/>
      <c r="L609" s="90"/>
      <c r="M609" s="90"/>
      <c r="N609" s="89"/>
      <c r="O609" s="200"/>
      <c r="P609" s="201"/>
      <c r="Q609" s="201"/>
      <c r="R609" s="237"/>
      <c r="S609" s="202"/>
      <c r="T609" s="200"/>
      <c r="U609" s="203"/>
      <c r="V609" s="89"/>
      <c r="W609" s="89"/>
      <c r="X609" s="145"/>
      <c r="Y609" s="89"/>
      <c r="Z609" s="90"/>
      <c r="AA609" s="90"/>
      <c r="AB609" s="90"/>
      <c r="AC609" s="90"/>
      <c r="AD609" s="92"/>
      <c r="AE609" s="149" t="str">
        <f>IFERROR(VLOOKUP(Z609,LISTS!$AL$2:$AM$1000,2,FALSE()),"")</f>
        <v/>
      </c>
      <c r="AF609" s="151" t="str">
        <f>IFERROR(VLOOKUP(AA609,LISTS!$AO$2:$AP$1000,2,FALSE()),"")</f>
        <v/>
      </c>
      <c r="AG609" s="152" t="str">
        <f>IFERROR(VLOOKUP(AB609,LISTS!$AR$2:$AS$1000,2,FALSE()),"")</f>
        <v/>
      </c>
      <c r="AH609" s="154" t="str">
        <f>IFERROR(VLOOKUP(AC609,LISTS!$AU$2:$AV$1000,2,FALSE()),"")</f>
        <v/>
      </c>
      <c r="AI609" s="238" t="str">
        <f t="shared" si="48"/>
        <v>—</v>
      </c>
      <c r="AJ609" s="190" t="str">
        <f t="shared" si="49"/>
        <v>—</v>
      </c>
      <c r="AK609" s="157" t="str">
        <f t="shared" si="50"/>
        <v/>
      </c>
      <c r="AL609" s="160" t="str">
        <f t="shared" si="51"/>
        <v/>
      </c>
      <c r="AM609" s="210"/>
      <c r="AN609" s="209"/>
    </row>
    <row r="610" spans="1:40" ht="27.95" customHeight="1">
      <c r="A610" s="134" t="str">
        <f>IF(I610&lt;&gt;"",COUNTA($I$2:I610),"")</f>
        <v/>
      </c>
      <c r="B610" s="138" t="str">
        <f t="shared" si="52"/>
        <v/>
      </c>
      <c r="C610" s="93" t="str">
        <f t="array" ref="C610">IF(E610="","",IF(M610&lt;&gt;"",
M610&amp;"/"&amp;SUMPRODUCT((M$2:M610=M610)*1)&amp;" - "&amp;(ROW()-2),
"إداري/"&amp;SUMPRODUCT((M$2:M610="")*1)&amp;" - "&amp;(ROW()-2)))</f>
        <v/>
      </c>
      <c r="D610" s="141" t="str">
        <f>IF(AND(G610="",H610="",I610=""),"",IF(COUNTIFS(LISTS!$A$2:$A$67,G610,LISTS!$B$2:$B$67,H610,LISTS!$C$2:$C$67,I610)=0,"✗ هرم",IF(NOT(OR(Z610="ممتاز 100%",Z610="جيد 80%",Z610="مقبول 60%",Z610="خطر 40%",Z610="")),"✗ قائمة R",IF(NOT(OR(AA610="ممتاز 100%",AA610="جيد 85%",AA610="مقبول 70%",AA610="ضعيف 50%",AA610="")),"✗ قائمة S",IF(NOT(OR(AB610="مكتمل 100%",AB610="جزئي 60%",AB610="معلق 30%",AB610="مفتوح 0%",AB610="")),"✗ قائمة T",IF(NOT(OR(AC610="لا خصم 0",AC610="تأخير −5",AC610="عجز −10",AC610="جودة −15",AC610="امتثال −20",AC610="مخالفة −25",AC610="")),"✗ قائمة U",IF(AND(X610="لا",AC610&lt;&gt;"",AC610&lt;&gt;"لا خصم 0"),"✗ خصم",IF(AND(X610="نعم",AC610="لا خصم 0"),"✗ خصم",IF(AND(Z610="ممتاز 100%",AA610="ممتاز 100%",AB610&lt;&gt;"",AB610&lt;&gt;"مكتمل 100%"),"✗ إغلاق",IFERROR(IF(LEN(_xlfn.TEXTJOIN("، ",TRUE,IF(E610="","التاريخ",""),IF(F610="","الوقت",""),IF(G610="","المركز",""),IF(H610="","الدائرة",""),IF(I610="","القسم",""),IF(J610="","المسؤول",""),IF(K610="","نوع النشاط",""),IF(L610="","المشروع",""),IF(N610="","الممول",""),IF(V610="","الموضوع",""),IF(W610="","الملاحظة",""),IF(X610="","مشكلة",""),IF(Y610="","الإجراء",""),IF(Z610="","التنفيذ",""),IF(AA610="","الجودة",""),IF(AB610="","الإغلاق",""),IF(AC610="","الخصم",""),IF(AND(COUNTA($O610:$U610)&gt;0,O610=""),"مدير المشروع",""),IF(AND(COUNTA($O610:$U610)&gt;0,P610=""),"المستفيدين",""),IF(AND(COUNTA($O610:$U610)&gt;0,Q610=""),"المناطق",""),IF(AND(COUNTA($O610:$U610)&gt;0,R610=""),"الميزانية",""),IF(AND(COUNTA($O610:$U610)&gt;0,S610=""),"نسبة الجاهزية",""),IF(AND(COUNTA($O610:$U610)&gt;0,T610=""),"حالة الجاهزية",""),IF(AND(COUNTA($O610:$U610)&gt;0,U610=""),"التوصيات","")))&gt;0,"✗ ناقص: "&amp;_xlfn.TEXTJOIN("، ",TRUE,IF(E610="","التاريخ",""),IF(F610="","الوقت",""),IF(G610="","المركز",""),IF(H610="","الدائرة",""),IF(I610="","القسم",""),IF(J610="","المسؤول",""),IF(K610="","نوع النشاط",""),IF(L610="","المشروع",""),IF(N610="","الممول",""),IF(V610="","الموضوع",""),IF(W610="","الملاحظة",""),IF(X610="","مشكلة",""),IF(Y610="","الإجراء",""),IF(Z610="","التنفيذ",""),IF(AA610="","الجودة",""),IF(AB610="","الإغلاق",""),IF(AC610="","الخصم",""),IF(AND(COUNTA($O610:$U610)&gt;0,O610=""),"مدير المشروع",""),IF(AND(COUNTA($O610:$U610)&gt;0,P610=""),"المستفيدين",""),IF(AND(COUNTA($O610:$U610)&gt;0,Q610=""),"المناطق",""),IF(AND(COUNTA($O610:$U610)&gt;0,R610=""),"الميزانية",""),IF(AND(COUNTA($O610:$U610)&gt;0,S610=""),"نسبة الجاهزية",""),IF(AND(COUNTA($O610:$U610)&gt;0,T610=""),"حالة الجاهزية",""),IF(AND(COUNTA($O610:$U610)&gt;0,U610=""),"التوصيات","")),"✓"),"✓"))))))))))</f>
        <v/>
      </c>
      <c r="E610" s="235"/>
      <c r="F610" s="236"/>
      <c r="G610" s="90"/>
      <c r="H610" s="239"/>
      <c r="I610" s="89"/>
      <c r="J610" s="142"/>
      <c r="K610" s="90"/>
      <c r="L610" s="90"/>
      <c r="M610" s="90"/>
      <c r="N610" s="89"/>
      <c r="O610" s="200"/>
      <c r="P610" s="201"/>
      <c r="Q610" s="201"/>
      <c r="R610" s="237"/>
      <c r="S610" s="202"/>
      <c r="T610" s="200"/>
      <c r="U610" s="203"/>
      <c r="V610" s="89"/>
      <c r="W610" s="89"/>
      <c r="X610" s="145"/>
      <c r="Y610" s="89"/>
      <c r="Z610" s="90"/>
      <c r="AA610" s="90"/>
      <c r="AB610" s="90"/>
      <c r="AC610" s="90"/>
      <c r="AD610" s="92"/>
      <c r="AE610" s="149" t="str">
        <f>IFERROR(VLOOKUP(Z610,LISTS!$AL$2:$AM$1000,2,FALSE()),"")</f>
        <v/>
      </c>
      <c r="AF610" s="151" t="str">
        <f>IFERROR(VLOOKUP(AA610,LISTS!$AO$2:$AP$1000,2,FALSE()),"")</f>
        <v/>
      </c>
      <c r="AG610" s="152" t="str">
        <f>IFERROR(VLOOKUP(AB610,LISTS!$AR$2:$AS$1000,2,FALSE()),"")</f>
        <v/>
      </c>
      <c r="AH610" s="154" t="str">
        <f>IFERROR(VLOOKUP(AC610,LISTS!$AU$2:$AV$1000,2,FALSE()),"")</f>
        <v/>
      </c>
      <c r="AI610" s="238" t="str">
        <f t="shared" si="48"/>
        <v>—</v>
      </c>
      <c r="AJ610" s="190" t="str">
        <f t="shared" si="49"/>
        <v>—</v>
      </c>
      <c r="AK610" s="157" t="str">
        <f t="shared" si="50"/>
        <v/>
      </c>
      <c r="AL610" s="160" t="str">
        <f t="shared" si="51"/>
        <v/>
      </c>
      <c r="AM610" s="210"/>
      <c r="AN610" s="209"/>
    </row>
    <row r="611" spans="1:40" ht="27.95" customHeight="1">
      <c r="A611" s="134" t="str">
        <f>IF(I611&lt;&gt;"",COUNTA($I$2:I611),"")</f>
        <v/>
      </c>
      <c r="B611" s="138" t="str">
        <f t="shared" si="52"/>
        <v/>
      </c>
      <c r="C611" s="93" t="str">
        <f t="array" ref="C611">IF(E611="","",IF(M611&lt;&gt;"",
M611&amp;"/"&amp;SUMPRODUCT((M$2:M611=M611)*1)&amp;" - "&amp;(ROW()-2),
"إداري/"&amp;SUMPRODUCT((M$2:M611="")*1)&amp;" - "&amp;(ROW()-2)))</f>
        <v/>
      </c>
      <c r="D611" s="141" t="str">
        <f>IF(AND(G611="",H611="",I611=""),"",IF(COUNTIFS(LISTS!$A$2:$A$67,G611,LISTS!$B$2:$B$67,H611,LISTS!$C$2:$C$67,I611)=0,"✗ هرم",IF(NOT(OR(Z611="ممتاز 100%",Z611="جيد 80%",Z611="مقبول 60%",Z611="خطر 40%",Z611="")),"✗ قائمة R",IF(NOT(OR(AA611="ممتاز 100%",AA611="جيد 85%",AA611="مقبول 70%",AA611="ضعيف 50%",AA611="")),"✗ قائمة S",IF(NOT(OR(AB611="مكتمل 100%",AB611="جزئي 60%",AB611="معلق 30%",AB611="مفتوح 0%",AB611="")),"✗ قائمة T",IF(NOT(OR(AC611="لا خصم 0",AC611="تأخير −5",AC611="عجز −10",AC611="جودة −15",AC611="امتثال −20",AC611="مخالفة −25",AC611="")),"✗ قائمة U",IF(AND(X611="لا",AC611&lt;&gt;"",AC611&lt;&gt;"لا خصم 0"),"✗ خصم",IF(AND(X611="نعم",AC611="لا خصم 0"),"✗ خصم",IF(AND(Z611="ممتاز 100%",AA611="ممتاز 100%",AB611&lt;&gt;"",AB611&lt;&gt;"مكتمل 100%"),"✗ إغلاق",IFERROR(IF(LEN(_xlfn.TEXTJOIN("، ",TRUE,IF(E611="","التاريخ",""),IF(F611="","الوقت",""),IF(G611="","المركز",""),IF(H611="","الدائرة",""),IF(I611="","القسم",""),IF(J611="","المسؤول",""),IF(K611="","نوع النشاط",""),IF(L611="","المشروع",""),IF(N611="","الممول",""),IF(V611="","الموضوع",""),IF(W611="","الملاحظة",""),IF(X611="","مشكلة",""),IF(Y611="","الإجراء",""),IF(Z611="","التنفيذ",""),IF(AA611="","الجودة",""),IF(AB611="","الإغلاق",""),IF(AC611="","الخصم",""),IF(AND(COUNTA($O611:$U611)&gt;0,O611=""),"مدير المشروع",""),IF(AND(COUNTA($O611:$U611)&gt;0,P611=""),"المستفيدين",""),IF(AND(COUNTA($O611:$U611)&gt;0,Q611=""),"المناطق",""),IF(AND(COUNTA($O611:$U611)&gt;0,R611=""),"الميزانية",""),IF(AND(COUNTA($O611:$U611)&gt;0,S611=""),"نسبة الجاهزية",""),IF(AND(COUNTA($O611:$U611)&gt;0,T611=""),"حالة الجاهزية",""),IF(AND(COUNTA($O611:$U611)&gt;0,U611=""),"التوصيات","")))&gt;0,"✗ ناقص: "&amp;_xlfn.TEXTJOIN("، ",TRUE,IF(E611="","التاريخ",""),IF(F611="","الوقت",""),IF(G611="","المركز",""),IF(H611="","الدائرة",""),IF(I611="","القسم",""),IF(J611="","المسؤول",""),IF(K611="","نوع النشاط",""),IF(L611="","المشروع",""),IF(N611="","الممول",""),IF(V611="","الموضوع",""),IF(W611="","الملاحظة",""),IF(X611="","مشكلة",""),IF(Y611="","الإجراء",""),IF(Z611="","التنفيذ",""),IF(AA611="","الجودة",""),IF(AB611="","الإغلاق",""),IF(AC611="","الخصم",""),IF(AND(COUNTA($O611:$U611)&gt;0,O611=""),"مدير المشروع",""),IF(AND(COUNTA($O611:$U611)&gt;0,P611=""),"المستفيدين",""),IF(AND(COUNTA($O611:$U611)&gt;0,Q611=""),"المناطق",""),IF(AND(COUNTA($O611:$U611)&gt;0,R611=""),"الميزانية",""),IF(AND(COUNTA($O611:$U611)&gt;0,S611=""),"نسبة الجاهزية",""),IF(AND(COUNTA($O611:$U611)&gt;0,T611=""),"حالة الجاهزية",""),IF(AND(COUNTA($O611:$U611)&gt;0,U611=""),"التوصيات","")),"✓"),"✓"))))))))))</f>
        <v/>
      </c>
      <c r="E611" s="235"/>
      <c r="F611" s="236"/>
      <c r="G611" s="90"/>
      <c r="H611" s="239"/>
      <c r="I611" s="89"/>
      <c r="J611" s="142"/>
      <c r="K611" s="90"/>
      <c r="L611" s="90"/>
      <c r="M611" s="90"/>
      <c r="N611" s="89"/>
      <c r="O611" s="200"/>
      <c r="P611" s="201"/>
      <c r="Q611" s="201"/>
      <c r="R611" s="237"/>
      <c r="S611" s="202"/>
      <c r="T611" s="200"/>
      <c r="U611" s="203"/>
      <c r="V611" s="89"/>
      <c r="W611" s="89"/>
      <c r="X611" s="145"/>
      <c r="Y611" s="89"/>
      <c r="Z611" s="90"/>
      <c r="AA611" s="90"/>
      <c r="AB611" s="90"/>
      <c r="AC611" s="90"/>
      <c r="AD611" s="92"/>
      <c r="AE611" s="149" t="str">
        <f>IFERROR(VLOOKUP(Z611,LISTS!$AL$2:$AM$1000,2,FALSE()),"")</f>
        <v/>
      </c>
      <c r="AF611" s="151" t="str">
        <f>IFERROR(VLOOKUP(AA611,LISTS!$AO$2:$AP$1000,2,FALSE()),"")</f>
        <v/>
      </c>
      <c r="AG611" s="152" t="str">
        <f>IFERROR(VLOOKUP(AB611,LISTS!$AR$2:$AS$1000,2,FALSE()),"")</f>
        <v/>
      </c>
      <c r="AH611" s="154" t="str">
        <f>IFERROR(VLOOKUP(AC611,LISTS!$AU$2:$AV$1000,2,FALSE()),"")</f>
        <v/>
      </c>
      <c r="AI611" s="238" t="str">
        <f t="shared" si="48"/>
        <v>—</v>
      </c>
      <c r="AJ611" s="190" t="str">
        <f t="shared" si="49"/>
        <v>—</v>
      </c>
      <c r="AK611" s="157" t="str">
        <f t="shared" si="50"/>
        <v/>
      </c>
      <c r="AL611" s="160" t="str">
        <f t="shared" si="51"/>
        <v/>
      </c>
      <c r="AM611" s="210"/>
      <c r="AN611" s="209"/>
    </row>
    <row r="612" spans="1:40" ht="27.95" customHeight="1">
      <c r="A612" s="134" t="str">
        <f>IF(I612&lt;&gt;"",COUNTA($I$2:I612),"")</f>
        <v/>
      </c>
      <c r="B612" s="138" t="str">
        <f t="shared" si="52"/>
        <v/>
      </c>
      <c r="C612" s="93" t="str">
        <f t="array" ref="C612">IF(E612="","",IF(M612&lt;&gt;"",
M612&amp;"/"&amp;SUMPRODUCT((M$2:M612=M612)*1)&amp;" - "&amp;(ROW()-2),
"إداري/"&amp;SUMPRODUCT((M$2:M612="")*1)&amp;" - "&amp;(ROW()-2)))</f>
        <v/>
      </c>
      <c r="D612" s="141" t="str">
        <f>IF(AND(G612="",H612="",I612=""),"",IF(COUNTIFS(LISTS!$A$2:$A$67,G612,LISTS!$B$2:$B$67,H612,LISTS!$C$2:$C$67,I612)=0,"✗ هرم",IF(NOT(OR(Z612="ممتاز 100%",Z612="جيد 80%",Z612="مقبول 60%",Z612="خطر 40%",Z612="")),"✗ قائمة R",IF(NOT(OR(AA612="ممتاز 100%",AA612="جيد 85%",AA612="مقبول 70%",AA612="ضعيف 50%",AA612="")),"✗ قائمة S",IF(NOT(OR(AB612="مكتمل 100%",AB612="جزئي 60%",AB612="معلق 30%",AB612="مفتوح 0%",AB612="")),"✗ قائمة T",IF(NOT(OR(AC612="لا خصم 0",AC612="تأخير −5",AC612="عجز −10",AC612="جودة −15",AC612="امتثال −20",AC612="مخالفة −25",AC612="")),"✗ قائمة U",IF(AND(X612="لا",AC612&lt;&gt;"",AC612&lt;&gt;"لا خصم 0"),"✗ خصم",IF(AND(X612="نعم",AC612="لا خصم 0"),"✗ خصم",IF(AND(Z612="ممتاز 100%",AA612="ممتاز 100%",AB612&lt;&gt;"",AB612&lt;&gt;"مكتمل 100%"),"✗ إغلاق",IFERROR(IF(LEN(_xlfn.TEXTJOIN("، ",TRUE,IF(E612="","التاريخ",""),IF(F612="","الوقت",""),IF(G612="","المركز",""),IF(H612="","الدائرة",""),IF(I612="","القسم",""),IF(J612="","المسؤول",""),IF(K612="","نوع النشاط",""),IF(L612="","المشروع",""),IF(N612="","الممول",""),IF(V612="","الموضوع",""),IF(W612="","الملاحظة",""),IF(X612="","مشكلة",""),IF(Y612="","الإجراء",""),IF(Z612="","التنفيذ",""),IF(AA612="","الجودة",""),IF(AB612="","الإغلاق",""),IF(AC612="","الخصم",""),IF(AND(COUNTA($O612:$U612)&gt;0,O612=""),"مدير المشروع",""),IF(AND(COUNTA($O612:$U612)&gt;0,P612=""),"المستفيدين",""),IF(AND(COUNTA($O612:$U612)&gt;0,Q612=""),"المناطق",""),IF(AND(COUNTA($O612:$U612)&gt;0,R612=""),"الميزانية",""),IF(AND(COUNTA($O612:$U612)&gt;0,S612=""),"نسبة الجاهزية",""),IF(AND(COUNTA($O612:$U612)&gt;0,T612=""),"حالة الجاهزية",""),IF(AND(COUNTA($O612:$U612)&gt;0,U612=""),"التوصيات","")))&gt;0,"✗ ناقص: "&amp;_xlfn.TEXTJOIN("، ",TRUE,IF(E612="","التاريخ",""),IF(F612="","الوقت",""),IF(G612="","المركز",""),IF(H612="","الدائرة",""),IF(I612="","القسم",""),IF(J612="","المسؤول",""),IF(K612="","نوع النشاط",""),IF(L612="","المشروع",""),IF(N612="","الممول",""),IF(V612="","الموضوع",""),IF(W612="","الملاحظة",""),IF(X612="","مشكلة",""),IF(Y612="","الإجراء",""),IF(Z612="","التنفيذ",""),IF(AA612="","الجودة",""),IF(AB612="","الإغلاق",""),IF(AC612="","الخصم",""),IF(AND(COUNTA($O612:$U612)&gt;0,O612=""),"مدير المشروع",""),IF(AND(COUNTA($O612:$U612)&gt;0,P612=""),"المستفيدين",""),IF(AND(COUNTA($O612:$U612)&gt;0,Q612=""),"المناطق",""),IF(AND(COUNTA($O612:$U612)&gt;0,R612=""),"الميزانية",""),IF(AND(COUNTA($O612:$U612)&gt;0,S612=""),"نسبة الجاهزية",""),IF(AND(COUNTA($O612:$U612)&gt;0,T612=""),"حالة الجاهزية",""),IF(AND(COUNTA($O612:$U612)&gt;0,U612=""),"التوصيات","")),"✓"),"✓"))))))))))</f>
        <v/>
      </c>
      <c r="E612" s="235"/>
      <c r="F612" s="236"/>
      <c r="G612" s="90"/>
      <c r="H612" s="239"/>
      <c r="I612" s="89"/>
      <c r="J612" s="142"/>
      <c r="K612" s="90"/>
      <c r="L612" s="90"/>
      <c r="M612" s="90"/>
      <c r="N612" s="89"/>
      <c r="O612" s="200"/>
      <c r="P612" s="201"/>
      <c r="Q612" s="201"/>
      <c r="R612" s="237"/>
      <c r="S612" s="202"/>
      <c r="T612" s="200"/>
      <c r="U612" s="203"/>
      <c r="V612" s="89"/>
      <c r="W612" s="89"/>
      <c r="X612" s="145"/>
      <c r="Y612" s="89"/>
      <c r="Z612" s="90"/>
      <c r="AA612" s="90"/>
      <c r="AB612" s="90"/>
      <c r="AC612" s="90"/>
      <c r="AD612" s="92"/>
      <c r="AE612" s="149" t="str">
        <f>IFERROR(VLOOKUP(Z612,LISTS!$AL$2:$AM$1000,2,FALSE()),"")</f>
        <v/>
      </c>
      <c r="AF612" s="151" t="str">
        <f>IFERROR(VLOOKUP(AA612,LISTS!$AO$2:$AP$1000,2,FALSE()),"")</f>
        <v/>
      </c>
      <c r="AG612" s="152" t="str">
        <f>IFERROR(VLOOKUP(AB612,LISTS!$AR$2:$AS$1000,2,FALSE()),"")</f>
        <v/>
      </c>
      <c r="AH612" s="154" t="str">
        <f>IFERROR(VLOOKUP(AC612,LISTS!$AU$2:$AV$1000,2,FALSE()),"")</f>
        <v/>
      </c>
      <c r="AI612" s="238" t="str">
        <f t="shared" si="48"/>
        <v>—</v>
      </c>
      <c r="AJ612" s="190" t="str">
        <f t="shared" si="49"/>
        <v>—</v>
      </c>
      <c r="AK612" s="157" t="str">
        <f t="shared" si="50"/>
        <v/>
      </c>
      <c r="AL612" s="160" t="str">
        <f t="shared" si="51"/>
        <v/>
      </c>
      <c r="AM612" s="210"/>
      <c r="AN612" s="209"/>
    </row>
    <row r="613" spans="1:40" ht="27.95" customHeight="1">
      <c r="A613" s="134" t="str">
        <f>IF(I613&lt;&gt;"",COUNTA($I$2:I613),"")</f>
        <v/>
      </c>
      <c r="B613" s="138" t="str">
        <f t="shared" si="52"/>
        <v/>
      </c>
      <c r="C613" s="93" t="str">
        <f t="array" ref="C613">IF(E613="","",IF(M613&lt;&gt;"",
M613&amp;"/"&amp;SUMPRODUCT((M$2:M613=M613)*1)&amp;" - "&amp;(ROW()-2),
"إداري/"&amp;SUMPRODUCT((M$2:M613="")*1)&amp;" - "&amp;(ROW()-2)))</f>
        <v/>
      </c>
      <c r="D613" s="141" t="str">
        <f>IF(AND(G613="",H613="",I613=""),"",IF(COUNTIFS(LISTS!$A$2:$A$67,G613,LISTS!$B$2:$B$67,H613,LISTS!$C$2:$C$67,I613)=0,"✗ هرم",IF(NOT(OR(Z613="ممتاز 100%",Z613="جيد 80%",Z613="مقبول 60%",Z613="خطر 40%",Z613="")),"✗ قائمة R",IF(NOT(OR(AA613="ممتاز 100%",AA613="جيد 85%",AA613="مقبول 70%",AA613="ضعيف 50%",AA613="")),"✗ قائمة S",IF(NOT(OR(AB613="مكتمل 100%",AB613="جزئي 60%",AB613="معلق 30%",AB613="مفتوح 0%",AB613="")),"✗ قائمة T",IF(NOT(OR(AC613="لا خصم 0",AC613="تأخير −5",AC613="عجز −10",AC613="جودة −15",AC613="امتثال −20",AC613="مخالفة −25",AC613="")),"✗ قائمة U",IF(AND(X613="لا",AC613&lt;&gt;"",AC613&lt;&gt;"لا خصم 0"),"✗ خصم",IF(AND(X613="نعم",AC613="لا خصم 0"),"✗ خصم",IF(AND(Z613="ممتاز 100%",AA613="ممتاز 100%",AB613&lt;&gt;"",AB613&lt;&gt;"مكتمل 100%"),"✗ إغلاق",IFERROR(IF(LEN(_xlfn.TEXTJOIN("، ",TRUE,IF(E613="","التاريخ",""),IF(F613="","الوقت",""),IF(G613="","المركز",""),IF(H613="","الدائرة",""),IF(I613="","القسم",""),IF(J613="","المسؤول",""),IF(K613="","نوع النشاط",""),IF(L613="","المشروع",""),IF(N613="","الممول",""),IF(V613="","الموضوع",""),IF(W613="","الملاحظة",""),IF(X613="","مشكلة",""),IF(Y613="","الإجراء",""),IF(Z613="","التنفيذ",""),IF(AA613="","الجودة",""),IF(AB613="","الإغلاق",""),IF(AC613="","الخصم",""),IF(AND(COUNTA($O613:$U613)&gt;0,O613=""),"مدير المشروع",""),IF(AND(COUNTA($O613:$U613)&gt;0,P613=""),"المستفيدين",""),IF(AND(COUNTA($O613:$U613)&gt;0,Q613=""),"المناطق",""),IF(AND(COUNTA($O613:$U613)&gt;0,R613=""),"الميزانية",""),IF(AND(COUNTA($O613:$U613)&gt;0,S613=""),"نسبة الجاهزية",""),IF(AND(COUNTA($O613:$U613)&gt;0,T613=""),"حالة الجاهزية",""),IF(AND(COUNTA($O613:$U613)&gt;0,U613=""),"التوصيات","")))&gt;0,"✗ ناقص: "&amp;_xlfn.TEXTJOIN("، ",TRUE,IF(E613="","التاريخ",""),IF(F613="","الوقت",""),IF(G613="","المركز",""),IF(H613="","الدائرة",""),IF(I613="","القسم",""),IF(J613="","المسؤول",""),IF(K613="","نوع النشاط",""),IF(L613="","المشروع",""),IF(N613="","الممول",""),IF(V613="","الموضوع",""),IF(W613="","الملاحظة",""),IF(X613="","مشكلة",""),IF(Y613="","الإجراء",""),IF(Z613="","التنفيذ",""),IF(AA613="","الجودة",""),IF(AB613="","الإغلاق",""),IF(AC613="","الخصم",""),IF(AND(COUNTA($O613:$U613)&gt;0,O613=""),"مدير المشروع",""),IF(AND(COUNTA($O613:$U613)&gt;0,P613=""),"المستفيدين",""),IF(AND(COUNTA($O613:$U613)&gt;0,Q613=""),"المناطق",""),IF(AND(COUNTA($O613:$U613)&gt;0,R613=""),"الميزانية",""),IF(AND(COUNTA($O613:$U613)&gt;0,S613=""),"نسبة الجاهزية",""),IF(AND(COUNTA($O613:$U613)&gt;0,T613=""),"حالة الجاهزية",""),IF(AND(COUNTA($O613:$U613)&gt;0,U613=""),"التوصيات","")),"✓"),"✓"))))))))))</f>
        <v/>
      </c>
      <c r="E613" s="235"/>
      <c r="F613" s="236"/>
      <c r="G613" s="90"/>
      <c r="H613" s="239"/>
      <c r="I613" s="89"/>
      <c r="J613" s="142"/>
      <c r="K613" s="90"/>
      <c r="L613" s="90"/>
      <c r="M613" s="90"/>
      <c r="N613" s="89"/>
      <c r="O613" s="200"/>
      <c r="P613" s="201"/>
      <c r="Q613" s="201"/>
      <c r="R613" s="237"/>
      <c r="S613" s="202"/>
      <c r="T613" s="200"/>
      <c r="U613" s="203"/>
      <c r="V613" s="89"/>
      <c r="W613" s="89"/>
      <c r="X613" s="145"/>
      <c r="Y613" s="89"/>
      <c r="Z613" s="90"/>
      <c r="AA613" s="90"/>
      <c r="AB613" s="90"/>
      <c r="AC613" s="90"/>
      <c r="AD613" s="92"/>
      <c r="AE613" s="149" t="str">
        <f>IFERROR(VLOOKUP(Z613,LISTS!$AL$2:$AM$1000,2,FALSE()),"")</f>
        <v/>
      </c>
      <c r="AF613" s="151" t="str">
        <f>IFERROR(VLOOKUP(AA613,LISTS!$AO$2:$AP$1000,2,FALSE()),"")</f>
        <v/>
      </c>
      <c r="AG613" s="152" t="str">
        <f>IFERROR(VLOOKUP(AB613,LISTS!$AR$2:$AS$1000,2,FALSE()),"")</f>
        <v/>
      </c>
      <c r="AH613" s="154" t="str">
        <f>IFERROR(VLOOKUP(AC613,LISTS!$AU$2:$AV$1000,2,FALSE()),"")</f>
        <v/>
      </c>
      <c r="AI613" s="238" t="str">
        <f t="shared" si="48"/>
        <v>—</v>
      </c>
      <c r="AJ613" s="190" t="str">
        <f t="shared" si="49"/>
        <v>—</v>
      </c>
      <c r="AK613" s="157" t="str">
        <f t="shared" si="50"/>
        <v/>
      </c>
      <c r="AL613" s="160" t="str">
        <f t="shared" si="51"/>
        <v/>
      </c>
      <c r="AM613" s="210"/>
      <c r="AN613" s="209"/>
    </row>
    <row r="614" spans="1:40" ht="27.95" customHeight="1">
      <c r="A614" s="134" t="str">
        <f>IF(I614&lt;&gt;"",COUNTA($I$2:I614),"")</f>
        <v/>
      </c>
      <c r="B614" s="138" t="str">
        <f t="shared" si="52"/>
        <v/>
      </c>
      <c r="C614" s="93" t="str">
        <f t="array" ref="C614">IF(E614="","",IF(M614&lt;&gt;"",
M614&amp;"/"&amp;SUMPRODUCT((M$2:M614=M614)*1)&amp;" - "&amp;(ROW()-2),
"إداري/"&amp;SUMPRODUCT((M$2:M614="")*1)&amp;" - "&amp;(ROW()-2)))</f>
        <v/>
      </c>
      <c r="D614" s="141" t="str">
        <f>IF(AND(G614="",H614="",I614=""),"",IF(COUNTIFS(LISTS!$A$2:$A$67,G614,LISTS!$B$2:$B$67,H614,LISTS!$C$2:$C$67,I614)=0,"✗ هرم",IF(NOT(OR(Z614="ممتاز 100%",Z614="جيد 80%",Z614="مقبول 60%",Z614="خطر 40%",Z614="")),"✗ قائمة R",IF(NOT(OR(AA614="ممتاز 100%",AA614="جيد 85%",AA614="مقبول 70%",AA614="ضعيف 50%",AA614="")),"✗ قائمة S",IF(NOT(OR(AB614="مكتمل 100%",AB614="جزئي 60%",AB614="معلق 30%",AB614="مفتوح 0%",AB614="")),"✗ قائمة T",IF(NOT(OR(AC614="لا خصم 0",AC614="تأخير −5",AC614="عجز −10",AC614="جودة −15",AC614="امتثال −20",AC614="مخالفة −25",AC614="")),"✗ قائمة U",IF(AND(X614="لا",AC614&lt;&gt;"",AC614&lt;&gt;"لا خصم 0"),"✗ خصم",IF(AND(X614="نعم",AC614="لا خصم 0"),"✗ خصم",IF(AND(Z614="ممتاز 100%",AA614="ممتاز 100%",AB614&lt;&gt;"",AB614&lt;&gt;"مكتمل 100%"),"✗ إغلاق",IFERROR(IF(LEN(_xlfn.TEXTJOIN("، ",TRUE,IF(E614="","التاريخ",""),IF(F614="","الوقت",""),IF(G614="","المركز",""),IF(H614="","الدائرة",""),IF(I614="","القسم",""),IF(J614="","المسؤول",""),IF(K614="","نوع النشاط",""),IF(L614="","المشروع",""),IF(N614="","الممول",""),IF(V614="","الموضوع",""),IF(W614="","الملاحظة",""),IF(X614="","مشكلة",""),IF(Y614="","الإجراء",""),IF(Z614="","التنفيذ",""),IF(AA614="","الجودة",""),IF(AB614="","الإغلاق",""),IF(AC614="","الخصم",""),IF(AND(COUNTA($O614:$U614)&gt;0,O614=""),"مدير المشروع",""),IF(AND(COUNTA($O614:$U614)&gt;0,P614=""),"المستفيدين",""),IF(AND(COUNTA($O614:$U614)&gt;0,Q614=""),"المناطق",""),IF(AND(COUNTA($O614:$U614)&gt;0,R614=""),"الميزانية",""),IF(AND(COUNTA($O614:$U614)&gt;0,S614=""),"نسبة الجاهزية",""),IF(AND(COUNTA($O614:$U614)&gt;0,T614=""),"حالة الجاهزية",""),IF(AND(COUNTA($O614:$U614)&gt;0,U614=""),"التوصيات","")))&gt;0,"✗ ناقص: "&amp;_xlfn.TEXTJOIN("، ",TRUE,IF(E614="","التاريخ",""),IF(F614="","الوقت",""),IF(G614="","المركز",""),IF(H614="","الدائرة",""),IF(I614="","القسم",""),IF(J614="","المسؤول",""),IF(K614="","نوع النشاط",""),IF(L614="","المشروع",""),IF(N614="","الممول",""),IF(V614="","الموضوع",""),IF(W614="","الملاحظة",""),IF(X614="","مشكلة",""),IF(Y614="","الإجراء",""),IF(Z614="","التنفيذ",""),IF(AA614="","الجودة",""),IF(AB614="","الإغلاق",""),IF(AC614="","الخصم",""),IF(AND(COUNTA($O614:$U614)&gt;0,O614=""),"مدير المشروع",""),IF(AND(COUNTA($O614:$U614)&gt;0,P614=""),"المستفيدين",""),IF(AND(COUNTA($O614:$U614)&gt;0,Q614=""),"المناطق",""),IF(AND(COUNTA($O614:$U614)&gt;0,R614=""),"الميزانية",""),IF(AND(COUNTA($O614:$U614)&gt;0,S614=""),"نسبة الجاهزية",""),IF(AND(COUNTA($O614:$U614)&gt;0,T614=""),"حالة الجاهزية",""),IF(AND(COUNTA($O614:$U614)&gt;0,U614=""),"التوصيات","")),"✓"),"✓"))))))))))</f>
        <v/>
      </c>
      <c r="E614" s="235"/>
      <c r="F614" s="236"/>
      <c r="G614" s="90"/>
      <c r="H614" s="239"/>
      <c r="I614" s="89"/>
      <c r="J614" s="142"/>
      <c r="K614" s="90"/>
      <c r="L614" s="90"/>
      <c r="M614" s="90"/>
      <c r="N614" s="89"/>
      <c r="O614" s="200"/>
      <c r="P614" s="201"/>
      <c r="Q614" s="201"/>
      <c r="R614" s="237"/>
      <c r="S614" s="202"/>
      <c r="T614" s="200"/>
      <c r="U614" s="203"/>
      <c r="V614" s="89"/>
      <c r="W614" s="89"/>
      <c r="X614" s="145"/>
      <c r="Y614" s="89"/>
      <c r="Z614" s="90"/>
      <c r="AA614" s="90"/>
      <c r="AB614" s="90"/>
      <c r="AC614" s="90"/>
      <c r="AD614" s="92"/>
      <c r="AE614" s="149" t="str">
        <f>IFERROR(VLOOKUP(Z614,LISTS!$AL$2:$AM$1000,2,FALSE()),"")</f>
        <v/>
      </c>
      <c r="AF614" s="151" t="str">
        <f>IFERROR(VLOOKUP(AA614,LISTS!$AO$2:$AP$1000,2,FALSE()),"")</f>
        <v/>
      </c>
      <c r="AG614" s="152" t="str">
        <f>IFERROR(VLOOKUP(AB614,LISTS!$AR$2:$AS$1000,2,FALSE()),"")</f>
        <v/>
      </c>
      <c r="AH614" s="154" t="str">
        <f>IFERROR(VLOOKUP(AC614,LISTS!$AU$2:$AV$1000,2,FALSE()),"")</f>
        <v/>
      </c>
      <c r="AI614" s="238" t="str">
        <f t="shared" si="48"/>
        <v>—</v>
      </c>
      <c r="AJ614" s="190" t="str">
        <f t="shared" si="49"/>
        <v>—</v>
      </c>
      <c r="AK614" s="157" t="str">
        <f t="shared" si="50"/>
        <v/>
      </c>
      <c r="AL614" s="160" t="str">
        <f t="shared" si="51"/>
        <v/>
      </c>
      <c r="AM614" s="210"/>
      <c r="AN614" s="209"/>
    </row>
    <row r="615" spans="1:40" ht="27.95" customHeight="1">
      <c r="A615" s="134" t="str">
        <f>IF(I615&lt;&gt;"",COUNTA($I$2:I615),"")</f>
        <v/>
      </c>
      <c r="B615" s="138" t="str">
        <f t="shared" si="52"/>
        <v/>
      </c>
      <c r="C615" s="93" t="str">
        <f t="array" ref="C615">IF(E615="","",IF(M615&lt;&gt;"",
M615&amp;"/"&amp;SUMPRODUCT((M$2:M615=M615)*1)&amp;" - "&amp;(ROW()-2),
"إداري/"&amp;SUMPRODUCT((M$2:M615="")*1)&amp;" - "&amp;(ROW()-2)))</f>
        <v/>
      </c>
      <c r="D615" s="141" t="str">
        <f>IF(AND(G615="",H615="",I615=""),"",IF(COUNTIFS(LISTS!$A$2:$A$67,G615,LISTS!$B$2:$B$67,H615,LISTS!$C$2:$C$67,I615)=0,"✗ هرم",IF(NOT(OR(Z615="ممتاز 100%",Z615="جيد 80%",Z615="مقبول 60%",Z615="خطر 40%",Z615="")),"✗ قائمة R",IF(NOT(OR(AA615="ممتاز 100%",AA615="جيد 85%",AA615="مقبول 70%",AA615="ضعيف 50%",AA615="")),"✗ قائمة S",IF(NOT(OR(AB615="مكتمل 100%",AB615="جزئي 60%",AB615="معلق 30%",AB615="مفتوح 0%",AB615="")),"✗ قائمة T",IF(NOT(OR(AC615="لا خصم 0",AC615="تأخير −5",AC615="عجز −10",AC615="جودة −15",AC615="امتثال −20",AC615="مخالفة −25",AC615="")),"✗ قائمة U",IF(AND(X615="لا",AC615&lt;&gt;"",AC615&lt;&gt;"لا خصم 0"),"✗ خصم",IF(AND(X615="نعم",AC615="لا خصم 0"),"✗ خصم",IF(AND(Z615="ممتاز 100%",AA615="ممتاز 100%",AB615&lt;&gt;"",AB615&lt;&gt;"مكتمل 100%"),"✗ إغلاق",IFERROR(IF(LEN(_xlfn.TEXTJOIN("، ",TRUE,IF(E615="","التاريخ",""),IF(F615="","الوقت",""),IF(G615="","المركز",""),IF(H615="","الدائرة",""),IF(I615="","القسم",""),IF(J615="","المسؤول",""),IF(K615="","نوع النشاط",""),IF(L615="","المشروع",""),IF(N615="","الممول",""),IF(V615="","الموضوع",""),IF(W615="","الملاحظة",""),IF(X615="","مشكلة",""),IF(Y615="","الإجراء",""),IF(Z615="","التنفيذ",""),IF(AA615="","الجودة",""),IF(AB615="","الإغلاق",""),IF(AC615="","الخصم",""),IF(AND(COUNTA($O615:$U615)&gt;0,O615=""),"مدير المشروع",""),IF(AND(COUNTA($O615:$U615)&gt;0,P615=""),"المستفيدين",""),IF(AND(COUNTA($O615:$U615)&gt;0,Q615=""),"المناطق",""),IF(AND(COUNTA($O615:$U615)&gt;0,R615=""),"الميزانية",""),IF(AND(COUNTA($O615:$U615)&gt;0,S615=""),"نسبة الجاهزية",""),IF(AND(COUNTA($O615:$U615)&gt;0,T615=""),"حالة الجاهزية",""),IF(AND(COUNTA($O615:$U615)&gt;0,U615=""),"التوصيات","")))&gt;0,"✗ ناقص: "&amp;_xlfn.TEXTJOIN("، ",TRUE,IF(E615="","التاريخ",""),IF(F615="","الوقت",""),IF(G615="","المركز",""),IF(H615="","الدائرة",""),IF(I615="","القسم",""),IF(J615="","المسؤول",""),IF(K615="","نوع النشاط",""),IF(L615="","المشروع",""),IF(N615="","الممول",""),IF(V615="","الموضوع",""),IF(W615="","الملاحظة",""),IF(X615="","مشكلة",""),IF(Y615="","الإجراء",""),IF(Z615="","التنفيذ",""),IF(AA615="","الجودة",""),IF(AB615="","الإغلاق",""),IF(AC615="","الخصم",""),IF(AND(COUNTA($O615:$U615)&gt;0,O615=""),"مدير المشروع",""),IF(AND(COUNTA($O615:$U615)&gt;0,P615=""),"المستفيدين",""),IF(AND(COUNTA($O615:$U615)&gt;0,Q615=""),"المناطق",""),IF(AND(COUNTA($O615:$U615)&gt;0,R615=""),"الميزانية",""),IF(AND(COUNTA($O615:$U615)&gt;0,S615=""),"نسبة الجاهزية",""),IF(AND(COUNTA($O615:$U615)&gt;0,T615=""),"حالة الجاهزية",""),IF(AND(COUNTA($O615:$U615)&gt;0,U615=""),"التوصيات","")),"✓"),"✓"))))))))))</f>
        <v/>
      </c>
      <c r="E615" s="235"/>
      <c r="F615" s="236"/>
      <c r="G615" s="90"/>
      <c r="H615" s="239"/>
      <c r="I615" s="89"/>
      <c r="J615" s="142"/>
      <c r="K615" s="90"/>
      <c r="L615" s="90"/>
      <c r="M615" s="90"/>
      <c r="N615" s="89"/>
      <c r="O615" s="200"/>
      <c r="P615" s="201"/>
      <c r="Q615" s="201"/>
      <c r="R615" s="237"/>
      <c r="S615" s="202"/>
      <c r="T615" s="200"/>
      <c r="U615" s="203"/>
      <c r="V615" s="89"/>
      <c r="W615" s="89"/>
      <c r="X615" s="145"/>
      <c r="Y615" s="89"/>
      <c r="Z615" s="90"/>
      <c r="AA615" s="90"/>
      <c r="AB615" s="90"/>
      <c r="AC615" s="90"/>
      <c r="AD615" s="92"/>
      <c r="AE615" s="149" t="str">
        <f>IFERROR(VLOOKUP(Z615,LISTS!$AL$2:$AM$1000,2,FALSE()),"")</f>
        <v/>
      </c>
      <c r="AF615" s="151" t="str">
        <f>IFERROR(VLOOKUP(AA615,LISTS!$AO$2:$AP$1000,2,FALSE()),"")</f>
        <v/>
      </c>
      <c r="AG615" s="152" t="str">
        <f>IFERROR(VLOOKUP(AB615,LISTS!$AR$2:$AS$1000,2,FALSE()),"")</f>
        <v/>
      </c>
      <c r="AH615" s="154" t="str">
        <f>IFERROR(VLOOKUP(AC615,LISTS!$AU$2:$AV$1000,2,FALSE()),"")</f>
        <v/>
      </c>
      <c r="AI615" s="238" t="str">
        <f t="shared" si="48"/>
        <v>—</v>
      </c>
      <c r="AJ615" s="190" t="str">
        <f t="shared" si="49"/>
        <v>—</v>
      </c>
      <c r="AK615" s="157" t="str">
        <f t="shared" si="50"/>
        <v/>
      </c>
      <c r="AL615" s="160" t="str">
        <f t="shared" si="51"/>
        <v/>
      </c>
      <c r="AM615" s="210"/>
      <c r="AN615" s="209"/>
    </row>
    <row r="616" spans="1:40" ht="27.95" customHeight="1">
      <c r="A616" s="134" t="str">
        <f>IF(I616&lt;&gt;"",COUNTA($I$2:I616),"")</f>
        <v/>
      </c>
      <c r="B616" s="138" t="str">
        <f t="shared" si="52"/>
        <v/>
      </c>
      <c r="C616" s="93" t="str">
        <f t="array" ref="C616">IF(E616="","",IF(M616&lt;&gt;"",
M616&amp;"/"&amp;SUMPRODUCT((M$2:M616=M616)*1)&amp;" - "&amp;(ROW()-2),
"إداري/"&amp;SUMPRODUCT((M$2:M616="")*1)&amp;" - "&amp;(ROW()-2)))</f>
        <v/>
      </c>
      <c r="D616" s="141" t="str">
        <f>IF(AND(G616="",H616="",I616=""),"",IF(COUNTIFS(LISTS!$A$2:$A$67,G616,LISTS!$B$2:$B$67,H616,LISTS!$C$2:$C$67,I616)=0,"✗ هرم",IF(NOT(OR(Z616="ممتاز 100%",Z616="جيد 80%",Z616="مقبول 60%",Z616="خطر 40%",Z616="")),"✗ قائمة R",IF(NOT(OR(AA616="ممتاز 100%",AA616="جيد 85%",AA616="مقبول 70%",AA616="ضعيف 50%",AA616="")),"✗ قائمة S",IF(NOT(OR(AB616="مكتمل 100%",AB616="جزئي 60%",AB616="معلق 30%",AB616="مفتوح 0%",AB616="")),"✗ قائمة T",IF(NOT(OR(AC616="لا خصم 0",AC616="تأخير −5",AC616="عجز −10",AC616="جودة −15",AC616="امتثال −20",AC616="مخالفة −25",AC616="")),"✗ قائمة U",IF(AND(X616="لا",AC616&lt;&gt;"",AC616&lt;&gt;"لا خصم 0"),"✗ خصم",IF(AND(X616="نعم",AC616="لا خصم 0"),"✗ خصم",IF(AND(Z616="ممتاز 100%",AA616="ممتاز 100%",AB616&lt;&gt;"",AB616&lt;&gt;"مكتمل 100%"),"✗ إغلاق",IFERROR(IF(LEN(_xlfn.TEXTJOIN("، ",TRUE,IF(E616="","التاريخ",""),IF(F616="","الوقت",""),IF(G616="","المركز",""),IF(H616="","الدائرة",""),IF(I616="","القسم",""),IF(J616="","المسؤول",""),IF(K616="","نوع النشاط",""),IF(L616="","المشروع",""),IF(N616="","الممول",""),IF(V616="","الموضوع",""),IF(W616="","الملاحظة",""),IF(X616="","مشكلة",""),IF(Y616="","الإجراء",""),IF(Z616="","التنفيذ",""),IF(AA616="","الجودة",""),IF(AB616="","الإغلاق",""),IF(AC616="","الخصم",""),IF(AND(COUNTA($O616:$U616)&gt;0,O616=""),"مدير المشروع",""),IF(AND(COUNTA($O616:$U616)&gt;0,P616=""),"المستفيدين",""),IF(AND(COUNTA($O616:$U616)&gt;0,Q616=""),"المناطق",""),IF(AND(COUNTA($O616:$U616)&gt;0,R616=""),"الميزانية",""),IF(AND(COUNTA($O616:$U616)&gt;0,S616=""),"نسبة الجاهزية",""),IF(AND(COUNTA($O616:$U616)&gt;0,T616=""),"حالة الجاهزية",""),IF(AND(COUNTA($O616:$U616)&gt;0,U616=""),"التوصيات","")))&gt;0,"✗ ناقص: "&amp;_xlfn.TEXTJOIN("، ",TRUE,IF(E616="","التاريخ",""),IF(F616="","الوقت",""),IF(G616="","المركز",""),IF(H616="","الدائرة",""),IF(I616="","القسم",""),IF(J616="","المسؤول",""),IF(K616="","نوع النشاط",""),IF(L616="","المشروع",""),IF(N616="","الممول",""),IF(V616="","الموضوع",""),IF(W616="","الملاحظة",""),IF(X616="","مشكلة",""),IF(Y616="","الإجراء",""),IF(Z616="","التنفيذ",""),IF(AA616="","الجودة",""),IF(AB616="","الإغلاق",""),IF(AC616="","الخصم",""),IF(AND(COUNTA($O616:$U616)&gt;0,O616=""),"مدير المشروع",""),IF(AND(COUNTA($O616:$U616)&gt;0,P616=""),"المستفيدين",""),IF(AND(COUNTA($O616:$U616)&gt;0,Q616=""),"المناطق",""),IF(AND(COUNTA($O616:$U616)&gt;0,R616=""),"الميزانية",""),IF(AND(COUNTA($O616:$U616)&gt;0,S616=""),"نسبة الجاهزية",""),IF(AND(COUNTA($O616:$U616)&gt;0,T616=""),"حالة الجاهزية",""),IF(AND(COUNTA($O616:$U616)&gt;0,U616=""),"التوصيات","")),"✓"),"✓"))))))))))</f>
        <v/>
      </c>
      <c r="E616" s="235"/>
      <c r="F616" s="236"/>
      <c r="G616" s="90"/>
      <c r="H616" s="239"/>
      <c r="I616" s="89"/>
      <c r="J616" s="142"/>
      <c r="K616" s="90"/>
      <c r="L616" s="90"/>
      <c r="M616" s="90"/>
      <c r="N616" s="89"/>
      <c r="O616" s="200"/>
      <c r="P616" s="201"/>
      <c r="Q616" s="201"/>
      <c r="R616" s="237"/>
      <c r="S616" s="202"/>
      <c r="T616" s="200"/>
      <c r="U616" s="203"/>
      <c r="V616" s="89"/>
      <c r="W616" s="89"/>
      <c r="X616" s="145"/>
      <c r="Y616" s="89"/>
      <c r="Z616" s="90"/>
      <c r="AA616" s="90"/>
      <c r="AB616" s="90"/>
      <c r="AC616" s="90"/>
      <c r="AD616" s="92"/>
      <c r="AE616" s="149" t="str">
        <f>IFERROR(VLOOKUP(Z616,LISTS!$AL$2:$AM$1000,2,FALSE()),"")</f>
        <v/>
      </c>
      <c r="AF616" s="151" t="str">
        <f>IFERROR(VLOOKUP(AA616,LISTS!$AO$2:$AP$1000,2,FALSE()),"")</f>
        <v/>
      </c>
      <c r="AG616" s="152" t="str">
        <f>IFERROR(VLOOKUP(AB616,LISTS!$AR$2:$AS$1000,2,FALSE()),"")</f>
        <v/>
      </c>
      <c r="AH616" s="154" t="str">
        <f>IFERROR(VLOOKUP(AC616,LISTS!$AU$2:$AV$1000,2,FALSE()),"")</f>
        <v/>
      </c>
      <c r="AI616" s="238" t="str">
        <f t="shared" si="48"/>
        <v>—</v>
      </c>
      <c r="AJ616" s="190" t="str">
        <f t="shared" si="49"/>
        <v>—</v>
      </c>
      <c r="AK616" s="157" t="str">
        <f t="shared" si="50"/>
        <v/>
      </c>
      <c r="AL616" s="160" t="str">
        <f t="shared" si="51"/>
        <v/>
      </c>
      <c r="AM616" s="210"/>
      <c r="AN616" s="209"/>
    </row>
    <row r="617" spans="1:40" ht="27.95" customHeight="1">
      <c r="A617" s="134" t="str">
        <f>IF(I617&lt;&gt;"",COUNTA($I$2:I617),"")</f>
        <v/>
      </c>
      <c r="B617" s="138" t="str">
        <f t="shared" si="52"/>
        <v/>
      </c>
      <c r="C617" s="93" t="str">
        <f t="array" ref="C617">IF(E617="","",IF(M617&lt;&gt;"",
M617&amp;"/"&amp;SUMPRODUCT((M$2:M617=M617)*1)&amp;" - "&amp;(ROW()-2),
"إداري/"&amp;SUMPRODUCT((M$2:M617="")*1)&amp;" - "&amp;(ROW()-2)))</f>
        <v/>
      </c>
      <c r="D617" s="141" t="str">
        <f>IF(AND(G617="",H617="",I617=""),"",IF(COUNTIFS(LISTS!$A$2:$A$67,G617,LISTS!$B$2:$B$67,H617,LISTS!$C$2:$C$67,I617)=0,"✗ هرم",IF(NOT(OR(Z617="ممتاز 100%",Z617="جيد 80%",Z617="مقبول 60%",Z617="خطر 40%",Z617="")),"✗ قائمة R",IF(NOT(OR(AA617="ممتاز 100%",AA617="جيد 85%",AA617="مقبول 70%",AA617="ضعيف 50%",AA617="")),"✗ قائمة S",IF(NOT(OR(AB617="مكتمل 100%",AB617="جزئي 60%",AB617="معلق 30%",AB617="مفتوح 0%",AB617="")),"✗ قائمة T",IF(NOT(OR(AC617="لا خصم 0",AC617="تأخير −5",AC617="عجز −10",AC617="جودة −15",AC617="امتثال −20",AC617="مخالفة −25",AC617="")),"✗ قائمة U",IF(AND(X617="لا",AC617&lt;&gt;"",AC617&lt;&gt;"لا خصم 0"),"✗ خصم",IF(AND(X617="نعم",AC617="لا خصم 0"),"✗ خصم",IF(AND(Z617="ممتاز 100%",AA617="ممتاز 100%",AB617&lt;&gt;"",AB617&lt;&gt;"مكتمل 100%"),"✗ إغلاق",IFERROR(IF(LEN(_xlfn.TEXTJOIN("، ",TRUE,IF(E617="","التاريخ",""),IF(F617="","الوقت",""),IF(G617="","المركز",""),IF(H617="","الدائرة",""),IF(I617="","القسم",""),IF(J617="","المسؤول",""),IF(K617="","نوع النشاط",""),IF(L617="","المشروع",""),IF(N617="","الممول",""),IF(V617="","الموضوع",""),IF(W617="","الملاحظة",""),IF(X617="","مشكلة",""),IF(Y617="","الإجراء",""),IF(Z617="","التنفيذ",""),IF(AA617="","الجودة",""),IF(AB617="","الإغلاق",""),IF(AC617="","الخصم",""),IF(AND(COUNTA($O617:$U617)&gt;0,O617=""),"مدير المشروع",""),IF(AND(COUNTA($O617:$U617)&gt;0,P617=""),"المستفيدين",""),IF(AND(COUNTA($O617:$U617)&gt;0,Q617=""),"المناطق",""),IF(AND(COUNTA($O617:$U617)&gt;0,R617=""),"الميزانية",""),IF(AND(COUNTA($O617:$U617)&gt;0,S617=""),"نسبة الجاهزية",""),IF(AND(COUNTA($O617:$U617)&gt;0,T617=""),"حالة الجاهزية",""),IF(AND(COUNTA($O617:$U617)&gt;0,U617=""),"التوصيات","")))&gt;0,"✗ ناقص: "&amp;_xlfn.TEXTJOIN("، ",TRUE,IF(E617="","التاريخ",""),IF(F617="","الوقت",""),IF(G617="","المركز",""),IF(H617="","الدائرة",""),IF(I617="","القسم",""),IF(J617="","المسؤول",""),IF(K617="","نوع النشاط",""),IF(L617="","المشروع",""),IF(N617="","الممول",""),IF(V617="","الموضوع",""),IF(W617="","الملاحظة",""),IF(X617="","مشكلة",""),IF(Y617="","الإجراء",""),IF(Z617="","التنفيذ",""),IF(AA617="","الجودة",""),IF(AB617="","الإغلاق",""),IF(AC617="","الخصم",""),IF(AND(COUNTA($O617:$U617)&gt;0,O617=""),"مدير المشروع",""),IF(AND(COUNTA($O617:$U617)&gt;0,P617=""),"المستفيدين",""),IF(AND(COUNTA($O617:$U617)&gt;0,Q617=""),"المناطق",""),IF(AND(COUNTA($O617:$U617)&gt;0,R617=""),"الميزانية",""),IF(AND(COUNTA($O617:$U617)&gt;0,S617=""),"نسبة الجاهزية",""),IF(AND(COUNTA($O617:$U617)&gt;0,T617=""),"حالة الجاهزية",""),IF(AND(COUNTA($O617:$U617)&gt;0,U617=""),"التوصيات","")),"✓"),"✓"))))))))))</f>
        <v/>
      </c>
      <c r="E617" s="235"/>
      <c r="F617" s="236"/>
      <c r="G617" s="90"/>
      <c r="H617" s="239"/>
      <c r="I617" s="89"/>
      <c r="J617" s="142"/>
      <c r="K617" s="90"/>
      <c r="L617" s="90"/>
      <c r="M617" s="90"/>
      <c r="N617" s="89"/>
      <c r="O617" s="200"/>
      <c r="P617" s="201"/>
      <c r="Q617" s="201"/>
      <c r="R617" s="237"/>
      <c r="S617" s="202"/>
      <c r="T617" s="200"/>
      <c r="U617" s="203"/>
      <c r="V617" s="89"/>
      <c r="W617" s="89"/>
      <c r="X617" s="145"/>
      <c r="Y617" s="89"/>
      <c r="Z617" s="90"/>
      <c r="AA617" s="90"/>
      <c r="AB617" s="90"/>
      <c r="AC617" s="90"/>
      <c r="AD617" s="92"/>
      <c r="AE617" s="149" t="str">
        <f>IFERROR(VLOOKUP(Z617,LISTS!$AL$2:$AM$1000,2,FALSE()),"")</f>
        <v/>
      </c>
      <c r="AF617" s="151" t="str">
        <f>IFERROR(VLOOKUP(AA617,LISTS!$AO$2:$AP$1000,2,FALSE()),"")</f>
        <v/>
      </c>
      <c r="AG617" s="152" t="str">
        <f>IFERROR(VLOOKUP(AB617,LISTS!$AR$2:$AS$1000,2,FALSE()),"")</f>
        <v/>
      </c>
      <c r="AH617" s="154" t="str">
        <f>IFERROR(VLOOKUP(AC617,LISTS!$AU$2:$AV$1000,2,FALSE()),"")</f>
        <v/>
      </c>
      <c r="AI617" s="238" t="str">
        <f t="shared" si="48"/>
        <v>—</v>
      </c>
      <c r="AJ617" s="190" t="str">
        <f t="shared" si="49"/>
        <v>—</v>
      </c>
      <c r="AK617" s="157" t="str">
        <f t="shared" si="50"/>
        <v/>
      </c>
      <c r="AL617" s="160" t="str">
        <f t="shared" si="51"/>
        <v/>
      </c>
      <c r="AM617" s="210"/>
      <c r="AN617" s="209"/>
    </row>
    <row r="618" spans="1:40" ht="27.95" customHeight="1">
      <c r="A618" s="134" t="str">
        <f>IF(I618&lt;&gt;"",COUNTA($I$2:I618),"")</f>
        <v/>
      </c>
      <c r="B618" s="138" t="str">
        <f t="shared" si="52"/>
        <v/>
      </c>
      <c r="C618" s="93" t="str">
        <f t="array" ref="C618">IF(E618="","",IF(M618&lt;&gt;"",
M618&amp;"/"&amp;SUMPRODUCT((M$2:M618=M618)*1)&amp;" - "&amp;(ROW()-2),
"إداري/"&amp;SUMPRODUCT((M$2:M618="")*1)&amp;" - "&amp;(ROW()-2)))</f>
        <v/>
      </c>
      <c r="D618" s="141" t="str">
        <f>IF(AND(G618="",H618="",I618=""),"",IF(COUNTIFS(LISTS!$A$2:$A$67,G618,LISTS!$B$2:$B$67,H618,LISTS!$C$2:$C$67,I618)=0,"✗ هرم",IF(NOT(OR(Z618="ممتاز 100%",Z618="جيد 80%",Z618="مقبول 60%",Z618="خطر 40%",Z618="")),"✗ قائمة R",IF(NOT(OR(AA618="ممتاز 100%",AA618="جيد 85%",AA618="مقبول 70%",AA618="ضعيف 50%",AA618="")),"✗ قائمة S",IF(NOT(OR(AB618="مكتمل 100%",AB618="جزئي 60%",AB618="معلق 30%",AB618="مفتوح 0%",AB618="")),"✗ قائمة T",IF(NOT(OR(AC618="لا خصم 0",AC618="تأخير −5",AC618="عجز −10",AC618="جودة −15",AC618="امتثال −20",AC618="مخالفة −25",AC618="")),"✗ قائمة U",IF(AND(X618="لا",AC618&lt;&gt;"",AC618&lt;&gt;"لا خصم 0"),"✗ خصم",IF(AND(X618="نعم",AC618="لا خصم 0"),"✗ خصم",IF(AND(Z618="ممتاز 100%",AA618="ممتاز 100%",AB618&lt;&gt;"",AB618&lt;&gt;"مكتمل 100%"),"✗ إغلاق",IFERROR(IF(LEN(_xlfn.TEXTJOIN("، ",TRUE,IF(E618="","التاريخ",""),IF(F618="","الوقت",""),IF(G618="","المركز",""),IF(H618="","الدائرة",""),IF(I618="","القسم",""),IF(J618="","المسؤول",""),IF(K618="","نوع النشاط",""),IF(L618="","المشروع",""),IF(N618="","الممول",""),IF(V618="","الموضوع",""),IF(W618="","الملاحظة",""),IF(X618="","مشكلة",""),IF(Y618="","الإجراء",""),IF(Z618="","التنفيذ",""),IF(AA618="","الجودة",""),IF(AB618="","الإغلاق",""),IF(AC618="","الخصم",""),IF(AND(COUNTA($O618:$U618)&gt;0,O618=""),"مدير المشروع",""),IF(AND(COUNTA($O618:$U618)&gt;0,P618=""),"المستفيدين",""),IF(AND(COUNTA($O618:$U618)&gt;0,Q618=""),"المناطق",""),IF(AND(COUNTA($O618:$U618)&gt;0,R618=""),"الميزانية",""),IF(AND(COUNTA($O618:$U618)&gt;0,S618=""),"نسبة الجاهزية",""),IF(AND(COUNTA($O618:$U618)&gt;0,T618=""),"حالة الجاهزية",""),IF(AND(COUNTA($O618:$U618)&gt;0,U618=""),"التوصيات","")))&gt;0,"✗ ناقص: "&amp;_xlfn.TEXTJOIN("، ",TRUE,IF(E618="","التاريخ",""),IF(F618="","الوقت",""),IF(G618="","المركز",""),IF(H618="","الدائرة",""),IF(I618="","القسم",""),IF(J618="","المسؤول",""),IF(K618="","نوع النشاط",""),IF(L618="","المشروع",""),IF(N618="","الممول",""),IF(V618="","الموضوع",""),IF(W618="","الملاحظة",""),IF(X618="","مشكلة",""),IF(Y618="","الإجراء",""),IF(Z618="","التنفيذ",""),IF(AA618="","الجودة",""),IF(AB618="","الإغلاق",""),IF(AC618="","الخصم",""),IF(AND(COUNTA($O618:$U618)&gt;0,O618=""),"مدير المشروع",""),IF(AND(COUNTA($O618:$U618)&gt;0,P618=""),"المستفيدين",""),IF(AND(COUNTA($O618:$U618)&gt;0,Q618=""),"المناطق",""),IF(AND(COUNTA($O618:$U618)&gt;0,R618=""),"الميزانية",""),IF(AND(COUNTA($O618:$U618)&gt;0,S618=""),"نسبة الجاهزية",""),IF(AND(COUNTA($O618:$U618)&gt;0,T618=""),"حالة الجاهزية",""),IF(AND(COUNTA($O618:$U618)&gt;0,U618=""),"التوصيات","")),"✓"),"✓"))))))))))</f>
        <v/>
      </c>
      <c r="E618" s="235"/>
      <c r="F618" s="236"/>
      <c r="G618" s="90"/>
      <c r="H618" s="239"/>
      <c r="I618" s="89"/>
      <c r="J618" s="142"/>
      <c r="K618" s="90"/>
      <c r="L618" s="90"/>
      <c r="M618" s="90"/>
      <c r="N618" s="89"/>
      <c r="O618" s="200"/>
      <c r="P618" s="201"/>
      <c r="Q618" s="201"/>
      <c r="R618" s="237"/>
      <c r="S618" s="202"/>
      <c r="T618" s="200"/>
      <c r="U618" s="203"/>
      <c r="V618" s="89"/>
      <c r="W618" s="89"/>
      <c r="X618" s="145"/>
      <c r="Y618" s="89"/>
      <c r="Z618" s="90"/>
      <c r="AA618" s="90"/>
      <c r="AB618" s="90"/>
      <c r="AC618" s="90"/>
      <c r="AD618" s="92"/>
      <c r="AE618" s="149" t="str">
        <f>IFERROR(VLOOKUP(Z618,LISTS!$AL$2:$AM$1000,2,FALSE()),"")</f>
        <v/>
      </c>
      <c r="AF618" s="151" t="str">
        <f>IFERROR(VLOOKUP(AA618,LISTS!$AO$2:$AP$1000,2,FALSE()),"")</f>
        <v/>
      </c>
      <c r="AG618" s="152" t="str">
        <f>IFERROR(VLOOKUP(AB618,LISTS!$AR$2:$AS$1000,2,FALSE()),"")</f>
        <v/>
      </c>
      <c r="AH618" s="154" t="str">
        <f>IFERROR(VLOOKUP(AC618,LISTS!$AU$2:$AV$1000,2,FALSE()),"")</f>
        <v/>
      </c>
      <c r="AI618" s="238" t="str">
        <f t="shared" si="48"/>
        <v>—</v>
      </c>
      <c r="AJ618" s="190" t="str">
        <f t="shared" si="49"/>
        <v>—</v>
      </c>
      <c r="AK618" s="157" t="str">
        <f t="shared" si="50"/>
        <v/>
      </c>
      <c r="AL618" s="160" t="str">
        <f t="shared" si="51"/>
        <v/>
      </c>
      <c r="AM618" s="210"/>
      <c r="AN618" s="209"/>
    </row>
    <row r="619" spans="1:40" ht="27.95" customHeight="1">
      <c r="A619" s="134" t="str">
        <f>IF(I619&lt;&gt;"",COUNTA($I$2:I619),"")</f>
        <v/>
      </c>
      <c r="B619" s="138" t="str">
        <f t="shared" si="52"/>
        <v/>
      </c>
      <c r="C619" s="93" t="str">
        <f t="array" ref="C619">IF(E619="","",IF(M619&lt;&gt;"",
M619&amp;"/"&amp;SUMPRODUCT((M$2:M619=M619)*1)&amp;" - "&amp;(ROW()-2),
"إداري/"&amp;SUMPRODUCT((M$2:M619="")*1)&amp;" - "&amp;(ROW()-2)))</f>
        <v/>
      </c>
      <c r="D619" s="141" t="str">
        <f>IF(AND(G619="",H619="",I619=""),"",IF(COUNTIFS(LISTS!$A$2:$A$67,G619,LISTS!$B$2:$B$67,H619,LISTS!$C$2:$C$67,I619)=0,"✗ هرم",IF(NOT(OR(Z619="ممتاز 100%",Z619="جيد 80%",Z619="مقبول 60%",Z619="خطر 40%",Z619="")),"✗ قائمة R",IF(NOT(OR(AA619="ممتاز 100%",AA619="جيد 85%",AA619="مقبول 70%",AA619="ضعيف 50%",AA619="")),"✗ قائمة S",IF(NOT(OR(AB619="مكتمل 100%",AB619="جزئي 60%",AB619="معلق 30%",AB619="مفتوح 0%",AB619="")),"✗ قائمة T",IF(NOT(OR(AC619="لا خصم 0",AC619="تأخير −5",AC619="عجز −10",AC619="جودة −15",AC619="امتثال −20",AC619="مخالفة −25",AC619="")),"✗ قائمة U",IF(AND(X619="لا",AC619&lt;&gt;"",AC619&lt;&gt;"لا خصم 0"),"✗ خصم",IF(AND(X619="نعم",AC619="لا خصم 0"),"✗ خصم",IF(AND(Z619="ممتاز 100%",AA619="ممتاز 100%",AB619&lt;&gt;"",AB619&lt;&gt;"مكتمل 100%"),"✗ إغلاق",IFERROR(IF(LEN(_xlfn.TEXTJOIN("، ",TRUE,IF(E619="","التاريخ",""),IF(F619="","الوقت",""),IF(G619="","المركز",""),IF(H619="","الدائرة",""),IF(I619="","القسم",""),IF(J619="","المسؤول",""),IF(K619="","نوع النشاط",""),IF(L619="","المشروع",""),IF(N619="","الممول",""),IF(V619="","الموضوع",""),IF(W619="","الملاحظة",""),IF(X619="","مشكلة",""),IF(Y619="","الإجراء",""),IF(Z619="","التنفيذ",""),IF(AA619="","الجودة",""),IF(AB619="","الإغلاق",""),IF(AC619="","الخصم",""),IF(AND(COUNTA($O619:$U619)&gt;0,O619=""),"مدير المشروع",""),IF(AND(COUNTA($O619:$U619)&gt;0,P619=""),"المستفيدين",""),IF(AND(COUNTA($O619:$U619)&gt;0,Q619=""),"المناطق",""),IF(AND(COUNTA($O619:$U619)&gt;0,R619=""),"الميزانية",""),IF(AND(COUNTA($O619:$U619)&gt;0,S619=""),"نسبة الجاهزية",""),IF(AND(COUNTA($O619:$U619)&gt;0,T619=""),"حالة الجاهزية",""),IF(AND(COUNTA($O619:$U619)&gt;0,U619=""),"التوصيات","")))&gt;0,"✗ ناقص: "&amp;_xlfn.TEXTJOIN("، ",TRUE,IF(E619="","التاريخ",""),IF(F619="","الوقت",""),IF(G619="","المركز",""),IF(H619="","الدائرة",""),IF(I619="","القسم",""),IF(J619="","المسؤول",""),IF(K619="","نوع النشاط",""),IF(L619="","المشروع",""),IF(N619="","الممول",""),IF(V619="","الموضوع",""),IF(W619="","الملاحظة",""),IF(X619="","مشكلة",""),IF(Y619="","الإجراء",""),IF(Z619="","التنفيذ",""),IF(AA619="","الجودة",""),IF(AB619="","الإغلاق",""),IF(AC619="","الخصم",""),IF(AND(COUNTA($O619:$U619)&gt;0,O619=""),"مدير المشروع",""),IF(AND(COUNTA($O619:$U619)&gt;0,P619=""),"المستفيدين",""),IF(AND(COUNTA($O619:$U619)&gt;0,Q619=""),"المناطق",""),IF(AND(COUNTA($O619:$U619)&gt;0,R619=""),"الميزانية",""),IF(AND(COUNTA($O619:$U619)&gt;0,S619=""),"نسبة الجاهزية",""),IF(AND(COUNTA($O619:$U619)&gt;0,T619=""),"حالة الجاهزية",""),IF(AND(COUNTA($O619:$U619)&gt;0,U619=""),"التوصيات","")),"✓"),"✓"))))))))))</f>
        <v/>
      </c>
      <c r="E619" s="235"/>
      <c r="F619" s="236"/>
      <c r="G619" s="90"/>
      <c r="H619" s="239"/>
      <c r="I619" s="89"/>
      <c r="J619" s="142"/>
      <c r="K619" s="90"/>
      <c r="L619" s="90"/>
      <c r="M619" s="90"/>
      <c r="N619" s="89"/>
      <c r="O619" s="200"/>
      <c r="P619" s="201"/>
      <c r="Q619" s="201"/>
      <c r="R619" s="237"/>
      <c r="S619" s="202"/>
      <c r="T619" s="200"/>
      <c r="U619" s="203"/>
      <c r="V619" s="89"/>
      <c r="W619" s="89"/>
      <c r="X619" s="145"/>
      <c r="Y619" s="89"/>
      <c r="Z619" s="90"/>
      <c r="AA619" s="90"/>
      <c r="AB619" s="90"/>
      <c r="AC619" s="90"/>
      <c r="AD619" s="92"/>
      <c r="AE619" s="149" t="str">
        <f>IFERROR(VLOOKUP(Z619,LISTS!$AL$2:$AM$1000,2,FALSE()),"")</f>
        <v/>
      </c>
      <c r="AF619" s="151" t="str">
        <f>IFERROR(VLOOKUP(AA619,LISTS!$AO$2:$AP$1000,2,FALSE()),"")</f>
        <v/>
      </c>
      <c r="AG619" s="152" t="str">
        <f>IFERROR(VLOOKUP(AB619,LISTS!$AR$2:$AS$1000,2,FALSE()),"")</f>
        <v/>
      </c>
      <c r="AH619" s="154" t="str">
        <f>IFERROR(VLOOKUP(AC619,LISTS!$AU$2:$AV$1000,2,FALSE()),"")</f>
        <v/>
      </c>
      <c r="AI619" s="238" t="str">
        <f t="shared" si="48"/>
        <v>—</v>
      </c>
      <c r="AJ619" s="190" t="str">
        <f t="shared" si="49"/>
        <v>—</v>
      </c>
      <c r="AK619" s="157" t="str">
        <f t="shared" si="50"/>
        <v/>
      </c>
      <c r="AL619" s="160" t="str">
        <f t="shared" si="51"/>
        <v/>
      </c>
      <c r="AM619" s="210"/>
      <c r="AN619" s="209"/>
    </row>
    <row r="620" spans="1:40" ht="27.95" customHeight="1">
      <c r="A620" s="134" t="str">
        <f>IF(I620&lt;&gt;"",COUNTA($I$2:I620),"")</f>
        <v/>
      </c>
      <c r="B620" s="138" t="str">
        <f t="shared" si="52"/>
        <v/>
      </c>
      <c r="C620" s="93" t="str">
        <f t="array" ref="C620">IF(E620="","",IF(M620&lt;&gt;"",
M620&amp;"/"&amp;SUMPRODUCT((M$2:M620=M620)*1)&amp;" - "&amp;(ROW()-2),
"إداري/"&amp;SUMPRODUCT((M$2:M620="")*1)&amp;" - "&amp;(ROW()-2)))</f>
        <v/>
      </c>
      <c r="D620" s="141" t="str">
        <f>IF(AND(G620="",H620="",I620=""),"",IF(COUNTIFS(LISTS!$A$2:$A$67,G620,LISTS!$B$2:$B$67,H620,LISTS!$C$2:$C$67,I620)=0,"✗ هرم",IF(NOT(OR(Z620="ممتاز 100%",Z620="جيد 80%",Z620="مقبول 60%",Z620="خطر 40%",Z620="")),"✗ قائمة R",IF(NOT(OR(AA620="ممتاز 100%",AA620="جيد 85%",AA620="مقبول 70%",AA620="ضعيف 50%",AA620="")),"✗ قائمة S",IF(NOT(OR(AB620="مكتمل 100%",AB620="جزئي 60%",AB620="معلق 30%",AB620="مفتوح 0%",AB620="")),"✗ قائمة T",IF(NOT(OR(AC620="لا خصم 0",AC620="تأخير −5",AC620="عجز −10",AC620="جودة −15",AC620="امتثال −20",AC620="مخالفة −25",AC620="")),"✗ قائمة U",IF(AND(X620="لا",AC620&lt;&gt;"",AC620&lt;&gt;"لا خصم 0"),"✗ خصم",IF(AND(X620="نعم",AC620="لا خصم 0"),"✗ خصم",IF(AND(Z620="ممتاز 100%",AA620="ممتاز 100%",AB620&lt;&gt;"",AB620&lt;&gt;"مكتمل 100%"),"✗ إغلاق",IFERROR(IF(LEN(_xlfn.TEXTJOIN("، ",TRUE,IF(E620="","التاريخ",""),IF(F620="","الوقت",""),IF(G620="","المركز",""),IF(H620="","الدائرة",""),IF(I620="","القسم",""),IF(J620="","المسؤول",""),IF(K620="","نوع النشاط",""),IF(L620="","المشروع",""),IF(N620="","الممول",""),IF(V620="","الموضوع",""),IF(W620="","الملاحظة",""),IF(X620="","مشكلة",""),IF(Y620="","الإجراء",""),IF(Z620="","التنفيذ",""),IF(AA620="","الجودة",""),IF(AB620="","الإغلاق",""),IF(AC620="","الخصم",""),IF(AND(COUNTA($O620:$U620)&gt;0,O620=""),"مدير المشروع",""),IF(AND(COUNTA($O620:$U620)&gt;0,P620=""),"المستفيدين",""),IF(AND(COUNTA($O620:$U620)&gt;0,Q620=""),"المناطق",""),IF(AND(COUNTA($O620:$U620)&gt;0,R620=""),"الميزانية",""),IF(AND(COUNTA($O620:$U620)&gt;0,S620=""),"نسبة الجاهزية",""),IF(AND(COUNTA($O620:$U620)&gt;0,T620=""),"حالة الجاهزية",""),IF(AND(COUNTA($O620:$U620)&gt;0,U620=""),"التوصيات","")))&gt;0,"✗ ناقص: "&amp;_xlfn.TEXTJOIN("، ",TRUE,IF(E620="","التاريخ",""),IF(F620="","الوقت",""),IF(G620="","المركز",""),IF(H620="","الدائرة",""),IF(I620="","القسم",""),IF(J620="","المسؤول",""),IF(K620="","نوع النشاط",""),IF(L620="","المشروع",""),IF(N620="","الممول",""),IF(V620="","الموضوع",""),IF(W620="","الملاحظة",""),IF(X620="","مشكلة",""),IF(Y620="","الإجراء",""),IF(Z620="","التنفيذ",""),IF(AA620="","الجودة",""),IF(AB620="","الإغلاق",""),IF(AC620="","الخصم",""),IF(AND(COUNTA($O620:$U620)&gt;0,O620=""),"مدير المشروع",""),IF(AND(COUNTA($O620:$U620)&gt;0,P620=""),"المستفيدين",""),IF(AND(COUNTA($O620:$U620)&gt;0,Q620=""),"المناطق",""),IF(AND(COUNTA($O620:$U620)&gt;0,R620=""),"الميزانية",""),IF(AND(COUNTA($O620:$U620)&gt;0,S620=""),"نسبة الجاهزية",""),IF(AND(COUNTA($O620:$U620)&gt;0,T620=""),"حالة الجاهزية",""),IF(AND(COUNTA($O620:$U620)&gt;0,U620=""),"التوصيات","")),"✓"),"✓"))))))))))</f>
        <v/>
      </c>
      <c r="E620" s="235"/>
      <c r="F620" s="236"/>
      <c r="G620" s="90"/>
      <c r="H620" s="239"/>
      <c r="I620" s="89"/>
      <c r="J620" s="142"/>
      <c r="K620" s="90"/>
      <c r="L620" s="90"/>
      <c r="M620" s="90"/>
      <c r="N620" s="89"/>
      <c r="O620" s="200"/>
      <c r="P620" s="201"/>
      <c r="Q620" s="201"/>
      <c r="R620" s="237"/>
      <c r="S620" s="202"/>
      <c r="T620" s="200"/>
      <c r="U620" s="203"/>
      <c r="V620" s="89"/>
      <c r="W620" s="89"/>
      <c r="X620" s="145"/>
      <c r="Y620" s="89"/>
      <c r="Z620" s="90"/>
      <c r="AA620" s="90"/>
      <c r="AB620" s="90"/>
      <c r="AC620" s="90"/>
      <c r="AD620" s="92"/>
      <c r="AE620" s="149" t="str">
        <f>IFERROR(VLOOKUP(Z620,LISTS!$AL$2:$AM$1000,2,FALSE()),"")</f>
        <v/>
      </c>
      <c r="AF620" s="151" t="str">
        <f>IFERROR(VLOOKUP(AA620,LISTS!$AO$2:$AP$1000,2,FALSE()),"")</f>
        <v/>
      </c>
      <c r="AG620" s="152" t="str">
        <f>IFERROR(VLOOKUP(AB620,LISTS!$AR$2:$AS$1000,2,FALSE()),"")</f>
        <v/>
      </c>
      <c r="AH620" s="154" t="str">
        <f>IFERROR(VLOOKUP(AC620,LISTS!$AU$2:$AV$1000,2,FALSE()),"")</f>
        <v/>
      </c>
      <c r="AI620" s="238" t="str">
        <f t="shared" si="48"/>
        <v>—</v>
      </c>
      <c r="AJ620" s="190" t="str">
        <f t="shared" si="49"/>
        <v>—</v>
      </c>
      <c r="AK620" s="157" t="str">
        <f t="shared" si="50"/>
        <v/>
      </c>
      <c r="AL620" s="160" t="str">
        <f t="shared" si="51"/>
        <v/>
      </c>
      <c r="AM620" s="210"/>
      <c r="AN620" s="209"/>
    </row>
    <row r="621" spans="1:40" ht="27.95" customHeight="1">
      <c r="A621" s="134" t="str">
        <f>IF(I621&lt;&gt;"",COUNTA($I$2:I621),"")</f>
        <v/>
      </c>
      <c r="B621" s="138" t="str">
        <f t="shared" si="52"/>
        <v/>
      </c>
      <c r="C621" s="93" t="str">
        <f t="array" ref="C621">IF(E621="","",IF(M621&lt;&gt;"",
M621&amp;"/"&amp;SUMPRODUCT((M$2:M621=M621)*1)&amp;" - "&amp;(ROW()-2),
"إداري/"&amp;SUMPRODUCT((M$2:M621="")*1)&amp;" - "&amp;(ROW()-2)))</f>
        <v/>
      </c>
      <c r="D621" s="141" t="str">
        <f>IF(AND(G621="",H621="",I621=""),"",IF(COUNTIFS(LISTS!$A$2:$A$67,G621,LISTS!$B$2:$B$67,H621,LISTS!$C$2:$C$67,I621)=0,"✗ هرم",IF(NOT(OR(Z621="ممتاز 100%",Z621="جيد 80%",Z621="مقبول 60%",Z621="خطر 40%",Z621="")),"✗ قائمة R",IF(NOT(OR(AA621="ممتاز 100%",AA621="جيد 85%",AA621="مقبول 70%",AA621="ضعيف 50%",AA621="")),"✗ قائمة S",IF(NOT(OR(AB621="مكتمل 100%",AB621="جزئي 60%",AB621="معلق 30%",AB621="مفتوح 0%",AB621="")),"✗ قائمة T",IF(NOT(OR(AC621="لا خصم 0",AC621="تأخير −5",AC621="عجز −10",AC621="جودة −15",AC621="امتثال −20",AC621="مخالفة −25",AC621="")),"✗ قائمة U",IF(AND(X621="لا",AC621&lt;&gt;"",AC621&lt;&gt;"لا خصم 0"),"✗ خصم",IF(AND(X621="نعم",AC621="لا خصم 0"),"✗ خصم",IF(AND(Z621="ممتاز 100%",AA621="ممتاز 100%",AB621&lt;&gt;"",AB621&lt;&gt;"مكتمل 100%"),"✗ إغلاق",IFERROR(IF(LEN(_xlfn.TEXTJOIN("، ",TRUE,IF(E621="","التاريخ",""),IF(F621="","الوقت",""),IF(G621="","المركز",""),IF(H621="","الدائرة",""),IF(I621="","القسم",""),IF(J621="","المسؤول",""),IF(K621="","نوع النشاط",""),IF(L621="","المشروع",""),IF(N621="","الممول",""),IF(V621="","الموضوع",""),IF(W621="","الملاحظة",""),IF(X621="","مشكلة",""),IF(Y621="","الإجراء",""),IF(Z621="","التنفيذ",""),IF(AA621="","الجودة",""),IF(AB621="","الإغلاق",""),IF(AC621="","الخصم",""),IF(AND(COUNTA($O621:$U621)&gt;0,O621=""),"مدير المشروع",""),IF(AND(COUNTA($O621:$U621)&gt;0,P621=""),"المستفيدين",""),IF(AND(COUNTA($O621:$U621)&gt;0,Q621=""),"المناطق",""),IF(AND(COUNTA($O621:$U621)&gt;0,R621=""),"الميزانية",""),IF(AND(COUNTA($O621:$U621)&gt;0,S621=""),"نسبة الجاهزية",""),IF(AND(COUNTA($O621:$U621)&gt;0,T621=""),"حالة الجاهزية",""),IF(AND(COUNTA($O621:$U621)&gt;0,U621=""),"التوصيات","")))&gt;0,"✗ ناقص: "&amp;_xlfn.TEXTJOIN("، ",TRUE,IF(E621="","التاريخ",""),IF(F621="","الوقت",""),IF(G621="","المركز",""),IF(H621="","الدائرة",""),IF(I621="","القسم",""),IF(J621="","المسؤول",""),IF(K621="","نوع النشاط",""),IF(L621="","المشروع",""),IF(N621="","الممول",""),IF(V621="","الموضوع",""),IF(W621="","الملاحظة",""),IF(X621="","مشكلة",""),IF(Y621="","الإجراء",""),IF(Z621="","التنفيذ",""),IF(AA621="","الجودة",""),IF(AB621="","الإغلاق",""),IF(AC621="","الخصم",""),IF(AND(COUNTA($O621:$U621)&gt;0,O621=""),"مدير المشروع",""),IF(AND(COUNTA($O621:$U621)&gt;0,P621=""),"المستفيدين",""),IF(AND(COUNTA($O621:$U621)&gt;0,Q621=""),"المناطق",""),IF(AND(COUNTA($O621:$U621)&gt;0,R621=""),"الميزانية",""),IF(AND(COUNTA($O621:$U621)&gt;0,S621=""),"نسبة الجاهزية",""),IF(AND(COUNTA($O621:$U621)&gt;0,T621=""),"حالة الجاهزية",""),IF(AND(COUNTA($O621:$U621)&gt;0,U621=""),"التوصيات","")),"✓"),"✓"))))))))))</f>
        <v/>
      </c>
      <c r="E621" s="235"/>
      <c r="F621" s="236"/>
      <c r="G621" s="90"/>
      <c r="H621" s="239"/>
      <c r="I621" s="89"/>
      <c r="J621" s="142"/>
      <c r="K621" s="90"/>
      <c r="L621" s="90"/>
      <c r="M621" s="90"/>
      <c r="N621" s="89"/>
      <c r="O621" s="200"/>
      <c r="P621" s="201"/>
      <c r="Q621" s="201"/>
      <c r="R621" s="237"/>
      <c r="S621" s="202"/>
      <c r="T621" s="200"/>
      <c r="U621" s="203"/>
      <c r="V621" s="89"/>
      <c r="W621" s="89"/>
      <c r="X621" s="145"/>
      <c r="Y621" s="89"/>
      <c r="Z621" s="90"/>
      <c r="AA621" s="90"/>
      <c r="AB621" s="90"/>
      <c r="AC621" s="90"/>
      <c r="AD621" s="92"/>
      <c r="AE621" s="149" t="str">
        <f>IFERROR(VLOOKUP(Z621,LISTS!$AL$2:$AM$1000,2,FALSE()),"")</f>
        <v/>
      </c>
      <c r="AF621" s="151" t="str">
        <f>IFERROR(VLOOKUP(AA621,LISTS!$AO$2:$AP$1000,2,FALSE()),"")</f>
        <v/>
      </c>
      <c r="AG621" s="152" t="str">
        <f>IFERROR(VLOOKUP(AB621,LISTS!$AR$2:$AS$1000,2,FALSE()),"")</f>
        <v/>
      </c>
      <c r="AH621" s="154" t="str">
        <f>IFERROR(VLOOKUP(AC621,LISTS!$AU$2:$AV$1000,2,FALSE()),"")</f>
        <v/>
      </c>
      <c r="AI621" s="238" t="str">
        <f t="shared" si="48"/>
        <v>—</v>
      </c>
      <c r="AJ621" s="190" t="str">
        <f t="shared" si="49"/>
        <v>—</v>
      </c>
      <c r="AK621" s="157" t="str">
        <f t="shared" si="50"/>
        <v/>
      </c>
      <c r="AL621" s="160" t="str">
        <f t="shared" si="51"/>
        <v/>
      </c>
      <c r="AM621" s="210"/>
      <c r="AN621" s="209"/>
    </row>
    <row r="622" spans="1:40" ht="27.95" customHeight="1">
      <c r="A622" s="134" t="str">
        <f>IF(I622&lt;&gt;"",COUNTA($I$2:I622),"")</f>
        <v/>
      </c>
      <c r="B622" s="138" t="str">
        <f t="shared" si="52"/>
        <v/>
      </c>
      <c r="C622" s="93" t="str">
        <f t="array" ref="C622">IF(E622="","",IF(M622&lt;&gt;"",
M622&amp;"/"&amp;SUMPRODUCT((M$2:M622=M622)*1)&amp;" - "&amp;(ROW()-2),
"إداري/"&amp;SUMPRODUCT((M$2:M622="")*1)&amp;" - "&amp;(ROW()-2)))</f>
        <v/>
      </c>
      <c r="D622" s="141" t="str">
        <f>IF(AND(G622="",H622="",I622=""),"",IF(COUNTIFS(LISTS!$A$2:$A$67,G622,LISTS!$B$2:$B$67,H622,LISTS!$C$2:$C$67,I622)=0,"✗ هرم",IF(NOT(OR(Z622="ممتاز 100%",Z622="جيد 80%",Z622="مقبول 60%",Z622="خطر 40%",Z622="")),"✗ قائمة R",IF(NOT(OR(AA622="ممتاز 100%",AA622="جيد 85%",AA622="مقبول 70%",AA622="ضعيف 50%",AA622="")),"✗ قائمة S",IF(NOT(OR(AB622="مكتمل 100%",AB622="جزئي 60%",AB622="معلق 30%",AB622="مفتوح 0%",AB622="")),"✗ قائمة T",IF(NOT(OR(AC622="لا خصم 0",AC622="تأخير −5",AC622="عجز −10",AC622="جودة −15",AC622="امتثال −20",AC622="مخالفة −25",AC622="")),"✗ قائمة U",IF(AND(X622="لا",AC622&lt;&gt;"",AC622&lt;&gt;"لا خصم 0"),"✗ خصم",IF(AND(X622="نعم",AC622="لا خصم 0"),"✗ خصم",IF(AND(Z622="ممتاز 100%",AA622="ممتاز 100%",AB622&lt;&gt;"",AB622&lt;&gt;"مكتمل 100%"),"✗ إغلاق",IFERROR(IF(LEN(_xlfn.TEXTJOIN("، ",TRUE,IF(E622="","التاريخ",""),IF(F622="","الوقت",""),IF(G622="","المركز",""),IF(H622="","الدائرة",""),IF(I622="","القسم",""),IF(J622="","المسؤول",""),IF(K622="","نوع النشاط",""),IF(L622="","المشروع",""),IF(N622="","الممول",""),IF(V622="","الموضوع",""),IF(W622="","الملاحظة",""),IF(X622="","مشكلة",""),IF(Y622="","الإجراء",""),IF(Z622="","التنفيذ",""),IF(AA622="","الجودة",""),IF(AB622="","الإغلاق",""),IF(AC622="","الخصم",""),IF(AND(COUNTA($O622:$U622)&gt;0,O622=""),"مدير المشروع",""),IF(AND(COUNTA($O622:$U622)&gt;0,P622=""),"المستفيدين",""),IF(AND(COUNTA($O622:$U622)&gt;0,Q622=""),"المناطق",""),IF(AND(COUNTA($O622:$U622)&gt;0,R622=""),"الميزانية",""),IF(AND(COUNTA($O622:$U622)&gt;0,S622=""),"نسبة الجاهزية",""),IF(AND(COUNTA($O622:$U622)&gt;0,T622=""),"حالة الجاهزية",""),IF(AND(COUNTA($O622:$U622)&gt;0,U622=""),"التوصيات","")))&gt;0,"✗ ناقص: "&amp;_xlfn.TEXTJOIN("، ",TRUE,IF(E622="","التاريخ",""),IF(F622="","الوقت",""),IF(G622="","المركز",""),IF(H622="","الدائرة",""),IF(I622="","القسم",""),IF(J622="","المسؤول",""),IF(K622="","نوع النشاط",""),IF(L622="","المشروع",""),IF(N622="","الممول",""),IF(V622="","الموضوع",""),IF(W622="","الملاحظة",""),IF(X622="","مشكلة",""),IF(Y622="","الإجراء",""),IF(Z622="","التنفيذ",""),IF(AA622="","الجودة",""),IF(AB622="","الإغلاق",""),IF(AC622="","الخصم",""),IF(AND(COUNTA($O622:$U622)&gt;0,O622=""),"مدير المشروع",""),IF(AND(COUNTA($O622:$U622)&gt;0,P622=""),"المستفيدين",""),IF(AND(COUNTA($O622:$U622)&gt;0,Q622=""),"المناطق",""),IF(AND(COUNTA($O622:$U622)&gt;0,R622=""),"الميزانية",""),IF(AND(COUNTA($O622:$U622)&gt;0,S622=""),"نسبة الجاهزية",""),IF(AND(COUNTA($O622:$U622)&gt;0,T622=""),"حالة الجاهزية",""),IF(AND(COUNTA($O622:$U622)&gt;0,U622=""),"التوصيات","")),"✓"),"✓"))))))))))</f>
        <v/>
      </c>
      <c r="E622" s="235"/>
      <c r="F622" s="236"/>
      <c r="G622" s="90"/>
      <c r="H622" s="239"/>
      <c r="I622" s="89"/>
      <c r="J622" s="142"/>
      <c r="K622" s="90"/>
      <c r="L622" s="90"/>
      <c r="M622" s="90"/>
      <c r="N622" s="89"/>
      <c r="O622" s="200"/>
      <c r="P622" s="201"/>
      <c r="Q622" s="201"/>
      <c r="R622" s="237"/>
      <c r="S622" s="202"/>
      <c r="T622" s="200"/>
      <c r="U622" s="203"/>
      <c r="V622" s="89"/>
      <c r="W622" s="89"/>
      <c r="X622" s="145"/>
      <c r="Y622" s="89"/>
      <c r="Z622" s="90"/>
      <c r="AA622" s="90"/>
      <c r="AB622" s="90"/>
      <c r="AC622" s="90"/>
      <c r="AD622" s="92"/>
      <c r="AE622" s="149" t="str">
        <f>IFERROR(VLOOKUP(Z622,LISTS!$AL$2:$AM$1000,2,FALSE()),"")</f>
        <v/>
      </c>
      <c r="AF622" s="151" t="str">
        <f>IFERROR(VLOOKUP(AA622,LISTS!$AO$2:$AP$1000,2,FALSE()),"")</f>
        <v/>
      </c>
      <c r="AG622" s="152" t="str">
        <f>IFERROR(VLOOKUP(AB622,LISTS!$AR$2:$AS$1000,2,FALSE()),"")</f>
        <v/>
      </c>
      <c r="AH622" s="154" t="str">
        <f>IFERROR(VLOOKUP(AC622,LISTS!$AU$2:$AV$1000,2,FALSE()),"")</f>
        <v/>
      </c>
      <c r="AI622" s="238" t="str">
        <f t="shared" si="48"/>
        <v>—</v>
      </c>
      <c r="AJ622" s="190" t="str">
        <f t="shared" si="49"/>
        <v>—</v>
      </c>
      <c r="AK622" s="157" t="str">
        <f t="shared" si="50"/>
        <v/>
      </c>
      <c r="AL622" s="160" t="str">
        <f t="shared" si="51"/>
        <v/>
      </c>
      <c r="AM622" s="210"/>
      <c r="AN622" s="209"/>
    </row>
    <row r="623" spans="1:40" ht="27.95" customHeight="1">
      <c r="A623" s="134" t="str">
        <f>IF(I623&lt;&gt;"",COUNTA($I$2:I623),"")</f>
        <v/>
      </c>
      <c r="B623" s="138" t="str">
        <f t="shared" si="52"/>
        <v/>
      </c>
      <c r="C623" s="93" t="str">
        <f t="array" ref="C623">IF(E623="","",IF(M623&lt;&gt;"",
M623&amp;"/"&amp;SUMPRODUCT((M$2:M623=M623)*1)&amp;" - "&amp;(ROW()-2),
"إداري/"&amp;SUMPRODUCT((M$2:M623="")*1)&amp;" - "&amp;(ROW()-2)))</f>
        <v/>
      </c>
      <c r="D623" s="141" t="str">
        <f>IF(AND(G623="",H623="",I623=""),"",IF(COUNTIFS(LISTS!$A$2:$A$67,G623,LISTS!$B$2:$B$67,H623,LISTS!$C$2:$C$67,I623)=0,"✗ هرم",IF(NOT(OR(Z623="ممتاز 100%",Z623="جيد 80%",Z623="مقبول 60%",Z623="خطر 40%",Z623="")),"✗ قائمة R",IF(NOT(OR(AA623="ممتاز 100%",AA623="جيد 85%",AA623="مقبول 70%",AA623="ضعيف 50%",AA623="")),"✗ قائمة S",IF(NOT(OR(AB623="مكتمل 100%",AB623="جزئي 60%",AB623="معلق 30%",AB623="مفتوح 0%",AB623="")),"✗ قائمة T",IF(NOT(OR(AC623="لا خصم 0",AC623="تأخير −5",AC623="عجز −10",AC623="جودة −15",AC623="امتثال −20",AC623="مخالفة −25",AC623="")),"✗ قائمة U",IF(AND(X623="لا",AC623&lt;&gt;"",AC623&lt;&gt;"لا خصم 0"),"✗ خصم",IF(AND(X623="نعم",AC623="لا خصم 0"),"✗ خصم",IF(AND(Z623="ممتاز 100%",AA623="ممتاز 100%",AB623&lt;&gt;"",AB623&lt;&gt;"مكتمل 100%"),"✗ إغلاق",IFERROR(IF(LEN(_xlfn.TEXTJOIN("، ",TRUE,IF(E623="","التاريخ",""),IF(F623="","الوقت",""),IF(G623="","المركز",""),IF(H623="","الدائرة",""),IF(I623="","القسم",""),IF(J623="","المسؤول",""),IF(K623="","نوع النشاط",""),IF(L623="","المشروع",""),IF(N623="","الممول",""),IF(V623="","الموضوع",""),IF(W623="","الملاحظة",""),IF(X623="","مشكلة",""),IF(Y623="","الإجراء",""),IF(Z623="","التنفيذ",""),IF(AA623="","الجودة",""),IF(AB623="","الإغلاق",""),IF(AC623="","الخصم",""),IF(AND(COUNTA($O623:$U623)&gt;0,O623=""),"مدير المشروع",""),IF(AND(COUNTA($O623:$U623)&gt;0,P623=""),"المستفيدين",""),IF(AND(COUNTA($O623:$U623)&gt;0,Q623=""),"المناطق",""),IF(AND(COUNTA($O623:$U623)&gt;0,R623=""),"الميزانية",""),IF(AND(COUNTA($O623:$U623)&gt;0,S623=""),"نسبة الجاهزية",""),IF(AND(COUNTA($O623:$U623)&gt;0,T623=""),"حالة الجاهزية",""),IF(AND(COUNTA($O623:$U623)&gt;0,U623=""),"التوصيات","")))&gt;0,"✗ ناقص: "&amp;_xlfn.TEXTJOIN("، ",TRUE,IF(E623="","التاريخ",""),IF(F623="","الوقت",""),IF(G623="","المركز",""),IF(H623="","الدائرة",""),IF(I623="","القسم",""),IF(J623="","المسؤول",""),IF(K623="","نوع النشاط",""),IF(L623="","المشروع",""),IF(N623="","الممول",""),IF(V623="","الموضوع",""),IF(W623="","الملاحظة",""),IF(X623="","مشكلة",""),IF(Y623="","الإجراء",""),IF(Z623="","التنفيذ",""),IF(AA623="","الجودة",""),IF(AB623="","الإغلاق",""),IF(AC623="","الخصم",""),IF(AND(COUNTA($O623:$U623)&gt;0,O623=""),"مدير المشروع",""),IF(AND(COUNTA($O623:$U623)&gt;0,P623=""),"المستفيدين",""),IF(AND(COUNTA($O623:$U623)&gt;0,Q623=""),"المناطق",""),IF(AND(COUNTA($O623:$U623)&gt;0,R623=""),"الميزانية",""),IF(AND(COUNTA($O623:$U623)&gt;0,S623=""),"نسبة الجاهزية",""),IF(AND(COUNTA($O623:$U623)&gt;0,T623=""),"حالة الجاهزية",""),IF(AND(COUNTA($O623:$U623)&gt;0,U623=""),"التوصيات","")),"✓"),"✓"))))))))))</f>
        <v/>
      </c>
      <c r="E623" s="235"/>
      <c r="F623" s="236"/>
      <c r="G623" s="90"/>
      <c r="H623" s="239"/>
      <c r="I623" s="89"/>
      <c r="J623" s="142"/>
      <c r="K623" s="90"/>
      <c r="L623" s="90"/>
      <c r="M623" s="90"/>
      <c r="N623" s="89"/>
      <c r="O623" s="200"/>
      <c r="P623" s="201"/>
      <c r="Q623" s="201"/>
      <c r="R623" s="237"/>
      <c r="S623" s="202"/>
      <c r="T623" s="200"/>
      <c r="U623" s="203"/>
      <c r="V623" s="89"/>
      <c r="W623" s="89"/>
      <c r="X623" s="145"/>
      <c r="Y623" s="89"/>
      <c r="Z623" s="90"/>
      <c r="AA623" s="90"/>
      <c r="AB623" s="90"/>
      <c r="AC623" s="90"/>
      <c r="AD623" s="92"/>
      <c r="AE623" s="149" t="str">
        <f>IFERROR(VLOOKUP(Z623,LISTS!$AL$2:$AM$1000,2,FALSE()),"")</f>
        <v/>
      </c>
      <c r="AF623" s="151" t="str">
        <f>IFERROR(VLOOKUP(AA623,LISTS!$AO$2:$AP$1000,2,FALSE()),"")</f>
        <v/>
      </c>
      <c r="AG623" s="152" t="str">
        <f>IFERROR(VLOOKUP(AB623,LISTS!$AR$2:$AS$1000,2,FALSE()),"")</f>
        <v/>
      </c>
      <c r="AH623" s="154" t="str">
        <f>IFERROR(VLOOKUP(AC623,LISTS!$AU$2:$AV$1000,2,FALSE()),"")</f>
        <v/>
      </c>
      <c r="AI623" s="238" t="str">
        <f t="shared" si="48"/>
        <v>—</v>
      </c>
      <c r="AJ623" s="190" t="str">
        <f t="shared" si="49"/>
        <v>—</v>
      </c>
      <c r="AK623" s="157" t="str">
        <f t="shared" si="50"/>
        <v/>
      </c>
      <c r="AL623" s="160" t="str">
        <f t="shared" si="51"/>
        <v/>
      </c>
      <c r="AM623" s="210"/>
      <c r="AN623" s="209"/>
    </row>
    <row r="624" spans="1:40" ht="27.95" customHeight="1">
      <c r="A624" s="134" t="str">
        <f>IF(I624&lt;&gt;"",COUNTA($I$2:I624),"")</f>
        <v/>
      </c>
      <c r="B624" s="138" t="str">
        <f t="shared" si="52"/>
        <v/>
      </c>
      <c r="C624" s="93" t="str">
        <f t="array" ref="C624">IF(E624="","",IF(M624&lt;&gt;"",
M624&amp;"/"&amp;SUMPRODUCT((M$2:M624=M624)*1)&amp;" - "&amp;(ROW()-2),
"إداري/"&amp;SUMPRODUCT((M$2:M624="")*1)&amp;" - "&amp;(ROW()-2)))</f>
        <v/>
      </c>
      <c r="D624" s="141" t="str">
        <f>IF(AND(G624="",H624="",I624=""),"",IF(COUNTIFS(LISTS!$A$2:$A$67,G624,LISTS!$B$2:$B$67,H624,LISTS!$C$2:$C$67,I624)=0,"✗ هرم",IF(NOT(OR(Z624="ممتاز 100%",Z624="جيد 80%",Z624="مقبول 60%",Z624="خطر 40%",Z624="")),"✗ قائمة R",IF(NOT(OR(AA624="ممتاز 100%",AA624="جيد 85%",AA624="مقبول 70%",AA624="ضعيف 50%",AA624="")),"✗ قائمة S",IF(NOT(OR(AB624="مكتمل 100%",AB624="جزئي 60%",AB624="معلق 30%",AB624="مفتوح 0%",AB624="")),"✗ قائمة T",IF(NOT(OR(AC624="لا خصم 0",AC624="تأخير −5",AC624="عجز −10",AC624="جودة −15",AC624="امتثال −20",AC624="مخالفة −25",AC624="")),"✗ قائمة U",IF(AND(X624="لا",AC624&lt;&gt;"",AC624&lt;&gt;"لا خصم 0"),"✗ خصم",IF(AND(X624="نعم",AC624="لا خصم 0"),"✗ خصم",IF(AND(Z624="ممتاز 100%",AA624="ممتاز 100%",AB624&lt;&gt;"",AB624&lt;&gt;"مكتمل 100%"),"✗ إغلاق",IFERROR(IF(LEN(_xlfn.TEXTJOIN("، ",TRUE,IF(E624="","التاريخ",""),IF(F624="","الوقت",""),IF(G624="","المركز",""),IF(H624="","الدائرة",""),IF(I624="","القسم",""),IF(J624="","المسؤول",""),IF(K624="","نوع النشاط",""),IF(L624="","المشروع",""),IF(N624="","الممول",""),IF(V624="","الموضوع",""),IF(W624="","الملاحظة",""),IF(X624="","مشكلة",""),IF(Y624="","الإجراء",""),IF(Z624="","التنفيذ",""),IF(AA624="","الجودة",""),IF(AB624="","الإغلاق",""),IF(AC624="","الخصم",""),IF(AND(COUNTA($O624:$U624)&gt;0,O624=""),"مدير المشروع",""),IF(AND(COUNTA($O624:$U624)&gt;0,P624=""),"المستفيدين",""),IF(AND(COUNTA($O624:$U624)&gt;0,Q624=""),"المناطق",""),IF(AND(COUNTA($O624:$U624)&gt;0,R624=""),"الميزانية",""),IF(AND(COUNTA($O624:$U624)&gt;0,S624=""),"نسبة الجاهزية",""),IF(AND(COUNTA($O624:$U624)&gt;0,T624=""),"حالة الجاهزية",""),IF(AND(COUNTA($O624:$U624)&gt;0,U624=""),"التوصيات","")))&gt;0,"✗ ناقص: "&amp;_xlfn.TEXTJOIN("، ",TRUE,IF(E624="","التاريخ",""),IF(F624="","الوقت",""),IF(G624="","المركز",""),IF(H624="","الدائرة",""),IF(I624="","القسم",""),IF(J624="","المسؤول",""),IF(K624="","نوع النشاط",""),IF(L624="","المشروع",""),IF(N624="","الممول",""),IF(V624="","الموضوع",""),IF(W624="","الملاحظة",""),IF(X624="","مشكلة",""),IF(Y624="","الإجراء",""),IF(Z624="","التنفيذ",""),IF(AA624="","الجودة",""),IF(AB624="","الإغلاق",""),IF(AC624="","الخصم",""),IF(AND(COUNTA($O624:$U624)&gt;0,O624=""),"مدير المشروع",""),IF(AND(COUNTA($O624:$U624)&gt;0,P624=""),"المستفيدين",""),IF(AND(COUNTA($O624:$U624)&gt;0,Q624=""),"المناطق",""),IF(AND(COUNTA($O624:$U624)&gt;0,R624=""),"الميزانية",""),IF(AND(COUNTA($O624:$U624)&gt;0,S624=""),"نسبة الجاهزية",""),IF(AND(COUNTA($O624:$U624)&gt;0,T624=""),"حالة الجاهزية",""),IF(AND(COUNTA($O624:$U624)&gt;0,U624=""),"التوصيات","")),"✓"),"✓"))))))))))</f>
        <v/>
      </c>
      <c r="E624" s="235"/>
      <c r="F624" s="236"/>
      <c r="G624" s="90"/>
      <c r="H624" s="239"/>
      <c r="I624" s="89"/>
      <c r="J624" s="142"/>
      <c r="K624" s="90"/>
      <c r="L624" s="90"/>
      <c r="M624" s="90"/>
      <c r="N624" s="89"/>
      <c r="O624" s="200"/>
      <c r="P624" s="201"/>
      <c r="Q624" s="201"/>
      <c r="R624" s="237"/>
      <c r="S624" s="202"/>
      <c r="T624" s="200"/>
      <c r="U624" s="203"/>
      <c r="V624" s="89"/>
      <c r="W624" s="89"/>
      <c r="X624" s="145"/>
      <c r="Y624" s="89"/>
      <c r="Z624" s="90"/>
      <c r="AA624" s="90"/>
      <c r="AB624" s="90"/>
      <c r="AC624" s="90"/>
      <c r="AD624" s="92"/>
      <c r="AE624" s="149" t="str">
        <f>IFERROR(VLOOKUP(Z624,LISTS!$AL$2:$AM$1000,2,FALSE()),"")</f>
        <v/>
      </c>
      <c r="AF624" s="151" t="str">
        <f>IFERROR(VLOOKUP(AA624,LISTS!$AO$2:$AP$1000,2,FALSE()),"")</f>
        <v/>
      </c>
      <c r="AG624" s="152" t="str">
        <f>IFERROR(VLOOKUP(AB624,LISTS!$AR$2:$AS$1000,2,FALSE()),"")</f>
        <v/>
      </c>
      <c r="AH624" s="154" t="str">
        <f>IFERROR(VLOOKUP(AC624,LISTS!$AU$2:$AV$1000,2,FALSE()),"")</f>
        <v/>
      </c>
      <c r="AI624" s="238" t="str">
        <f t="shared" si="48"/>
        <v>—</v>
      </c>
      <c r="AJ624" s="190" t="str">
        <f t="shared" si="49"/>
        <v>—</v>
      </c>
      <c r="AK624" s="157" t="str">
        <f t="shared" si="50"/>
        <v/>
      </c>
      <c r="AL624" s="160" t="str">
        <f t="shared" si="51"/>
        <v/>
      </c>
      <c r="AM624" s="210"/>
      <c r="AN624" s="209"/>
    </row>
    <row r="625" spans="1:40" ht="27.95" customHeight="1">
      <c r="A625" s="134" t="str">
        <f>IF(I625&lt;&gt;"",COUNTA($I$2:I625),"")</f>
        <v/>
      </c>
      <c r="B625" s="138" t="str">
        <f t="shared" si="52"/>
        <v/>
      </c>
      <c r="C625" s="93" t="str">
        <f t="array" ref="C625">IF(E625="","",IF(M625&lt;&gt;"",
M625&amp;"/"&amp;SUMPRODUCT((M$2:M625=M625)*1)&amp;" - "&amp;(ROW()-2),
"إداري/"&amp;SUMPRODUCT((M$2:M625="")*1)&amp;" - "&amp;(ROW()-2)))</f>
        <v/>
      </c>
      <c r="D625" s="141" t="str">
        <f>IF(AND(G625="",H625="",I625=""),"",IF(COUNTIFS(LISTS!$A$2:$A$67,G625,LISTS!$B$2:$B$67,H625,LISTS!$C$2:$C$67,I625)=0,"✗ هرم",IF(NOT(OR(Z625="ممتاز 100%",Z625="جيد 80%",Z625="مقبول 60%",Z625="خطر 40%",Z625="")),"✗ قائمة R",IF(NOT(OR(AA625="ممتاز 100%",AA625="جيد 85%",AA625="مقبول 70%",AA625="ضعيف 50%",AA625="")),"✗ قائمة S",IF(NOT(OR(AB625="مكتمل 100%",AB625="جزئي 60%",AB625="معلق 30%",AB625="مفتوح 0%",AB625="")),"✗ قائمة T",IF(NOT(OR(AC625="لا خصم 0",AC625="تأخير −5",AC625="عجز −10",AC625="جودة −15",AC625="امتثال −20",AC625="مخالفة −25",AC625="")),"✗ قائمة U",IF(AND(X625="لا",AC625&lt;&gt;"",AC625&lt;&gt;"لا خصم 0"),"✗ خصم",IF(AND(X625="نعم",AC625="لا خصم 0"),"✗ خصم",IF(AND(Z625="ممتاز 100%",AA625="ممتاز 100%",AB625&lt;&gt;"",AB625&lt;&gt;"مكتمل 100%"),"✗ إغلاق",IFERROR(IF(LEN(_xlfn.TEXTJOIN("، ",TRUE,IF(E625="","التاريخ",""),IF(F625="","الوقت",""),IF(G625="","المركز",""),IF(H625="","الدائرة",""),IF(I625="","القسم",""),IF(J625="","المسؤول",""),IF(K625="","نوع النشاط",""),IF(L625="","المشروع",""),IF(N625="","الممول",""),IF(V625="","الموضوع",""),IF(W625="","الملاحظة",""),IF(X625="","مشكلة",""),IF(Y625="","الإجراء",""),IF(Z625="","التنفيذ",""),IF(AA625="","الجودة",""),IF(AB625="","الإغلاق",""),IF(AC625="","الخصم",""),IF(AND(COUNTA($O625:$U625)&gt;0,O625=""),"مدير المشروع",""),IF(AND(COUNTA($O625:$U625)&gt;0,P625=""),"المستفيدين",""),IF(AND(COUNTA($O625:$U625)&gt;0,Q625=""),"المناطق",""),IF(AND(COUNTA($O625:$U625)&gt;0,R625=""),"الميزانية",""),IF(AND(COUNTA($O625:$U625)&gt;0,S625=""),"نسبة الجاهزية",""),IF(AND(COUNTA($O625:$U625)&gt;0,T625=""),"حالة الجاهزية",""),IF(AND(COUNTA($O625:$U625)&gt;0,U625=""),"التوصيات","")))&gt;0,"✗ ناقص: "&amp;_xlfn.TEXTJOIN("، ",TRUE,IF(E625="","التاريخ",""),IF(F625="","الوقت",""),IF(G625="","المركز",""),IF(H625="","الدائرة",""),IF(I625="","القسم",""),IF(J625="","المسؤول",""),IF(K625="","نوع النشاط",""),IF(L625="","المشروع",""),IF(N625="","الممول",""),IF(V625="","الموضوع",""),IF(W625="","الملاحظة",""),IF(X625="","مشكلة",""),IF(Y625="","الإجراء",""),IF(Z625="","التنفيذ",""),IF(AA625="","الجودة",""),IF(AB625="","الإغلاق",""),IF(AC625="","الخصم",""),IF(AND(COUNTA($O625:$U625)&gt;0,O625=""),"مدير المشروع",""),IF(AND(COUNTA($O625:$U625)&gt;0,P625=""),"المستفيدين",""),IF(AND(COUNTA($O625:$U625)&gt;0,Q625=""),"المناطق",""),IF(AND(COUNTA($O625:$U625)&gt;0,R625=""),"الميزانية",""),IF(AND(COUNTA($O625:$U625)&gt;0,S625=""),"نسبة الجاهزية",""),IF(AND(COUNTA($O625:$U625)&gt;0,T625=""),"حالة الجاهزية",""),IF(AND(COUNTA($O625:$U625)&gt;0,U625=""),"التوصيات","")),"✓"),"✓"))))))))))</f>
        <v/>
      </c>
      <c r="E625" s="235"/>
      <c r="F625" s="236"/>
      <c r="G625" s="90"/>
      <c r="H625" s="239"/>
      <c r="I625" s="89"/>
      <c r="J625" s="142"/>
      <c r="K625" s="90"/>
      <c r="L625" s="90"/>
      <c r="M625" s="90"/>
      <c r="N625" s="89"/>
      <c r="O625" s="200"/>
      <c r="P625" s="201"/>
      <c r="Q625" s="201"/>
      <c r="R625" s="237"/>
      <c r="S625" s="202"/>
      <c r="T625" s="200"/>
      <c r="U625" s="203"/>
      <c r="V625" s="89"/>
      <c r="W625" s="89"/>
      <c r="X625" s="145"/>
      <c r="Y625" s="89"/>
      <c r="Z625" s="90"/>
      <c r="AA625" s="90"/>
      <c r="AB625" s="90"/>
      <c r="AC625" s="90"/>
      <c r="AD625" s="92"/>
      <c r="AE625" s="149" t="str">
        <f>IFERROR(VLOOKUP(Z625,LISTS!$AL$2:$AM$1000,2,FALSE()),"")</f>
        <v/>
      </c>
      <c r="AF625" s="151" t="str">
        <f>IFERROR(VLOOKUP(AA625,LISTS!$AO$2:$AP$1000,2,FALSE()),"")</f>
        <v/>
      </c>
      <c r="AG625" s="152" t="str">
        <f>IFERROR(VLOOKUP(AB625,LISTS!$AR$2:$AS$1000,2,FALSE()),"")</f>
        <v/>
      </c>
      <c r="AH625" s="154" t="str">
        <f>IFERROR(VLOOKUP(AC625,LISTS!$AU$2:$AV$1000,2,FALSE()),"")</f>
        <v/>
      </c>
      <c r="AI625" s="238" t="str">
        <f t="shared" si="48"/>
        <v>—</v>
      </c>
      <c r="AJ625" s="190" t="str">
        <f t="shared" si="49"/>
        <v>—</v>
      </c>
      <c r="AK625" s="157" t="str">
        <f t="shared" si="50"/>
        <v/>
      </c>
      <c r="AL625" s="160" t="str">
        <f t="shared" si="51"/>
        <v/>
      </c>
      <c r="AM625" s="210"/>
      <c r="AN625" s="209"/>
    </row>
    <row r="626" spans="1:40" ht="27.95" customHeight="1">
      <c r="A626" s="134" t="str">
        <f>IF(I626&lt;&gt;"",COUNTA($I$2:I626),"")</f>
        <v/>
      </c>
      <c r="B626" s="138" t="str">
        <f t="shared" si="52"/>
        <v/>
      </c>
      <c r="C626" s="93" t="str">
        <f t="array" ref="C626">IF(E626="","",IF(M626&lt;&gt;"",
M626&amp;"/"&amp;SUMPRODUCT((M$2:M626=M626)*1)&amp;" - "&amp;(ROW()-2),
"إداري/"&amp;SUMPRODUCT((M$2:M626="")*1)&amp;" - "&amp;(ROW()-2)))</f>
        <v/>
      </c>
      <c r="D626" s="141" t="str">
        <f>IF(AND(G626="",H626="",I626=""),"",IF(COUNTIFS(LISTS!$A$2:$A$67,G626,LISTS!$B$2:$B$67,H626,LISTS!$C$2:$C$67,I626)=0,"✗ هرم",IF(NOT(OR(Z626="ممتاز 100%",Z626="جيد 80%",Z626="مقبول 60%",Z626="خطر 40%",Z626="")),"✗ قائمة R",IF(NOT(OR(AA626="ممتاز 100%",AA626="جيد 85%",AA626="مقبول 70%",AA626="ضعيف 50%",AA626="")),"✗ قائمة S",IF(NOT(OR(AB626="مكتمل 100%",AB626="جزئي 60%",AB626="معلق 30%",AB626="مفتوح 0%",AB626="")),"✗ قائمة T",IF(NOT(OR(AC626="لا خصم 0",AC626="تأخير −5",AC626="عجز −10",AC626="جودة −15",AC626="امتثال −20",AC626="مخالفة −25",AC626="")),"✗ قائمة U",IF(AND(X626="لا",AC626&lt;&gt;"",AC626&lt;&gt;"لا خصم 0"),"✗ خصم",IF(AND(X626="نعم",AC626="لا خصم 0"),"✗ خصم",IF(AND(Z626="ممتاز 100%",AA626="ممتاز 100%",AB626&lt;&gt;"",AB626&lt;&gt;"مكتمل 100%"),"✗ إغلاق",IFERROR(IF(LEN(_xlfn.TEXTJOIN("، ",TRUE,IF(E626="","التاريخ",""),IF(F626="","الوقت",""),IF(G626="","المركز",""),IF(H626="","الدائرة",""),IF(I626="","القسم",""),IF(J626="","المسؤول",""),IF(K626="","نوع النشاط",""),IF(L626="","المشروع",""),IF(N626="","الممول",""),IF(V626="","الموضوع",""),IF(W626="","الملاحظة",""),IF(X626="","مشكلة",""),IF(Y626="","الإجراء",""),IF(Z626="","التنفيذ",""),IF(AA626="","الجودة",""),IF(AB626="","الإغلاق",""),IF(AC626="","الخصم",""),IF(AND(COUNTA($O626:$U626)&gt;0,O626=""),"مدير المشروع",""),IF(AND(COUNTA($O626:$U626)&gt;0,P626=""),"المستفيدين",""),IF(AND(COUNTA($O626:$U626)&gt;0,Q626=""),"المناطق",""),IF(AND(COUNTA($O626:$U626)&gt;0,R626=""),"الميزانية",""),IF(AND(COUNTA($O626:$U626)&gt;0,S626=""),"نسبة الجاهزية",""),IF(AND(COUNTA($O626:$U626)&gt;0,T626=""),"حالة الجاهزية",""),IF(AND(COUNTA($O626:$U626)&gt;0,U626=""),"التوصيات","")))&gt;0,"✗ ناقص: "&amp;_xlfn.TEXTJOIN("، ",TRUE,IF(E626="","التاريخ",""),IF(F626="","الوقت",""),IF(G626="","المركز",""),IF(H626="","الدائرة",""),IF(I626="","القسم",""),IF(J626="","المسؤول",""),IF(K626="","نوع النشاط",""),IF(L626="","المشروع",""),IF(N626="","الممول",""),IF(V626="","الموضوع",""),IF(W626="","الملاحظة",""),IF(X626="","مشكلة",""),IF(Y626="","الإجراء",""),IF(Z626="","التنفيذ",""),IF(AA626="","الجودة",""),IF(AB626="","الإغلاق",""),IF(AC626="","الخصم",""),IF(AND(COUNTA($O626:$U626)&gt;0,O626=""),"مدير المشروع",""),IF(AND(COUNTA($O626:$U626)&gt;0,P626=""),"المستفيدين",""),IF(AND(COUNTA($O626:$U626)&gt;0,Q626=""),"المناطق",""),IF(AND(COUNTA($O626:$U626)&gt;0,R626=""),"الميزانية",""),IF(AND(COUNTA($O626:$U626)&gt;0,S626=""),"نسبة الجاهزية",""),IF(AND(COUNTA($O626:$U626)&gt;0,T626=""),"حالة الجاهزية",""),IF(AND(COUNTA($O626:$U626)&gt;0,U626=""),"التوصيات","")),"✓"),"✓"))))))))))</f>
        <v/>
      </c>
      <c r="E626" s="235"/>
      <c r="F626" s="236"/>
      <c r="G626" s="90"/>
      <c r="H626" s="239"/>
      <c r="I626" s="89"/>
      <c r="J626" s="142"/>
      <c r="K626" s="90"/>
      <c r="L626" s="90"/>
      <c r="M626" s="90"/>
      <c r="N626" s="89"/>
      <c r="O626" s="200"/>
      <c r="P626" s="201"/>
      <c r="Q626" s="201"/>
      <c r="R626" s="237"/>
      <c r="S626" s="202"/>
      <c r="T626" s="200"/>
      <c r="U626" s="203"/>
      <c r="V626" s="89"/>
      <c r="W626" s="89"/>
      <c r="X626" s="145"/>
      <c r="Y626" s="89"/>
      <c r="Z626" s="90"/>
      <c r="AA626" s="90"/>
      <c r="AB626" s="90"/>
      <c r="AC626" s="90"/>
      <c r="AD626" s="92"/>
      <c r="AE626" s="149" t="str">
        <f>IFERROR(VLOOKUP(Z626,LISTS!$AL$2:$AM$1000,2,FALSE()),"")</f>
        <v/>
      </c>
      <c r="AF626" s="151" t="str">
        <f>IFERROR(VLOOKUP(AA626,LISTS!$AO$2:$AP$1000,2,FALSE()),"")</f>
        <v/>
      </c>
      <c r="AG626" s="152" t="str">
        <f>IFERROR(VLOOKUP(AB626,LISTS!$AR$2:$AS$1000,2,FALSE()),"")</f>
        <v/>
      </c>
      <c r="AH626" s="154" t="str">
        <f>IFERROR(VLOOKUP(AC626,LISTS!$AU$2:$AV$1000,2,FALSE()),"")</f>
        <v/>
      </c>
      <c r="AI626" s="238" t="str">
        <f t="shared" si="48"/>
        <v>—</v>
      </c>
      <c r="AJ626" s="190" t="str">
        <f t="shared" si="49"/>
        <v>—</v>
      </c>
      <c r="AK626" s="157" t="str">
        <f t="shared" si="50"/>
        <v/>
      </c>
      <c r="AL626" s="160" t="str">
        <f t="shared" si="51"/>
        <v/>
      </c>
      <c r="AM626" s="210"/>
      <c r="AN626" s="209"/>
    </row>
    <row r="627" spans="1:40" ht="27.95" customHeight="1">
      <c r="A627" s="134" t="str">
        <f>IF(I627&lt;&gt;"",COUNTA($I$2:I627),"")</f>
        <v/>
      </c>
      <c r="B627" s="138" t="str">
        <f t="shared" si="52"/>
        <v/>
      </c>
      <c r="C627" s="93" t="str">
        <f t="array" ref="C627">IF(E627="","",IF(M627&lt;&gt;"",
M627&amp;"/"&amp;SUMPRODUCT((M$2:M627=M627)*1)&amp;" - "&amp;(ROW()-2),
"إداري/"&amp;SUMPRODUCT((M$2:M627="")*1)&amp;" - "&amp;(ROW()-2)))</f>
        <v/>
      </c>
      <c r="D627" s="141" t="str">
        <f>IF(AND(G627="",H627="",I627=""),"",IF(COUNTIFS(LISTS!$A$2:$A$67,G627,LISTS!$B$2:$B$67,H627,LISTS!$C$2:$C$67,I627)=0,"✗ هرم",IF(NOT(OR(Z627="ممتاز 100%",Z627="جيد 80%",Z627="مقبول 60%",Z627="خطر 40%",Z627="")),"✗ قائمة R",IF(NOT(OR(AA627="ممتاز 100%",AA627="جيد 85%",AA627="مقبول 70%",AA627="ضعيف 50%",AA627="")),"✗ قائمة S",IF(NOT(OR(AB627="مكتمل 100%",AB627="جزئي 60%",AB627="معلق 30%",AB627="مفتوح 0%",AB627="")),"✗ قائمة T",IF(NOT(OR(AC627="لا خصم 0",AC627="تأخير −5",AC627="عجز −10",AC627="جودة −15",AC627="امتثال −20",AC627="مخالفة −25",AC627="")),"✗ قائمة U",IF(AND(X627="لا",AC627&lt;&gt;"",AC627&lt;&gt;"لا خصم 0"),"✗ خصم",IF(AND(X627="نعم",AC627="لا خصم 0"),"✗ خصم",IF(AND(Z627="ممتاز 100%",AA627="ممتاز 100%",AB627&lt;&gt;"",AB627&lt;&gt;"مكتمل 100%"),"✗ إغلاق",IFERROR(IF(LEN(_xlfn.TEXTJOIN("، ",TRUE,IF(E627="","التاريخ",""),IF(F627="","الوقت",""),IF(G627="","المركز",""),IF(H627="","الدائرة",""),IF(I627="","القسم",""),IF(J627="","المسؤول",""),IF(K627="","نوع النشاط",""),IF(L627="","المشروع",""),IF(N627="","الممول",""),IF(V627="","الموضوع",""),IF(W627="","الملاحظة",""),IF(X627="","مشكلة",""),IF(Y627="","الإجراء",""),IF(Z627="","التنفيذ",""),IF(AA627="","الجودة",""),IF(AB627="","الإغلاق",""),IF(AC627="","الخصم",""),IF(AND(COUNTA($O627:$U627)&gt;0,O627=""),"مدير المشروع",""),IF(AND(COUNTA($O627:$U627)&gt;0,P627=""),"المستفيدين",""),IF(AND(COUNTA($O627:$U627)&gt;0,Q627=""),"المناطق",""),IF(AND(COUNTA($O627:$U627)&gt;0,R627=""),"الميزانية",""),IF(AND(COUNTA($O627:$U627)&gt;0,S627=""),"نسبة الجاهزية",""),IF(AND(COUNTA($O627:$U627)&gt;0,T627=""),"حالة الجاهزية",""),IF(AND(COUNTA($O627:$U627)&gt;0,U627=""),"التوصيات","")))&gt;0,"✗ ناقص: "&amp;_xlfn.TEXTJOIN("، ",TRUE,IF(E627="","التاريخ",""),IF(F627="","الوقت",""),IF(G627="","المركز",""),IF(H627="","الدائرة",""),IF(I627="","القسم",""),IF(J627="","المسؤول",""),IF(K627="","نوع النشاط",""),IF(L627="","المشروع",""),IF(N627="","الممول",""),IF(V627="","الموضوع",""),IF(W627="","الملاحظة",""),IF(X627="","مشكلة",""),IF(Y627="","الإجراء",""),IF(Z627="","التنفيذ",""),IF(AA627="","الجودة",""),IF(AB627="","الإغلاق",""),IF(AC627="","الخصم",""),IF(AND(COUNTA($O627:$U627)&gt;0,O627=""),"مدير المشروع",""),IF(AND(COUNTA($O627:$U627)&gt;0,P627=""),"المستفيدين",""),IF(AND(COUNTA($O627:$U627)&gt;0,Q627=""),"المناطق",""),IF(AND(COUNTA($O627:$U627)&gt;0,R627=""),"الميزانية",""),IF(AND(COUNTA($O627:$U627)&gt;0,S627=""),"نسبة الجاهزية",""),IF(AND(COUNTA($O627:$U627)&gt;0,T627=""),"حالة الجاهزية",""),IF(AND(COUNTA($O627:$U627)&gt;0,U627=""),"التوصيات","")),"✓"),"✓"))))))))))</f>
        <v/>
      </c>
      <c r="E627" s="235"/>
      <c r="F627" s="236"/>
      <c r="G627" s="90"/>
      <c r="H627" s="239"/>
      <c r="I627" s="89"/>
      <c r="J627" s="142"/>
      <c r="K627" s="90"/>
      <c r="L627" s="90"/>
      <c r="M627" s="90"/>
      <c r="N627" s="89"/>
      <c r="O627" s="200"/>
      <c r="P627" s="201"/>
      <c r="Q627" s="201"/>
      <c r="R627" s="237"/>
      <c r="S627" s="202"/>
      <c r="T627" s="200"/>
      <c r="U627" s="203"/>
      <c r="V627" s="89"/>
      <c r="W627" s="89"/>
      <c r="X627" s="145"/>
      <c r="Y627" s="89"/>
      <c r="Z627" s="90"/>
      <c r="AA627" s="90"/>
      <c r="AB627" s="90"/>
      <c r="AC627" s="90"/>
      <c r="AD627" s="92"/>
      <c r="AE627" s="149" t="str">
        <f>IFERROR(VLOOKUP(Z627,LISTS!$AL$2:$AM$1000,2,FALSE()),"")</f>
        <v/>
      </c>
      <c r="AF627" s="151" t="str">
        <f>IFERROR(VLOOKUP(AA627,LISTS!$AO$2:$AP$1000,2,FALSE()),"")</f>
        <v/>
      </c>
      <c r="AG627" s="152" t="str">
        <f>IFERROR(VLOOKUP(AB627,LISTS!$AR$2:$AS$1000,2,FALSE()),"")</f>
        <v/>
      </c>
      <c r="AH627" s="154" t="str">
        <f>IFERROR(VLOOKUP(AC627,LISTS!$AU$2:$AV$1000,2,FALSE()),"")</f>
        <v/>
      </c>
      <c r="AI627" s="238" t="str">
        <f t="shared" si="48"/>
        <v>—</v>
      </c>
      <c r="AJ627" s="190" t="str">
        <f t="shared" si="49"/>
        <v>—</v>
      </c>
      <c r="AK627" s="157" t="str">
        <f t="shared" si="50"/>
        <v/>
      </c>
      <c r="AL627" s="160" t="str">
        <f t="shared" si="51"/>
        <v/>
      </c>
      <c r="AM627" s="210"/>
      <c r="AN627" s="209"/>
    </row>
    <row r="628" spans="1:40" ht="27.95" customHeight="1">
      <c r="A628" s="134" t="str">
        <f>IF(I628&lt;&gt;"",COUNTA($I$2:I628),"")</f>
        <v/>
      </c>
      <c r="B628" s="138" t="str">
        <f t="shared" si="52"/>
        <v/>
      </c>
      <c r="C628" s="93" t="str">
        <f t="array" ref="C628">IF(E628="","",IF(M628&lt;&gt;"",
M628&amp;"/"&amp;SUMPRODUCT((M$2:M628=M628)*1)&amp;" - "&amp;(ROW()-2),
"إداري/"&amp;SUMPRODUCT((M$2:M628="")*1)&amp;" - "&amp;(ROW()-2)))</f>
        <v/>
      </c>
      <c r="D628" s="141" t="str">
        <f>IF(AND(G628="",H628="",I628=""),"",IF(COUNTIFS(LISTS!$A$2:$A$67,G628,LISTS!$B$2:$B$67,H628,LISTS!$C$2:$C$67,I628)=0,"✗ هرم",IF(NOT(OR(Z628="ممتاز 100%",Z628="جيد 80%",Z628="مقبول 60%",Z628="خطر 40%",Z628="")),"✗ قائمة R",IF(NOT(OR(AA628="ممتاز 100%",AA628="جيد 85%",AA628="مقبول 70%",AA628="ضعيف 50%",AA628="")),"✗ قائمة S",IF(NOT(OR(AB628="مكتمل 100%",AB628="جزئي 60%",AB628="معلق 30%",AB628="مفتوح 0%",AB628="")),"✗ قائمة T",IF(NOT(OR(AC628="لا خصم 0",AC628="تأخير −5",AC628="عجز −10",AC628="جودة −15",AC628="امتثال −20",AC628="مخالفة −25",AC628="")),"✗ قائمة U",IF(AND(X628="لا",AC628&lt;&gt;"",AC628&lt;&gt;"لا خصم 0"),"✗ خصم",IF(AND(X628="نعم",AC628="لا خصم 0"),"✗ خصم",IF(AND(Z628="ممتاز 100%",AA628="ممتاز 100%",AB628&lt;&gt;"",AB628&lt;&gt;"مكتمل 100%"),"✗ إغلاق",IFERROR(IF(LEN(_xlfn.TEXTJOIN("، ",TRUE,IF(E628="","التاريخ",""),IF(F628="","الوقت",""),IF(G628="","المركز",""),IF(H628="","الدائرة",""),IF(I628="","القسم",""),IF(J628="","المسؤول",""),IF(K628="","نوع النشاط",""),IF(L628="","المشروع",""),IF(N628="","الممول",""),IF(V628="","الموضوع",""),IF(W628="","الملاحظة",""),IF(X628="","مشكلة",""),IF(Y628="","الإجراء",""),IF(Z628="","التنفيذ",""),IF(AA628="","الجودة",""),IF(AB628="","الإغلاق",""),IF(AC628="","الخصم",""),IF(AND(COUNTA($O628:$U628)&gt;0,O628=""),"مدير المشروع",""),IF(AND(COUNTA($O628:$U628)&gt;0,P628=""),"المستفيدين",""),IF(AND(COUNTA($O628:$U628)&gt;0,Q628=""),"المناطق",""),IF(AND(COUNTA($O628:$U628)&gt;0,R628=""),"الميزانية",""),IF(AND(COUNTA($O628:$U628)&gt;0,S628=""),"نسبة الجاهزية",""),IF(AND(COUNTA($O628:$U628)&gt;0,T628=""),"حالة الجاهزية",""),IF(AND(COUNTA($O628:$U628)&gt;0,U628=""),"التوصيات","")))&gt;0,"✗ ناقص: "&amp;_xlfn.TEXTJOIN("، ",TRUE,IF(E628="","التاريخ",""),IF(F628="","الوقت",""),IF(G628="","المركز",""),IF(H628="","الدائرة",""),IF(I628="","القسم",""),IF(J628="","المسؤول",""),IF(K628="","نوع النشاط",""),IF(L628="","المشروع",""),IF(N628="","الممول",""),IF(V628="","الموضوع",""),IF(W628="","الملاحظة",""),IF(X628="","مشكلة",""),IF(Y628="","الإجراء",""),IF(Z628="","التنفيذ",""),IF(AA628="","الجودة",""),IF(AB628="","الإغلاق",""),IF(AC628="","الخصم",""),IF(AND(COUNTA($O628:$U628)&gt;0,O628=""),"مدير المشروع",""),IF(AND(COUNTA($O628:$U628)&gt;0,P628=""),"المستفيدين",""),IF(AND(COUNTA($O628:$U628)&gt;0,Q628=""),"المناطق",""),IF(AND(COUNTA($O628:$U628)&gt;0,R628=""),"الميزانية",""),IF(AND(COUNTA($O628:$U628)&gt;0,S628=""),"نسبة الجاهزية",""),IF(AND(COUNTA($O628:$U628)&gt;0,T628=""),"حالة الجاهزية",""),IF(AND(COUNTA($O628:$U628)&gt;0,U628=""),"التوصيات","")),"✓"),"✓"))))))))))</f>
        <v/>
      </c>
      <c r="E628" s="235"/>
      <c r="F628" s="236"/>
      <c r="G628" s="90"/>
      <c r="H628" s="239"/>
      <c r="I628" s="89"/>
      <c r="J628" s="142"/>
      <c r="K628" s="90"/>
      <c r="L628" s="90"/>
      <c r="M628" s="90"/>
      <c r="N628" s="89"/>
      <c r="O628" s="200"/>
      <c r="P628" s="201"/>
      <c r="Q628" s="201"/>
      <c r="R628" s="237"/>
      <c r="S628" s="202"/>
      <c r="T628" s="200"/>
      <c r="U628" s="203"/>
      <c r="V628" s="89"/>
      <c r="W628" s="89"/>
      <c r="X628" s="145"/>
      <c r="Y628" s="89"/>
      <c r="Z628" s="90"/>
      <c r="AA628" s="90"/>
      <c r="AB628" s="90"/>
      <c r="AC628" s="90"/>
      <c r="AD628" s="92"/>
      <c r="AE628" s="149" t="str">
        <f>IFERROR(VLOOKUP(Z628,LISTS!$AL$2:$AM$1000,2,FALSE()),"")</f>
        <v/>
      </c>
      <c r="AF628" s="151" t="str">
        <f>IFERROR(VLOOKUP(AA628,LISTS!$AO$2:$AP$1000,2,FALSE()),"")</f>
        <v/>
      </c>
      <c r="AG628" s="152" t="str">
        <f>IFERROR(VLOOKUP(AB628,LISTS!$AR$2:$AS$1000,2,FALSE()),"")</f>
        <v/>
      </c>
      <c r="AH628" s="154" t="str">
        <f>IFERROR(VLOOKUP(AC628,LISTS!$AU$2:$AV$1000,2,FALSE()),"")</f>
        <v/>
      </c>
      <c r="AI628" s="238" t="str">
        <f t="shared" si="48"/>
        <v>—</v>
      </c>
      <c r="AJ628" s="190" t="str">
        <f t="shared" si="49"/>
        <v>—</v>
      </c>
      <c r="AK628" s="157" t="str">
        <f t="shared" si="50"/>
        <v/>
      </c>
      <c r="AL628" s="160" t="str">
        <f t="shared" si="51"/>
        <v/>
      </c>
      <c r="AM628" s="210"/>
      <c r="AN628" s="209"/>
    </row>
    <row r="629" spans="1:40" ht="27.95" customHeight="1">
      <c r="A629" s="134" t="str">
        <f>IF(I629&lt;&gt;"",COUNTA($I$2:I629),"")</f>
        <v/>
      </c>
      <c r="B629" s="138" t="str">
        <f t="shared" si="52"/>
        <v/>
      </c>
      <c r="C629" s="93" t="str">
        <f t="array" ref="C629">IF(E629="","",IF(M629&lt;&gt;"",
M629&amp;"/"&amp;SUMPRODUCT((M$2:M629=M629)*1)&amp;" - "&amp;(ROW()-2),
"إداري/"&amp;SUMPRODUCT((M$2:M629="")*1)&amp;" - "&amp;(ROW()-2)))</f>
        <v/>
      </c>
      <c r="D629" s="141" t="str">
        <f>IF(AND(G629="",H629="",I629=""),"",IF(COUNTIFS(LISTS!$A$2:$A$67,G629,LISTS!$B$2:$B$67,H629,LISTS!$C$2:$C$67,I629)=0,"✗ هرم",IF(NOT(OR(Z629="ممتاز 100%",Z629="جيد 80%",Z629="مقبول 60%",Z629="خطر 40%",Z629="")),"✗ قائمة R",IF(NOT(OR(AA629="ممتاز 100%",AA629="جيد 85%",AA629="مقبول 70%",AA629="ضعيف 50%",AA629="")),"✗ قائمة S",IF(NOT(OR(AB629="مكتمل 100%",AB629="جزئي 60%",AB629="معلق 30%",AB629="مفتوح 0%",AB629="")),"✗ قائمة T",IF(NOT(OR(AC629="لا خصم 0",AC629="تأخير −5",AC629="عجز −10",AC629="جودة −15",AC629="امتثال −20",AC629="مخالفة −25",AC629="")),"✗ قائمة U",IF(AND(X629="لا",AC629&lt;&gt;"",AC629&lt;&gt;"لا خصم 0"),"✗ خصم",IF(AND(X629="نعم",AC629="لا خصم 0"),"✗ خصم",IF(AND(Z629="ممتاز 100%",AA629="ممتاز 100%",AB629&lt;&gt;"",AB629&lt;&gt;"مكتمل 100%"),"✗ إغلاق",IFERROR(IF(LEN(_xlfn.TEXTJOIN("، ",TRUE,IF(E629="","التاريخ",""),IF(F629="","الوقت",""),IF(G629="","المركز",""),IF(H629="","الدائرة",""),IF(I629="","القسم",""),IF(J629="","المسؤول",""),IF(K629="","نوع النشاط",""),IF(L629="","المشروع",""),IF(N629="","الممول",""),IF(V629="","الموضوع",""),IF(W629="","الملاحظة",""),IF(X629="","مشكلة",""),IF(Y629="","الإجراء",""),IF(Z629="","التنفيذ",""),IF(AA629="","الجودة",""),IF(AB629="","الإغلاق",""),IF(AC629="","الخصم",""),IF(AND(COUNTA($O629:$U629)&gt;0,O629=""),"مدير المشروع",""),IF(AND(COUNTA($O629:$U629)&gt;0,P629=""),"المستفيدين",""),IF(AND(COUNTA($O629:$U629)&gt;0,Q629=""),"المناطق",""),IF(AND(COUNTA($O629:$U629)&gt;0,R629=""),"الميزانية",""),IF(AND(COUNTA($O629:$U629)&gt;0,S629=""),"نسبة الجاهزية",""),IF(AND(COUNTA($O629:$U629)&gt;0,T629=""),"حالة الجاهزية",""),IF(AND(COUNTA($O629:$U629)&gt;0,U629=""),"التوصيات","")))&gt;0,"✗ ناقص: "&amp;_xlfn.TEXTJOIN("، ",TRUE,IF(E629="","التاريخ",""),IF(F629="","الوقت",""),IF(G629="","المركز",""),IF(H629="","الدائرة",""),IF(I629="","القسم",""),IF(J629="","المسؤول",""),IF(K629="","نوع النشاط",""),IF(L629="","المشروع",""),IF(N629="","الممول",""),IF(V629="","الموضوع",""),IF(W629="","الملاحظة",""),IF(X629="","مشكلة",""),IF(Y629="","الإجراء",""),IF(Z629="","التنفيذ",""),IF(AA629="","الجودة",""),IF(AB629="","الإغلاق",""),IF(AC629="","الخصم",""),IF(AND(COUNTA($O629:$U629)&gt;0,O629=""),"مدير المشروع",""),IF(AND(COUNTA($O629:$U629)&gt;0,P629=""),"المستفيدين",""),IF(AND(COUNTA($O629:$U629)&gt;0,Q629=""),"المناطق",""),IF(AND(COUNTA($O629:$U629)&gt;0,R629=""),"الميزانية",""),IF(AND(COUNTA($O629:$U629)&gt;0,S629=""),"نسبة الجاهزية",""),IF(AND(COUNTA($O629:$U629)&gt;0,T629=""),"حالة الجاهزية",""),IF(AND(COUNTA($O629:$U629)&gt;0,U629=""),"التوصيات","")),"✓"),"✓"))))))))))</f>
        <v/>
      </c>
      <c r="E629" s="235"/>
      <c r="F629" s="236"/>
      <c r="G629" s="90"/>
      <c r="H629" s="239"/>
      <c r="I629" s="89"/>
      <c r="J629" s="142"/>
      <c r="K629" s="90"/>
      <c r="L629" s="90"/>
      <c r="M629" s="90"/>
      <c r="N629" s="89"/>
      <c r="O629" s="200"/>
      <c r="P629" s="201"/>
      <c r="Q629" s="201"/>
      <c r="R629" s="237"/>
      <c r="S629" s="202"/>
      <c r="T629" s="200"/>
      <c r="U629" s="203"/>
      <c r="V629" s="89"/>
      <c r="W629" s="89"/>
      <c r="X629" s="145"/>
      <c r="Y629" s="89"/>
      <c r="Z629" s="90"/>
      <c r="AA629" s="90"/>
      <c r="AB629" s="90"/>
      <c r="AC629" s="90"/>
      <c r="AD629" s="92"/>
      <c r="AE629" s="149" t="str">
        <f>IFERROR(VLOOKUP(Z629,LISTS!$AL$2:$AM$1000,2,FALSE()),"")</f>
        <v/>
      </c>
      <c r="AF629" s="151" t="str">
        <f>IFERROR(VLOOKUP(AA629,LISTS!$AO$2:$AP$1000,2,FALSE()),"")</f>
        <v/>
      </c>
      <c r="AG629" s="152" t="str">
        <f>IFERROR(VLOOKUP(AB629,LISTS!$AR$2:$AS$1000,2,FALSE()),"")</f>
        <v/>
      </c>
      <c r="AH629" s="154" t="str">
        <f>IFERROR(VLOOKUP(AC629,LISTS!$AU$2:$AV$1000,2,FALSE()),"")</f>
        <v/>
      </c>
      <c r="AI629" s="238" t="str">
        <f t="shared" si="48"/>
        <v>—</v>
      </c>
      <c r="AJ629" s="190" t="str">
        <f t="shared" si="49"/>
        <v>—</v>
      </c>
      <c r="AK629" s="157" t="str">
        <f t="shared" si="50"/>
        <v/>
      </c>
      <c r="AL629" s="160" t="str">
        <f t="shared" si="51"/>
        <v/>
      </c>
      <c r="AM629" s="210"/>
      <c r="AN629" s="209"/>
    </row>
    <row r="630" spans="1:40" ht="27.95" customHeight="1">
      <c r="A630" s="134" t="str">
        <f>IF(I630&lt;&gt;"",COUNTA($I$2:I630),"")</f>
        <v/>
      </c>
      <c r="B630" s="138" t="str">
        <f t="shared" si="52"/>
        <v/>
      </c>
      <c r="C630" s="93" t="str">
        <f t="array" ref="C630">IF(E630="","",IF(M630&lt;&gt;"",
M630&amp;"/"&amp;SUMPRODUCT((M$2:M630=M630)*1)&amp;" - "&amp;(ROW()-2),
"إداري/"&amp;SUMPRODUCT((M$2:M630="")*1)&amp;" - "&amp;(ROW()-2)))</f>
        <v/>
      </c>
      <c r="D630" s="141" t="str">
        <f>IF(AND(G630="",H630="",I630=""),"",IF(COUNTIFS(LISTS!$A$2:$A$67,G630,LISTS!$B$2:$B$67,H630,LISTS!$C$2:$C$67,I630)=0,"✗ هرم",IF(NOT(OR(Z630="ممتاز 100%",Z630="جيد 80%",Z630="مقبول 60%",Z630="خطر 40%",Z630="")),"✗ قائمة R",IF(NOT(OR(AA630="ممتاز 100%",AA630="جيد 85%",AA630="مقبول 70%",AA630="ضعيف 50%",AA630="")),"✗ قائمة S",IF(NOT(OR(AB630="مكتمل 100%",AB630="جزئي 60%",AB630="معلق 30%",AB630="مفتوح 0%",AB630="")),"✗ قائمة T",IF(NOT(OR(AC630="لا خصم 0",AC630="تأخير −5",AC630="عجز −10",AC630="جودة −15",AC630="امتثال −20",AC630="مخالفة −25",AC630="")),"✗ قائمة U",IF(AND(X630="لا",AC630&lt;&gt;"",AC630&lt;&gt;"لا خصم 0"),"✗ خصم",IF(AND(X630="نعم",AC630="لا خصم 0"),"✗ خصم",IF(AND(Z630="ممتاز 100%",AA630="ممتاز 100%",AB630&lt;&gt;"",AB630&lt;&gt;"مكتمل 100%"),"✗ إغلاق",IFERROR(IF(LEN(_xlfn.TEXTJOIN("، ",TRUE,IF(E630="","التاريخ",""),IF(F630="","الوقت",""),IF(G630="","المركز",""),IF(H630="","الدائرة",""),IF(I630="","القسم",""),IF(J630="","المسؤول",""),IF(K630="","نوع النشاط",""),IF(L630="","المشروع",""),IF(N630="","الممول",""),IF(V630="","الموضوع",""),IF(W630="","الملاحظة",""),IF(X630="","مشكلة",""),IF(Y630="","الإجراء",""),IF(Z630="","التنفيذ",""),IF(AA630="","الجودة",""),IF(AB630="","الإغلاق",""),IF(AC630="","الخصم",""),IF(AND(COUNTA($O630:$U630)&gt;0,O630=""),"مدير المشروع",""),IF(AND(COUNTA($O630:$U630)&gt;0,P630=""),"المستفيدين",""),IF(AND(COUNTA($O630:$U630)&gt;0,Q630=""),"المناطق",""),IF(AND(COUNTA($O630:$U630)&gt;0,R630=""),"الميزانية",""),IF(AND(COUNTA($O630:$U630)&gt;0,S630=""),"نسبة الجاهزية",""),IF(AND(COUNTA($O630:$U630)&gt;0,T630=""),"حالة الجاهزية",""),IF(AND(COUNTA($O630:$U630)&gt;0,U630=""),"التوصيات","")))&gt;0,"✗ ناقص: "&amp;_xlfn.TEXTJOIN("، ",TRUE,IF(E630="","التاريخ",""),IF(F630="","الوقت",""),IF(G630="","المركز",""),IF(H630="","الدائرة",""),IF(I630="","القسم",""),IF(J630="","المسؤول",""),IF(K630="","نوع النشاط",""),IF(L630="","المشروع",""),IF(N630="","الممول",""),IF(V630="","الموضوع",""),IF(W630="","الملاحظة",""),IF(X630="","مشكلة",""),IF(Y630="","الإجراء",""),IF(Z630="","التنفيذ",""),IF(AA630="","الجودة",""),IF(AB630="","الإغلاق",""),IF(AC630="","الخصم",""),IF(AND(COUNTA($O630:$U630)&gt;0,O630=""),"مدير المشروع",""),IF(AND(COUNTA($O630:$U630)&gt;0,P630=""),"المستفيدين",""),IF(AND(COUNTA($O630:$U630)&gt;0,Q630=""),"المناطق",""),IF(AND(COUNTA($O630:$U630)&gt;0,R630=""),"الميزانية",""),IF(AND(COUNTA($O630:$U630)&gt;0,S630=""),"نسبة الجاهزية",""),IF(AND(COUNTA($O630:$U630)&gt;0,T630=""),"حالة الجاهزية",""),IF(AND(COUNTA($O630:$U630)&gt;0,U630=""),"التوصيات","")),"✓"),"✓"))))))))))</f>
        <v/>
      </c>
      <c r="E630" s="235"/>
      <c r="F630" s="236"/>
      <c r="G630" s="90"/>
      <c r="H630" s="239"/>
      <c r="I630" s="89"/>
      <c r="J630" s="142"/>
      <c r="K630" s="90"/>
      <c r="L630" s="90"/>
      <c r="M630" s="90"/>
      <c r="N630" s="89"/>
      <c r="O630" s="200"/>
      <c r="P630" s="201"/>
      <c r="Q630" s="201"/>
      <c r="R630" s="237"/>
      <c r="S630" s="202"/>
      <c r="T630" s="200"/>
      <c r="U630" s="203"/>
      <c r="V630" s="89"/>
      <c r="W630" s="89"/>
      <c r="X630" s="145"/>
      <c r="Y630" s="89"/>
      <c r="Z630" s="90"/>
      <c r="AA630" s="90"/>
      <c r="AB630" s="90"/>
      <c r="AC630" s="90"/>
      <c r="AD630" s="92"/>
      <c r="AE630" s="149" t="str">
        <f>IFERROR(VLOOKUP(Z630,LISTS!$AL$2:$AM$1000,2,FALSE()),"")</f>
        <v/>
      </c>
      <c r="AF630" s="151" t="str">
        <f>IFERROR(VLOOKUP(AA630,LISTS!$AO$2:$AP$1000,2,FALSE()),"")</f>
        <v/>
      </c>
      <c r="AG630" s="152" t="str">
        <f>IFERROR(VLOOKUP(AB630,LISTS!$AR$2:$AS$1000,2,FALSE()),"")</f>
        <v/>
      </c>
      <c r="AH630" s="154" t="str">
        <f>IFERROR(VLOOKUP(AC630,LISTS!$AU$2:$AV$1000,2,FALSE()),"")</f>
        <v/>
      </c>
      <c r="AI630" s="238" t="str">
        <f t="shared" si="48"/>
        <v>—</v>
      </c>
      <c r="AJ630" s="190" t="str">
        <f t="shared" si="49"/>
        <v>—</v>
      </c>
      <c r="AK630" s="157" t="str">
        <f t="shared" si="50"/>
        <v/>
      </c>
      <c r="AL630" s="160" t="str">
        <f t="shared" si="51"/>
        <v/>
      </c>
      <c r="AM630" s="210"/>
      <c r="AN630" s="209"/>
    </row>
    <row r="631" spans="1:40" ht="27.95" customHeight="1">
      <c r="A631" s="134" t="str">
        <f>IF(I631&lt;&gt;"",COUNTA($I$2:I631),"")</f>
        <v/>
      </c>
      <c r="B631" s="138" t="str">
        <f t="shared" si="52"/>
        <v/>
      </c>
      <c r="C631" s="93" t="str">
        <f t="array" ref="C631">IF(E631="","",IF(M631&lt;&gt;"",
M631&amp;"/"&amp;SUMPRODUCT((M$2:M631=M631)*1)&amp;" - "&amp;(ROW()-2),
"إداري/"&amp;SUMPRODUCT((M$2:M631="")*1)&amp;" - "&amp;(ROW()-2)))</f>
        <v/>
      </c>
      <c r="D631" s="141" t="str">
        <f>IF(AND(G631="",H631="",I631=""),"",IF(COUNTIFS(LISTS!$A$2:$A$67,G631,LISTS!$B$2:$B$67,H631,LISTS!$C$2:$C$67,I631)=0,"✗ هرم",IF(NOT(OR(Z631="ممتاز 100%",Z631="جيد 80%",Z631="مقبول 60%",Z631="خطر 40%",Z631="")),"✗ قائمة R",IF(NOT(OR(AA631="ممتاز 100%",AA631="جيد 85%",AA631="مقبول 70%",AA631="ضعيف 50%",AA631="")),"✗ قائمة S",IF(NOT(OR(AB631="مكتمل 100%",AB631="جزئي 60%",AB631="معلق 30%",AB631="مفتوح 0%",AB631="")),"✗ قائمة T",IF(NOT(OR(AC631="لا خصم 0",AC631="تأخير −5",AC631="عجز −10",AC631="جودة −15",AC631="امتثال −20",AC631="مخالفة −25",AC631="")),"✗ قائمة U",IF(AND(X631="لا",AC631&lt;&gt;"",AC631&lt;&gt;"لا خصم 0"),"✗ خصم",IF(AND(X631="نعم",AC631="لا خصم 0"),"✗ خصم",IF(AND(Z631="ممتاز 100%",AA631="ممتاز 100%",AB631&lt;&gt;"",AB631&lt;&gt;"مكتمل 100%"),"✗ إغلاق",IFERROR(IF(LEN(_xlfn.TEXTJOIN("، ",TRUE,IF(E631="","التاريخ",""),IF(F631="","الوقت",""),IF(G631="","المركز",""),IF(H631="","الدائرة",""),IF(I631="","القسم",""),IF(J631="","المسؤول",""),IF(K631="","نوع النشاط",""),IF(L631="","المشروع",""),IF(N631="","الممول",""),IF(V631="","الموضوع",""),IF(W631="","الملاحظة",""),IF(X631="","مشكلة",""),IF(Y631="","الإجراء",""),IF(Z631="","التنفيذ",""),IF(AA631="","الجودة",""),IF(AB631="","الإغلاق",""),IF(AC631="","الخصم",""),IF(AND(COUNTA($O631:$U631)&gt;0,O631=""),"مدير المشروع",""),IF(AND(COUNTA($O631:$U631)&gt;0,P631=""),"المستفيدين",""),IF(AND(COUNTA($O631:$U631)&gt;0,Q631=""),"المناطق",""),IF(AND(COUNTA($O631:$U631)&gt;0,R631=""),"الميزانية",""),IF(AND(COUNTA($O631:$U631)&gt;0,S631=""),"نسبة الجاهزية",""),IF(AND(COUNTA($O631:$U631)&gt;0,T631=""),"حالة الجاهزية",""),IF(AND(COUNTA($O631:$U631)&gt;0,U631=""),"التوصيات","")))&gt;0,"✗ ناقص: "&amp;_xlfn.TEXTJOIN("، ",TRUE,IF(E631="","التاريخ",""),IF(F631="","الوقت",""),IF(G631="","المركز",""),IF(H631="","الدائرة",""),IF(I631="","القسم",""),IF(J631="","المسؤول",""),IF(K631="","نوع النشاط",""),IF(L631="","المشروع",""),IF(N631="","الممول",""),IF(V631="","الموضوع",""),IF(W631="","الملاحظة",""),IF(X631="","مشكلة",""),IF(Y631="","الإجراء",""),IF(Z631="","التنفيذ",""),IF(AA631="","الجودة",""),IF(AB631="","الإغلاق",""),IF(AC631="","الخصم",""),IF(AND(COUNTA($O631:$U631)&gt;0,O631=""),"مدير المشروع",""),IF(AND(COUNTA($O631:$U631)&gt;0,P631=""),"المستفيدين",""),IF(AND(COUNTA($O631:$U631)&gt;0,Q631=""),"المناطق",""),IF(AND(COUNTA($O631:$U631)&gt;0,R631=""),"الميزانية",""),IF(AND(COUNTA($O631:$U631)&gt;0,S631=""),"نسبة الجاهزية",""),IF(AND(COUNTA($O631:$U631)&gt;0,T631=""),"حالة الجاهزية",""),IF(AND(COUNTA($O631:$U631)&gt;0,U631=""),"التوصيات","")),"✓"),"✓"))))))))))</f>
        <v/>
      </c>
      <c r="E631" s="235"/>
      <c r="F631" s="236"/>
      <c r="G631" s="90"/>
      <c r="H631" s="239"/>
      <c r="I631" s="89"/>
      <c r="J631" s="142"/>
      <c r="K631" s="90"/>
      <c r="L631" s="90"/>
      <c r="M631" s="90"/>
      <c r="N631" s="89"/>
      <c r="O631" s="200"/>
      <c r="P631" s="201"/>
      <c r="Q631" s="201"/>
      <c r="R631" s="237"/>
      <c r="S631" s="202"/>
      <c r="T631" s="200"/>
      <c r="U631" s="203"/>
      <c r="V631" s="89"/>
      <c r="W631" s="89"/>
      <c r="X631" s="145"/>
      <c r="Y631" s="89"/>
      <c r="Z631" s="90"/>
      <c r="AA631" s="90"/>
      <c r="AB631" s="90"/>
      <c r="AC631" s="90"/>
      <c r="AD631" s="92"/>
      <c r="AE631" s="149" t="str">
        <f>IFERROR(VLOOKUP(Z631,LISTS!$AL$2:$AM$1000,2,FALSE()),"")</f>
        <v/>
      </c>
      <c r="AF631" s="151" t="str">
        <f>IFERROR(VLOOKUP(AA631,LISTS!$AO$2:$AP$1000,2,FALSE()),"")</f>
        <v/>
      </c>
      <c r="AG631" s="152" t="str">
        <f>IFERROR(VLOOKUP(AB631,LISTS!$AR$2:$AS$1000,2,FALSE()),"")</f>
        <v/>
      </c>
      <c r="AH631" s="154" t="str">
        <f>IFERROR(VLOOKUP(AC631,LISTS!$AU$2:$AV$1000,2,FALSE()),"")</f>
        <v/>
      </c>
      <c r="AI631" s="238" t="str">
        <f t="shared" si="48"/>
        <v>—</v>
      </c>
      <c r="AJ631" s="190" t="str">
        <f t="shared" si="49"/>
        <v>—</v>
      </c>
      <c r="AK631" s="157" t="str">
        <f t="shared" si="50"/>
        <v/>
      </c>
      <c r="AL631" s="160" t="str">
        <f t="shared" si="51"/>
        <v/>
      </c>
      <c r="AM631" s="210"/>
      <c r="AN631" s="209"/>
    </row>
    <row r="632" spans="1:40" ht="27.95" customHeight="1">
      <c r="A632" s="134" t="str">
        <f>IF(I632&lt;&gt;"",COUNTA($I$2:I632),"")</f>
        <v/>
      </c>
      <c r="B632" s="138" t="str">
        <f t="shared" si="52"/>
        <v/>
      </c>
      <c r="C632" s="93" t="str">
        <f t="array" ref="C632">IF(E632="","",IF(M632&lt;&gt;"",
M632&amp;"/"&amp;SUMPRODUCT((M$2:M632=M632)*1)&amp;" - "&amp;(ROW()-2),
"إداري/"&amp;SUMPRODUCT((M$2:M632="")*1)&amp;" - "&amp;(ROW()-2)))</f>
        <v/>
      </c>
      <c r="D632" s="141" t="str">
        <f>IF(AND(G632="",H632="",I632=""),"",IF(COUNTIFS(LISTS!$A$2:$A$67,G632,LISTS!$B$2:$B$67,H632,LISTS!$C$2:$C$67,I632)=0,"✗ هرم",IF(NOT(OR(Z632="ممتاز 100%",Z632="جيد 80%",Z632="مقبول 60%",Z632="خطر 40%",Z632="")),"✗ قائمة R",IF(NOT(OR(AA632="ممتاز 100%",AA632="جيد 85%",AA632="مقبول 70%",AA632="ضعيف 50%",AA632="")),"✗ قائمة S",IF(NOT(OR(AB632="مكتمل 100%",AB632="جزئي 60%",AB632="معلق 30%",AB632="مفتوح 0%",AB632="")),"✗ قائمة T",IF(NOT(OR(AC632="لا خصم 0",AC632="تأخير −5",AC632="عجز −10",AC632="جودة −15",AC632="امتثال −20",AC632="مخالفة −25",AC632="")),"✗ قائمة U",IF(AND(X632="لا",AC632&lt;&gt;"",AC632&lt;&gt;"لا خصم 0"),"✗ خصم",IF(AND(X632="نعم",AC632="لا خصم 0"),"✗ خصم",IF(AND(Z632="ممتاز 100%",AA632="ممتاز 100%",AB632&lt;&gt;"",AB632&lt;&gt;"مكتمل 100%"),"✗ إغلاق",IFERROR(IF(LEN(_xlfn.TEXTJOIN("، ",TRUE,IF(E632="","التاريخ",""),IF(F632="","الوقت",""),IF(G632="","المركز",""),IF(H632="","الدائرة",""),IF(I632="","القسم",""),IF(J632="","المسؤول",""),IF(K632="","نوع النشاط",""),IF(L632="","المشروع",""),IF(N632="","الممول",""),IF(V632="","الموضوع",""),IF(W632="","الملاحظة",""),IF(X632="","مشكلة",""),IF(Y632="","الإجراء",""),IF(Z632="","التنفيذ",""),IF(AA632="","الجودة",""),IF(AB632="","الإغلاق",""),IF(AC632="","الخصم",""),IF(AND(COUNTA($O632:$U632)&gt;0,O632=""),"مدير المشروع",""),IF(AND(COUNTA($O632:$U632)&gt;0,P632=""),"المستفيدين",""),IF(AND(COUNTA($O632:$U632)&gt;0,Q632=""),"المناطق",""),IF(AND(COUNTA($O632:$U632)&gt;0,R632=""),"الميزانية",""),IF(AND(COUNTA($O632:$U632)&gt;0,S632=""),"نسبة الجاهزية",""),IF(AND(COUNTA($O632:$U632)&gt;0,T632=""),"حالة الجاهزية",""),IF(AND(COUNTA($O632:$U632)&gt;0,U632=""),"التوصيات","")))&gt;0,"✗ ناقص: "&amp;_xlfn.TEXTJOIN("، ",TRUE,IF(E632="","التاريخ",""),IF(F632="","الوقت",""),IF(G632="","المركز",""),IF(H632="","الدائرة",""),IF(I632="","القسم",""),IF(J632="","المسؤول",""),IF(K632="","نوع النشاط",""),IF(L632="","المشروع",""),IF(N632="","الممول",""),IF(V632="","الموضوع",""),IF(W632="","الملاحظة",""),IF(X632="","مشكلة",""),IF(Y632="","الإجراء",""),IF(Z632="","التنفيذ",""),IF(AA632="","الجودة",""),IF(AB632="","الإغلاق",""),IF(AC632="","الخصم",""),IF(AND(COUNTA($O632:$U632)&gt;0,O632=""),"مدير المشروع",""),IF(AND(COUNTA($O632:$U632)&gt;0,P632=""),"المستفيدين",""),IF(AND(COUNTA($O632:$U632)&gt;0,Q632=""),"المناطق",""),IF(AND(COUNTA($O632:$U632)&gt;0,R632=""),"الميزانية",""),IF(AND(COUNTA($O632:$U632)&gt;0,S632=""),"نسبة الجاهزية",""),IF(AND(COUNTA($O632:$U632)&gt;0,T632=""),"حالة الجاهزية",""),IF(AND(COUNTA($O632:$U632)&gt;0,U632=""),"التوصيات","")),"✓"),"✓"))))))))))</f>
        <v/>
      </c>
      <c r="E632" s="235"/>
      <c r="F632" s="236"/>
      <c r="G632" s="90"/>
      <c r="H632" s="239"/>
      <c r="I632" s="89"/>
      <c r="J632" s="142"/>
      <c r="K632" s="90"/>
      <c r="L632" s="90"/>
      <c r="M632" s="90"/>
      <c r="N632" s="89"/>
      <c r="O632" s="200"/>
      <c r="P632" s="201"/>
      <c r="Q632" s="201"/>
      <c r="R632" s="237"/>
      <c r="S632" s="202"/>
      <c r="T632" s="200"/>
      <c r="U632" s="203"/>
      <c r="V632" s="89"/>
      <c r="W632" s="89"/>
      <c r="X632" s="145"/>
      <c r="Y632" s="89"/>
      <c r="Z632" s="90"/>
      <c r="AA632" s="90"/>
      <c r="AB632" s="90"/>
      <c r="AC632" s="90"/>
      <c r="AD632" s="92"/>
      <c r="AE632" s="149" t="str">
        <f>IFERROR(VLOOKUP(Z632,LISTS!$AL$2:$AM$1000,2,FALSE()),"")</f>
        <v/>
      </c>
      <c r="AF632" s="151" t="str">
        <f>IFERROR(VLOOKUP(AA632,LISTS!$AO$2:$AP$1000,2,FALSE()),"")</f>
        <v/>
      </c>
      <c r="AG632" s="152" t="str">
        <f>IFERROR(VLOOKUP(AB632,LISTS!$AR$2:$AS$1000,2,FALSE()),"")</f>
        <v/>
      </c>
      <c r="AH632" s="154" t="str">
        <f>IFERROR(VLOOKUP(AC632,LISTS!$AU$2:$AV$1000,2,FALSE()),"")</f>
        <v/>
      </c>
      <c r="AI632" s="238" t="str">
        <f t="shared" si="48"/>
        <v>—</v>
      </c>
      <c r="AJ632" s="190" t="str">
        <f t="shared" si="49"/>
        <v>—</v>
      </c>
      <c r="AK632" s="157" t="str">
        <f t="shared" si="50"/>
        <v/>
      </c>
      <c r="AL632" s="160" t="str">
        <f t="shared" si="51"/>
        <v/>
      </c>
      <c r="AM632" s="210"/>
      <c r="AN632" s="209"/>
    </row>
    <row r="633" spans="1:40" ht="27.95" customHeight="1">
      <c r="A633" s="134" t="str">
        <f>IF(I633&lt;&gt;"",COUNTA($I$2:I633),"")</f>
        <v/>
      </c>
      <c r="B633" s="138" t="str">
        <f t="shared" si="52"/>
        <v/>
      </c>
      <c r="C633" s="93" t="str">
        <f t="array" ref="C633">IF(E633="","",IF(M633&lt;&gt;"",
M633&amp;"/"&amp;SUMPRODUCT((M$2:M633=M633)*1)&amp;" - "&amp;(ROW()-2),
"إداري/"&amp;SUMPRODUCT((M$2:M633="")*1)&amp;" - "&amp;(ROW()-2)))</f>
        <v/>
      </c>
      <c r="D633" s="141" t="str">
        <f>IF(AND(G633="",H633="",I633=""),"",IF(COUNTIFS(LISTS!$A$2:$A$67,G633,LISTS!$B$2:$B$67,H633,LISTS!$C$2:$C$67,I633)=0,"✗ هرم",IF(NOT(OR(Z633="ممتاز 100%",Z633="جيد 80%",Z633="مقبول 60%",Z633="خطر 40%",Z633="")),"✗ قائمة R",IF(NOT(OR(AA633="ممتاز 100%",AA633="جيد 85%",AA633="مقبول 70%",AA633="ضعيف 50%",AA633="")),"✗ قائمة S",IF(NOT(OR(AB633="مكتمل 100%",AB633="جزئي 60%",AB633="معلق 30%",AB633="مفتوح 0%",AB633="")),"✗ قائمة T",IF(NOT(OR(AC633="لا خصم 0",AC633="تأخير −5",AC633="عجز −10",AC633="جودة −15",AC633="امتثال −20",AC633="مخالفة −25",AC633="")),"✗ قائمة U",IF(AND(X633="لا",AC633&lt;&gt;"",AC633&lt;&gt;"لا خصم 0"),"✗ خصم",IF(AND(X633="نعم",AC633="لا خصم 0"),"✗ خصم",IF(AND(Z633="ممتاز 100%",AA633="ممتاز 100%",AB633&lt;&gt;"",AB633&lt;&gt;"مكتمل 100%"),"✗ إغلاق",IFERROR(IF(LEN(_xlfn.TEXTJOIN("، ",TRUE,IF(E633="","التاريخ",""),IF(F633="","الوقت",""),IF(G633="","المركز",""),IF(H633="","الدائرة",""),IF(I633="","القسم",""),IF(J633="","المسؤول",""),IF(K633="","نوع النشاط",""),IF(L633="","المشروع",""),IF(N633="","الممول",""),IF(V633="","الموضوع",""),IF(W633="","الملاحظة",""),IF(X633="","مشكلة",""),IF(Y633="","الإجراء",""),IF(Z633="","التنفيذ",""),IF(AA633="","الجودة",""),IF(AB633="","الإغلاق",""),IF(AC633="","الخصم",""),IF(AND(COUNTA($O633:$U633)&gt;0,O633=""),"مدير المشروع",""),IF(AND(COUNTA($O633:$U633)&gt;0,P633=""),"المستفيدين",""),IF(AND(COUNTA($O633:$U633)&gt;0,Q633=""),"المناطق",""),IF(AND(COUNTA($O633:$U633)&gt;0,R633=""),"الميزانية",""),IF(AND(COUNTA($O633:$U633)&gt;0,S633=""),"نسبة الجاهزية",""),IF(AND(COUNTA($O633:$U633)&gt;0,T633=""),"حالة الجاهزية",""),IF(AND(COUNTA($O633:$U633)&gt;0,U633=""),"التوصيات","")))&gt;0,"✗ ناقص: "&amp;_xlfn.TEXTJOIN("، ",TRUE,IF(E633="","التاريخ",""),IF(F633="","الوقت",""),IF(G633="","المركز",""),IF(H633="","الدائرة",""),IF(I633="","القسم",""),IF(J633="","المسؤول",""),IF(K633="","نوع النشاط",""),IF(L633="","المشروع",""),IF(N633="","الممول",""),IF(V633="","الموضوع",""),IF(W633="","الملاحظة",""),IF(X633="","مشكلة",""),IF(Y633="","الإجراء",""),IF(Z633="","التنفيذ",""),IF(AA633="","الجودة",""),IF(AB633="","الإغلاق",""),IF(AC633="","الخصم",""),IF(AND(COUNTA($O633:$U633)&gt;0,O633=""),"مدير المشروع",""),IF(AND(COUNTA($O633:$U633)&gt;0,P633=""),"المستفيدين",""),IF(AND(COUNTA($O633:$U633)&gt;0,Q633=""),"المناطق",""),IF(AND(COUNTA($O633:$U633)&gt;0,R633=""),"الميزانية",""),IF(AND(COUNTA($O633:$U633)&gt;0,S633=""),"نسبة الجاهزية",""),IF(AND(COUNTA($O633:$U633)&gt;0,T633=""),"حالة الجاهزية",""),IF(AND(COUNTA($O633:$U633)&gt;0,U633=""),"التوصيات","")),"✓"),"✓"))))))))))</f>
        <v/>
      </c>
      <c r="E633" s="235"/>
      <c r="F633" s="236"/>
      <c r="G633" s="90"/>
      <c r="H633" s="239"/>
      <c r="I633" s="89"/>
      <c r="J633" s="142"/>
      <c r="K633" s="90"/>
      <c r="L633" s="90"/>
      <c r="M633" s="90"/>
      <c r="N633" s="89"/>
      <c r="O633" s="200"/>
      <c r="P633" s="201"/>
      <c r="Q633" s="201"/>
      <c r="R633" s="237"/>
      <c r="S633" s="202"/>
      <c r="T633" s="200"/>
      <c r="U633" s="203"/>
      <c r="V633" s="89"/>
      <c r="W633" s="89"/>
      <c r="X633" s="145"/>
      <c r="Y633" s="89"/>
      <c r="Z633" s="90"/>
      <c r="AA633" s="90"/>
      <c r="AB633" s="90"/>
      <c r="AC633" s="90"/>
      <c r="AD633" s="92"/>
      <c r="AE633" s="149" t="str">
        <f>IFERROR(VLOOKUP(Z633,LISTS!$AL$2:$AM$1000,2,FALSE()),"")</f>
        <v/>
      </c>
      <c r="AF633" s="151" t="str">
        <f>IFERROR(VLOOKUP(AA633,LISTS!$AO$2:$AP$1000,2,FALSE()),"")</f>
        <v/>
      </c>
      <c r="AG633" s="152" t="str">
        <f>IFERROR(VLOOKUP(AB633,LISTS!$AR$2:$AS$1000,2,FALSE()),"")</f>
        <v/>
      </c>
      <c r="AH633" s="154" t="str">
        <f>IFERROR(VLOOKUP(AC633,LISTS!$AU$2:$AV$1000,2,FALSE()),"")</f>
        <v/>
      </c>
      <c r="AI633" s="238" t="str">
        <f t="shared" si="48"/>
        <v>—</v>
      </c>
      <c r="AJ633" s="190" t="str">
        <f t="shared" si="49"/>
        <v>—</v>
      </c>
      <c r="AK633" s="157" t="str">
        <f t="shared" si="50"/>
        <v/>
      </c>
      <c r="AL633" s="160" t="str">
        <f t="shared" si="51"/>
        <v/>
      </c>
      <c r="AM633" s="210"/>
      <c r="AN633" s="209"/>
    </row>
    <row r="634" spans="1:40" ht="27.95" customHeight="1">
      <c r="A634" s="134" t="str">
        <f>IF(I634&lt;&gt;"",COUNTA($I$2:I634),"")</f>
        <v/>
      </c>
      <c r="B634" s="138" t="str">
        <f t="shared" si="52"/>
        <v/>
      </c>
      <c r="C634" s="93" t="str">
        <f t="array" ref="C634">IF(E634="","",IF(M634&lt;&gt;"",
M634&amp;"/"&amp;SUMPRODUCT((M$2:M634=M634)*1)&amp;" - "&amp;(ROW()-2),
"إداري/"&amp;SUMPRODUCT((M$2:M634="")*1)&amp;" - "&amp;(ROW()-2)))</f>
        <v/>
      </c>
      <c r="D634" s="141" t="str">
        <f>IF(AND(G634="",H634="",I634=""),"",IF(COUNTIFS(LISTS!$A$2:$A$67,G634,LISTS!$B$2:$B$67,H634,LISTS!$C$2:$C$67,I634)=0,"✗ هرم",IF(NOT(OR(Z634="ممتاز 100%",Z634="جيد 80%",Z634="مقبول 60%",Z634="خطر 40%",Z634="")),"✗ قائمة R",IF(NOT(OR(AA634="ممتاز 100%",AA634="جيد 85%",AA634="مقبول 70%",AA634="ضعيف 50%",AA634="")),"✗ قائمة S",IF(NOT(OR(AB634="مكتمل 100%",AB634="جزئي 60%",AB634="معلق 30%",AB634="مفتوح 0%",AB634="")),"✗ قائمة T",IF(NOT(OR(AC634="لا خصم 0",AC634="تأخير −5",AC634="عجز −10",AC634="جودة −15",AC634="امتثال −20",AC634="مخالفة −25",AC634="")),"✗ قائمة U",IF(AND(X634="لا",AC634&lt;&gt;"",AC634&lt;&gt;"لا خصم 0"),"✗ خصم",IF(AND(X634="نعم",AC634="لا خصم 0"),"✗ خصم",IF(AND(Z634="ممتاز 100%",AA634="ممتاز 100%",AB634&lt;&gt;"",AB634&lt;&gt;"مكتمل 100%"),"✗ إغلاق",IFERROR(IF(LEN(_xlfn.TEXTJOIN("، ",TRUE,IF(E634="","التاريخ",""),IF(F634="","الوقت",""),IF(G634="","المركز",""),IF(H634="","الدائرة",""),IF(I634="","القسم",""),IF(J634="","المسؤول",""),IF(K634="","نوع النشاط",""),IF(L634="","المشروع",""),IF(N634="","الممول",""),IF(V634="","الموضوع",""),IF(W634="","الملاحظة",""),IF(X634="","مشكلة",""),IF(Y634="","الإجراء",""),IF(Z634="","التنفيذ",""),IF(AA634="","الجودة",""),IF(AB634="","الإغلاق",""),IF(AC634="","الخصم",""),IF(AND(COUNTA($O634:$U634)&gt;0,O634=""),"مدير المشروع",""),IF(AND(COUNTA($O634:$U634)&gt;0,P634=""),"المستفيدين",""),IF(AND(COUNTA($O634:$U634)&gt;0,Q634=""),"المناطق",""),IF(AND(COUNTA($O634:$U634)&gt;0,R634=""),"الميزانية",""),IF(AND(COUNTA($O634:$U634)&gt;0,S634=""),"نسبة الجاهزية",""),IF(AND(COUNTA($O634:$U634)&gt;0,T634=""),"حالة الجاهزية",""),IF(AND(COUNTA($O634:$U634)&gt;0,U634=""),"التوصيات","")))&gt;0,"✗ ناقص: "&amp;_xlfn.TEXTJOIN("، ",TRUE,IF(E634="","التاريخ",""),IF(F634="","الوقت",""),IF(G634="","المركز",""),IF(H634="","الدائرة",""),IF(I634="","القسم",""),IF(J634="","المسؤول",""),IF(K634="","نوع النشاط",""),IF(L634="","المشروع",""),IF(N634="","الممول",""),IF(V634="","الموضوع",""),IF(W634="","الملاحظة",""),IF(X634="","مشكلة",""),IF(Y634="","الإجراء",""),IF(Z634="","التنفيذ",""),IF(AA634="","الجودة",""),IF(AB634="","الإغلاق",""),IF(AC634="","الخصم",""),IF(AND(COUNTA($O634:$U634)&gt;0,O634=""),"مدير المشروع",""),IF(AND(COUNTA($O634:$U634)&gt;0,P634=""),"المستفيدين",""),IF(AND(COUNTA($O634:$U634)&gt;0,Q634=""),"المناطق",""),IF(AND(COUNTA($O634:$U634)&gt;0,R634=""),"الميزانية",""),IF(AND(COUNTA($O634:$U634)&gt;0,S634=""),"نسبة الجاهزية",""),IF(AND(COUNTA($O634:$U634)&gt;0,T634=""),"حالة الجاهزية",""),IF(AND(COUNTA($O634:$U634)&gt;0,U634=""),"التوصيات","")),"✓"),"✓"))))))))))</f>
        <v/>
      </c>
      <c r="E634" s="235"/>
      <c r="F634" s="236"/>
      <c r="G634" s="90"/>
      <c r="H634" s="239"/>
      <c r="I634" s="89"/>
      <c r="J634" s="142"/>
      <c r="K634" s="90"/>
      <c r="L634" s="90"/>
      <c r="M634" s="90"/>
      <c r="N634" s="89"/>
      <c r="O634" s="200"/>
      <c r="P634" s="201"/>
      <c r="Q634" s="201"/>
      <c r="R634" s="237"/>
      <c r="S634" s="202"/>
      <c r="T634" s="200"/>
      <c r="U634" s="203"/>
      <c r="V634" s="89"/>
      <c r="W634" s="89"/>
      <c r="X634" s="145"/>
      <c r="Y634" s="89"/>
      <c r="Z634" s="90"/>
      <c r="AA634" s="90"/>
      <c r="AB634" s="90"/>
      <c r="AC634" s="90"/>
      <c r="AD634" s="92"/>
      <c r="AE634" s="149" t="str">
        <f>IFERROR(VLOOKUP(Z634,LISTS!$AL$2:$AM$1000,2,FALSE()),"")</f>
        <v/>
      </c>
      <c r="AF634" s="151" t="str">
        <f>IFERROR(VLOOKUP(AA634,LISTS!$AO$2:$AP$1000,2,FALSE()),"")</f>
        <v/>
      </c>
      <c r="AG634" s="152" t="str">
        <f>IFERROR(VLOOKUP(AB634,LISTS!$AR$2:$AS$1000,2,FALSE()),"")</f>
        <v/>
      </c>
      <c r="AH634" s="154" t="str">
        <f>IFERROR(VLOOKUP(AC634,LISTS!$AU$2:$AV$1000,2,FALSE()),"")</f>
        <v/>
      </c>
      <c r="AI634" s="238" t="str">
        <f t="shared" si="48"/>
        <v>—</v>
      </c>
      <c r="AJ634" s="190" t="str">
        <f t="shared" si="49"/>
        <v>—</v>
      </c>
      <c r="AK634" s="157" t="str">
        <f t="shared" si="50"/>
        <v/>
      </c>
      <c r="AL634" s="160" t="str">
        <f t="shared" si="51"/>
        <v/>
      </c>
      <c r="AM634" s="210"/>
      <c r="AN634" s="209"/>
    </row>
    <row r="635" spans="1:40" ht="27.95" customHeight="1">
      <c r="A635" s="134" t="str">
        <f>IF(I635&lt;&gt;"",COUNTA($I$2:I635),"")</f>
        <v/>
      </c>
      <c r="B635" s="138" t="str">
        <f t="shared" si="52"/>
        <v/>
      </c>
      <c r="C635" s="93" t="str">
        <f t="array" ref="C635">IF(E635="","",IF(M635&lt;&gt;"",
M635&amp;"/"&amp;SUMPRODUCT((M$2:M635=M635)*1)&amp;" - "&amp;(ROW()-2),
"إداري/"&amp;SUMPRODUCT((M$2:M635="")*1)&amp;" - "&amp;(ROW()-2)))</f>
        <v/>
      </c>
      <c r="D635" s="141" t="str">
        <f>IF(AND(G635="",H635="",I635=""),"",IF(COUNTIFS(LISTS!$A$2:$A$67,G635,LISTS!$B$2:$B$67,H635,LISTS!$C$2:$C$67,I635)=0,"✗ هرم",IF(NOT(OR(Z635="ممتاز 100%",Z635="جيد 80%",Z635="مقبول 60%",Z635="خطر 40%",Z635="")),"✗ قائمة R",IF(NOT(OR(AA635="ممتاز 100%",AA635="جيد 85%",AA635="مقبول 70%",AA635="ضعيف 50%",AA635="")),"✗ قائمة S",IF(NOT(OR(AB635="مكتمل 100%",AB635="جزئي 60%",AB635="معلق 30%",AB635="مفتوح 0%",AB635="")),"✗ قائمة T",IF(NOT(OR(AC635="لا خصم 0",AC635="تأخير −5",AC635="عجز −10",AC635="جودة −15",AC635="امتثال −20",AC635="مخالفة −25",AC635="")),"✗ قائمة U",IF(AND(X635="لا",AC635&lt;&gt;"",AC635&lt;&gt;"لا خصم 0"),"✗ خصم",IF(AND(X635="نعم",AC635="لا خصم 0"),"✗ خصم",IF(AND(Z635="ممتاز 100%",AA635="ممتاز 100%",AB635&lt;&gt;"",AB635&lt;&gt;"مكتمل 100%"),"✗ إغلاق",IFERROR(IF(LEN(_xlfn.TEXTJOIN("، ",TRUE,IF(E635="","التاريخ",""),IF(F635="","الوقت",""),IF(G635="","المركز",""),IF(H635="","الدائرة",""),IF(I635="","القسم",""),IF(J635="","المسؤول",""),IF(K635="","نوع النشاط",""),IF(L635="","المشروع",""),IF(N635="","الممول",""),IF(V635="","الموضوع",""),IF(W635="","الملاحظة",""),IF(X635="","مشكلة",""),IF(Y635="","الإجراء",""),IF(Z635="","التنفيذ",""),IF(AA635="","الجودة",""),IF(AB635="","الإغلاق",""),IF(AC635="","الخصم",""),IF(AND(COUNTA($O635:$U635)&gt;0,O635=""),"مدير المشروع",""),IF(AND(COUNTA($O635:$U635)&gt;0,P635=""),"المستفيدين",""),IF(AND(COUNTA($O635:$U635)&gt;0,Q635=""),"المناطق",""),IF(AND(COUNTA($O635:$U635)&gt;0,R635=""),"الميزانية",""),IF(AND(COUNTA($O635:$U635)&gt;0,S635=""),"نسبة الجاهزية",""),IF(AND(COUNTA($O635:$U635)&gt;0,T635=""),"حالة الجاهزية",""),IF(AND(COUNTA($O635:$U635)&gt;0,U635=""),"التوصيات","")))&gt;0,"✗ ناقص: "&amp;_xlfn.TEXTJOIN("، ",TRUE,IF(E635="","التاريخ",""),IF(F635="","الوقت",""),IF(G635="","المركز",""),IF(H635="","الدائرة",""),IF(I635="","القسم",""),IF(J635="","المسؤول",""),IF(K635="","نوع النشاط",""),IF(L635="","المشروع",""),IF(N635="","الممول",""),IF(V635="","الموضوع",""),IF(W635="","الملاحظة",""),IF(X635="","مشكلة",""),IF(Y635="","الإجراء",""),IF(Z635="","التنفيذ",""),IF(AA635="","الجودة",""),IF(AB635="","الإغلاق",""),IF(AC635="","الخصم",""),IF(AND(COUNTA($O635:$U635)&gt;0,O635=""),"مدير المشروع",""),IF(AND(COUNTA($O635:$U635)&gt;0,P635=""),"المستفيدين",""),IF(AND(COUNTA($O635:$U635)&gt;0,Q635=""),"المناطق",""),IF(AND(COUNTA($O635:$U635)&gt;0,R635=""),"الميزانية",""),IF(AND(COUNTA($O635:$U635)&gt;0,S635=""),"نسبة الجاهزية",""),IF(AND(COUNTA($O635:$U635)&gt;0,T635=""),"حالة الجاهزية",""),IF(AND(COUNTA($O635:$U635)&gt;0,U635=""),"التوصيات","")),"✓"),"✓"))))))))))</f>
        <v/>
      </c>
      <c r="E635" s="235"/>
      <c r="F635" s="236"/>
      <c r="G635" s="90"/>
      <c r="H635" s="239"/>
      <c r="I635" s="89"/>
      <c r="J635" s="142"/>
      <c r="K635" s="90"/>
      <c r="L635" s="90"/>
      <c r="M635" s="90"/>
      <c r="N635" s="89"/>
      <c r="O635" s="200"/>
      <c r="P635" s="201"/>
      <c r="Q635" s="201"/>
      <c r="R635" s="237"/>
      <c r="S635" s="202"/>
      <c r="T635" s="200"/>
      <c r="U635" s="203"/>
      <c r="V635" s="89"/>
      <c r="W635" s="89"/>
      <c r="X635" s="145"/>
      <c r="Y635" s="89"/>
      <c r="Z635" s="90"/>
      <c r="AA635" s="90"/>
      <c r="AB635" s="90"/>
      <c r="AC635" s="90"/>
      <c r="AD635" s="92"/>
      <c r="AE635" s="149" t="str">
        <f>IFERROR(VLOOKUP(Z635,LISTS!$AL$2:$AM$1000,2,FALSE()),"")</f>
        <v/>
      </c>
      <c r="AF635" s="151" t="str">
        <f>IFERROR(VLOOKUP(AA635,LISTS!$AO$2:$AP$1000,2,FALSE()),"")</f>
        <v/>
      </c>
      <c r="AG635" s="152" t="str">
        <f>IFERROR(VLOOKUP(AB635,LISTS!$AR$2:$AS$1000,2,FALSE()),"")</f>
        <v/>
      </c>
      <c r="AH635" s="154" t="str">
        <f>IFERROR(VLOOKUP(AC635,LISTS!$AU$2:$AV$1000,2,FALSE()),"")</f>
        <v/>
      </c>
      <c r="AI635" s="238" t="str">
        <f t="shared" si="48"/>
        <v>—</v>
      </c>
      <c r="AJ635" s="190" t="str">
        <f t="shared" si="49"/>
        <v>—</v>
      </c>
      <c r="AK635" s="157" t="str">
        <f t="shared" si="50"/>
        <v/>
      </c>
      <c r="AL635" s="160" t="str">
        <f t="shared" si="51"/>
        <v/>
      </c>
      <c r="AM635" s="210"/>
      <c r="AN635" s="209"/>
    </row>
    <row r="636" spans="1:40" ht="27.95" customHeight="1">
      <c r="A636" s="134" t="str">
        <f>IF(I636&lt;&gt;"",COUNTA($I$2:I636),"")</f>
        <v/>
      </c>
      <c r="B636" s="138" t="str">
        <f t="shared" si="52"/>
        <v/>
      </c>
      <c r="C636" s="93" t="str">
        <f t="array" ref="C636">IF(E636="","",IF(M636&lt;&gt;"",
M636&amp;"/"&amp;SUMPRODUCT((M$2:M636=M636)*1)&amp;" - "&amp;(ROW()-2),
"إداري/"&amp;SUMPRODUCT((M$2:M636="")*1)&amp;" - "&amp;(ROW()-2)))</f>
        <v/>
      </c>
      <c r="D636" s="141" t="str">
        <f>IF(AND(G636="",H636="",I636=""),"",IF(COUNTIFS(LISTS!$A$2:$A$67,G636,LISTS!$B$2:$B$67,H636,LISTS!$C$2:$C$67,I636)=0,"✗ هرم",IF(NOT(OR(Z636="ممتاز 100%",Z636="جيد 80%",Z636="مقبول 60%",Z636="خطر 40%",Z636="")),"✗ قائمة R",IF(NOT(OR(AA636="ممتاز 100%",AA636="جيد 85%",AA636="مقبول 70%",AA636="ضعيف 50%",AA636="")),"✗ قائمة S",IF(NOT(OR(AB636="مكتمل 100%",AB636="جزئي 60%",AB636="معلق 30%",AB636="مفتوح 0%",AB636="")),"✗ قائمة T",IF(NOT(OR(AC636="لا خصم 0",AC636="تأخير −5",AC636="عجز −10",AC636="جودة −15",AC636="امتثال −20",AC636="مخالفة −25",AC636="")),"✗ قائمة U",IF(AND(X636="لا",AC636&lt;&gt;"",AC636&lt;&gt;"لا خصم 0"),"✗ خصم",IF(AND(X636="نعم",AC636="لا خصم 0"),"✗ خصم",IF(AND(Z636="ممتاز 100%",AA636="ممتاز 100%",AB636&lt;&gt;"",AB636&lt;&gt;"مكتمل 100%"),"✗ إغلاق",IFERROR(IF(LEN(_xlfn.TEXTJOIN("، ",TRUE,IF(E636="","التاريخ",""),IF(F636="","الوقت",""),IF(G636="","المركز",""),IF(H636="","الدائرة",""),IF(I636="","القسم",""),IF(J636="","المسؤول",""),IF(K636="","نوع النشاط",""),IF(L636="","المشروع",""),IF(N636="","الممول",""),IF(V636="","الموضوع",""),IF(W636="","الملاحظة",""),IF(X636="","مشكلة",""),IF(Y636="","الإجراء",""),IF(Z636="","التنفيذ",""),IF(AA636="","الجودة",""),IF(AB636="","الإغلاق",""),IF(AC636="","الخصم",""),IF(AND(COUNTA($O636:$U636)&gt;0,O636=""),"مدير المشروع",""),IF(AND(COUNTA($O636:$U636)&gt;0,P636=""),"المستفيدين",""),IF(AND(COUNTA($O636:$U636)&gt;0,Q636=""),"المناطق",""),IF(AND(COUNTA($O636:$U636)&gt;0,R636=""),"الميزانية",""),IF(AND(COUNTA($O636:$U636)&gt;0,S636=""),"نسبة الجاهزية",""),IF(AND(COUNTA($O636:$U636)&gt;0,T636=""),"حالة الجاهزية",""),IF(AND(COUNTA($O636:$U636)&gt;0,U636=""),"التوصيات","")))&gt;0,"✗ ناقص: "&amp;_xlfn.TEXTJOIN("، ",TRUE,IF(E636="","التاريخ",""),IF(F636="","الوقت",""),IF(G636="","المركز",""),IF(H636="","الدائرة",""),IF(I636="","القسم",""),IF(J636="","المسؤول",""),IF(K636="","نوع النشاط",""),IF(L636="","المشروع",""),IF(N636="","الممول",""),IF(V636="","الموضوع",""),IF(W636="","الملاحظة",""),IF(X636="","مشكلة",""),IF(Y636="","الإجراء",""),IF(Z636="","التنفيذ",""),IF(AA636="","الجودة",""),IF(AB636="","الإغلاق",""),IF(AC636="","الخصم",""),IF(AND(COUNTA($O636:$U636)&gt;0,O636=""),"مدير المشروع",""),IF(AND(COUNTA($O636:$U636)&gt;0,P636=""),"المستفيدين",""),IF(AND(COUNTA($O636:$U636)&gt;0,Q636=""),"المناطق",""),IF(AND(COUNTA($O636:$U636)&gt;0,R636=""),"الميزانية",""),IF(AND(COUNTA($O636:$U636)&gt;0,S636=""),"نسبة الجاهزية",""),IF(AND(COUNTA($O636:$U636)&gt;0,T636=""),"حالة الجاهزية",""),IF(AND(COUNTA($O636:$U636)&gt;0,U636=""),"التوصيات","")),"✓"),"✓"))))))))))</f>
        <v/>
      </c>
      <c r="E636" s="235"/>
      <c r="F636" s="236"/>
      <c r="G636" s="90"/>
      <c r="H636" s="239"/>
      <c r="I636" s="89"/>
      <c r="J636" s="142"/>
      <c r="K636" s="90"/>
      <c r="L636" s="90"/>
      <c r="M636" s="90"/>
      <c r="N636" s="89"/>
      <c r="O636" s="200"/>
      <c r="P636" s="201"/>
      <c r="Q636" s="201"/>
      <c r="R636" s="237"/>
      <c r="S636" s="202"/>
      <c r="T636" s="200"/>
      <c r="U636" s="203"/>
      <c r="V636" s="89"/>
      <c r="W636" s="89"/>
      <c r="X636" s="145"/>
      <c r="Y636" s="89"/>
      <c r="Z636" s="90"/>
      <c r="AA636" s="90"/>
      <c r="AB636" s="90"/>
      <c r="AC636" s="90"/>
      <c r="AD636" s="92"/>
      <c r="AE636" s="149" t="str">
        <f>IFERROR(VLOOKUP(Z636,LISTS!$AL$2:$AM$1000,2,FALSE()),"")</f>
        <v/>
      </c>
      <c r="AF636" s="151" t="str">
        <f>IFERROR(VLOOKUP(AA636,LISTS!$AO$2:$AP$1000,2,FALSE()),"")</f>
        <v/>
      </c>
      <c r="AG636" s="152" t="str">
        <f>IFERROR(VLOOKUP(AB636,LISTS!$AR$2:$AS$1000,2,FALSE()),"")</f>
        <v/>
      </c>
      <c r="AH636" s="154" t="str">
        <f>IFERROR(VLOOKUP(AC636,LISTS!$AU$2:$AV$1000,2,FALSE()),"")</f>
        <v/>
      </c>
      <c r="AI636" s="238" t="str">
        <f t="shared" si="48"/>
        <v>—</v>
      </c>
      <c r="AJ636" s="190" t="str">
        <f t="shared" si="49"/>
        <v>—</v>
      </c>
      <c r="AK636" s="157" t="str">
        <f t="shared" si="50"/>
        <v/>
      </c>
      <c r="AL636" s="160" t="str">
        <f t="shared" si="51"/>
        <v/>
      </c>
      <c r="AM636" s="210"/>
      <c r="AN636" s="209"/>
    </row>
    <row r="637" spans="1:40" ht="27.95" customHeight="1">
      <c r="A637" s="134" t="str">
        <f>IF(I637&lt;&gt;"",COUNTA($I$2:I637),"")</f>
        <v/>
      </c>
      <c r="B637" s="138" t="str">
        <f t="shared" si="52"/>
        <v/>
      </c>
      <c r="C637" s="93" t="str">
        <f t="array" ref="C637">IF(E637="","",IF(M637&lt;&gt;"",
M637&amp;"/"&amp;SUMPRODUCT((M$2:M637=M637)*1)&amp;" - "&amp;(ROW()-2),
"إداري/"&amp;SUMPRODUCT((M$2:M637="")*1)&amp;" - "&amp;(ROW()-2)))</f>
        <v/>
      </c>
      <c r="D637" s="141" t="str">
        <f>IF(AND(G637="",H637="",I637=""),"",IF(COUNTIFS(LISTS!$A$2:$A$67,G637,LISTS!$B$2:$B$67,H637,LISTS!$C$2:$C$67,I637)=0,"✗ هرم",IF(NOT(OR(Z637="ممتاز 100%",Z637="جيد 80%",Z637="مقبول 60%",Z637="خطر 40%",Z637="")),"✗ قائمة R",IF(NOT(OR(AA637="ممتاز 100%",AA637="جيد 85%",AA637="مقبول 70%",AA637="ضعيف 50%",AA637="")),"✗ قائمة S",IF(NOT(OR(AB637="مكتمل 100%",AB637="جزئي 60%",AB637="معلق 30%",AB637="مفتوح 0%",AB637="")),"✗ قائمة T",IF(NOT(OR(AC637="لا خصم 0",AC637="تأخير −5",AC637="عجز −10",AC637="جودة −15",AC637="امتثال −20",AC637="مخالفة −25",AC637="")),"✗ قائمة U",IF(AND(X637="لا",AC637&lt;&gt;"",AC637&lt;&gt;"لا خصم 0"),"✗ خصم",IF(AND(X637="نعم",AC637="لا خصم 0"),"✗ خصم",IF(AND(Z637="ممتاز 100%",AA637="ممتاز 100%",AB637&lt;&gt;"",AB637&lt;&gt;"مكتمل 100%"),"✗ إغلاق",IFERROR(IF(LEN(_xlfn.TEXTJOIN("، ",TRUE,IF(E637="","التاريخ",""),IF(F637="","الوقت",""),IF(G637="","المركز",""),IF(H637="","الدائرة",""),IF(I637="","القسم",""),IF(J637="","المسؤول",""),IF(K637="","نوع النشاط",""),IF(L637="","المشروع",""),IF(N637="","الممول",""),IF(V637="","الموضوع",""),IF(W637="","الملاحظة",""),IF(X637="","مشكلة",""),IF(Y637="","الإجراء",""),IF(Z637="","التنفيذ",""),IF(AA637="","الجودة",""),IF(AB637="","الإغلاق",""),IF(AC637="","الخصم",""),IF(AND(COUNTA($O637:$U637)&gt;0,O637=""),"مدير المشروع",""),IF(AND(COUNTA($O637:$U637)&gt;0,P637=""),"المستفيدين",""),IF(AND(COUNTA($O637:$U637)&gt;0,Q637=""),"المناطق",""),IF(AND(COUNTA($O637:$U637)&gt;0,R637=""),"الميزانية",""),IF(AND(COUNTA($O637:$U637)&gt;0,S637=""),"نسبة الجاهزية",""),IF(AND(COUNTA($O637:$U637)&gt;0,T637=""),"حالة الجاهزية",""),IF(AND(COUNTA($O637:$U637)&gt;0,U637=""),"التوصيات","")))&gt;0,"✗ ناقص: "&amp;_xlfn.TEXTJOIN("، ",TRUE,IF(E637="","التاريخ",""),IF(F637="","الوقت",""),IF(G637="","المركز",""),IF(H637="","الدائرة",""),IF(I637="","القسم",""),IF(J637="","المسؤول",""),IF(K637="","نوع النشاط",""),IF(L637="","المشروع",""),IF(N637="","الممول",""),IF(V637="","الموضوع",""),IF(W637="","الملاحظة",""),IF(X637="","مشكلة",""),IF(Y637="","الإجراء",""),IF(Z637="","التنفيذ",""),IF(AA637="","الجودة",""),IF(AB637="","الإغلاق",""),IF(AC637="","الخصم",""),IF(AND(COUNTA($O637:$U637)&gt;0,O637=""),"مدير المشروع",""),IF(AND(COUNTA($O637:$U637)&gt;0,P637=""),"المستفيدين",""),IF(AND(COUNTA($O637:$U637)&gt;0,Q637=""),"المناطق",""),IF(AND(COUNTA($O637:$U637)&gt;0,R637=""),"الميزانية",""),IF(AND(COUNTA($O637:$U637)&gt;0,S637=""),"نسبة الجاهزية",""),IF(AND(COUNTA($O637:$U637)&gt;0,T637=""),"حالة الجاهزية",""),IF(AND(COUNTA($O637:$U637)&gt;0,U637=""),"التوصيات","")),"✓"),"✓"))))))))))</f>
        <v/>
      </c>
      <c r="E637" s="235"/>
      <c r="F637" s="236"/>
      <c r="G637" s="90"/>
      <c r="H637" s="239"/>
      <c r="I637" s="89"/>
      <c r="J637" s="142"/>
      <c r="K637" s="90"/>
      <c r="L637" s="90"/>
      <c r="M637" s="90"/>
      <c r="N637" s="89"/>
      <c r="O637" s="200"/>
      <c r="P637" s="201"/>
      <c r="Q637" s="201"/>
      <c r="R637" s="237"/>
      <c r="S637" s="202"/>
      <c r="T637" s="200"/>
      <c r="U637" s="203"/>
      <c r="V637" s="89"/>
      <c r="W637" s="89"/>
      <c r="X637" s="145"/>
      <c r="Y637" s="89"/>
      <c r="Z637" s="90"/>
      <c r="AA637" s="90"/>
      <c r="AB637" s="90"/>
      <c r="AC637" s="90"/>
      <c r="AD637" s="92"/>
      <c r="AE637" s="149" t="str">
        <f>IFERROR(VLOOKUP(Z637,LISTS!$AL$2:$AM$1000,2,FALSE()),"")</f>
        <v/>
      </c>
      <c r="AF637" s="151" t="str">
        <f>IFERROR(VLOOKUP(AA637,LISTS!$AO$2:$AP$1000,2,FALSE()),"")</f>
        <v/>
      </c>
      <c r="AG637" s="152" t="str">
        <f>IFERROR(VLOOKUP(AB637,LISTS!$AR$2:$AS$1000,2,FALSE()),"")</f>
        <v/>
      </c>
      <c r="AH637" s="154" t="str">
        <f>IFERROR(VLOOKUP(AC637,LISTS!$AU$2:$AV$1000,2,FALSE()),"")</f>
        <v/>
      </c>
      <c r="AI637" s="238" t="str">
        <f t="shared" si="48"/>
        <v>—</v>
      </c>
      <c r="AJ637" s="190" t="str">
        <f t="shared" si="49"/>
        <v>—</v>
      </c>
      <c r="AK637" s="157" t="str">
        <f t="shared" si="50"/>
        <v/>
      </c>
      <c r="AL637" s="160" t="str">
        <f t="shared" si="51"/>
        <v/>
      </c>
      <c r="AM637" s="210"/>
      <c r="AN637" s="209"/>
    </row>
    <row r="638" spans="1:40" ht="27.95" customHeight="1">
      <c r="A638" s="134" t="str">
        <f>IF(I638&lt;&gt;"",COUNTA($I$2:I638),"")</f>
        <v/>
      </c>
      <c r="B638" s="138" t="str">
        <f t="shared" si="52"/>
        <v/>
      </c>
      <c r="C638" s="93" t="str">
        <f t="array" ref="C638">IF(E638="","",IF(M638&lt;&gt;"",
M638&amp;"/"&amp;SUMPRODUCT((M$2:M638=M638)*1)&amp;" - "&amp;(ROW()-2),
"إداري/"&amp;SUMPRODUCT((M$2:M638="")*1)&amp;" - "&amp;(ROW()-2)))</f>
        <v/>
      </c>
      <c r="D638" s="141" t="str">
        <f>IF(AND(G638="",H638="",I638=""),"",IF(COUNTIFS(LISTS!$A$2:$A$67,G638,LISTS!$B$2:$B$67,H638,LISTS!$C$2:$C$67,I638)=0,"✗ هرم",IF(NOT(OR(Z638="ممتاز 100%",Z638="جيد 80%",Z638="مقبول 60%",Z638="خطر 40%",Z638="")),"✗ قائمة R",IF(NOT(OR(AA638="ممتاز 100%",AA638="جيد 85%",AA638="مقبول 70%",AA638="ضعيف 50%",AA638="")),"✗ قائمة S",IF(NOT(OR(AB638="مكتمل 100%",AB638="جزئي 60%",AB638="معلق 30%",AB638="مفتوح 0%",AB638="")),"✗ قائمة T",IF(NOT(OR(AC638="لا خصم 0",AC638="تأخير −5",AC638="عجز −10",AC638="جودة −15",AC638="امتثال −20",AC638="مخالفة −25",AC638="")),"✗ قائمة U",IF(AND(X638="لا",AC638&lt;&gt;"",AC638&lt;&gt;"لا خصم 0"),"✗ خصم",IF(AND(X638="نعم",AC638="لا خصم 0"),"✗ خصم",IF(AND(Z638="ممتاز 100%",AA638="ممتاز 100%",AB638&lt;&gt;"",AB638&lt;&gt;"مكتمل 100%"),"✗ إغلاق",IFERROR(IF(LEN(_xlfn.TEXTJOIN("، ",TRUE,IF(E638="","التاريخ",""),IF(F638="","الوقت",""),IF(G638="","المركز",""),IF(H638="","الدائرة",""),IF(I638="","القسم",""),IF(J638="","المسؤول",""),IF(K638="","نوع النشاط",""),IF(L638="","المشروع",""),IF(N638="","الممول",""),IF(V638="","الموضوع",""),IF(W638="","الملاحظة",""),IF(X638="","مشكلة",""),IF(Y638="","الإجراء",""),IF(Z638="","التنفيذ",""),IF(AA638="","الجودة",""),IF(AB638="","الإغلاق",""),IF(AC638="","الخصم",""),IF(AND(COUNTA($O638:$U638)&gt;0,O638=""),"مدير المشروع",""),IF(AND(COUNTA($O638:$U638)&gt;0,P638=""),"المستفيدين",""),IF(AND(COUNTA($O638:$U638)&gt;0,Q638=""),"المناطق",""),IF(AND(COUNTA($O638:$U638)&gt;0,R638=""),"الميزانية",""),IF(AND(COUNTA($O638:$U638)&gt;0,S638=""),"نسبة الجاهزية",""),IF(AND(COUNTA($O638:$U638)&gt;0,T638=""),"حالة الجاهزية",""),IF(AND(COUNTA($O638:$U638)&gt;0,U638=""),"التوصيات","")))&gt;0,"✗ ناقص: "&amp;_xlfn.TEXTJOIN("، ",TRUE,IF(E638="","التاريخ",""),IF(F638="","الوقت",""),IF(G638="","المركز",""),IF(H638="","الدائرة",""),IF(I638="","القسم",""),IF(J638="","المسؤول",""),IF(K638="","نوع النشاط",""),IF(L638="","المشروع",""),IF(N638="","الممول",""),IF(V638="","الموضوع",""),IF(W638="","الملاحظة",""),IF(X638="","مشكلة",""),IF(Y638="","الإجراء",""),IF(Z638="","التنفيذ",""),IF(AA638="","الجودة",""),IF(AB638="","الإغلاق",""),IF(AC638="","الخصم",""),IF(AND(COUNTA($O638:$U638)&gt;0,O638=""),"مدير المشروع",""),IF(AND(COUNTA($O638:$U638)&gt;0,P638=""),"المستفيدين",""),IF(AND(COUNTA($O638:$U638)&gt;0,Q638=""),"المناطق",""),IF(AND(COUNTA($O638:$U638)&gt;0,R638=""),"الميزانية",""),IF(AND(COUNTA($O638:$U638)&gt;0,S638=""),"نسبة الجاهزية",""),IF(AND(COUNTA($O638:$U638)&gt;0,T638=""),"حالة الجاهزية",""),IF(AND(COUNTA($O638:$U638)&gt;0,U638=""),"التوصيات","")),"✓"),"✓"))))))))))</f>
        <v/>
      </c>
      <c r="E638" s="235"/>
      <c r="F638" s="236"/>
      <c r="G638" s="90"/>
      <c r="H638" s="239"/>
      <c r="I638" s="89"/>
      <c r="J638" s="142"/>
      <c r="K638" s="90"/>
      <c r="L638" s="90"/>
      <c r="M638" s="90"/>
      <c r="N638" s="89"/>
      <c r="O638" s="200"/>
      <c r="P638" s="201"/>
      <c r="Q638" s="201"/>
      <c r="R638" s="237"/>
      <c r="S638" s="202"/>
      <c r="T638" s="200"/>
      <c r="U638" s="203"/>
      <c r="V638" s="89"/>
      <c r="W638" s="89"/>
      <c r="X638" s="145"/>
      <c r="Y638" s="89"/>
      <c r="Z638" s="90"/>
      <c r="AA638" s="90"/>
      <c r="AB638" s="90"/>
      <c r="AC638" s="90"/>
      <c r="AD638" s="92"/>
      <c r="AE638" s="149" t="str">
        <f>IFERROR(VLOOKUP(Z638,LISTS!$AL$2:$AM$1000,2,FALSE()),"")</f>
        <v/>
      </c>
      <c r="AF638" s="151" t="str">
        <f>IFERROR(VLOOKUP(AA638,LISTS!$AO$2:$AP$1000,2,FALSE()),"")</f>
        <v/>
      </c>
      <c r="AG638" s="152" t="str">
        <f>IFERROR(VLOOKUP(AB638,LISTS!$AR$2:$AS$1000,2,FALSE()),"")</f>
        <v/>
      </c>
      <c r="AH638" s="154" t="str">
        <f>IFERROR(VLOOKUP(AC638,LISTS!$AU$2:$AV$1000,2,FALSE()),"")</f>
        <v/>
      </c>
      <c r="AI638" s="238" t="str">
        <f t="shared" si="48"/>
        <v>—</v>
      </c>
      <c r="AJ638" s="190" t="str">
        <f t="shared" si="49"/>
        <v>—</v>
      </c>
      <c r="AK638" s="157" t="str">
        <f t="shared" si="50"/>
        <v/>
      </c>
      <c r="AL638" s="160" t="str">
        <f t="shared" si="51"/>
        <v/>
      </c>
      <c r="AM638" s="210"/>
      <c r="AN638" s="209"/>
    </row>
    <row r="639" spans="1:40" ht="27.95" customHeight="1">
      <c r="A639" s="134" t="str">
        <f>IF(I639&lt;&gt;"",COUNTA($I$2:I639),"")</f>
        <v/>
      </c>
      <c r="B639" s="138" t="str">
        <f t="shared" si="52"/>
        <v/>
      </c>
      <c r="C639" s="93" t="str">
        <f t="array" ref="C639">IF(E639="","",IF(M639&lt;&gt;"",
M639&amp;"/"&amp;SUMPRODUCT((M$2:M639=M639)*1)&amp;" - "&amp;(ROW()-2),
"إداري/"&amp;SUMPRODUCT((M$2:M639="")*1)&amp;" - "&amp;(ROW()-2)))</f>
        <v/>
      </c>
      <c r="D639" s="141" t="str">
        <f>IF(AND(G639="",H639="",I639=""),"",IF(COUNTIFS(LISTS!$A$2:$A$67,G639,LISTS!$B$2:$B$67,H639,LISTS!$C$2:$C$67,I639)=0,"✗ هرم",IF(NOT(OR(Z639="ممتاز 100%",Z639="جيد 80%",Z639="مقبول 60%",Z639="خطر 40%",Z639="")),"✗ قائمة R",IF(NOT(OR(AA639="ممتاز 100%",AA639="جيد 85%",AA639="مقبول 70%",AA639="ضعيف 50%",AA639="")),"✗ قائمة S",IF(NOT(OR(AB639="مكتمل 100%",AB639="جزئي 60%",AB639="معلق 30%",AB639="مفتوح 0%",AB639="")),"✗ قائمة T",IF(NOT(OR(AC639="لا خصم 0",AC639="تأخير −5",AC639="عجز −10",AC639="جودة −15",AC639="امتثال −20",AC639="مخالفة −25",AC639="")),"✗ قائمة U",IF(AND(X639="لا",AC639&lt;&gt;"",AC639&lt;&gt;"لا خصم 0"),"✗ خصم",IF(AND(X639="نعم",AC639="لا خصم 0"),"✗ خصم",IF(AND(Z639="ممتاز 100%",AA639="ممتاز 100%",AB639&lt;&gt;"",AB639&lt;&gt;"مكتمل 100%"),"✗ إغلاق",IFERROR(IF(LEN(_xlfn.TEXTJOIN("، ",TRUE,IF(E639="","التاريخ",""),IF(F639="","الوقت",""),IF(G639="","المركز",""),IF(H639="","الدائرة",""),IF(I639="","القسم",""),IF(J639="","المسؤول",""),IF(K639="","نوع النشاط",""),IF(L639="","المشروع",""),IF(N639="","الممول",""),IF(V639="","الموضوع",""),IF(W639="","الملاحظة",""),IF(X639="","مشكلة",""),IF(Y639="","الإجراء",""),IF(Z639="","التنفيذ",""),IF(AA639="","الجودة",""),IF(AB639="","الإغلاق",""),IF(AC639="","الخصم",""),IF(AND(COUNTA($O639:$U639)&gt;0,O639=""),"مدير المشروع",""),IF(AND(COUNTA($O639:$U639)&gt;0,P639=""),"المستفيدين",""),IF(AND(COUNTA($O639:$U639)&gt;0,Q639=""),"المناطق",""),IF(AND(COUNTA($O639:$U639)&gt;0,R639=""),"الميزانية",""),IF(AND(COUNTA($O639:$U639)&gt;0,S639=""),"نسبة الجاهزية",""),IF(AND(COUNTA($O639:$U639)&gt;0,T639=""),"حالة الجاهزية",""),IF(AND(COUNTA($O639:$U639)&gt;0,U639=""),"التوصيات","")))&gt;0,"✗ ناقص: "&amp;_xlfn.TEXTJOIN("، ",TRUE,IF(E639="","التاريخ",""),IF(F639="","الوقت",""),IF(G639="","المركز",""),IF(H639="","الدائرة",""),IF(I639="","القسم",""),IF(J639="","المسؤول",""),IF(K639="","نوع النشاط",""),IF(L639="","المشروع",""),IF(N639="","الممول",""),IF(V639="","الموضوع",""),IF(W639="","الملاحظة",""),IF(X639="","مشكلة",""),IF(Y639="","الإجراء",""),IF(Z639="","التنفيذ",""),IF(AA639="","الجودة",""),IF(AB639="","الإغلاق",""),IF(AC639="","الخصم",""),IF(AND(COUNTA($O639:$U639)&gt;0,O639=""),"مدير المشروع",""),IF(AND(COUNTA($O639:$U639)&gt;0,P639=""),"المستفيدين",""),IF(AND(COUNTA($O639:$U639)&gt;0,Q639=""),"المناطق",""),IF(AND(COUNTA($O639:$U639)&gt;0,R639=""),"الميزانية",""),IF(AND(COUNTA($O639:$U639)&gt;0,S639=""),"نسبة الجاهزية",""),IF(AND(COUNTA($O639:$U639)&gt;0,T639=""),"حالة الجاهزية",""),IF(AND(COUNTA($O639:$U639)&gt;0,U639=""),"التوصيات","")),"✓"),"✓"))))))))))</f>
        <v/>
      </c>
      <c r="E639" s="235"/>
      <c r="F639" s="236"/>
      <c r="G639" s="90"/>
      <c r="H639" s="239"/>
      <c r="I639" s="89"/>
      <c r="J639" s="142"/>
      <c r="K639" s="90"/>
      <c r="L639" s="90"/>
      <c r="M639" s="90"/>
      <c r="N639" s="89"/>
      <c r="O639" s="200"/>
      <c r="P639" s="201"/>
      <c r="Q639" s="201"/>
      <c r="R639" s="237"/>
      <c r="S639" s="202"/>
      <c r="T639" s="200"/>
      <c r="U639" s="203"/>
      <c r="V639" s="89"/>
      <c r="W639" s="89"/>
      <c r="X639" s="145"/>
      <c r="Y639" s="89"/>
      <c r="Z639" s="90"/>
      <c r="AA639" s="90"/>
      <c r="AB639" s="90"/>
      <c r="AC639" s="90"/>
      <c r="AD639" s="92"/>
      <c r="AE639" s="149" t="str">
        <f>IFERROR(VLOOKUP(Z639,LISTS!$AL$2:$AM$1000,2,FALSE()),"")</f>
        <v/>
      </c>
      <c r="AF639" s="151" t="str">
        <f>IFERROR(VLOOKUP(AA639,LISTS!$AO$2:$AP$1000,2,FALSE()),"")</f>
        <v/>
      </c>
      <c r="AG639" s="152" t="str">
        <f>IFERROR(VLOOKUP(AB639,LISTS!$AR$2:$AS$1000,2,FALSE()),"")</f>
        <v/>
      </c>
      <c r="AH639" s="154" t="str">
        <f>IFERROR(VLOOKUP(AC639,LISTS!$AU$2:$AV$1000,2,FALSE()),"")</f>
        <v/>
      </c>
      <c r="AI639" s="238" t="str">
        <f t="shared" si="48"/>
        <v>—</v>
      </c>
      <c r="AJ639" s="190" t="str">
        <f t="shared" si="49"/>
        <v>—</v>
      </c>
      <c r="AK639" s="157" t="str">
        <f t="shared" si="50"/>
        <v/>
      </c>
      <c r="AL639" s="160" t="str">
        <f t="shared" si="51"/>
        <v/>
      </c>
      <c r="AM639" s="210"/>
      <c r="AN639" s="209"/>
    </row>
    <row r="640" spans="1:40" ht="27.95" customHeight="1">
      <c r="A640" s="134" t="str">
        <f>IF(I640&lt;&gt;"",COUNTA($I$2:I640),"")</f>
        <v/>
      </c>
      <c r="B640" s="138" t="str">
        <f t="shared" si="52"/>
        <v/>
      </c>
      <c r="C640" s="93" t="str">
        <f t="array" ref="C640">IF(E640="","",IF(M640&lt;&gt;"",
M640&amp;"/"&amp;SUMPRODUCT((M$2:M640=M640)*1)&amp;" - "&amp;(ROW()-2),
"إداري/"&amp;SUMPRODUCT((M$2:M640="")*1)&amp;" - "&amp;(ROW()-2)))</f>
        <v/>
      </c>
      <c r="D640" s="141" t="str">
        <f>IF(AND(G640="",H640="",I640=""),"",IF(COUNTIFS(LISTS!$A$2:$A$67,G640,LISTS!$B$2:$B$67,H640,LISTS!$C$2:$C$67,I640)=0,"✗ هرم",IF(NOT(OR(Z640="ممتاز 100%",Z640="جيد 80%",Z640="مقبول 60%",Z640="خطر 40%",Z640="")),"✗ قائمة R",IF(NOT(OR(AA640="ممتاز 100%",AA640="جيد 85%",AA640="مقبول 70%",AA640="ضعيف 50%",AA640="")),"✗ قائمة S",IF(NOT(OR(AB640="مكتمل 100%",AB640="جزئي 60%",AB640="معلق 30%",AB640="مفتوح 0%",AB640="")),"✗ قائمة T",IF(NOT(OR(AC640="لا خصم 0",AC640="تأخير −5",AC640="عجز −10",AC640="جودة −15",AC640="امتثال −20",AC640="مخالفة −25",AC640="")),"✗ قائمة U",IF(AND(X640="لا",AC640&lt;&gt;"",AC640&lt;&gt;"لا خصم 0"),"✗ خصم",IF(AND(X640="نعم",AC640="لا خصم 0"),"✗ خصم",IF(AND(Z640="ممتاز 100%",AA640="ممتاز 100%",AB640&lt;&gt;"",AB640&lt;&gt;"مكتمل 100%"),"✗ إغلاق",IFERROR(IF(LEN(_xlfn.TEXTJOIN("، ",TRUE,IF(E640="","التاريخ",""),IF(F640="","الوقت",""),IF(G640="","المركز",""),IF(H640="","الدائرة",""),IF(I640="","القسم",""),IF(J640="","المسؤول",""),IF(K640="","نوع النشاط",""),IF(L640="","المشروع",""),IF(N640="","الممول",""),IF(V640="","الموضوع",""),IF(W640="","الملاحظة",""),IF(X640="","مشكلة",""),IF(Y640="","الإجراء",""),IF(Z640="","التنفيذ",""),IF(AA640="","الجودة",""),IF(AB640="","الإغلاق",""),IF(AC640="","الخصم",""),IF(AND(COUNTA($O640:$U640)&gt;0,O640=""),"مدير المشروع",""),IF(AND(COUNTA($O640:$U640)&gt;0,P640=""),"المستفيدين",""),IF(AND(COUNTA($O640:$U640)&gt;0,Q640=""),"المناطق",""),IF(AND(COUNTA($O640:$U640)&gt;0,R640=""),"الميزانية",""),IF(AND(COUNTA($O640:$U640)&gt;0,S640=""),"نسبة الجاهزية",""),IF(AND(COUNTA($O640:$U640)&gt;0,T640=""),"حالة الجاهزية",""),IF(AND(COUNTA($O640:$U640)&gt;0,U640=""),"التوصيات","")))&gt;0,"✗ ناقص: "&amp;_xlfn.TEXTJOIN("، ",TRUE,IF(E640="","التاريخ",""),IF(F640="","الوقت",""),IF(G640="","المركز",""),IF(H640="","الدائرة",""),IF(I640="","القسم",""),IF(J640="","المسؤول",""),IF(K640="","نوع النشاط",""),IF(L640="","المشروع",""),IF(N640="","الممول",""),IF(V640="","الموضوع",""),IF(W640="","الملاحظة",""),IF(X640="","مشكلة",""),IF(Y640="","الإجراء",""),IF(Z640="","التنفيذ",""),IF(AA640="","الجودة",""),IF(AB640="","الإغلاق",""),IF(AC640="","الخصم",""),IF(AND(COUNTA($O640:$U640)&gt;0,O640=""),"مدير المشروع",""),IF(AND(COUNTA($O640:$U640)&gt;0,P640=""),"المستفيدين",""),IF(AND(COUNTA($O640:$U640)&gt;0,Q640=""),"المناطق",""),IF(AND(COUNTA($O640:$U640)&gt;0,R640=""),"الميزانية",""),IF(AND(COUNTA($O640:$U640)&gt;0,S640=""),"نسبة الجاهزية",""),IF(AND(COUNTA($O640:$U640)&gt;0,T640=""),"حالة الجاهزية",""),IF(AND(COUNTA($O640:$U640)&gt;0,U640=""),"التوصيات","")),"✓"),"✓"))))))))))</f>
        <v/>
      </c>
      <c r="E640" s="235"/>
      <c r="F640" s="236"/>
      <c r="G640" s="90"/>
      <c r="H640" s="239"/>
      <c r="I640" s="89"/>
      <c r="J640" s="142"/>
      <c r="K640" s="90"/>
      <c r="L640" s="90"/>
      <c r="M640" s="90"/>
      <c r="N640" s="89"/>
      <c r="O640" s="200"/>
      <c r="P640" s="201"/>
      <c r="Q640" s="201"/>
      <c r="R640" s="237"/>
      <c r="S640" s="202"/>
      <c r="T640" s="200"/>
      <c r="U640" s="203"/>
      <c r="V640" s="89"/>
      <c r="W640" s="89"/>
      <c r="X640" s="145"/>
      <c r="Y640" s="89"/>
      <c r="Z640" s="90"/>
      <c r="AA640" s="90"/>
      <c r="AB640" s="90"/>
      <c r="AC640" s="90"/>
      <c r="AD640" s="92"/>
      <c r="AE640" s="149" t="str">
        <f>IFERROR(VLOOKUP(Z640,LISTS!$AL$2:$AM$1000,2,FALSE()),"")</f>
        <v/>
      </c>
      <c r="AF640" s="151" t="str">
        <f>IFERROR(VLOOKUP(AA640,LISTS!$AO$2:$AP$1000,2,FALSE()),"")</f>
        <v/>
      </c>
      <c r="AG640" s="152" t="str">
        <f>IFERROR(VLOOKUP(AB640,LISTS!$AR$2:$AS$1000,2,FALSE()),"")</f>
        <v/>
      </c>
      <c r="AH640" s="154" t="str">
        <f>IFERROR(VLOOKUP(AC640,LISTS!$AU$2:$AV$1000,2,FALSE()),"")</f>
        <v/>
      </c>
      <c r="AI640" s="238" t="str">
        <f t="shared" si="48"/>
        <v>—</v>
      </c>
      <c r="AJ640" s="190" t="str">
        <f t="shared" si="49"/>
        <v>—</v>
      </c>
      <c r="AK640" s="157" t="str">
        <f t="shared" si="50"/>
        <v/>
      </c>
      <c r="AL640" s="160" t="str">
        <f t="shared" si="51"/>
        <v/>
      </c>
      <c r="AM640" s="210"/>
      <c r="AN640" s="209"/>
    </row>
    <row r="641" spans="1:40" ht="27.95" customHeight="1">
      <c r="A641" s="134" t="str">
        <f>IF(I641&lt;&gt;"",COUNTA($I$2:I641),"")</f>
        <v/>
      </c>
      <c r="B641" s="138" t="str">
        <f t="shared" si="52"/>
        <v/>
      </c>
      <c r="C641" s="93" t="str">
        <f t="array" ref="C641">IF(E641="","",IF(M641&lt;&gt;"",
M641&amp;"/"&amp;SUMPRODUCT((M$2:M641=M641)*1)&amp;" - "&amp;(ROW()-2),
"إداري/"&amp;SUMPRODUCT((M$2:M641="")*1)&amp;" - "&amp;(ROW()-2)))</f>
        <v/>
      </c>
      <c r="D641" s="141" t="str">
        <f>IF(AND(G641="",H641="",I641=""),"",IF(COUNTIFS(LISTS!$A$2:$A$67,G641,LISTS!$B$2:$B$67,H641,LISTS!$C$2:$C$67,I641)=0,"✗ هرم",IF(NOT(OR(Z641="ممتاز 100%",Z641="جيد 80%",Z641="مقبول 60%",Z641="خطر 40%",Z641="")),"✗ قائمة R",IF(NOT(OR(AA641="ممتاز 100%",AA641="جيد 85%",AA641="مقبول 70%",AA641="ضعيف 50%",AA641="")),"✗ قائمة S",IF(NOT(OR(AB641="مكتمل 100%",AB641="جزئي 60%",AB641="معلق 30%",AB641="مفتوح 0%",AB641="")),"✗ قائمة T",IF(NOT(OR(AC641="لا خصم 0",AC641="تأخير −5",AC641="عجز −10",AC641="جودة −15",AC641="امتثال −20",AC641="مخالفة −25",AC641="")),"✗ قائمة U",IF(AND(X641="لا",AC641&lt;&gt;"",AC641&lt;&gt;"لا خصم 0"),"✗ خصم",IF(AND(X641="نعم",AC641="لا خصم 0"),"✗ خصم",IF(AND(Z641="ممتاز 100%",AA641="ممتاز 100%",AB641&lt;&gt;"",AB641&lt;&gt;"مكتمل 100%"),"✗ إغلاق",IFERROR(IF(LEN(_xlfn.TEXTJOIN("، ",TRUE,IF(E641="","التاريخ",""),IF(F641="","الوقت",""),IF(G641="","المركز",""),IF(H641="","الدائرة",""),IF(I641="","القسم",""),IF(J641="","المسؤول",""),IF(K641="","نوع النشاط",""),IF(L641="","المشروع",""),IF(N641="","الممول",""),IF(V641="","الموضوع",""),IF(W641="","الملاحظة",""),IF(X641="","مشكلة",""),IF(Y641="","الإجراء",""),IF(Z641="","التنفيذ",""),IF(AA641="","الجودة",""),IF(AB641="","الإغلاق",""),IF(AC641="","الخصم",""),IF(AND(COUNTA($O641:$U641)&gt;0,O641=""),"مدير المشروع",""),IF(AND(COUNTA($O641:$U641)&gt;0,P641=""),"المستفيدين",""),IF(AND(COUNTA($O641:$U641)&gt;0,Q641=""),"المناطق",""),IF(AND(COUNTA($O641:$U641)&gt;0,R641=""),"الميزانية",""),IF(AND(COUNTA($O641:$U641)&gt;0,S641=""),"نسبة الجاهزية",""),IF(AND(COUNTA($O641:$U641)&gt;0,T641=""),"حالة الجاهزية",""),IF(AND(COUNTA($O641:$U641)&gt;0,U641=""),"التوصيات","")))&gt;0,"✗ ناقص: "&amp;_xlfn.TEXTJOIN("، ",TRUE,IF(E641="","التاريخ",""),IF(F641="","الوقت",""),IF(G641="","المركز",""),IF(H641="","الدائرة",""),IF(I641="","القسم",""),IF(J641="","المسؤول",""),IF(K641="","نوع النشاط",""),IF(L641="","المشروع",""),IF(N641="","الممول",""),IF(V641="","الموضوع",""),IF(W641="","الملاحظة",""),IF(X641="","مشكلة",""),IF(Y641="","الإجراء",""),IF(Z641="","التنفيذ",""),IF(AA641="","الجودة",""),IF(AB641="","الإغلاق",""),IF(AC641="","الخصم",""),IF(AND(COUNTA($O641:$U641)&gt;0,O641=""),"مدير المشروع",""),IF(AND(COUNTA($O641:$U641)&gt;0,P641=""),"المستفيدين",""),IF(AND(COUNTA($O641:$U641)&gt;0,Q641=""),"المناطق",""),IF(AND(COUNTA($O641:$U641)&gt;0,R641=""),"الميزانية",""),IF(AND(COUNTA($O641:$U641)&gt;0,S641=""),"نسبة الجاهزية",""),IF(AND(COUNTA($O641:$U641)&gt;0,T641=""),"حالة الجاهزية",""),IF(AND(COUNTA($O641:$U641)&gt;0,U641=""),"التوصيات","")),"✓"),"✓"))))))))))</f>
        <v/>
      </c>
      <c r="E641" s="235"/>
      <c r="F641" s="236"/>
      <c r="G641" s="90"/>
      <c r="H641" s="239"/>
      <c r="I641" s="89"/>
      <c r="J641" s="142"/>
      <c r="K641" s="90"/>
      <c r="L641" s="90"/>
      <c r="M641" s="90"/>
      <c r="N641" s="89"/>
      <c r="O641" s="200"/>
      <c r="P641" s="201"/>
      <c r="Q641" s="201"/>
      <c r="R641" s="237"/>
      <c r="S641" s="202"/>
      <c r="T641" s="200"/>
      <c r="U641" s="203"/>
      <c r="V641" s="89"/>
      <c r="W641" s="89"/>
      <c r="X641" s="145"/>
      <c r="Y641" s="89"/>
      <c r="Z641" s="90"/>
      <c r="AA641" s="90"/>
      <c r="AB641" s="90"/>
      <c r="AC641" s="90"/>
      <c r="AD641" s="92"/>
      <c r="AE641" s="149" t="str">
        <f>IFERROR(VLOOKUP(Z641,LISTS!$AL$2:$AM$1000,2,FALSE()),"")</f>
        <v/>
      </c>
      <c r="AF641" s="151" t="str">
        <f>IFERROR(VLOOKUP(AA641,LISTS!$AO$2:$AP$1000,2,FALSE()),"")</f>
        <v/>
      </c>
      <c r="AG641" s="152" t="str">
        <f>IFERROR(VLOOKUP(AB641,LISTS!$AR$2:$AS$1000,2,FALSE()),"")</f>
        <v/>
      </c>
      <c r="AH641" s="154" t="str">
        <f>IFERROR(VLOOKUP(AC641,LISTS!$AU$2:$AV$1000,2,FALSE()),"")</f>
        <v/>
      </c>
      <c r="AI641" s="238" t="str">
        <f t="shared" si="48"/>
        <v>—</v>
      </c>
      <c r="AJ641" s="190" t="str">
        <f t="shared" si="49"/>
        <v>—</v>
      </c>
      <c r="AK641" s="157" t="str">
        <f t="shared" si="50"/>
        <v/>
      </c>
      <c r="AL641" s="160" t="str">
        <f t="shared" si="51"/>
        <v/>
      </c>
      <c r="AM641" s="210"/>
      <c r="AN641" s="209"/>
    </row>
    <row r="642" spans="1:40" ht="27.95" customHeight="1">
      <c r="A642" s="134" t="str">
        <f>IF(I642&lt;&gt;"",COUNTA($I$2:I642),"")</f>
        <v/>
      </c>
      <c r="B642" s="138" t="str">
        <f t="shared" si="52"/>
        <v/>
      </c>
      <c r="C642" s="93" t="str">
        <f t="array" ref="C642">IF(E642="","",IF(M642&lt;&gt;"",
M642&amp;"/"&amp;SUMPRODUCT((M$2:M642=M642)*1)&amp;" - "&amp;(ROW()-2),
"إداري/"&amp;SUMPRODUCT((M$2:M642="")*1)&amp;" - "&amp;(ROW()-2)))</f>
        <v/>
      </c>
      <c r="D642" s="141" t="str">
        <f>IF(AND(G642="",H642="",I642=""),"",IF(COUNTIFS(LISTS!$A$2:$A$67,G642,LISTS!$B$2:$B$67,H642,LISTS!$C$2:$C$67,I642)=0,"✗ هرم",IF(NOT(OR(Z642="ممتاز 100%",Z642="جيد 80%",Z642="مقبول 60%",Z642="خطر 40%",Z642="")),"✗ قائمة R",IF(NOT(OR(AA642="ممتاز 100%",AA642="جيد 85%",AA642="مقبول 70%",AA642="ضعيف 50%",AA642="")),"✗ قائمة S",IF(NOT(OR(AB642="مكتمل 100%",AB642="جزئي 60%",AB642="معلق 30%",AB642="مفتوح 0%",AB642="")),"✗ قائمة T",IF(NOT(OR(AC642="لا خصم 0",AC642="تأخير −5",AC642="عجز −10",AC642="جودة −15",AC642="امتثال −20",AC642="مخالفة −25",AC642="")),"✗ قائمة U",IF(AND(X642="لا",AC642&lt;&gt;"",AC642&lt;&gt;"لا خصم 0"),"✗ خصم",IF(AND(X642="نعم",AC642="لا خصم 0"),"✗ خصم",IF(AND(Z642="ممتاز 100%",AA642="ممتاز 100%",AB642&lt;&gt;"",AB642&lt;&gt;"مكتمل 100%"),"✗ إغلاق",IFERROR(IF(LEN(_xlfn.TEXTJOIN("، ",TRUE,IF(E642="","التاريخ",""),IF(F642="","الوقت",""),IF(G642="","المركز",""),IF(H642="","الدائرة",""),IF(I642="","القسم",""),IF(J642="","المسؤول",""),IF(K642="","نوع النشاط",""),IF(L642="","المشروع",""),IF(N642="","الممول",""),IF(V642="","الموضوع",""),IF(W642="","الملاحظة",""),IF(X642="","مشكلة",""),IF(Y642="","الإجراء",""),IF(Z642="","التنفيذ",""),IF(AA642="","الجودة",""),IF(AB642="","الإغلاق",""),IF(AC642="","الخصم",""),IF(AND(COUNTA($O642:$U642)&gt;0,O642=""),"مدير المشروع",""),IF(AND(COUNTA($O642:$U642)&gt;0,P642=""),"المستفيدين",""),IF(AND(COUNTA($O642:$U642)&gt;0,Q642=""),"المناطق",""),IF(AND(COUNTA($O642:$U642)&gt;0,R642=""),"الميزانية",""),IF(AND(COUNTA($O642:$U642)&gt;0,S642=""),"نسبة الجاهزية",""),IF(AND(COUNTA($O642:$U642)&gt;0,T642=""),"حالة الجاهزية",""),IF(AND(COUNTA($O642:$U642)&gt;0,U642=""),"التوصيات","")))&gt;0,"✗ ناقص: "&amp;_xlfn.TEXTJOIN("، ",TRUE,IF(E642="","التاريخ",""),IF(F642="","الوقت",""),IF(G642="","المركز",""),IF(H642="","الدائرة",""),IF(I642="","القسم",""),IF(J642="","المسؤول",""),IF(K642="","نوع النشاط",""),IF(L642="","المشروع",""),IF(N642="","الممول",""),IF(V642="","الموضوع",""),IF(W642="","الملاحظة",""),IF(X642="","مشكلة",""),IF(Y642="","الإجراء",""),IF(Z642="","التنفيذ",""),IF(AA642="","الجودة",""),IF(AB642="","الإغلاق",""),IF(AC642="","الخصم",""),IF(AND(COUNTA($O642:$U642)&gt;0,O642=""),"مدير المشروع",""),IF(AND(COUNTA($O642:$U642)&gt;0,P642=""),"المستفيدين",""),IF(AND(COUNTA($O642:$U642)&gt;0,Q642=""),"المناطق",""),IF(AND(COUNTA($O642:$U642)&gt;0,R642=""),"الميزانية",""),IF(AND(COUNTA($O642:$U642)&gt;0,S642=""),"نسبة الجاهزية",""),IF(AND(COUNTA($O642:$U642)&gt;0,T642=""),"حالة الجاهزية",""),IF(AND(COUNTA($O642:$U642)&gt;0,U642=""),"التوصيات","")),"✓"),"✓"))))))))))</f>
        <v/>
      </c>
      <c r="E642" s="235"/>
      <c r="F642" s="236"/>
      <c r="G642" s="90"/>
      <c r="H642" s="239"/>
      <c r="I642" s="89"/>
      <c r="J642" s="142"/>
      <c r="K642" s="90"/>
      <c r="L642" s="90"/>
      <c r="M642" s="90"/>
      <c r="N642" s="89"/>
      <c r="O642" s="200"/>
      <c r="P642" s="201"/>
      <c r="Q642" s="201"/>
      <c r="R642" s="237"/>
      <c r="S642" s="202"/>
      <c r="T642" s="200"/>
      <c r="U642" s="203"/>
      <c r="V642" s="89"/>
      <c r="W642" s="89"/>
      <c r="X642" s="145"/>
      <c r="Y642" s="89"/>
      <c r="Z642" s="90"/>
      <c r="AA642" s="90"/>
      <c r="AB642" s="90"/>
      <c r="AC642" s="90"/>
      <c r="AD642" s="92"/>
      <c r="AE642" s="149" t="str">
        <f>IFERROR(VLOOKUP(Z642,LISTS!$AL$2:$AM$1000,2,FALSE()),"")</f>
        <v/>
      </c>
      <c r="AF642" s="151" t="str">
        <f>IFERROR(VLOOKUP(AA642,LISTS!$AO$2:$AP$1000,2,FALSE()),"")</f>
        <v/>
      </c>
      <c r="AG642" s="152" t="str">
        <f>IFERROR(VLOOKUP(AB642,LISTS!$AR$2:$AS$1000,2,FALSE()),"")</f>
        <v/>
      </c>
      <c r="AH642" s="154" t="str">
        <f>IFERROR(VLOOKUP(AC642,LISTS!$AU$2:$AV$1000,2,FALSE()),"")</f>
        <v/>
      </c>
      <c r="AI642" s="238" t="str">
        <f t="shared" ref="AI642:AI705" si="53">IF(OR(AE642="",AF642="",AG642=""),"—",IFERROR(ROUND(AE642*0.4+AF642*0.3+AG642*0.3-IF(ISNUMBER(AH642),AH642,0),1),"⚠️"))</f>
        <v>—</v>
      </c>
      <c r="AJ642" s="190" t="str">
        <f t="shared" ref="AJ642:AJ705" si="54">IF(AI642="—","—",IF(NOT(ISNUMBER(AI642)),"⚠️",IF(AI642&gt;=98,"🌟 ممتاز جدًا",IF(AI642&gt;=90,"⭐ ممتاز",IF(AI642&gt;=75,"🟢 جيد",IF(AI642&gt;=60,"🟡 مقبول",IF(AI642&gt;=40,"🔴 ضعيف","🚨 خطر شديد")))))))</f>
        <v>—</v>
      </c>
      <c r="AK642" s="157" t="str">
        <f t="shared" si="50"/>
        <v/>
      </c>
      <c r="AL642" s="160" t="str">
        <f t="shared" si="51"/>
        <v/>
      </c>
      <c r="AM642" s="210"/>
      <c r="AN642" s="209"/>
    </row>
    <row r="643" spans="1:40" ht="27.95" customHeight="1">
      <c r="A643" s="134" t="str">
        <f>IF(I643&lt;&gt;"",COUNTA($I$2:I643),"")</f>
        <v/>
      </c>
      <c r="B643" s="138" t="str">
        <f t="shared" si="52"/>
        <v/>
      </c>
      <c r="C643" s="93" t="str">
        <f t="array" ref="C643">IF(E643="","",IF(M643&lt;&gt;"",
M643&amp;"/"&amp;SUMPRODUCT((M$2:M643=M643)*1)&amp;" - "&amp;(ROW()-2),
"إداري/"&amp;SUMPRODUCT((M$2:M643="")*1)&amp;" - "&amp;(ROW()-2)))</f>
        <v/>
      </c>
      <c r="D643" s="141" t="str">
        <f>IF(AND(G643="",H643="",I643=""),"",IF(COUNTIFS(LISTS!$A$2:$A$67,G643,LISTS!$B$2:$B$67,H643,LISTS!$C$2:$C$67,I643)=0,"✗ هرم",IF(NOT(OR(Z643="ممتاز 100%",Z643="جيد 80%",Z643="مقبول 60%",Z643="خطر 40%",Z643="")),"✗ قائمة R",IF(NOT(OR(AA643="ممتاز 100%",AA643="جيد 85%",AA643="مقبول 70%",AA643="ضعيف 50%",AA643="")),"✗ قائمة S",IF(NOT(OR(AB643="مكتمل 100%",AB643="جزئي 60%",AB643="معلق 30%",AB643="مفتوح 0%",AB643="")),"✗ قائمة T",IF(NOT(OR(AC643="لا خصم 0",AC643="تأخير −5",AC643="عجز −10",AC643="جودة −15",AC643="امتثال −20",AC643="مخالفة −25",AC643="")),"✗ قائمة U",IF(AND(X643="لا",AC643&lt;&gt;"",AC643&lt;&gt;"لا خصم 0"),"✗ خصم",IF(AND(X643="نعم",AC643="لا خصم 0"),"✗ خصم",IF(AND(Z643="ممتاز 100%",AA643="ممتاز 100%",AB643&lt;&gt;"",AB643&lt;&gt;"مكتمل 100%"),"✗ إغلاق",IFERROR(IF(LEN(_xlfn.TEXTJOIN("، ",TRUE,IF(E643="","التاريخ",""),IF(F643="","الوقت",""),IF(G643="","المركز",""),IF(H643="","الدائرة",""),IF(I643="","القسم",""),IF(J643="","المسؤول",""),IF(K643="","نوع النشاط",""),IF(L643="","المشروع",""),IF(N643="","الممول",""),IF(V643="","الموضوع",""),IF(W643="","الملاحظة",""),IF(X643="","مشكلة",""),IF(Y643="","الإجراء",""),IF(Z643="","التنفيذ",""),IF(AA643="","الجودة",""),IF(AB643="","الإغلاق",""),IF(AC643="","الخصم",""),IF(AND(COUNTA($O643:$U643)&gt;0,O643=""),"مدير المشروع",""),IF(AND(COUNTA($O643:$U643)&gt;0,P643=""),"المستفيدين",""),IF(AND(COUNTA($O643:$U643)&gt;0,Q643=""),"المناطق",""),IF(AND(COUNTA($O643:$U643)&gt;0,R643=""),"الميزانية",""),IF(AND(COUNTA($O643:$U643)&gt;0,S643=""),"نسبة الجاهزية",""),IF(AND(COUNTA($O643:$U643)&gt;0,T643=""),"حالة الجاهزية",""),IF(AND(COUNTA($O643:$U643)&gt;0,U643=""),"التوصيات","")))&gt;0,"✗ ناقص: "&amp;_xlfn.TEXTJOIN("، ",TRUE,IF(E643="","التاريخ",""),IF(F643="","الوقت",""),IF(G643="","المركز",""),IF(H643="","الدائرة",""),IF(I643="","القسم",""),IF(J643="","المسؤول",""),IF(K643="","نوع النشاط",""),IF(L643="","المشروع",""),IF(N643="","الممول",""),IF(V643="","الموضوع",""),IF(W643="","الملاحظة",""),IF(X643="","مشكلة",""),IF(Y643="","الإجراء",""),IF(Z643="","التنفيذ",""),IF(AA643="","الجودة",""),IF(AB643="","الإغلاق",""),IF(AC643="","الخصم",""),IF(AND(COUNTA($O643:$U643)&gt;0,O643=""),"مدير المشروع",""),IF(AND(COUNTA($O643:$U643)&gt;0,P643=""),"المستفيدين",""),IF(AND(COUNTA($O643:$U643)&gt;0,Q643=""),"المناطق",""),IF(AND(COUNTA($O643:$U643)&gt;0,R643=""),"الميزانية",""),IF(AND(COUNTA($O643:$U643)&gt;0,S643=""),"نسبة الجاهزية",""),IF(AND(COUNTA($O643:$U643)&gt;0,T643=""),"حالة الجاهزية",""),IF(AND(COUNTA($O643:$U643)&gt;0,U643=""),"التوصيات","")),"✓"),"✓"))))))))))</f>
        <v/>
      </c>
      <c r="E643" s="235"/>
      <c r="F643" s="236"/>
      <c r="G643" s="90"/>
      <c r="H643" s="239"/>
      <c r="I643" s="89"/>
      <c r="J643" s="142"/>
      <c r="K643" s="90"/>
      <c r="L643" s="90"/>
      <c r="M643" s="90"/>
      <c r="N643" s="89"/>
      <c r="O643" s="200"/>
      <c r="P643" s="201"/>
      <c r="Q643" s="201"/>
      <c r="R643" s="237"/>
      <c r="S643" s="202"/>
      <c r="T643" s="200"/>
      <c r="U643" s="203"/>
      <c r="V643" s="89"/>
      <c r="W643" s="89"/>
      <c r="X643" s="145"/>
      <c r="Y643" s="89"/>
      <c r="Z643" s="90"/>
      <c r="AA643" s="90"/>
      <c r="AB643" s="90"/>
      <c r="AC643" s="90"/>
      <c r="AD643" s="92"/>
      <c r="AE643" s="149" t="str">
        <f>IFERROR(VLOOKUP(Z643,LISTS!$AL$2:$AM$1000,2,FALSE()),"")</f>
        <v/>
      </c>
      <c r="AF643" s="151" t="str">
        <f>IFERROR(VLOOKUP(AA643,LISTS!$AO$2:$AP$1000,2,FALSE()),"")</f>
        <v/>
      </c>
      <c r="AG643" s="152" t="str">
        <f>IFERROR(VLOOKUP(AB643,LISTS!$AR$2:$AS$1000,2,FALSE()),"")</f>
        <v/>
      </c>
      <c r="AH643" s="154" t="str">
        <f>IFERROR(VLOOKUP(AC643,LISTS!$AU$2:$AV$1000,2,FALSE()),"")</f>
        <v/>
      </c>
      <c r="AI643" s="238" t="str">
        <f t="shared" si="53"/>
        <v>—</v>
      </c>
      <c r="AJ643" s="190" t="str">
        <f t="shared" si="54"/>
        <v>—</v>
      </c>
      <c r="AK643" s="157" t="str">
        <f t="shared" si="50"/>
        <v/>
      </c>
      <c r="AL643" s="160" t="str">
        <f t="shared" si="51"/>
        <v/>
      </c>
      <c r="AM643" s="210"/>
      <c r="AN643" s="209"/>
    </row>
    <row r="644" spans="1:40" ht="27.95" customHeight="1">
      <c r="A644" s="134" t="str">
        <f>IF(I644&lt;&gt;"",COUNTA($I$2:I644),"")</f>
        <v/>
      </c>
      <c r="B644" s="138" t="str">
        <f t="shared" si="52"/>
        <v/>
      </c>
      <c r="C644" s="93" t="str">
        <f t="array" ref="C644">IF(E644="","",IF(M644&lt;&gt;"",
M644&amp;"/"&amp;SUMPRODUCT((M$2:M644=M644)*1)&amp;" - "&amp;(ROW()-2),
"إداري/"&amp;SUMPRODUCT((M$2:M644="")*1)&amp;" - "&amp;(ROW()-2)))</f>
        <v/>
      </c>
      <c r="D644" s="141" t="str">
        <f>IF(AND(G644="",H644="",I644=""),"",IF(COUNTIFS(LISTS!$A$2:$A$67,G644,LISTS!$B$2:$B$67,H644,LISTS!$C$2:$C$67,I644)=0,"✗ هرم",IF(NOT(OR(Z644="ممتاز 100%",Z644="جيد 80%",Z644="مقبول 60%",Z644="خطر 40%",Z644="")),"✗ قائمة R",IF(NOT(OR(AA644="ممتاز 100%",AA644="جيد 85%",AA644="مقبول 70%",AA644="ضعيف 50%",AA644="")),"✗ قائمة S",IF(NOT(OR(AB644="مكتمل 100%",AB644="جزئي 60%",AB644="معلق 30%",AB644="مفتوح 0%",AB644="")),"✗ قائمة T",IF(NOT(OR(AC644="لا خصم 0",AC644="تأخير −5",AC644="عجز −10",AC644="جودة −15",AC644="امتثال −20",AC644="مخالفة −25",AC644="")),"✗ قائمة U",IF(AND(X644="لا",AC644&lt;&gt;"",AC644&lt;&gt;"لا خصم 0"),"✗ خصم",IF(AND(X644="نعم",AC644="لا خصم 0"),"✗ خصم",IF(AND(Z644="ممتاز 100%",AA644="ممتاز 100%",AB644&lt;&gt;"",AB644&lt;&gt;"مكتمل 100%"),"✗ إغلاق",IFERROR(IF(LEN(_xlfn.TEXTJOIN("، ",TRUE,IF(E644="","التاريخ",""),IF(F644="","الوقت",""),IF(G644="","المركز",""),IF(H644="","الدائرة",""),IF(I644="","القسم",""),IF(J644="","المسؤول",""),IF(K644="","نوع النشاط",""),IF(L644="","المشروع",""),IF(N644="","الممول",""),IF(V644="","الموضوع",""),IF(W644="","الملاحظة",""),IF(X644="","مشكلة",""),IF(Y644="","الإجراء",""),IF(Z644="","التنفيذ",""),IF(AA644="","الجودة",""),IF(AB644="","الإغلاق",""),IF(AC644="","الخصم",""),IF(AND(COUNTA($O644:$U644)&gt;0,O644=""),"مدير المشروع",""),IF(AND(COUNTA($O644:$U644)&gt;0,P644=""),"المستفيدين",""),IF(AND(COUNTA($O644:$U644)&gt;0,Q644=""),"المناطق",""),IF(AND(COUNTA($O644:$U644)&gt;0,R644=""),"الميزانية",""),IF(AND(COUNTA($O644:$U644)&gt;0,S644=""),"نسبة الجاهزية",""),IF(AND(COUNTA($O644:$U644)&gt;0,T644=""),"حالة الجاهزية",""),IF(AND(COUNTA($O644:$U644)&gt;0,U644=""),"التوصيات","")))&gt;0,"✗ ناقص: "&amp;_xlfn.TEXTJOIN("، ",TRUE,IF(E644="","التاريخ",""),IF(F644="","الوقت",""),IF(G644="","المركز",""),IF(H644="","الدائرة",""),IF(I644="","القسم",""),IF(J644="","المسؤول",""),IF(K644="","نوع النشاط",""),IF(L644="","المشروع",""),IF(N644="","الممول",""),IF(V644="","الموضوع",""),IF(W644="","الملاحظة",""),IF(X644="","مشكلة",""),IF(Y644="","الإجراء",""),IF(Z644="","التنفيذ",""),IF(AA644="","الجودة",""),IF(AB644="","الإغلاق",""),IF(AC644="","الخصم",""),IF(AND(COUNTA($O644:$U644)&gt;0,O644=""),"مدير المشروع",""),IF(AND(COUNTA($O644:$U644)&gt;0,P644=""),"المستفيدين",""),IF(AND(COUNTA($O644:$U644)&gt;0,Q644=""),"المناطق",""),IF(AND(COUNTA($O644:$U644)&gt;0,R644=""),"الميزانية",""),IF(AND(COUNTA($O644:$U644)&gt;0,S644=""),"نسبة الجاهزية",""),IF(AND(COUNTA($O644:$U644)&gt;0,T644=""),"حالة الجاهزية",""),IF(AND(COUNTA($O644:$U644)&gt;0,U644=""),"التوصيات","")),"✓"),"✓"))))))))))</f>
        <v/>
      </c>
      <c r="E644" s="235"/>
      <c r="F644" s="236"/>
      <c r="G644" s="90"/>
      <c r="H644" s="239"/>
      <c r="I644" s="89"/>
      <c r="J644" s="142"/>
      <c r="K644" s="90"/>
      <c r="L644" s="90"/>
      <c r="M644" s="90"/>
      <c r="N644" s="89"/>
      <c r="O644" s="200"/>
      <c r="P644" s="201"/>
      <c r="Q644" s="201"/>
      <c r="R644" s="237"/>
      <c r="S644" s="202"/>
      <c r="T644" s="200"/>
      <c r="U644" s="203"/>
      <c r="V644" s="89"/>
      <c r="W644" s="89"/>
      <c r="X644" s="145"/>
      <c r="Y644" s="89"/>
      <c r="Z644" s="90"/>
      <c r="AA644" s="90"/>
      <c r="AB644" s="90"/>
      <c r="AC644" s="90"/>
      <c r="AD644" s="92"/>
      <c r="AE644" s="149" t="str">
        <f>IFERROR(VLOOKUP(Z644,LISTS!$AL$2:$AM$1000,2,FALSE()),"")</f>
        <v/>
      </c>
      <c r="AF644" s="151" t="str">
        <f>IFERROR(VLOOKUP(AA644,LISTS!$AO$2:$AP$1000,2,FALSE()),"")</f>
        <v/>
      </c>
      <c r="AG644" s="152" t="str">
        <f>IFERROR(VLOOKUP(AB644,LISTS!$AR$2:$AS$1000,2,FALSE()),"")</f>
        <v/>
      </c>
      <c r="AH644" s="154" t="str">
        <f>IFERROR(VLOOKUP(AC644,LISTS!$AU$2:$AV$1000,2,FALSE()),"")</f>
        <v/>
      </c>
      <c r="AI644" s="238" t="str">
        <f t="shared" si="53"/>
        <v>—</v>
      </c>
      <c r="AJ644" s="190" t="str">
        <f t="shared" si="54"/>
        <v>—</v>
      </c>
      <c r="AK644" s="157" t="str">
        <f t="shared" si="50"/>
        <v/>
      </c>
      <c r="AL644" s="160" t="str">
        <f t="shared" si="51"/>
        <v/>
      </c>
      <c r="AM644" s="210"/>
      <c r="AN644" s="209"/>
    </row>
    <row r="645" spans="1:40" ht="27.95" customHeight="1">
      <c r="A645" s="134" t="str">
        <f>IF(I645&lt;&gt;"",COUNTA($I$2:I645),"")</f>
        <v/>
      </c>
      <c r="B645" s="138" t="str">
        <f t="shared" si="52"/>
        <v/>
      </c>
      <c r="C645" s="93" t="str">
        <f t="array" ref="C645">IF(E645="","",IF(M645&lt;&gt;"",
M645&amp;"/"&amp;SUMPRODUCT((M$2:M645=M645)*1)&amp;" - "&amp;(ROW()-2),
"إداري/"&amp;SUMPRODUCT((M$2:M645="")*1)&amp;" - "&amp;(ROW()-2)))</f>
        <v/>
      </c>
      <c r="D645" s="141" t="str">
        <f>IF(AND(G645="",H645="",I645=""),"",IF(COUNTIFS(LISTS!$A$2:$A$67,G645,LISTS!$B$2:$B$67,H645,LISTS!$C$2:$C$67,I645)=0,"✗ هرم",IF(NOT(OR(Z645="ممتاز 100%",Z645="جيد 80%",Z645="مقبول 60%",Z645="خطر 40%",Z645="")),"✗ قائمة R",IF(NOT(OR(AA645="ممتاز 100%",AA645="جيد 85%",AA645="مقبول 70%",AA645="ضعيف 50%",AA645="")),"✗ قائمة S",IF(NOT(OR(AB645="مكتمل 100%",AB645="جزئي 60%",AB645="معلق 30%",AB645="مفتوح 0%",AB645="")),"✗ قائمة T",IF(NOT(OR(AC645="لا خصم 0",AC645="تأخير −5",AC645="عجز −10",AC645="جودة −15",AC645="امتثال −20",AC645="مخالفة −25",AC645="")),"✗ قائمة U",IF(AND(X645="لا",AC645&lt;&gt;"",AC645&lt;&gt;"لا خصم 0"),"✗ خصم",IF(AND(X645="نعم",AC645="لا خصم 0"),"✗ خصم",IF(AND(Z645="ممتاز 100%",AA645="ممتاز 100%",AB645&lt;&gt;"",AB645&lt;&gt;"مكتمل 100%"),"✗ إغلاق",IFERROR(IF(LEN(_xlfn.TEXTJOIN("، ",TRUE,IF(E645="","التاريخ",""),IF(F645="","الوقت",""),IF(G645="","المركز",""),IF(H645="","الدائرة",""),IF(I645="","القسم",""),IF(J645="","المسؤول",""),IF(K645="","نوع النشاط",""),IF(L645="","المشروع",""),IF(N645="","الممول",""),IF(V645="","الموضوع",""),IF(W645="","الملاحظة",""),IF(X645="","مشكلة",""),IF(Y645="","الإجراء",""),IF(Z645="","التنفيذ",""),IF(AA645="","الجودة",""),IF(AB645="","الإغلاق",""),IF(AC645="","الخصم",""),IF(AND(COUNTA($O645:$U645)&gt;0,O645=""),"مدير المشروع",""),IF(AND(COUNTA($O645:$U645)&gt;0,P645=""),"المستفيدين",""),IF(AND(COUNTA($O645:$U645)&gt;0,Q645=""),"المناطق",""),IF(AND(COUNTA($O645:$U645)&gt;0,R645=""),"الميزانية",""),IF(AND(COUNTA($O645:$U645)&gt;0,S645=""),"نسبة الجاهزية",""),IF(AND(COUNTA($O645:$U645)&gt;0,T645=""),"حالة الجاهزية",""),IF(AND(COUNTA($O645:$U645)&gt;0,U645=""),"التوصيات","")))&gt;0,"✗ ناقص: "&amp;_xlfn.TEXTJOIN("، ",TRUE,IF(E645="","التاريخ",""),IF(F645="","الوقت",""),IF(G645="","المركز",""),IF(H645="","الدائرة",""),IF(I645="","القسم",""),IF(J645="","المسؤول",""),IF(K645="","نوع النشاط",""),IF(L645="","المشروع",""),IF(N645="","الممول",""),IF(V645="","الموضوع",""),IF(W645="","الملاحظة",""),IF(X645="","مشكلة",""),IF(Y645="","الإجراء",""),IF(Z645="","التنفيذ",""),IF(AA645="","الجودة",""),IF(AB645="","الإغلاق",""),IF(AC645="","الخصم",""),IF(AND(COUNTA($O645:$U645)&gt;0,O645=""),"مدير المشروع",""),IF(AND(COUNTA($O645:$U645)&gt;0,P645=""),"المستفيدين",""),IF(AND(COUNTA($O645:$U645)&gt;0,Q645=""),"المناطق",""),IF(AND(COUNTA($O645:$U645)&gt;0,R645=""),"الميزانية",""),IF(AND(COUNTA($O645:$U645)&gt;0,S645=""),"نسبة الجاهزية",""),IF(AND(COUNTA($O645:$U645)&gt;0,T645=""),"حالة الجاهزية",""),IF(AND(COUNTA($O645:$U645)&gt;0,U645=""),"التوصيات","")),"✓"),"✓"))))))))))</f>
        <v/>
      </c>
      <c r="E645" s="235"/>
      <c r="F645" s="236"/>
      <c r="G645" s="90"/>
      <c r="H645" s="239"/>
      <c r="I645" s="89"/>
      <c r="J645" s="142"/>
      <c r="K645" s="90"/>
      <c r="L645" s="90"/>
      <c r="M645" s="90"/>
      <c r="N645" s="89"/>
      <c r="O645" s="200"/>
      <c r="P645" s="201"/>
      <c r="Q645" s="201"/>
      <c r="R645" s="237"/>
      <c r="S645" s="202"/>
      <c r="T645" s="200"/>
      <c r="U645" s="203"/>
      <c r="V645" s="89"/>
      <c r="W645" s="89"/>
      <c r="X645" s="145"/>
      <c r="Y645" s="89"/>
      <c r="Z645" s="90"/>
      <c r="AA645" s="90"/>
      <c r="AB645" s="90"/>
      <c r="AC645" s="90"/>
      <c r="AD645" s="92"/>
      <c r="AE645" s="149" t="str">
        <f>IFERROR(VLOOKUP(Z645,LISTS!$AL$2:$AM$1000,2,FALSE()),"")</f>
        <v/>
      </c>
      <c r="AF645" s="151" t="str">
        <f>IFERROR(VLOOKUP(AA645,LISTS!$AO$2:$AP$1000,2,FALSE()),"")</f>
        <v/>
      </c>
      <c r="AG645" s="152" t="str">
        <f>IFERROR(VLOOKUP(AB645,LISTS!$AR$2:$AS$1000,2,FALSE()),"")</f>
        <v/>
      </c>
      <c r="AH645" s="154" t="str">
        <f>IFERROR(VLOOKUP(AC645,LISTS!$AU$2:$AV$1000,2,FALSE()),"")</f>
        <v/>
      </c>
      <c r="AI645" s="238" t="str">
        <f t="shared" si="53"/>
        <v>—</v>
      </c>
      <c r="AJ645" s="190" t="str">
        <f t="shared" si="54"/>
        <v>—</v>
      </c>
      <c r="AK645" s="157" t="str">
        <f t="shared" si="50"/>
        <v/>
      </c>
      <c r="AL645" s="160" t="str">
        <f t="shared" si="51"/>
        <v/>
      </c>
      <c r="AM645" s="210"/>
      <c r="AN645" s="209"/>
    </row>
    <row r="646" spans="1:40" ht="27.95" customHeight="1">
      <c r="A646" s="134" t="str">
        <f>IF(I646&lt;&gt;"",COUNTA($I$2:I646),"")</f>
        <v/>
      </c>
      <c r="B646" s="138" t="str">
        <f t="shared" si="52"/>
        <v/>
      </c>
      <c r="C646" s="93" t="str">
        <f t="array" ref="C646">IF(E646="","",IF(M646&lt;&gt;"",
M646&amp;"/"&amp;SUMPRODUCT((M$2:M646=M646)*1)&amp;" - "&amp;(ROW()-2),
"إداري/"&amp;SUMPRODUCT((M$2:M646="")*1)&amp;" - "&amp;(ROW()-2)))</f>
        <v/>
      </c>
      <c r="D646" s="141" t="str">
        <f>IF(AND(G646="",H646="",I646=""),"",IF(COUNTIFS(LISTS!$A$2:$A$67,G646,LISTS!$B$2:$B$67,H646,LISTS!$C$2:$C$67,I646)=0,"✗ هرم",IF(NOT(OR(Z646="ممتاز 100%",Z646="جيد 80%",Z646="مقبول 60%",Z646="خطر 40%",Z646="")),"✗ قائمة R",IF(NOT(OR(AA646="ممتاز 100%",AA646="جيد 85%",AA646="مقبول 70%",AA646="ضعيف 50%",AA646="")),"✗ قائمة S",IF(NOT(OR(AB646="مكتمل 100%",AB646="جزئي 60%",AB646="معلق 30%",AB646="مفتوح 0%",AB646="")),"✗ قائمة T",IF(NOT(OR(AC646="لا خصم 0",AC646="تأخير −5",AC646="عجز −10",AC646="جودة −15",AC646="امتثال −20",AC646="مخالفة −25",AC646="")),"✗ قائمة U",IF(AND(X646="لا",AC646&lt;&gt;"",AC646&lt;&gt;"لا خصم 0"),"✗ خصم",IF(AND(X646="نعم",AC646="لا خصم 0"),"✗ خصم",IF(AND(Z646="ممتاز 100%",AA646="ممتاز 100%",AB646&lt;&gt;"",AB646&lt;&gt;"مكتمل 100%"),"✗ إغلاق",IFERROR(IF(LEN(_xlfn.TEXTJOIN("، ",TRUE,IF(E646="","التاريخ",""),IF(F646="","الوقت",""),IF(G646="","المركز",""),IF(H646="","الدائرة",""),IF(I646="","القسم",""),IF(J646="","المسؤول",""),IF(K646="","نوع النشاط",""),IF(L646="","المشروع",""),IF(N646="","الممول",""),IF(V646="","الموضوع",""),IF(W646="","الملاحظة",""),IF(X646="","مشكلة",""),IF(Y646="","الإجراء",""),IF(Z646="","التنفيذ",""),IF(AA646="","الجودة",""),IF(AB646="","الإغلاق",""),IF(AC646="","الخصم",""),IF(AND(COUNTA($O646:$U646)&gt;0,O646=""),"مدير المشروع",""),IF(AND(COUNTA($O646:$U646)&gt;0,P646=""),"المستفيدين",""),IF(AND(COUNTA($O646:$U646)&gt;0,Q646=""),"المناطق",""),IF(AND(COUNTA($O646:$U646)&gt;0,R646=""),"الميزانية",""),IF(AND(COUNTA($O646:$U646)&gt;0,S646=""),"نسبة الجاهزية",""),IF(AND(COUNTA($O646:$U646)&gt;0,T646=""),"حالة الجاهزية",""),IF(AND(COUNTA($O646:$U646)&gt;0,U646=""),"التوصيات","")))&gt;0,"✗ ناقص: "&amp;_xlfn.TEXTJOIN("، ",TRUE,IF(E646="","التاريخ",""),IF(F646="","الوقت",""),IF(G646="","المركز",""),IF(H646="","الدائرة",""),IF(I646="","القسم",""),IF(J646="","المسؤول",""),IF(K646="","نوع النشاط",""),IF(L646="","المشروع",""),IF(N646="","الممول",""),IF(V646="","الموضوع",""),IF(W646="","الملاحظة",""),IF(X646="","مشكلة",""),IF(Y646="","الإجراء",""),IF(Z646="","التنفيذ",""),IF(AA646="","الجودة",""),IF(AB646="","الإغلاق",""),IF(AC646="","الخصم",""),IF(AND(COUNTA($O646:$U646)&gt;0,O646=""),"مدير المشروع",""),IF(AND(COUNTA($O646:$U646)&gt;0,P646=""),"المستفيدين",""),IF(AND(COUNTA($O646:$U646)&gt;0,Q646=""),"المناطق",""),IF(AND(COUNTA($O646:$U646)&gt;0,R646=""),"الميزانية",""),IF(AND(COUNTA($O646:$U646)&gt;0,S646=""),"نسبة الجاهزية",""),IF(AND(COUNTA($O646:$U646)&gt;0,T646=""),"حالة الجاهزية",""),IF(AND(COUNTA($O646:$U646)&gt;0,U646=""),"التوصيات","")),"✓"),"✓"))))))))))</f>
        <v/>
      </c>
      <c r="E646" s="235"/>
      <c r="F646" s="236"/>
      <c r="G646" s="90"/>
      <c r="H646" s="239"/>
      <c r="I646" s="89"/>
      <c r="J646" s="142"/>
      <c r="K646" s="90"/>
      <c r="L646" s="90"/>
      <c r="M646" s="90"/>
      <c r="N646" s="89"/>
      <c r="O646" s="200"/>
      <c r="P646" s="201"/>
      <c r="Q646" s="201"/>
      <c r="R646" s="237"/>
      <c r="S646" s="202"/>
      <c r="T646" s="200"/>
      <c r="U646" s="203"/>
      <c r="V646" s="89"/>
      <c r="W646" s="89"/>
      <c r="X646" s="145"/>
      <c r="Y646" s="89"/>
      <c r="Z646" s="90"/>
      <c r="AA646" s="90"/>
      <c r="AB646" s="90"/>
      <c r="AC646" s="90"/>
      <c r="AD646" s="92"/>
      <c r="AE646" s="149" t="str">
        <f>IFERROR(VLOOKUP(Z646,LISTS!$AL$2:$AM$1000,2,FALSE()),"")</f>
        <v/>
      </c>
      <c r="AF646" s="151" t="str">
        <f>IFERROR(VLOOKUP(AA646,LISTS!$AO$2:$AP$1000,2,FALSE()),"")</f>
        <v/>
      </c>
      <c r="AG646" s="152" t="str">
        <f>IFERROR(VLOOKUP(AB646,LISTS!$AR$2:$AS$1000,2,FALSE()),"")</f>
        <v/>
      </c>
      <c r="AH646" s="154" t="str">
        <f>IFERROR(VLOOKUP(AC646,LISTS!$AU$2:$AV$1000,2,FALSE()),"")</f>
        <v/>
      </c>
      <c r="AI646" s="238" t="str">
        <f t="shared" si="53"/>
        <v>—</v>
      </c>
      <c r="AJ646" s="190" t="str">
        <f t="shared" si="54"/>
        <v>—</v>
      </c>
      <c r="AK646" s="157" t="str">
        <f t="shared" si="50"/>
        <v/>
      </c>
      <c r="AL646" s="160" t="str">
        <f t="shared" si="51"/>
        <v/>
      </c>
      <c r="AM646" s="210"/>
      <c r="AN646" s="209"/>
    </row>
    <row r="647" spans="1:40" ht="27.95" customHeight="1">
      <c r="A647" s="134" t="str">
        <f>IF(I647&lt;&gt;"",COUNTA($I$2:I647),"")</f>
        <v/>
      </c>
      <c r="B647" s="138" t="str">
        <f t="shared" si="52"/>
        <v/>
      </c>
      <c r="C647" s="93" t="str">
        <f t="array" ref="C647">IF(E647="","",IF(M647&lt;&gt;"",
M647&amp;"/"&amp;SUMPRODUCT((M$2:M647=M647)*1)&amp;" - "&amp;(ROW()-2),
"إداري/"&amp;SUMPRODUCT((M$2:M647="")*1)&amp;" - "&amp;(ROW()-2)))</f>
        <v/>
      </c>
      <c r="D647" s="141" t="str">
        <f>IF(AND(G647="",H647="",I647=""),"",IF(COUNTIFS(LISTS!$A$2:$A$67,G647,LISTS!$B$2:$B$67,H647,LISTS!$C$2:$C$67,I647)=0,"✗ هرم",IF(NOT(OR(Z647="ممتاز 100%",Z647="جيد 80%",Z647="مقبول 60%",Z647="خطر 40%",Z647="")),"✗ قائمة R",IF(NOT(OR(AA647="ممتاز 100%",AA647="جيد 85%",AA647="مقبول 70%",AA647="ضعيف 50%",AA647="")),"✗ قائمة S",IF(NOT(OR(AB647="مكتمل 100%",AB647="جزئي 60%",AB647="معلق 30%",AB647="مفتوح 0%",AB647="")),"✗ قائمة T",IF(NOT(OR(AC647="لا خصم 0",AC647="تأخير −5",AC647="عجز −10",AC647="جودة −15",AC647="امتثال −20",AC647="مخالفة −25",AC647="")),"✗ قائمة U",IF(AND(X647="لا",AC647&lt;&gt;"",AC647&lt;&gt;"لا خصم 0"),"✗ خصم",IF(AND(X647="نعم",AC647="لا خصم 0"),"✗ خصم",IF(AND(Z647="ممتاز 100%",AA647="ممتاز 100%",AB647&lt;&gt;"",AB647&lt;&gt;"مكتمل 100%"),"✗ إغلاق",IFERROR(IF(LEN(_xlfn.TEXTJOIN("، ",TRUE,IF(E647="","التاريخ",""),IF(F647="","الوقت",""),IF(G647="","المركز",""),IF(H647="","الدائرة",""),IF(I647="","القسم",""),IF(J647="","المسؤول",""),IF(K647="","نوع النشاط",""),IF(L647="","المشروع",""),IF(N647="","الممول",""),IF(V647="","الموضوع",""),IF(W647="","الملاحظة",""),IF(X647="","مشكلة",""),IF(Y647="","الإجراء",""),IF(Z647="","التنفيذ",""),IF(AA647="","الجودة",""),IF(AB647="","الإغلاق",""),IF(AC647="","الخصم",""),IF(AND(COUNTA($O647:$U647)&gt;0,O647=""),"مدير المشروع",""),IF(AND(COUNTA($O647:$U647)&gt;0,P647=""),"المستفيدين",""),IF(AND(COUNTA($O647:$U647)&gt;0,Q647=""),"المناطق",""),IF(AND(COUNTA($O647:$U647)&gt;0,R647=""),"الميزانية",""),IF(AND(COUNTA($O647:$U647)&gt;0,S647=""),"نسبة الجاهزية",""),IF(AND(COUNTA($O647:$U647)&gt;0,T647=""),"حالة الجاهزية",""),IF(AND(COUNTA($O647:$U647)&gt;0,U647=""),"التوصيات","")))&gt;0,"✗ ناقص: "&amp;_xlfn.TEXTJOIN("، ",TRUE,IF(E647="","التاريخ",""),IF(F647="","الوقت",""),IF(G647="","المركز",""),IF(H647="","الدائرة",""),IF(I647="","القسم",""),IF(J647="","المسؤول",""),IF(K647="","نوع النشاط",""),IF(L647="","المشروع",""),IF(N647="","الممول",""),IF(V647="","الموضوع",""),IF(W647="","الملاحظة",""),IF(X647="","مشكلة",""),IF(Y647="","الإجراء",""),IF(Z647="","التنفيذ",""),IF(AA647="","الجودة",""),IF(AB647="","الإغلاق",""),IF(AC647="","الخصم",""),IF(AND(COUNTA($O647:$U647)&gt;0,O647=""),"مدير المشروع",""),IF(AND(COUNTA($O647:$U647)&gt;0,P647=""),"المستفيدين",""),IF(AND(COUNTA($O647:$U647)&gt;0,Q647=""),"المناطق",""),IF(AND(COUNTA($O647:$U647)&gt;0,R647=""),"الميزانية",""),IF(AND(COUNTA($O647:$U647)&gt;0,S647=""),"نسبة الجاهزية",""),IF(AND(COUNTA($O647:$U647)&gt;0,T647=""),"حالة الجاهزية",""),IF(AND(COUNTA($O647:$U647)&gt;0,U647=""),"التوصيات","")),"✓"),"✓"))))))))))</f>
        <v/>
      </c>
      <c r="E647" s="235"/>
      <c r="F647" s="236"/>
      <c r="G647" s="90"/>
      <c r="H647" s="239"/>
      <c r="I647" s="89"/>
      <c r="J647" s="142"/>
      <c r="K647" s="90"/>
      <c r="L647" s="90"/>
      <c r="M647" s="90"/>
      <c r="N647" s="89"/>
      <c r="O647" s="200"/>
      <c r="P647" s="201"/>
      <c r="Q647" s="201"/>
      <c r="R647" s="237"/>
      <c r="S647" s="202"/>
      <c r="T647" s="200"/>
      <c r="U647" s="203"/>
      <c r="V647" s="89"/>
      <c r="W647" s="89"/>
      <c r="X647" s="145"/>
      <c r="Y647" s="89"/>
      <c r="Z647" s="90"/>
      <c r="AA647" s="90"/>
      <c r="AB647" s="90"/>
      <c r="AC647" s="90"/>
      <c r="AD647" s="92"/>
      <c r="AE647" s="149" t="str">
        <f>IFERROR(VLOOKUP(Z647,LISTS!$AL$2:$AM$1000,2,FALSE()),"")</f>
        <v/>
      </c>
      <c r="AF647" s="151" t="str">
        <f>IFERROR(VLOOKUP(AA647,LISTS!$AO$2:$AP$1000,2,FALSE()),"")</f>
        <v/>
      </c>
      <c r="AG647" s="152" t="str">
        <f>IFERROR(VLOOKUP(AB647,LISTS!$AR$2:$AS$1000,2,FALSE()),"")</f>
        <v/>
      </c>
      <c r="AH647" s="154" t="str">
        <f>IFERROR(VLOOKUP(AC647,LISTS!$AU$2:$AV$1000,2,FALSE()),"")</f>
        <v/>
      </c>
      <c r="AI647" s="238" t="str">
        <f t="shared" si="53"/>
        <v>—</v>
      </c>
      <c r="AJ647" s="190" t="str">
        <f t="shared" si="54"/>
        <v>—</v>
      </c>
      <c r="AK647" s="157" t="str">
        <f t="shared" si="50"/>
        <v/>
      </c>
      <c r="AL647" s="160" t="str">
        <f t="shared" si="51"/>
        <v/>
      </c>
      <c r="AM647" s="210"/>
      <c r="AN647" s="209"/>
    </row>
    <row r="648" spans="1:40" ht="27.95" customHeight="1">
      <c r="A648" s="134" t="str">
        <f>IF(I648&lt;&gt;"",COUNTA($I$2:I648),"")</f>
        <v/>
      </c>
      <c r="B648" s="138" t="str">
        <f t="shared" si="52"/>
        <v/>
      </c>
      <c r="C648" s="93" t="str">
        <f t="array" ref="C648">IF(E648="","",IF(M648&lt;&gt;"",
M648&amp;"/"&amp;SUMPRODUCT((M$2:M648=M648)*1)&amp;" - "&amp;(ROW()-2),
"إداري/"&amp;SUMPRODUCT((M$2:M648="")*1)&amp;" - "&amp;(ROW()-2)))</f>
        <v/>
      </c>
      <c r="D648" s="141" t="str">
        <f>IF(AND(G648="",H648="",I648=""),"",IF(COUNTIFS(LISTS!$A$2:$A$67,G648,LISTS!$B$2:$B$67,H648,LISTS!$C$2:$C$67,I648)=0,"✗ هرم",IF(NOT(OR(Z648="ممتاز 100%",Z648="جيد 80%",Z648="مقبول 60%",Z648="خطر 40%",Z648="")),"✗ قائمة R",IF(NOT(OR(AA648="ممتاز 100%",AA648="جيد 85%",AA648="مقبول 70%",AA648="ضعيف 50%",AA648="")),"✗ قائمة S",IF(NOT(OR(AB648="مكتمل 100%",AB648="جزئي 60%",AB648="معلق 30%",AB648="مفتوح 0%",AB648="")),"✗ قائمة T",IF(NOT(OR(AC648="لا خصم 0",AC648="تأخير −5",AC648="عجز −10",AC648="جودة −15",AC648="امتثال −20",AC648="مخالفة −25",AC648="")),"✗ قائمة U",IF(AND(X648="لا",AC648&lt;&gt;"",AC648&lt;&gt;"لا خصم 0"),"✗ خصم",IF(AND(X648="نعم",AC648="لا خصم 0"),"✗ خصم",IF(AND(Z648="ممتاز 100%",AA648="ممتاز 100%",AB648&lt;&gt;"",AB648&lt;&gt;"مكتمل 100%"),"✗ إغلاق",IFERROR(IF(LEN(_xlfn.TEXTJOIN("، ",TRUE,IF(E648="","التاريخ",""),IF(F648="","الوقت",""),IF(G648="","المركز",""),IF(H648="","الدائرة",""),IF(I648="","القسم",""),IF(J648="","المسؤول",""),IF(K648="","نوع النشاط",""),IF(L648="","المشروع",""),IF(N648="","الممول",""),IF(V648="","الموضوع",""),IF(W648="","الملاحظة",""),IF(X648="","مشكلة",""),IF(Y648="","الإجراء",""),IF(Z648="","التنفيذ",""),IF(AA648="","الجودة",""),IF(AB648="","الإغلاق",""),IF(AC648="","الخصم",""),IF(AND(COUNTA($O648:$U648)&gt;0,O648=""),"مدير المشروع",""),IF(AND(COUNTA($O648:$U648)&gt;0,P648=""),"المستفيدين",""),IF(AND(COUNTA($O648:$U648)&gt;0,Q648=""),"المناطق",""),IF(AND(COUNTA($O648:$U648)&gt;0,R648=""),"الميزانية",""),IF(AND(COUNTA($O648:$U648)&gt;0,S648=""),"نسبة الجاهزية",""),IF(AND(COUNTA($O648:$U648)&gt;0,T648=""),"حالة الجاهزية",""),IF(AND(COUNTA($O648:$U648)&gt;0,U648=""),"التوصيات","")))&gt;0,"✗ ناقص: "&amp;_xlfn.TEXTJOIN("، ",TRUE,IF(E648="","التاريخ",""),IF(F648="","الوقت",""),IF(G648="","المركز",""),IF(H648="","الدائرة",""),IF(I648="","القسم",""),IF(J648="","المسؤول",""),IF(K648="","نوع النشاط",""),IF(L648="","المشروع",""),IF(N648="","الممول",""),IF(V648="","الموضوع",""),IF(W648="","الملاحظة",""),IF(X648="","مشكلة",""),IF(Y648="","الإجراء",""),IF(Z648="","التنفيذ",""),IF(AA648="","الجودة",""),IF(AB648="","الإغلاق",""),IF(AC648="","الخصم",""),IF(AND(COUNTA($O648:$U648)&gt;0,O648=""),"مدير المشروع",""),IF(AND(COUNTA($O648:$U648)&gt;0,P648=""),"المستفيدين",""),IF(AND(COUNTA($O648:$U648)&gt;0,Q648=""),"المناطق",""),IF(AND(COUNTA($O648:$U648)&gt;0,R648=""),"الميزانية",""),IF(AND(COUNTA($O648:$U648)&gt;0,S648=""),"نسبة الجاهزية",""),IF(AND(COUNTA($O648:$U648)&gt;0,T648=""),"حالة الجاهزية",""),IF(AND(COUNTA($O648:$U648)&gt;0,U648=""),"التوصيات","")),"✓"),"✓"))))))))))</f>
        <v/>
      </c>
      <c r="E648" s="235"/>
      <c r="F648" s="236"/>
      <c r="G648" s="90"/>
      <c r="H648" s="239"/>
      <c r="I648" s="89"/>
      <c r="J648" s="142"/>
      <c r="K648" s="90"/>
      <c r="L648" s="90"/>
      <c r="M648" s="90"/>
      <c r="N648" s="89"/>
      <c r="O648" s="200"/>
      <c r="P648" s="201"/>
      <c r="Q648" s="201"/>
      <c r="R648" s="237"/>
      <c r="S648" s="202"/>
      <c r="T648" s="200"/>
      <c r="U648" s="203"/>
      <c r="V648" s="89"/>
      <c r="W648" s="89"/>
      <c r="X648" s="145"/>
      <c r="Y648" s="89"/>
      <c r="Z648" s="90"/>
      <c r="AA648" s="90"/>
      <c r="AB648" s="90"/>
      <c r="AC648" s="90"/>
      <c r="AD648" s="92"/>
      <c r="AE648" s="149" t="str">
        <f>IFERROR(VLOOKUP(Z648,LISTS!$AL$2:$AM$1000,2,FALSE()),"")</f>
        <v/>
      </c>
      <c r="AF648" s="151" t="str">
        <f>IFERROR(VLOOKUP(AA648,LISTS!$AO$2:$AP$1000,2,FALSE()),"")</f>
        <v/>
      </c>
      <c r="AG648" s="152" t="str">
        <f>IFERROR(VLOOKUP(AB648,LISTS!$AR$2:$AS$1000,2,FALSE()),"")</f>
        <v/>
      </c>
      <c r="AH648" s="154" t="str">
        <f>IFERROR(VLOOKUP(AC648,LISTS!$AU$2:$AV$1000,2,FALSE()),"")</f>
        <v/>
      </c>
      <c r="AI648" s="238" t="str">
        <f t="shared" si="53"/>
        <v>—</v>
      </c>
      <c r="AJ648" s="190" t="str">
        <f t="shared" si="54"/>
        <v>—</v>
      </c>
      <c r="AK648" s="157" t="str">
        <f t="shared" si="50"/>
        <v/>
      </c>
      <c r="AL648" s="160" t="str">
        <f t="shared" si="51"/>
        <v/>
      </c>
      <c r="AM648" s="210"/>
      <c r="AN648" s="209"/>
    </row>
    <row r="649" spans="1:40" ht="27.95" customHeight="1">
      <c r="A649" s="134" t="str">
        <f>IF(I649&lt;&gt;"",COUNTA($I$2:I649),"")</f>
        <v/>
      </c>
      <c r="B649" s="138" t="str">
        <f t="shared" si="52"/>
        <v/>
      </c>
      <c r="C649" s="93" t="str">
        <f t="array" ref="C649">IF(E649="","",IF(M649&lt;&gt;"",
M649&amp;"/"&amp;SUMPRODUCT((M$2:M649=M649)*1)&amp;" - "&amp;(ROW()-2),
"إداري/"&amp;SUMPRODUCT((M$2:M649="")*1)&amp;" - "&amp;(ROW()-2)))</f>
        <v/>
      </c>
      <c r="D649" s="141" t="str">
        <f>IF(AND(G649="",H649="",I649=""),"",IF(COUNTIFS(LISTS!$A$2:$A$67,G649,LISTS!$B$2:$B$67,H649,LISTS!$C$2:$C$67,I649)=0,"✗ هرم",IF(NOT(OR(Z649="ممتاز 100%",Z649="جيد 80%",Z649="مقبول 60%",Z649="خطر 40%",Z649="")),"✗ قائمة R",IF(NOT(OR(AA649="ممتاز 100%",AA649="جيد 85%",AA649="مقبول 70%",AA649="ضعيف 50%",AA649="")),"✗ قائمة S",IF(NOT(OR(AB649="مكتمل 100%",AB649="جزئي 60%",AB649="معلق 30%",AB649="مفتوح 0%",AB649="")),"✗ قائمة T",IF(NOT(OR(AC649="لا خصم 0",AC649="تأخير −5",AC649="عجز −10",AC649="جودة −15",AC649="امتثال −20",AC649="مخالفة −25",AC649="")),"✗ قائمة U",IF(AND(X649="لا",AC649&lt;&gt;"",AC649&lt;&gt;"لا خصم 0"),"✗ خصم",IF(AND(X649="نعم",AC649="لا خصم 0"),"✗ خصم",IF(AND(Z649="ممتاز 100%",AA649="ممتاز 100%",AB649&lt;&gt;"",AB649&lt;&gt;"مكتمل 100%"),"✗ إغلاق",IFERROR(IF(LEN(_xlfn.TEXTJOIN("، ",TRUE,IF(E649="","التاريخ",""),IF(F649="","الوقت",""),IF(G649="","المركز",""),IF(H649="","الدائرة",""),IF(I649="","القسم",""),IF(J649="","المسؤول",""),IF(K649="","نوع النشاط",""),IF(L649="","المشروع",""),IF(N649="","الممول",""),IF(V649="","الموضوع",""),IF(W649="","الملاحظة",""),IF(X649="","مشكلة",""),IF(Y649="","الإجراء",""),IF(Z649="","التنفيذ",""),IF(AA649="","الجودة",""),IF(AB649="","الإغلاق",""),IF(AC649="","الخصم",""),IF(AND(COUNTA($O649:$U649)&gt;0,O649=""),"مدير المشروع",""),IF(AND(COUNTA($O649:$U649)&gt;0,P649=""),"المستفيدين",""),IF(AND(COUNTA($O649:$U649)&gt;0,Q649=""),"المناطق",""),IF(AND(COUNTA($O649:$U649)&gt;0,R649=""),"الميزانية",""),IF(AND(COUNTA($O649:$U649)&gt;0,S649=""),"نسبة الجاهزية",""),IF(AND(COUNTA($O649:$U649)&gt;0,T649=""),"حالة الجاهزية",""),IF(AND(COUNTA($O649:$U649)&gt;0,U649=""),"التوصيات","")))&gt;0,"✗ ناقص: "&amp;_xlfn.TEXTJOIN("، ",TRUE,IF(E649="","التاريخ",""),IF(F649="","الوقت",""),IF(G649="","المركز",""),IF(H649="","الدائرة",""),IF(I649="","القسم",""),IF(J649="","المسؤول",""),IF(K649="","نوع النشاط",""),IF(L649="","المشروع",""),IF(N649="","الممول",""),IF(V649="","الموضوع",""),IF(W649="","الملاحظة",""),IF(X649="","مشكلة",""),IF(Y649="","الإجراء",""),IF(Z649="","التنفيذ",""),IF(AA649="","الجودة",""),IF(AB649="","الإغلاق",""),IF(AC649="","الخصم",""),IF(AND(COUNTA($O649:$U649)&gt;0,O649=""),"مدير المشروع",""),IF(AND(COUNTA($O649:$U649)&gt;0,P649=""),"المستفيدين",""),IF(AND(COUNTA($O649:$U649)&gt;0,Q649=""),"المناطق",""),IF(AND(COUNTA($O649:$U649)&gt;0,R649=""),"الميزانية",""),IF(AND(COUNTA($O649:$U649)&gt;0,S649=""),"نسبة الجاهزية",""),IF(AND(COUNTA($O649:$U649)&gt;0,T649=""),"حالة الجاهزية",""),IF(AND(COUNTA($O649:$U649)&gt;0,U649=""),"التوصيات","")),"✓"),"✓"))))))))))</f>
        <v/>
      </c>
      <c r="E649" s="235"/>
      <c r="F649" s="236"/>
      <c r="G649" s="90"/>
      <c r="H649" s="239"/>
      <c r="I649" s="89"/>
      <c r="J649" s="142"/>
      <c r="K649" s="90"/>
      <c r="L649" s="90"/>
      <c r="M649" s="90"/>
      <c r="N649" s="89"/>
      <c r="O649" s="200"/>
      <c r="P649" s="201"/>
      <c r="Q649" s="201"/>
      <c r="R649" s="237"/>
      <c r="S649" s="202"/>
      <c r="T649" s="200"/>
      <c r="U649" s="203"/>
      <c r="V649" s="89"/>
      <c r="W649" s="89"/>
      <c r="X649" s="145"/>
      <c r="Y649" s="89"/>
      <c r="Z649" s="90"/>
      <c r="AA649" s="90"/>
      <c r="AB649" s="90"/>
      <c r="AC649" s="90"/>
      <c r="AD649" s="92"/>
      <c r="AE649" s="149" t="str">
        <f>IFERROR(VLOOKUP(Z649,LISTS!$AL$2:$AM$1000,2,FALSE()),"")</f>
        <v/>
      </c>
      <c r="AF649" s="151" t="str">
        <f>IFERROR(VLOOKUP(AA649,LISTS!$AO$2:$AP$1000,2,FALSE()),"")</f>
        <v/>
      </c>
      <c r="AG649" s="152" t="str">
        <f>IFERROR(VLOOKUP(AB649,LISTS!$AR$2:$AS$1000,2,FALSE()),"")</f>
        <v/>
      </c>
      <c r="AH649" s="154" t="str">
        <f>IFERROR(VLOOKUP(AC649,LISTS!$AU$2:$AV$1000,2,FALSE()),"")</f>
        <v/>
      </c>
      <c r="AI649" s="238" t="str">
        <f t="shared" si="53"/>
        <v>—</v>
      </c>
      <c r="AJ649" s="190" t="str">
        <f t="shared" si="54"/>
        <v>—</v>
      </c>
      <c r="AK649" s="157" t="str">
        <f t="shared" si="50"/>
        <v/>
      </c>
      <c r="AL649" s="160" t="str">
        <f t="shared" si="51"/>
        <v/>
      </c>
      <c r="AM649" s="210"/>
      <c r="AN649" s="209"/>
    </row>
    <row r="650" spans="1:40" ht="27.95" customHeight="1">
      <c r="A650" s="134" t="str">
        <f>IF(I650&lt;&gt;"",COUNTA($I$2:I650),"")</f>
        <v/>
      </c>
      <c r="B650" s="138" t="str">
        <f t="shared" si="52"/>
        <v/>
      </c>
      <c r="C650" s="93" t="str">
        <f t="array" ref="C650">IF(E650="","",IF(M650&lt;&gt;"",
M650&amp;"/"&amp;SUMPRODUCT((M$2:M650=M650)*1)&amp;" - "&amp;(ROW()-2),
"إداري/"&amp;SUMPRODUCT((M$2:M650="")*1)&amp;" - "&amp;(ROW()-2)))</f>
        <v/>
      </c>
      <c r="D650" s="141" t="str">
        <f>IF(AND(G650="",H650="",I650=""),"",IF(COUNTIFS(LISTS!$A$2:$A$67,G650,LISTS!$B$2:$B$67,H650,LISTS!$C$2:$C$67,I650)=0,"✗ هرم",IF(NOT(OR(Z650="ممتاز 100%",Z650="جيد 80%",Z650="مقبول 60%",Z650="خطر 40%",Z650="")),"✗ قائمة R",IF(NOT(OR(AA650="ممتاز 100%",AA650="جيد 85%",AA650="مقبول 70%",AA650="ضعيف 50%",AA650="")),"✗ قائمة S",IF(NOT(OR(AB650="مكتمل 100%",AB650="جزئي 60%",AB650="معلق 30%",AB650="مفتوح 0%",AB650="")),"✗ قائمة T",IF(NOT(OR(AC650="لا خصم 0",AC650="تأخير −5",AC650="عجز −10",AC650="جودة −15",AC650="امتثال −20",AC650="مخالفة −25",AC650="")),"✗ قائمة U",IF(AND(X650="لا",AC650&lt;&gt;"",AC650&lt;&gt;"لا خصم 0"),"✗ خصم",IF(AND(X650="نعم",AC650="لا خصم 0"),"✗ خصم",IF(AND(Z650="ممتاز 100%",AA650="ممتاز 100%",AB650&lt;&gt;"",AB650&lt;&gt;"مكتمل 100%"),"✗ إغلاق",IFERROR(IF(LEN(_xlfn.TEXTJOIN("، ",TRUE,IF(E650="","التاريخ",""),IF(F650="","الوقت",""),IF(G650="","المركز",""),IF(H650="","الدائرة",""),IF(I650="","القسم",""),IF(J650="","المسؤول",""),IF(K650="","نوع النشاط",""),IF(L650="","المشروع",""),IF(N650="","الممول",""),IF(V650="","الموضوع",""),IF(W650="","الملاحظة",""),IF(X650="","مشكلة",""),IF(Y650="","الإجراء",""),IF(Z650="","التنفيذ",""),IF(AA650="","الجودة",""),IF(AB650="","الإغلاق",""),IF(AC650="","الخصم",""),IF(AND(COUNTA($O650:$U650)&gt;0,O650=""),"مدير المشروع",""),IF(AND(COUNTA($O650:$U650)&gt;0,P650=""),"المستفيدين",""),IF(AND(COUNTA($O650:$U650)&gt;0,Q650=""),"المناطق",""),IF(AND(COUNTA($O650:$U650)&gt;0,R650=""),"الميزانية",""),IF(AND(COUNTA($O650:$U650)&gt;0,S650=""),"نسبة الجاهزية",""),IF(AND(COUNTA($O650:$U650)&gt;0,T650=""),"حالة الجاهزية",""),IF(AND(COUNTA($O650:$U650)&gt;0,U650=""),"التوصيات","")))&gt;0,"✗ ناقص: "&amp;_xlfn.TEXTJOIN("، ",TRUE,IF(E650="","التاريخ",""),IF(F650="","الوقت",""),IF(G650="","المركز",""),IF(H650="","الدائرة",""),IF(I650="","القسم",""),IF(J650="","المسؤول",""),IF(K650="","نوع النشاط",""),IF(L650="","المشروع",""),IF(N650="","الممول",""),IF(V650="","الموضوع",""),IF(W650="","الملاحظة",""),IF(X650="","مشكلة",""),IF(Y650="","الإجراء",""),IF(Z650="","التنفيذ",""),IF(AA650="","الجودة",""),IF(AB650="","الإغلاق",""),IF(AC650="","الخصم",""),IF(AND(COUNTA($O650:$U650)&gt;0,O650=""),"مدير المشروع",""),IF(AND(COUNTA($O650:$U650)&gt;0,P650=""),"المستفيدين",""),IF(AND(COUNTA($O650:$U650)&gt;0,Q650=""),"المناطق",""),IF(AND(COUNTA($O650:$U650)&gt;0,R650=""),"الميزانية",""),IF(AND(COUNTA($O650:$U650)&gt;0,S650=""),"نسبة الجاهزية",""),IF(AND(COUNTA($O650:$U650)&gt;0,T650=""),"حالة الجاهزية",""),IF(AND(COUNTA($O650:$U650)&gt;0,U650=""),"التوصيات","")),"✓"),"✓"))))))))))</f>
        <v/>
      </c>
      <c r="E650" s="235"/>
      <c r="F650" s="236"/>
      <c r="G650" s="90"/>
      <c r="H650" s="239"/>
      <c r="I650" s="89"/>
      <c r="J650" s="142"/>
      <c r="K650" s="90"/>
      <c r="L650" s="90"/>
      <c r="M650" s="90"/>
      <c r="N650" s="89"/>
      <c r="O650" s="200"/>
      <c r="P650" s="201"/>
      <c r="Q650" s="201"/>
      <c r="R650" s="237"/>
      <c r="S650" s="202"/>
      <c r="T650" s="200"/>
      <c r="U650" s="203"/>
      <c r="V650" s="89"/>
      <c r="W650" s="89"/>
      <c r="X650" s="145"/>
      <c r="Y650" s="89"/>
      <c r="Z650" s="90"/>
      <c r="AA650" s="90"/>
      <c r="AB650" s="90"/>
      <c r="AC650" s="90"/>
      <c r="AD650" s="92"/>
      <c r="AE650" s="149" t="str">
        <f>IFERROR(VLOOKUP(Z650,LISTS!$AL$2:$AM$1000,2,FALSE()),"")</f>
        <v/>
      </c>
      <c r="AF650" s="151" t="str">
        <f>IFERROR(VLOOKUP(AA650,LISTS!$AO$2:$AP$1000,2,FALSE()),"")</f>
        <v/>
      </c>
      <c r="AG650" s="152" t="str">
        <f>IFERROR(VLOOKUP(AB650,LISTS!$AR$2:$AS$1000,2,FALSE()),"")</f>
        <v/>
      </c>
      <c r="AH650" s="154" t="str">
        <f>IFERROR(VLOOKUP(AC650,LISTS!$AU$2:$AV$1000,2,FALSE()),"")</f>
        <v/>
      </c>
      <c r="AI650" s="238" t="str">
        <f t="shared" si="53"/>
        <v>—</v>
      </c>
      <c r="AJ650" s="190" t="str">
        <f t="shared" si="54"/>
        <v>—</v>
      </c>
      <c r="AK650" s="157" t="str">
        <f t="shared" si="50"/>
        <v/>
      </c>
      <c r="AL650" s="160" t="str">
        <f t="shared" si="51"/>
        <v/>
      </c>
      <c r="AM650" s="210"/>
      <c r="AN650" s="209"/>
    </row>
    <row r="651" spans="1:40" ht="27.95" customHeight="1">
      <c r="A651" s="134" t="str">
        <f>IF(I651&lt;&gt;"",COUNTA($I$2:I651),"")</f>
        <v/>
      </c>
      <c r="B651" s="138" t="str">
        <f t="shared" si="52"/>
        <v/>
      </c>
      <c r="C651" s="93" t="str">
        <f t="array" ref="C651">IF(E651="","",IF(M651&lt;&gt;"",
M651&amp;"/"&amp;SUMPRODUCT((M$2:M651=M651)*1)&amp;" - "&amp;(ROW()-2),
"إداري/"&amp;SUMPRODUCT((M$2:M651="")*1)&amp;" - "&amp;(ROW()-2)))</f>
        <v/>
      </c>
      <c r="D651" s="141" t="str">
        <f>IF(AND(G651="",H651="",I651=""),"",IF(COUNTIFS(LISTS!$A$2:$A$67,G651,LISTS!$B$2:$B$67,H651,LISTS!$C$2:$C$67,I651)=0,"✗ هرم",IF(NOT(OR(Z651="ممتاز 100%",Z651="جيد 80%",Z651="مقبول 60%",Z651="خطر 40%",Z651="")),"✗ قائمة R",IF(NOT(OR(AA651="ممتاز 100%",AA651="جيد 85%",AA651="مقبول 70%",AA651="ضعيف 50%",AA651="")),"✗ قائمة S",IF(NOT(OR(AB651="مكتمل 100%",AB651="جزئي 60%",AB651="معلق 30%",AB651="مفتوح 0%",AB651="")),"✗ قائمة T",IF(NOT(OR(AC651="لا خصم 0",AC651="تأخير −5",AC651="عجز −10",AC651="جودة −15",AC651="امتثال −20",AC651="مخالفة −25",AC651="")),"✗ قائمة U",IF(AND(X651="لا",AC651&lt;&gt;"",AC651&lt;&gt;"لا خصم 0"),"✗ خصم",IF(AND(X651="نعم",AC651="لا خصم 0"),"✗ خصم",IF(AND(Z651="ممتاز 100%",AA651="ممتاز 100%",AB651&lt;&gt;"",AB651&lt;&gt;"مكتمل 100%"),"✗ إغلاق",IFERROR(IF(LEN(_xlfn.TEXTJOIN("، ",TRUE,IF(E651="","التاريخ",""),IF(F651="","الوقت",""),IF(G651="","المركز",""),IF(H651="","الدائرة",""),IF(I651="","القسم",""),IF(J651="","المسؤول",""),IF(K651="","نوع النشاط",""),IF(L651="","المشروع",""),IF(N651="","الممول",""),IF(V651="","الموضوع",""),IF(W651="","الملاحظة",""),IF(X651="","مشكلة",""),IF(Y651="","الإجراء",""),IF(Z651="","التنفيذ",""),IF(AA651="","الجودة",""),IF(AB651="","الإغلاق",""),IF(AC651="","الخصم",""),IF(AND(COUNTA($O651:$U651)&gt;0,O651=""),"مدير المشروع",""),IF(AND(COUNTA($O651:$U651)&gt;0,P651=""),"المستفيدين",""),IF(AND(COUNTA($O651:$U651)&gt;0,Q651=""),"المناطق",""),IF(AND(COUNTA($O651:$U651)&gt;0,R651=""),"الميزانية",""),IF(AND(COUNTA($O651:$U651)&gt;0,S651=""),"نسبة الجاهزية",""),IF(AND(COUNTA($O651:$U651)&gt;0,T651=""),"حالة الجاهزية",""),IF(AND(COUNTA($O651:$U651)&gt;0,U651=""),"التوصيات","")))&gt;0,"✗ ناقص: "&amp;_xlfn.TEXTJOIN("، ",TRUE,IF(E651="","التاريخ",""),IF(F651="","الوقت",""),IF(G651="","المركز",""),IF(H651="","الدائرة",""),IF(I651="","القسم",""),IF(J651="","المسؤول",""),IF(K651="","نوع النشاط",""),IF(L651="","المشروع",""),IF(N651="","الممول",""),IF(V651="","الموضوع",""),IF(W651="","الملاحظة",""),IF(X651="","مشكلة",""),IF(Y651="","الإجراء",""),IF(Z651="","التنفيذ",""),IF(AA651="","الجودة",""),IF(AB651="","الإغلاق",""),IF(AC651="","الخصم",""),IF(AND(COUNTA($O651:$U651)&gt;0,O651=""),"مدير المشروع",""),IF(AND(COUNTA($O651:$U651)&gt;0,P651=""),"المستفيدين",""),IF(AND(COUNTA($O651:$U651)&gt;0,Q651=""),"المناطق",""),IF(AND(COUNTA($O651:$U651)&gt;0,R651=""),"الميزانية",""),IF(AND(COUNTA($O651:$U651)&gt;0,S651=""),"نسبة الجاهزية",""),IF(AND(COUNTA($O651:$U651)&gt;0,T651=""),"حالة الجاهزية",""),IF(AND(COUNTA($O651:$U651)&gt;0,U651=""),"التوصيات","")),"✓"),"✓"))))))))))</f>
        <v/>
      </c>
      <c r="E651" s="235"/>
      <c r="F651" s="236"/>
      <c r="G651" s="90"/>
      <c r="H651" s="239"/>
      <c r="I651" s="89"/>
      <c r="J651" s="142"/>
      <c r="K651" s="90"/>
      <c r="L651" s="90"/>
      <c r="M651" s="90"/>
      <c r="N651" s="89"/>
      <c r="O651" s="200"/>
      <c r="P651" s="201"/>
      <c r="Q651" s="201"/>
      <c r="R651" s="237"/>
      <c r="S651" s="202"/>
      <c r="T651" s="200"/>
      <c r="U651" s="203"/>
      <c r="V651" s="89"/>
      <c r="W651" s="89"/>
      <c r="X651" s="145"/>
      <c r="Y651" s="89"/>
      <c r="Z651" s="90"/>
      <c r="AA651" s="90"/>
      <c r="AB651" s="90"/>
      <c r="AC651" s="90"/>
      <c r="AD651" s="92"/>
      <c r="AE651" s="149" t="str">
        <f>IFERROR(VLOOKUP(Z651,LISTS!$AL$2:$AM$1000,2,FALSE()),"")</f>
        <v/>
      </c>
      <c r="AF651" s="151" t="str">
        <f>IFERROR(VLOOKUP(AA651,LISTS!$AO$2:$AP$1000,2,FALSE()),"")</f>
        <v/>
      </c>
      <c r="AG651" s="152" t="str">
        <f>IFERROR(VLOOKUP(AB651,LISTS!$AR$2:$AS$1000,2,FALSE()),"")</f>
        <v/>
      </c>
      <c r="AH651" s="154" t="str">
        <f>IFERROR(VLOOKUP(AC651,LISTS!$AU$2:$AV$1000,2,FALSE()),"")</f>
        <v/>
      </c>
      <c r="AI651" s="238" t="str">
        <f t="shared" si="53"/>
        <v>—</v>
      </c>
      <c r="AJ651" s="190" t="str">
        <f t="shared" si="54"/>
        <v>—</v>
      </c>
      <c r="AK651" s="157" t="str">
        <f t="shared" si="50"/>
        <v/>
      </c>
      <c r="AL651" s="160" t="str">
        <f t="shared" si="51"/>
        <v/>
      </c>
      <c r="AM651" s="210"/>
      <c r="AN651" s="209"/>
    </row>
    <row r="652" spans="1:40" ht="27.95" customHeight="1">
      <c r="A652" s="134" t="str">
        <f>IF(I652&lt;&gt;"",COUNTA($I$2:I652),"")</f>
        <v/>
      </c>
      <c r="B652" s="138" t="str">
        <f t="shared" si="52"/>
        <v/>
      </c>
      <c r="C652" s="93" t="str">
        <f t="array" ref="C652">IF(E652="","",IF(M652&lt;&gt;"",
M652&amp;"/"&amp;SUMPRODUCT((M$2:M652=M652)*1)&amp;" - "&amp;(ROW()-2),
"إداري/"&amp;SUMPRODUCT((M$2:M652="")*1)&amp;" - "&amp;(ROW()-2)))</f>
        <v/>
      </c>
      <c r="D652" s="141" t="str">
        <f>IF(AND(G652="",H652="",I652=""),"",IF(COUNTIFS(LISTS!$A$2:$A$67,G652,LISTS!$B$2:$B$67,H652,LISTS!$C$2:$C$67,I652)=0,"✗ هرم",IF(NOT(OR(Z652="ممتاز 100%",Z652="جيد 80%",Z652="مقبول 60%",Z652="خطر 40%",Z652="")),"✗ قائمة R",IF(NOT(OR(AA652="ممتاز 100%",AA652="جيد 85%",AA652="مقبول 70%",AA652="ضعيف 50%",AA652="")),"✗ قائمة S",IF(NOT(OR(AB652="مكتمل 100%",AB652="جزئي 60%",AB652="معلق 30%",AB652="مفتوح 0%",AB652="")),"✗ قائمة T",IF(NOT(OR(AC652="لا خصم 0",AC652="تأخير −5",AC652="عجز −10",AC652="جودة −15",AC652="امتثال −20",AC652="مخالفة −25",AC652="")),"✗ قائمة U",IF(AND(X652="لا",AC652&lt;&gt;"",AC652&lt;&gt;"لا خصم 0"),"✗ خصم",IF(AND(X652="نعم",AC652="لا خصم 0"),"✗ خصم",IF(AND(Z652="ممتاز 100%",AA652="ممتاز 100%",AB652&lt;&gt;"",AB652&lt;&gt;"مكتمل 100%"),"✗ إغلاق",IFERROR(IF(LEN(_xlfn.TEXTJOIN("، ",TRUE,IF(E652="","التاريخ",""),IF(F652="","الوقت",""),IF(G652="","المركز",""),IF(H652="","الدائرة",""),IF(I652="","القسم",""),IF(J652="","المسؤول",""),IF(K652="","نوع النشاط",""),IF(L652="","المشروع",""),IF(N652="","الممول",""),IF(V652="","الموضوع",""),IF(W652="","الملاحظة",""),IF(X652="","مشكلة",""),IF(Y652="","الإجراء",""),IF(Z652="","التنفيذ",""),IF(AA652="","الجودة",""),IF(AB652="","الإغلاق",""),IF(AC652="","الخصم",""),IF(AND(COUNTA($O652:$U652)&gt;0,O652=""),"مدير المشروع",""),IF(AND(COUNTA($O652:$U652)&gt;0,P652=""),"المستفيدين",""),IF(AND(COUNTA($O652:$U652)&gt;0,Q652=""),"المناطق",""),IF(AND(COUNTA($O652:$U652)&gt;0,R652=""),"الميزانية",""),IF(AND(COUNTA($O652:$U652)&gt;0,S652=""),"نسبة الجاهزية",""),IF(AND(COUNTA($O652:$U652)&gt;0,T652=""),"حالة الجاهزية",""),IF(AND(COUNTA($O652:$U652)&gt;0,U652=""),"التوصيات","")))&gt;0,"✗ ناقص: "&amp;_xlfn.TEXTJOIN("، ",TRUE,IF(E652="","التاريخ",""),IF(F652="","الوقت",""),IF(G652="","المركز",""),IF(H652="","الدائرة",""),IF(I652="","القسم",""),IF(J652="","المسؤول",""),IF(K652="","نوع النشاط",""),IF(L652="","المشروع",""),IF(N652="","الممول",""),IF(V652="","الموضوع",""),IF(W652="","الملاحظة",""),IF(X652="","مشكلة",""),IF(Y652="","الإجراء",""),IF(Z652="","التنفيذ",""),IF(AA652="","الجودة",""),IF(AB652="","الإغلاق",""),IF(AC652="","الخصم",""),IF(AND(COUNTA($O652:$U652)&gt;0,O652=""),"مدير المشروع",""),IF(AND(COUNTA($O652:$U652)&gt;0,P652=""),"المستفيدين",""),IF(AND(COUNTA($O652:$U652)&gt;0,Q652=""),"المناطق",""),IF(AND(COUNTA($O652:$U652)&gt;0,R652=""),"الميزانية",""),IF(AND(COUNTA($O652:$U652)&gt;0,S652=""),"نسبة الجاهزية",""),IF(AND(COUNTA($O652:$U652)&gt;0,T652=""),"حالة الجاهزية",""),IF(AND(COUNTA($O652:$U652)&gt;0,U652=""),"التوصيات","")),"✓"),"✓"))))))))))</f>
        <v/>
      </c>
      <c r="E652" s="235"/>
      <c r="F652" s="236"/>
      <c r="G652" s="90"/>
      <c r="H652" s="239"/>
      <c r="I652" s="89"/>
      <c r="J652" s="142"/>
      <c r="K652" s="90"/>
      <c r="L652" s="90"/>
      <c r="M652" s="90"/>
      <c r="N652" s="89"/>
      <c r="O652" s="200"/>
      <c r="P652" s="201"/>
      <c r="Q652" s="201"/>
      <c r="R652" s="237"/>
      <c r="S652" s="202"/>
      <c r="T652" s="200"/>
      <c r="U652" s="203"/>
      <c r="V652" s="89"/>
      <c r="W652" s="89"/>
      <c r="X652" s="145"/>
      <c r="Y652" s="89"/>
      <c r="Z652" s="90"/>
      <c r="AA652" s="90"/>
      <c r="AB652" s="90"/>
      <c r="AC652" s="90"/>
      <c r="AD652" s="92"/>
      <c r="AE652" s="149" t="str">
        <f>IFERROR(VLOOKUP(Z652,LISTS!$AL$2:$AM$1000,2,FALSE()),"")</f>
        <v/>
      </c>
      <c r="AF652" s="151" t="str">
        <f>IFERROR(VLOOKUP(AA652,LISTS!$AO$2:$AP$1000,2,FALSE()),"")</f>
        <v/>
      </c>
      <c r="AG652" s="152" t="str">
        <f>IFERROR(VLOOKUP(AB652,LISTS!$AR$2:$AS$1000,2,FALSE()),"")</f>
        <v/>
      </c>
      <c r="AH652" s="154" t="str">
        <f>IFERROR(VLOOKUP(AC652,LISTS!$AU$2:$AV$1000,2,FALSE()),"")</f>
        <v/>
      </c>
      <c r="AI652" s="238" t="str">
        <f t="shared" si="53"/>
        <v>—</v>
      </c>
      <c r="AJ652" s="190" t="str">
        <f t="shared" si="54"/>
        <v>—</v>
      </c>
      <c r="AK652" s="157" t="str">
        <f t="shared" si="50"/>
        <v/>
      </c>
      <c r="AL652" s="160" t="str">
        <f t="shared" si="51"/>
        <v/>
      </c>
      <c r="AM652" s="210"/>
      <c r="AN652" s="209"/>
    </row>
    <row r="653" spans="1:40" ht="27.95" customHeight="1">
      <c r="A653" s="134" t="str">
        <f>IF(I653&lt;&gt;"",COUNTA($I$2:I653),"")</f>
        <v/>
      </c>
      <c r="B653" s="138" t="str">
        <f t="shared" si="52"/>
        <v/>
      </c>
      <c r="C653" s="93" t="str">
        <f t="array" ref="C653">IF(E653="","",IF(M653&lt;&gt;"",
M653&amp;"/"&amp;SUMPRODUCT((M$2:M653=M653)*1)&amp;" - "&amp;(ROW()-2),
"إداري/"&amp;SUMPRODUCT((M$2:M653="")*1)&amp;" - "&amp;(ROW()-2)))</f>
        <v/>
      </c>
      <c r="D653" s="141" t="str">
        <f>IF(AND(G653="",H653="",I653=""),"",IF(COUNTIFS(LISTS!$A$2:$A$67,G653,LISTS!$B$2:$B$67,H653,LISTS!$C$2:$C$67,I653)=0,"✗ هرم",IF(NOT(OR(Z653="ممتاز 100%",Z653="جيد 80%",Z653="مقبول 60%",Z653="خطر 40%",Z653="")),"✗ قائمة R",IF(NOT(OR(AA653="ممتاز 100%",AA653="جيد 85%",AA653="مقبول 70%",AA653="ضعيف 50%",AA653="")),"✗ قائمة S",IF(NOT(OR(AB653="مكتمل 100%",AB653="جزئي 60%",AB653="معلق 30%",AB653="مفتوح 0%",AB653="")),"✗ قائمة T",IF(NOT(OR(AC653="لا خصم 0",AC653="تأخير −5",AC653="عجز −10",AC653="جودة −15",AC653="امتثال −20",AC653="مخالفة −25",AC653="")),"✗ قائمة U",IF(AND(X653="لا",AC653&lt;&gt;"",AC653&lt;&gt;"لا خصم 0"),"✗ خصم",IF(AND(X653="نعم",AC653="لا خصم 0"),"✗ خصم",IF(AND(Z653="ممتاز 100%",AA653="ممتاز 100%",AB653&lt;&gt;"",AB653&lt;&gt;"مكتمل 100%"),"✗ إغلاق",IFERROR(IF(LEN(_xlfn.TEXTJOIN("، ",TRUE,IF(E653="","التاريخ",""),IF(F653="","الوقت",""),IF(G653="","المركز",""),IF(H653="","الدائرة",""),IF(I653="","القسم",""),IF(J653="","المسؤول",""),IF(K653="","نوع النشاط",""),IF(L653="","المشروع",""),IF(N653="","الممول",""),IF(V653="","الموضوع",""),IF(W653="","الملاحظة",""),IF(X653="","مشكلة",""),IF(Y653="","الإجراء",""),IF(Z653="","التنفيذ",""),IF(AA653="","الجودة",""),IF(AB653="","الإغلاق",""),IF(AC653="","الخصم",""),IF(AND(COUNTA($O653:$U653)&gt;0,O653=""),"مدير المشروع",""),IF(AND(COUNTA($O653:$U653)&gt;0,P653=""),"المستفيدين",""),IF(AND(COUNTA($O653:$U653)&gt;0,Q653=""),"المناطق",""),IF(AND(COUNTA($O653:$U653)&gt;0,R653=""),"الميزانية",""),IF(AND(COUNTA($O653:$U653)&gt;0,S653=""),"نسبة الجاهزية",""),IF(AND(COUNTA($O653:$U653)&gt;0,T653=""),"حالة الجاهزية",""),IF(AND(COUNTA($O653:$U653)&gt;0,U653=""),"التوصيات","")))&gt;0,"✗ ناقص: "&amp;_xlfn.TEXTJOIN("، ",TRUE,IF(E653="","التاريخ",""),IF(F653="","الوقت",""),IF(G653="","المركز",""),IF(H653="","الدائرة",""),IF(I653="","القسم",""),IF(J653="","المسؤول",""),IF(K653="","نوع النشاط",""),IF(L653="","المشروع",""),IF(N653="","الممول",""),IF(V653="","الموضوع",""),IF(W653="","الملاحظة",""),IF(X653="","مشكلة",""),IF(Y653="","الإجراء",""),IF(Z653="","التنفيذ",""),IF(AA653="","الجودة",""),IF(AB653="","الإغلاق",""),IF(AC653="","الخصم",""),IF(AND(COUNTA($O653:$U653)&gt;0,O653=""),"مدير المشروع",""),IF(AND(COUNTA($O653:$U653)&gt;0,P653=""),"المستفيدين",""),IF(AND(COUNTA($O653:$U653)&gt;0,Q653=""),"المناطق",""),IF(AND(COUNTA($O653:$U653)&gt;0,R653=""),"الميزانية",""),IF(AND(COUNTA($O653:$U653)&gt;0,S653=""),"نسبة الجاهزية",""),IF(AND(COUNTA($O653:$U653)&gt;0,T653=""),"حالة الجاهزية",""),IF(AND(COUNTA($O653:$U653)&gt;0,U653=""),"التوصيات","")),"✓"),"✓"))))))))))</f>
        <v/>
      </c>
      <c r="E653" s="235"/>
      <c r="F653" s="236"/>
      <c r="G653" s="90"/>
      <c r="H653" s="239"/>
      <c r="I653" s="89"/>
      <c r="J653" s="142"/>
      <c r="K653" s="90"/>
      <c r="L653" s="90"/>
      <c r="M653" s="90"/>
      <c r="N653" s="89"/>
      <c r="O653" s="200"/>
      <c r="P653" s="201"/>
      <c r="Q653" s="201"/>
      <c r="R653" s="237"/>
      <c r="S653" s="202"/>
      <c r="T653" s="200"/>
      <c r="U653" s="203"/>
      <c r="V653" s="89"/>
      <c r="W653" s="89"/>
      <c r="X653" s="145"/>
      <c r="Y653" s="89"/>
      <c r="Z653" s="90"/>
      <c r="AA653" s="90"/>
      <c r="AB653" s="90"/>
      <c r="AC653" s="90"/>
      <c r="AD653" s="92"/>
      <c r="AE653" s="149" t="str">
        <f>IFERROR(VLOOKUP(Z653,LISTS!$AL$2:$AM$1000,2,FALSE()),"")</f>
        <v/>
      </c>
      <c r="AF653" s="151" t="str">
        <f>IFERROR(VLOOKUP(AA653,LISTS!$AO$2:$AP$1000,2,FALSE()),"")</f>
        <v/>
      </c>
      <c r="AG653" s="152" t="str">
        <f>IFERROR(VLOOKUP(AB653,LISTS!$AR$2:$AS$1000,2,FALSE()),"")</f>
        <v/>
      </c>
      <c r="AH653" s="154" t="str">
        <f>IFERROR(VLOOKUP(AC653,LISTS!$AU$2:$AV$1000,2,FALSE()),"")</f>
        <v/>
      </c>
      <c r="AI653" s="238" t="str">
        <f t="shared" si="53"/>
        <v>—</v>
      </c>
      <c r="AJ653" s="190" t="str">
        <f t="shared" si="54"/>
        <v>—</v>
      </c>
      <c r="AK653" s="157" t="str">
        <f t="shared" si="50"/>
        <v/>
      </c>
      <c r="AL653" s="160" t="str">
        <f t="shared" si="51"/>
        <v/>
      </c>
      <c r="AM653" s="210"/>
      <c r="AN653" s="209"/>
    </row>
    <row r="654" spans="1:40" ht="27.95" customHeight="1">
      <c r="A654" s="134" t="str">
        <f>IF(I654&lt;&gt;"",COUNTA($I$2:I654),"")</f>
        <v/>
      </c>
      <c r="B654" s="138" t="str">
        <f t="shared" si="52"/>
        <v/>
      </c>
      <c r="C654" s="93" t="str">
        <f t="array" ref="C654">IF(E654="","",IF(M654&lt;&gt;"",
M654&amp;"/"&amp;SUMPRODUCT((M$2:M654=M654)*1)&amp;" - "&amp;(ROW()-2),
"إداري/"&amp;SUMPRODUCT((M$2:M654="")*1)&amp;" - "&amp;(ROW()-2)))</f>
        <v/>
      </c>
      <c r="D654" s="141" t="str">
        <f>IF(AND(G654="",H654="",I654=""),"",IF(COUNTIFS(LISTS!$A$2:$A$67,G654,LISTS!$B$2:$B$67,H654,LISTS!$C$2:$C$67,I654)=0,"✗ هرم",IF(NOT(OR(Z654="ممتاز 100%",Z654="جيد 80%",Z654="مقبول 60%",Z654="خطر 40%",Z654="")),"✗ قائمة R",IF(NOT(OR(AA654="ممتاز 100%",AA654="جيد 85%",AA654="مقبول 70%",AA654="ضعيف 50%",AA654="")),"✗ قائمة S",IF(NOT(OR(AB654="مكتمل 100%",AB654="جزئي 60%",AB654="معلق 30%",AB654="مفتوح 0%",AB654="")),"✗ قائمة T",IF(NOT(OR(AC654="لا خصم 0",AC654="تأخير −5",AC654="عجز −10",AC654="جودة −15",AC654="امتثال −20",AC654="مخالفة −25",AC654="")),"✗ قائمة U",IF(AND(X654="لا",AC654&lt;&gt;"",AC654&lt;&gt;"لا خصم 0"),"✗ خصم",IF(AND(X654="نعم",AC654="لا خصم 0"),"✗ خصم",IF(AND(Z654="ممتاز 100%",AA654="ممتاز 100%",AB654&lt;&gt;"",AB654&lt;&gt;"مكتمل 100%"),"✗ إغلاق",IFERROR(IF(LEN(_xlfn.TEXTJOIN("، ",TRUE,IF(E654="","التاريخ",""),IF(F654="","الوقت",""),IF(G654="","المركز",""),IF(H654="","الدائرة",""),IF(I654="","القسم",""),IF(J654="","المسؤول",""),IF(K654="","نوع النشاط",""),IF(L654="","المشروع",""),IF(N654="","الممول",""),IF(V654="","الموضوع",""),IF(W654="","الملاحظة",""),IF(X654="","مشكلة",""),IF(Y654="","الإجراء",""),IF(Z654="","التنفيذ",""),IF(AA654="","الجودة",""),IF(AB654="","الإغلاق",""),IF(AC654="","الخصم",""),IF(AND(COUNTA($O654:$U654)&gt;0,O654=""),"مدير المشروع",""),IF(AND(COUNTA($O654:$U654)&gt;0,P654=""),"المستفيدين",""),IF(AND(COUNTA($O654:$U654)&gt;0,Q654=""),"المناطق",""),IF(AND(COUNTA($O654:$U654)&gt;0,R654=""),"الميزانية",""),IF(AND(COUNTA($O654:$U654)&gt;0,S654=""),"نسبة الجاهزية",""),IF(AND(COUNTA($O654:$U654)&gt;0,T654=""),"حالة الجاهزية",""),IF(AND(COUNTA($O654:$U654)&gt;0,U654=""),"التوصيات","")))&gt;0,"✗ ناقص: "&amp;_xlfn.TEXTJOIN("، ",TRUE,IF(E654="","التاريخ",""),IF(F654="","الوقت",""),IF(G654="","المركز",""),IF(H654="","الدائرة",""),IF(I654="","القسم",""),IF(J654="","المسؤول",""),IF(K654="","نوع النشاط",""),IF(L654="","المشروع",""),IF(N654="","الممول",""),IF(V654="","الموضوع",""),IF(W654="","الملاحظة",""),IF(X654="","مشكلة",""),IF(Y654="","الإجراء",""),IF(Z654="","التنفيذ",""),IF(AA654="","الجودة",""),IF(AB654="","الإغلاق",""),IF(AC654="","الخصم",""),IF(AND(COUNTA($O654:$U654)&gt;0,O654=""),"مدير المشروع",""),IF(AND(COUNTA($O654:$U654)&gt;0,P654=""),"المستفيدين",""),IF(AND(COUNTA($O654:$U654)&gt;0,Q654=""),"المناطق",""),IF(AND(COUNTA($O654:$U654)&gt;0,R654=""),"الميزانية",""),IF(AND(COUNTA($O654:$U654)&gt;0,S654=""),"نسبة الجاهزية",""),IF(AND(COUNTA($O654:$U654)&gt;0,T654=""),"حالة الجاهزية",""),IF(AND(COUNTA($O654:$U654)&gt;0,U654=""),"التوصيات","")),"✓"),"✓"))))))))))</f>
        <v/>
      </c>
      <c r="E654" s="235"/>
      <c r="F654" s="236"/>
      <c r="G654" s="90"/>
      <c r="H654" s="239"/>
      <c r="I654" s="89"/>
      <c r="J654" s="142"/>
      <c r="K654" s="90"/>
      <c r="L654" s="90"/>
      <c r="M654" s="90"/>
      <c r="N654" s="89"/>
      <c r="O654" s="200"/>
      <c r="P654" s="201"/>
      <c r="Q654" s="201"/>
      <c r="R654" s="237"/>
      <c r="S654" s="202"/>
      <c r="T654" s="200"/>
      <c r="U654" s="203"/>
      <c r="V654" s="89"/>
      <c r="W654" s="89"/>
      <c r="X654" s="145"/>
      <c r="Y654" s="89"/>
      <c r="Z654" s="90"/>
      <c r="AA654" s="90"/>
      <c r="AB654" s="90"/>
      <c r="AC654" s="90"/>
      <c r="AD654" s="92"/>
      <c r="AE654" s="149" t="str">
        <f>IFERROR(VLOOKUP(Z654,LISTS!$AL$2:$AM$1000,2,FALSE()),"")</f>
        <v/>
      </c>
      <c r="AF654" s="151" t="str">
        <f>IFERROR(VLOOKUP(AA654,LISTS!$AO$2:$AP$1000,2,FALSE()),"")</f>
        <v/>
      </c>
      <c r="AG654" s="152" t="str">
        <f>IFERROR(VLOOKUP(AB654,LISTS!$AR$2:$AS$1000,2,FALSE()),"")</f>
        <v/>
      </c>
      <c r="AH654" s="154" t="str">
        <f>IFERROR(VLOOKUP(AC654,LISTS!$AU$2:$AV$1000,2,FALSE()),"")</f>
        <v/>
      </c>
      <c r="AI654" s="238" t="str">
        <f t="shared" si="53"/>
        <v>—</v>
      </c>
      <c r="AJ654" s="190" t="str">
        <f t="shared" si="54"/>
        <v>—</v>
      </c>
      <c r="AK654" s="157" t="str">
        <f t="shared" si="50"/>
        <v/>
      </c>
      <c r="AL654" s="160" t="str">
        <f t="shared" si="51"/>
        <v/>
      </c>
      <c r="AM654" s="210"/>
      <c r="AN654" s="209"/>
    </row>
    <row r="655" spans="1:40" ht="27.95" customHeight="1">
      <c r="A655" s="134" t="str">
        <f>IF(I655&lt;&gt;"",COUNTA($I$2:I655),"")</f>
        <v/>
      </c>
      <c r="B655" s="138" t="str">
        <f t="shared" si="52"/>
        <v/>
      </c>
      <c r="C655" s="93" t="str">
        <f t="array" ref="C655">IF(E655="","",IF(M655&lt;&gt;"",
M655&amp;"/"&amp;SUMPRODUCT((M$2:M655=M655)*1)&amp;" - "&amp;(ROW()-2),
"إداري/"&amp;SUMPRODUCT((M$2:M655="")*1)&amp;" - "&amp;(ROW()-2)))</f>
        <v/>
      </c>
      <c r="D655" s="141" t="str">
        <f>IF(AND(G655="",H655="",I655=""),"",IF(COUNTIFS(LISTS!$A$2:$A$67,G655,LISTS!$B$2:$B$67,H655,LISTS!$C$2:$C$67,I655)=0,"✗ هرم",IF(NOT(OR(Z655="ممتاز 100%",Z655="جيد 80%",Z655="مقبول 60%",Z655="خطر 40%",Z655="")),"✗ قائمة R",IF(NOT(OR(AA655="ممتاز 100%",AA655="جيد 85%",AA655="مقبول 70%",AA655="ضعيف 50%",AA655="")),"✗ قائمة S",IF(NOT(OR(AB655="مكتمل 100%",AB655="جزئي 60%",AB655="معلق 30%",AB655="مفتوح 0%",AB655="")),"✗ قائمة T",IF(NOT(OR(AC655="لا خصم 0",AC655="تأخير −5",AC655="عجز −10",AC655="جودة −15",AC655="امتثال −20",AC655="مخالفة −25",AC655="")),"✗ قائمة U",IF(AND(X655="لا",AC655&lt;&gt;"",AC655&lt;&gt;"لا خصم 0"),"✗ خصم",IF(AND(X655="نعم",AC655="لا خصم 0"),"✗ خصم",IF(AND(Z655="ممتاز 100%",AA655="ممتاز 100%",AB655&lt;&gt;"",AB655&lt;&gt;"مكتمل 100%"),"✗ إغلاق",IFERROR(IF(LEN(_xlfn.TEXTJOIN("، ",TRUE,IF(E655="","التاريخ",""),IF(F655="","الوقت",""),IF(G655="","المركز",""),IF(H655="","الدائرة",""),IF(I655="","القسم",""),IF(J655="","المسؤول",""),IF(K655="","نوع النشاط",""),IF(L655="","المشروع",""),IF(N655="","الممول",""),IF(V655="","الموضوع",""),IF(W655="","الملاحظة",""),IF(X655="","مشكلة",""),IF(Y655="","الإجراء",""),IF(Z655="","التنفيذ",""),IF(AA655="","الجودة",""),IF(AB655="","الإغلاق",""),IF(AC655="","الخصم",""),IF(AND(COUNTA($O655:$U655)&gt;0,O655=""),"مدير المشروع",""),IF(AND(COUNTA($O655:$U655)&gt;0,P655=""),"المستفيدين",""),IF(AND(COUNTA($O655:$U655)&gt;0,Q655=""),"المناطق",""),IF(AND(COUNTA($O655:$U655)&gt;0,R655=""),"الميزانية",""),IF(AND(COUNTA($O655:$U655)&gt;0,S655=""),"نسبة الجاهزية",""),IF(AND(COUNTA($O655:$U655)&gt;0,T655=""),"حالة الجاهزية",""),IF(AND(COUNTA($O655:$U655)&gt;0,U655=""),"التوصيات","")))&gt;0,"✗ ناقص: "&amp;_xlfn.TEXTJOIN("، ",TRUE,IF(E655="","التاريخ",""),IF(F655="","الوقت",""),IF(G655="","المركز",""),IF(H655="","الدائرة",""),IF(I655="","القسم",""),IF(J655="","المسؤول",""),IF(K655="","نوع النشاط",""),IF(L655="","المشروع",""),IF(N655="","الممول",""),IF(V655="","الموضوع",""),IF(W655="","الملاحظة",""),IF(X655="","مشكلة",""),IF(Y655="","الإجراء",""),IF(Z655="","التنفيذ",""),IF(AA655="","الجودة",""),IF(AB655="","الإغلاق",""),IF(AC655="","الخصم",""),IF(AND(COUNTA($O655:$U655)&gt;0,O655=""),"مدير المشروع",""),IF(AND(COUNTA($O655:$U655)&gt;0,P655=""),"المستفيدين",""),IF(AND(COUNTA($O655:$U655)&gt;0,Q655=""),"المناطق",""),IF(AND(COUNTA($O655:$U655)&gt;0,R655=""),"الميزانية",""),IF(AND(COUNTA($O655:$U655)&gt;0,S655=""),"نسبة الجاهزية",""),IF(AND(COUNTA($O655:$U655)&gt;0,T655=""),"حالة الجاهزية",""),IF(AND(COUNTA($O655:$U655)&gt;0,U655=""),"التوصيات","")),"✓"),"✓"))))))))))</f>
        <v/>
      </c>
      <c r="E655" s="235"/>
      <c r="F655" s="236"/>
      <c r="G655" s="90"/>
      <c r="H655" s="239"/>
      <c r="I655" s="89"/>
      <c r="J655" s="142"/>
      <c r="K655" s="90"/>
      <c r="L655" s="90"/>
      <c r="M655" s="90"/>
      <c r="N655" s="89"/>
      <c r="O655" s="200"/>
      <c r="P655" s="201"/>
      <c r="Q655" s="201"/>
      <c r="R655" s="237"/>
      <c r="S655" s="202"/>
      <c r="T655" s="200"/>
      <c r="U655" s="203"/>
      <c r="V655" s="89"/>
      <c r="W655" s="89"/>
      <c r="X655" s="145"/>
      <c r="Y655" s="89"/>
      <c r="Z655" s="90"/>
      <c r="AA655" s="90"/>
      <c r="AB655" s="90"/>
      <c r="AC655" s="90"/>
      <c r="AD655" s="92"/>
      <c r="AE655" s="149" t="str">
        <f>IFERROR(VLOOKUP(Z655,LISTS!$AL$2:$AM$1000,2,FALSE()),"")</f>
        <v/>
      </c>
      <c r="AF655" s="151" t="str">
        <f>IFERROR(VLOOKUP(AA655,LISTS!$AO$2:$AP$1000,2,FALSE()),"")</f>
        <v/>
      </c>
      <c r="AG655" s="152" t="str">
        <f>IFERROR(VLOOKUP(AB655,LISTS!$AR$2:$AS$1000,2,FALSE()),"")</f>
        <v/>
      </c>
      <c r="AH655" s="154" t="str">
        <f>IFERROR(VLOOKUP(AC655,LISTS!$AU$2:$AV$1000,2,FALSE()),"")</f>
        <v/>
      </c>
      <c r="AI655" s="238" t="str">
        <f t="shared" si="53"/>
        <v>—</v>
      </c>
      <c r="AJ655" s="190" t="str">
        <f t="shared" si="54"/>
        <v>—</v>
      </c>
      <c r="AK655" s="157" t="str">
        <f t="shared" si="50"/>
        <v/>
      </c>
      <c r="AL655" s="160" t="str">
        <f t="shared" si="51"/>
        <v/>
      </c>
      <c r="AM655" s="210"/>
      <c r="AN655" s="209"/>
    </row>
    <row r="656" spans="1:40" ht="27.95" customHeight="1">
      <c r="A656" s="134" t="str">
        <f>IF(I656&lt;&gt;"",COUNTA($I$2:I656),"")</f>
        <v/>
      </c>
      <c r="B656" s="138" t="str">
        <f t="shared" si="52"/>
        <v/>
      </c>
      <c r="C656" s="93" t="str">
        <f t="array" ref="C656">IF(E656="","",IF(M656&lt;&gt;"",
M656&amp;"/"&amp;SUMPRODUCT((M$2:M656=M656)*1)&amp;" - "&amp;(ROW()-2),
"إداري/"&amp;SUMPRODUCT((M$2:M656="")*1)&amp;" - "&amp;(ROW()-2)))</f>
        <v/>
      </c>
      <c r="D656" s="141" t="str">
        <f>IF(AND(G656="",H656="",I656=""),"",IF(COUNTIFS(LISTS!$A$2:$A$67,G656,LISTS!$B$2:$B$67,H656,LISTS!$C$2:$C$67,I656)=0,"✗ هرم",IF(NOT(OR(Z656="ممتاز 100%",Z656="جيد 80%",Z656="مقبول 60%",Z656="خطر 40%",Z656="")),"✗ قائمة R",IF(NOT(OR(AA656="ممتاز 100%",AA656="جيد 85%",AA656="مقبول 70%",AA656="ضعيف 50%",AA656="")),"✗ قائمة S",IF(NOT(OR(AB656="مكتمل 100%",AB656="جزئي 60%",AB656="معلق 30%",AB656="مفتوح 0%",AB656="")),"✗ قائمة T",IF(NOT(OR(AC656="لا خصم 0",AC656="تأخير −5",AC656="عجز −10",AC656="جودة −15",AC656="امتثال −20",AC656="مخالفة −25",AC656="")),"✗ قائمة U",IF(AND(X656="لا",AC656&lt;&gt;"",AC656&lt;&gt;"لا خصم 0"),"✗ خصم",IF(AND(X656="نعم",AC656="لا خصم 0"),"✗ خصم",IF(AND(Z656="ممتاز 100%",AA656="ممتاز 100%",AB656&lt;&gt;"",AB656&lt;&gt;"مكتمل 100%"),"✗ إغلاق",IFERROR(IF(LEN(_xlfn.TEXTJOIN("، ",TRUE,IF(E656="","التاريخ",""),IF(F656="","الوقت",""),IF(G656="","المركز",""),IF(H656="","الدائرة",""),IF(I656="","القسم",""),IF(J656="","المسؤول",""),IF(K656="","نوع النشاط",""),IF(L656="","المشروع",""),IF(N656="","الممول",""),IF(V656="","الموضوع",""),IF(W656="","الملاحظة",""),IF(X656="","مشكلة",""),IF(Y656="","الإجراء",""),IF(Z656="","التنفيذ",""),IF(AA656="","الجودة",""),IF(AB656="","الإغلاق",""),IF(AC656="","الخصم",""),IF(AND(COUNTA($O656:$U656)&gt;0,O656=""),"مدير المشروع",""),IF(AND(COUNTA($O656:$U656)&gt;0,P656=""),"المستفيدين",""),IF(AND(COUNTA($O656:$U656)&gt;0,Q656=""),"المناطق",""),IF(AND(COUNTA($O656:$U656)&gt;0,R656=""),"الميزانية",""),IF(AND(COUNTA($O656:$U656)&gt;0,S656=""),"نسبة الجاهزية",""),IF(AND(COUNTA($O656:$U656)&gt;0,T656=""),"حالة الجاهزية",""),IF(AND(COUNTA($O656:$U656)&gt;0,U656=""),"التوصيات","")))&gt;0,"✗ ناقص: "&amp;_xlfn.TEXTJOIN("، ",TRUE,IF(E656="","التاريخ",""),IF(F656="","الوقت",""),IF(G656="","المركز",""),IF(H656="","الدائرة",""),IF(I656="","القسم",""),IF(J656="","المسؤول",""),IF(K656="","نوع النشاط",""),IF(L656="","المشروع",""),IF(N656="","الممول",""),IF(V656="","الموضوع",""),IF(W656="","الملاحظة",""),IF(X656="","مشكلة",""),IF(Y656="","الإجراء",""),IF(Z656="","التنفيذ",""),IF(AA656="","الجودة",""),IF(AB656="","الإغلاق",""),IF(AC656="","الخصم",""),IF(AND(COUNTA($O656:$U656)&gt;0,O656=""),"مدير المشروع",""),IF(AND(COUNTA($O656:$U656)&gt;0,P656=""),"المستفيدين",""),IF(AND(COUNTA($O656:$U656)&gt;0,Q656=""),"المناطق",""),IF(AND(COUNTA($O656:$U656)&gt;0,R656=""),"الميزانية",""),IF(AND(COUNTA($O656:$U656)&gt;0,S656=""),"نسبة الجاهزية",""),IF(AND(COUNTA($O656:$U656)&gt;0,T656=""),"حالة الجاهزية",""),IF(AND(COUNTA($O656:$U656)&gt;0,U656=""),"التوصيات","")),"✓"),"✓"))))))))))</f>
        <v/>
      </c>
      <c r="E656" s="235"/>
      <c r="F656" s="236"/>
      <c r="G656" s="90"/>
      <c r="H656" s="239"/>
      <c r="I656" s="89"/>
      <c r="J656" s="142"/>
      <c r="K656" s="90"/>
      <c r="L656" s="90"/>
      <c r="M656" s="90"/>
      <c r="N656" s="89"/>
      <c r="O656" s="200"/>
      <c r="P656" s="201"/>
      <c r="Q656" s="201"/>
      <c r="R656" s="237"/>
      <c r="S656" s="202"/>
      <c r="T656" s="200"/>
      <c r="U656" s="203"/>
      <c r="V656" s="89"/>
      <c r="W656" s="89"/>
      <c r="X656" s="145"/>
      <c r="Y656" s="89"/>
      <c r="Z656" s="90"/>
      <c r="AA656" s="90"/>
      <c r="AB656" s="90"/>
      <c r="AC656" s="90"/>
      <c r="AD656" s="92"/>
      <c r="AE656" s="149" t="str">
        <f>IFERROR(VLOOKUP(Z656,LISTS!$AL$2:$AM$1000,2,FALSE()),"")</f>
        <v/>
      </c>
      <c r="AF656" s="151" t="str">
        <f>IFERROR(VLOOKUP(AA656,LISTS!$AO$2:$AP$1000,2,FALSE()),"")</f>
        <v/>
      </c>
      <c r="AG656" s="152" t="str">
        <f>IFERROR(VLOOKUP(AB656,LISTS!$AR$2:$AS$1000,2,FALSE()),"")</f>
        <v/>
      </c>
      <c r="AH656" s="154" t="str">
        <f>IFERROR(VLOOKUP(AC656,LISTS!$AU$2:$AV$1000,2,FALSE()),"")</f>
        <v/>
      </c>
      <c r="AI656" s="238" t="str">
        <f t="shared" si="53"/>
        <v>—</v>
      </c>
      <c r="AJ656" s="190" t="str">
        <f t="shared" si="54"/>
        <v>—</v>
      </c>
      <c r="AK656" s="157" t="str">
        <f t="shared" si="50"/>
        <v/>
      </c>
      <c r="AL656" s="160" t="str">
        <f t="shared" si="51"/>
        <v/>
      </c>
      <c r="AM656" s="210"/>
      <c r="AN656" s="209"/>
    </row>
    <row r="657" spans="1:40" ht="27.95" customHeight="1">
      <c r="A657" s="134" t="str">
        <f>IF(I657&lt;&gt;"",COUNTA($I$2:I657),"")</f>
        <v/>
      </c>
      <c r="B657" s="138" t="str">
        <f t="shared" si="52"/>
        <v/>
      </c>
      <c r="C657" s="93" t="str">
        <f t="array" ref="C657">IF(E657="","",IF(M657&lt;&gt;"",
M657&amp;"/"&amp;SUMPRODUCT((M$2:M657=M657)*1)&amp;" - "&amp;(ROW()-2),
"إداري/"&amp;SUMPRODUCT((M$2:M657="")*1)&amp;" - "&amp;(ROW()-2)))</f>
        <v/>
      </c>
      <c r="D657" s="141" t="str">
        <f>IF(AND(G657="",H657="",I657=""),"",IF(COUNTIFS(LISTS!$A$2:$A$67,G657,LISTS!$B$2:$B$67,H657,LISTS!$C$2:$C$67,I657)=0,"✗ هرم",IF(NOT(OR(Z657="ممتاز 100%",Z657="جيد 80%",Z657="مقبول 60%",Z657="خطر 40%",Z657="")),"✗ قائمة R",IF(NOT(OR(AA657="ممتاز 100%",AA657="جيد 85%",AA657="مقبول 70%",AA657="ضعيف 50%",AA657="")),"✗ قائمة S",IF(NOT(OR(AB657="مكتمل 100%",AB657="جزئي 60%",AB657="معلق 30%",AB657="مفتوح 0%",AB657="")),"✗ قائمة T",IF(NOT(OR(AC657="لا خصم 0",AC657="تأخير −5",AC657="عجز −10",AC657="جودة −15",AC657="امتثال −20",AC657="مخالفة −25",AC657="")),"✗ قائمة U",IF(AND(X657="لا",AC657&lt;&gt;"",AC657&lt;&gt;"لا خصم 0"),"✗ خصم",IF(AND(X657="نعم",AC657="لا خصم 0"),"✗ خصم",IF(AND(Z657="ممتاز 100%",AA657="ممتاز 100%",AB657&lt;&gt;"",AB657&lt;&gt;"مكتمل 100%"),"✗ إغلاق",IFERROR(IF(LEN(_xlfn.TEXTJOIN("، ",TRUE,IF(E657="","التاريخ",""),IF(F657="","الوقت",""),IF(G657="","المركز",""),IF(H657="","الدائرة",""),IF(I657="","القسم",""),IF(J657="","المسؤول",""),IF(K657="","نوع النشاط",""),IF(L657="","المشروع",""),IF(N657="","الممول",""),IF(V657="","الموضوع",""),IF(W657="","الملاحظة",""),IF(X657="","مشكلة",""),IF(Y657="","الإجراء",""),IF(Z657="","التنفيذ",""),IF(AA657="","الجودة",""),IF(AB657="","الإغلاق",""),IF(AC657="","الخصم",""),IF(AND(COUNTA($O657:$U657)&gt;0,O657=""),"مدير المشروع",""),IF(AND(COUNTA($O657:$U657)&gt;0,P657=""),"المستفيدين",""),IF(AND(COUNTA($O657:$U657)&gt;0,Q657=""),"المناطق",""),IF(AND(COUNTA($O657:$U657)&gt;0,R657=""),"الميزانية",""),IF(AND(COUNTA($O657:$U657)&gt;0,S657=""),"نسبة الجاهزية",""),IF(AND(COUNTA($O657:$U657)&gt;0,T657=""),"حالة الجاهزية",""),IF(AND(COUNTA($O657:$U657)&gt;0,U657=""),"التوصيات","")))&gt;0,"✗ ناقص: "&amp;_xlfn.TEXTJOIN("، ",TRUE,IF(E657="","التاريخ",""),IF(F657="","الوقت",""),IF(G657="","المركز",""),IF(H657="","الدائرة",""),IF(I657="","القسم",""),IF(J657="","المسؤول",""),IF(K657="","نوع النشاط",""),IF(L657="","المشروع",""),IF(N657="","الممول",""),IF(V657="","الموضوع",""),IF(W657="","الملاحظة",""),IF(X657="","مشكلة",""),IF(Y657="","الإجراء",""),IF(Z657="","التنفيذ",""),IF(AA657="","الجودة",""),IF(AB657="","الإغلاق",""),IF(AC657="","الخصم",""),IF(AND(COUNTA($O657:$U657)&gt;0,O657=""),"مدير المشروع",""),IF(AND(COUNTA($O657:$U657)&gt;0,P657=""),"المستفيدين",""),IF(AND(COUNTA($O657:$U657)&gt;0,Q657=""),"المناطق",""),IF(AND(COUNTA($O657:$U657)&gt;0,R657=""),"الميزانية",""),IF(AND(COUNTA($O657:$U657)&gt;0,S657=""),"نسبة الجاهزية",""),IF(AND(COUNTA($O657:$U657)&gt;0,T657=""),"حالة الجاهزية",""),IF(AND(COUNTA($O657:$U657)&gt;0,U657=""),"التوصيات","")),"✓"),"✓"))))))))))</f>
        <v/>
      </c>
      <c r="E657" s="235"/>
      <c r="F657" s="236"/>
      <c r="G657" s="90"/>
      <c r="H657" s="239"/>
      <c r="I657" s="89"/>
      <c r="J657" s="142"/>
      <c r="K657" s="90"/>
      <c r="L657" s="90"/>
      <c r="M657" s="90"/>
      <c r="N657" s="89"/>
      <c r="O657" s="200"/>
      <c r="P657" s="201"/>
      <c r="Q657" s="201"/>
      <c r="R657" s="237"/>
      <c r="S657" s="202"/>
      <c r="T657" s="200"/>
      <c r="U657" s="203"/>
      <c r="V657" s="89"/>
      <c r="W657" s="89"/>
      <c r="X657" s="145"/>
      <c r="Y657" s="89"/>
      <c r="Z657" s="90"/>
      <c r="AA657" s="90"/>
      <c r="AB657" s="90"/>
      <c r="AC657" s="90"/>
      <c r="AD657" s="92"/>
      <c r="AE657" s="149" t="str">
        <f>IFERROR(VLOOKUP(Z657,LISTS!$AL$2:$AM$1000,2,FALSE()),"")</f>
        <v/>
      </c>
      <c r="AF657" s="151" t="str">
        <f>IFERROR(VLOOKUP(AA657,LISTS!$AO$2:$AP$1000,2,FALSE()),"")</f>
        <v/>
      </c>
      <c r="AG657" s="152" t="str">
        <f>IFERROR(VLOOKUP(AB657,LISTS!$AR$2:$AS$1000,2,FALSE()),"")</f>
        <v/>
      </c>
      <c r="AH657" s="154" t="str">
        <f>IFERROR(VLOOKUP(AC657,LISTS!$AU$2:$AV$1000,2,FALSE()),"")</f>
        <v/>
      </c>
      <c r="AI657" s="238" t="str">
        <f t="shared" si="53"/>
        <v>—</v>
      </c>
      <c r="AJ657" s="190" t="str">
        <f t="shared" si="54"/>
        <v>—</v>
      </c>
      <c r="AK657" s="157" t="str">
        <f t="shared" si="50"/>
        <v/>
      </c>
      <c r="AL657" s="160" t="str">
        <f t="shared" si="51"/>
        <v/>
      </c>
      <c r="AM657" s="210"/>
      <c r="AN657" s="209"/>
    </row>
    <row r="658" spans="1:40" ht="27.95" customHeight="1">
      <c r="A658" s="134" t="str">
        <f>IF(I658&lt;&gt;"",COUNTA($I$2:I658),"")</f>
        <v/>
      </c>
      <c r="B658" s="138" t="str">
        <f t="shared" si="52"/>
        <v/>
      </c>
      <c r="C658" s="93" t="str">
        <f t="array" ref="C658">IF(E658="","",IF(M658&lt;&gt;"",
M658&amp;"/"&amp;SUMPRODUCT((M$2:M658=M658)*1)&amp;" - "&amp;(ROW()-2),
"إداري/"&amp;SUMPRODUCT((M$2:M658="")*1)&amp;" - "&amp;(ROW()-2)))</f>
        <v/>
      </c>
      <c r="D658" s="141" t="str">
        <f>IF(AND(G658="",H658="",I658=""),"",IF(COUNTIFS(LISTS!$A$2:$A$67,G658,LISTS!$B$2:$B$67,H658,LISTS!$C$2:$C$67,I658)=0,"✗ هرم",IF(NOT(OR(Z658="ممتاز 100%",Z658="جيد 80%",Z658="مقبول 60%",Z658="خطر 40%",Z658="")),"✗ قائمة R",IF(NOT(OR(AA658="ممتاز 100%",AA658="جيد 85%",AA658="مقبول 70%",AA658="ضعيف 50%",AA658="")),"✗ قائمة S",IF(NOT(OR(AB658="مكتمل 100%",AB658="جزئي 60%",AB658="معلق 30%",AB658="مفتوح 0%",AB658="")),"✗ قائمة T",IF(NOT(OR(AC658="لا خصم 0",AC658="تأخير −5",AC658="عجز −10",AC658="جودة −15",AC658="امتثال −20",AC658="مخالفة −25",AC658="")),"✗ قائمة U",IF(AND(X658="لا",AC658&lt;&gt;"",AC658&lt;&gt;"لا خصم 0"),"✗ خصم",IF(AND(X658="نعم",AC658="لا خصم 0"),"✗ خصم",IF(AND(Z658="ممتاز 100%",AA658="ممتاز 100%",AB658&lt;&gt;"",AB658&lt;&gt;"مكتمل 100%"),"✗ إغلاق",IFERROR(IF(LEN(_xlfn.TEXTJOIN("، ",TRUE,IF(E658="","التاريخ",""),IF(F658="","الوقت",""),IF(G658="","المركز",""),IF(H658="","الدائرة",""),IF(I658="","القسم",""),IF(J658="","المسؤول",""),IF(K658="","نوع النشاط",""),IF(L658="","المشروع",""),IF(N658="","الممول",""),IF(V658="","الموضوع",""),IF(W658="","الملاحظة",""),IF(X658="","مشكلة",""),IF(Y658="","الإجراء",""),IF(Z658="","التنفيذ",""),IF(AA658="","الجودة",""),IF(AB658="","الإغلاق",""),IF(AC658="","الخصم",""),IF(AND(COUNTA($O658:$U658)&gt;0,O658=""),"مدير المشروع",""),IF(AND(COUNTA($O658:$U658)&gt;0,P658=""),"المستفيدين",""),IF(AND(COUNTA($O658:$U658)&gt;0,Q658=""),"المناطق",""),IF(AND(COUNTA($O658:$U658)&gt;0,R658=""),"الميزانية",""),IF(AND(COUNTA($O658:$U658)&gt;0,S658=""),"نسبة الجاهزية",""),IF(AND(COUNTA($O658:$U658)&gt;0,T658=""),"حالة الجاهزية",""),IF(AND(COUNTA($O658:$U658)&gt;0,U658=""),"التوصيات","")))&gt;0,"✗ ناقص: "&amp;_xlfn.TEXTJOIN("، ",TRUE,IF(E658="","التاريخ",""),IF(F658="","الوقت",""),IF(G658="","المركز",""),IF(H658="","الدائرة",""),IF(I658="","القسم",""),IF(J658="","المسؤول",""),IF(K658="","نوع النشاط",""),IF(L658="","المشروع",""),IF(N658="","الممول",""),IF(V658="","الموضوع",""),IF(W658="","الملاحظة",""),IF(X658="","مشكلة",""),IF(Y658="","الإجراء",""),IF(Z658="","التنفيذ",""),IF(AA658="","الجودة",""),IF(AB658="","الإغلاق",""),IF(AC658="","الخصم",""),IF(AND(COUNTA($O658:$U658)&gt;0,O658=""),"مدير المشروع",""),IF(AND(COUNTA($O658:$U658)&gt;0,P658=""),"المستفيدين",""),IF(AND(COUNTA($O658:$U658)&gt;0,Q658=""),"المناطق",""),IF(AND(COUNTA($O658:$U658)&gt;0,R658=""),"الميزانية",""),IF(AND(COUNTA($O658:$U658)&gt;0,S658=""),"نسبة الجاهزية",""),IF(AND(COUNTA($O658:$U658)&gt;0,T658=""),"حالة الجاهزية",""),IF(AND(COUNTA($O658:$U658)&gt;0,U658=""),"التوصيات","")),"✓"),"✓"))))))))))</f>
        <v/>
      </c>
      <c r="E658" s="235"/>
      <c r="F658" s="236"/>
      <c r="G658" s="90"/>
      <c r="H658" s="239"/>
      <c r="I658" s="89"/>
      <c r="J658" s="142"/>
      <c r="K658" s="90"/>
      <c r="L658" s="90"/>
      <c r="M658" s="90"/>
      <c r="N658" s="89"/>
      <c r="O658" s="200"/>
      <c r="P658" s="201"/>
      <c r="Q658" s="201"/>
      <c r="R658" s="237"/>
      <c r="S658" s="202"/>
      <c r="T658" s="200"/>
      <c r="U658" s="203"/>
      <c r="V658" s="89"/>
      <c r="W658" s="89"/>
      <c r="X658" s="145"/>
      <c r="Y658" s="89"/>
      <c r="Z658" s="90"/>
      <c r="AA658" s="90"/>
      <c r="AB658" s="90"/>
      <c r="AC658" s="90"/>
      <c r="AD658" s="92"/>
      <c r="AE658" s="149" t="str">
        <f>IFERROR(VLOOKUP(Z658,LISTS!$AL$2:$AM$1000,2,FALSE()),"")</f>
        <v/>
      </c>
      <c r="AF658" s="151" t="str">
        <f>IFERROR(VLOOKUP(AA658,LISTS!$AO$2:$AP$1000,2,FALSE()),"")</f>
        <v/>
      </c>
      <c r="AG658" s="152" t="str">
        <f>IFERROR(VLOOKUP(AB658,LISTS!$AR$2:$AS$1000,2,FALSE()),"")</f>
        <v/>
      </c>
      <c r="AH658" s="154" t="str">
        <f>IFERROR(VLOOKUP(AC658,LISTS!$AU$2:$AV$1000,2,FALSE()),"")</f>
        <v/>
      </c>
      <c r="AI658" s="238" t="str">
        <f t="shared" si="53"/>
        <v>—</v>
      </c>
      <c r="AJ658" s="190" t="str">
        <f t="shared" si="54"/>
        <v>—</v>
      </c>
      <c r="AK658" s="157" t="str">
        <f t="shared" si="50"/>
        <v/>
      </c>
      <c r="AL658" s="160" t="str">
        <f t="shared" si="51"/>
        <v/>
      </c>
      <c r="AM658" s="210"/>
      <c r="AN658" s="209"/>
    </row>
    <row r="659" spans="1:40" ht="27.95" customHeight="1">
      <c r="A659" s="134" t="str">
        <f>IF(I659&lt;&gt;"",COUNTA($I$2:I659),"")</f>
        <v/>
      </c>
      <c r="B659" s="138" t="str">
        <f t="shared" si="52"/>
        <v/>
      </c>
      <c r="C659" s="93" t="str">
        <f t="array" ref="C659">IF(E659="","",IF(M659&lt;&gt;"",
M659&amp;"/"&amp;SUMPRODUCT((M$2:M659=M659)*1)&amp;" - "&amp;(ROW()-2),
"إداري/"&amp;SUMPRODUCT((M$2:M659="")*1)&amp;" - "&amp;(ROW()-2)))</f>
        <v/>
      </c>
      <c r="D659" s="141" t="str">
        <f>IF(AND(G659="",H659="",I659=""),"",IF(COUNTIFS(LISTS!$A$2:$A$67,G659,LISTS!$B$2:$B$67,H659,LISTS!$C$2:$C$67,I659)=0,"✗ هرم",IF(NOT(OR(Z659="ممتاز 100%",Z659="جيد 80%",Z659="مقبول 60%",Z659="خطر 40%",Z659="")),"✗ قائمة R",IF(NOT(OR(AA659="ممتاز 100%",AA659="جيد 85%",AA659="مقبول 70%",AA659="ضعيف 50%",AA659="")),"✗ قائمة S",IF(NOT(OR(AB659="مكتمل 100%",AB659="جزئي 60%",AB659="معلق 30%",AB659="مفتوح 0%",AB659="")),"✗ قائمة T",IF(NOT(OR(AC659="لا خصم 0",AC659="تأخير −5",AC659="عجز −10",AC659="جودة −15",AC659="امتثال −20",AC659="مخالفة −25",AC659="")),"✗ قائمة U",IF(AND(X659="لا",AC659&lt;&gt;"",AC659&lt;&gt;"لا خصم 0"),"✗ خصم",IF(AND(X659="نعم",AC659="لا خصم 0"),"✗ خصم",IF(AND(Z659="ممتاز 100%",AA659="ممتاز 100%",AB659&lt;&gt;"",AB659&lt;&gt;"مكتمل 100%"),"✗ إغلاق",IFERROR(IF(LEN(_xlfn.TEXTJOIN("، ",TRUE,IF(E659="","التاريخ",""),IF(F659="","الوقت",""),IF(G659="","المركز",""),IF(H659="","الدائرة",""),IF(I659="","القسم",""),IF(J659="","المسؤول",""),IF(K659="","نوع النشاط",""),IF(L659="","المشروع",""),IF(N659="","الممول",""),IF(V659="","الموضوع",""),IF(W659="","الملاحظة",""),IF(X659="","مشكلة",""),IF(Y659="","الإجراء",""),IF(Z659="","التنفيذ",""),IF(AA659="","الجودة",""),IF(AB659="","الإغلاق",""),IF(AC659="","الخصم",""),IF(AND(COUNTA($O659:$U659)&gt;0,O659=""),"مدير المشروع",""),IF(AND(COUNTA($O659:$U659)&gt;0,P659=""),"المستفيدين",""),IF(AND(COUNTA($O659:$U659)&gt;0,Q659=""),"المناطق",""),IF(AND(COUNTA($O659:$U659)&gt;0,R659=""),"الميزانية",""),IF(AND(COUNTA($O659:$U659)&gt;0,S659=""),"نسبة الجاهزية",""),IF(AND(COUNTA($O659:$U659)&gt;0,T659=""),"حالة الجاهزية",""),IF(AND(COUNTA($O659:$U659)&gt;0,U659=""),"التوصيات","")))&gt;0,"✗ ناقص: "&amp;_xlfn.TEXTJOIN("، ",TRUE,IF(E659="","التاريخ",""),IF(F659="","الوقت",""),IF(G659="","المركز",""),IF(H659="","الدائرة",""),IF(I659="","القسم",""),IF(J659="","المسؤول",""),IF(K659="","نوع النشاط",""),IF(L659="","المشروع",""),IF(N659="","الممول",""),IF(V659="","الموضوع",""),IF(W659="","الملاحظة",""),IF(X659="","مشكلة",""),IF(Y659="","الإجراء",""),IF(Z659="","التنفيذ",""),IF(AA659="","الجودة",""),IF(AB659="","الإغلاق",""),IF(AC659="","الخصم",""),IF(AND(COUNTA($O659:$U659)&gt;0,O659=""),"مدير المشروع",""),IF(AND(COUNTA($O659:$U659)&gt;0,P659=""),"المستفيدين",""),IF(AND(COUNTA($O659:$U659)&gt;0,Q659=""),"المناطق",""),IF(AND(COUNTA($O659:$U659)&gt;0,R659=""),"الميزانية",""),IF(AND(COUNTA($O659:$U659)&gt;0,S659=""),"نسبة الجاهزية",""),IF(AND(COUNTA($O659:$U659)&gt;0,T659=""),"حالة الجاهزية",""),IF(AND(COUNTA($O659:$U659)&gt;0,U659=""),"التوصيات","")),"✓"),"✓"))))))))))</f>
        <v/>
      </c>
      <c r="E659" s="235"/>
      <c r="F659" s="236"/>
      <c r="G659" s="90"/>
      <c r="H659" s="239"/>
      <c r="I659" s="89"/>
      <c r="J659" s="142"/>
      <c r="K659" s="90"/>
      <c r="L659" s="90"/>
      <c r="M659" s="90"/>
      <c r="N659" s="89"/>
      <c r="O659" s="200"/>
      <c r="P659" s="201"/>
      <c r="Q659" s="201"/>
      <c r="R659" s="237"/>
      <c r="S659" s="202"/>
      <c r="T659" s="200"/>
      <c r="U659" s="203"/>
      <c r="V659" s="89"/>
      <c r="W659" s="89"/>
      <c r="X659" s="145"/>
      <c r="Y659" s="89"/>
      <c r="Z659" s="90"/>
      <c r="AA659" s="90"/>
      <c r="AB659" s="90"/>
      <c r="AC659" s="90"/>
      <c r="AD659" s="92"/>
      <c r="AE659" s="149" t="str">
        <f>IFERROR(VLOOKUP(Z659,LISTS!$AL$2:$AM$1000,2,FALSE()),"")</f>
        <v/>
      </c>
      <c r="AF659" s="151" t="str">
        <f>IFERROR(VLOOKUP(AA659,LISTS!$AO$2:$AP$1000,2,FALSE()),"")</f>
        <v/>
      </c>
      <c r="AG659" s="152" t="str">
        <f>IFERROR(VLOOKUP(AB659,LISTS!$AR$2:$AS$1000,2,FALSE()),"")</f>
        <v/>
      </c>
      <c r="AH659" s="154" t="str">
        <f>IFERROR(VLOOKUP(AC659,LISTS!$AU$2:$AV$1000,2,FALSE()),"")</f>
        <v/>
      </c>
      <c r="AI659" s="238" t="str">
        <f t="shared" si="53"/>
        <v>—</v>
      </c>
      <c r="AJ659" s="190" t="str">
        <f t="shared" si="54"/>
        <v>—</v>
      </c>
      <c r="AK659" s="157" t="str">
        <f t="shared" si="50"/>
        <v/>
      </c>
      <c r="AL659" s="160" t="str">
        <f t="shared" si="51"/>
        <v/>
      </c>
      <c r="AM659" s="210"/>
      <c r="AN659" s="209"/>
    </row>
    <row r="660" spans="1:40" ht="27.95" customHeight="1">
      <c r="A660" s="134" t="str">
        <f>IF(I660&lt;&gt;"",COUNTA($I$2:I660),"")</f>
        <v/>
      </c>
      <c r="B660" s="138" t="str">
        <f t="shared" si="52"/>
        <v/>
      </c>
      <c r="C660" s="93" t="str">
        <f t="array" ref="C660">IF(E660="","",IF(M660&lt;&gt;"",
M660&amp;"/"&amp;SUMPRODUCT((M$2:M660=M660)*1)&amp;" - "&amp;(ROW()-2),
"إداري/"&amp;SUMPRODUCT((M$2:M660="")*1)&amp;" - "&amp;(ROW()-2)))</f>
        <v/>
      </c>
      <c r="D660" s="141" t="str">
        <f>IF(AND(G660="",H660="",I660=""),"",IF(COUNTIFS(LISTS!$A$2:$A$67,G660,LISTS!$B$2:$B$67,H660,LISTS!$C$2:$C$67,I660)=0,"✗ هرم",IF(NOT(OR(Z660="ممتاز 100%",Z660="جيد 80%",Z660="مقبول 60%",Z660="خطر 40%",Z660="")),"✗ قائمة R",IF(NOT(OR(AA660="ممتاز 100%",AA660="جيد 85%",AA660="مقبول 70%",AA660="ضعيف 50%",AA660="")),"✗ قائمة S",IF(NOT(OR(AB660="مكتمل 100%",AB660="جزئي 60%",AB660="معلق 30%",AB660="مفتوح 0%",AB660="")),"✗ قائمة T",IF(NOT(OR(AC660="لا خصم 0",AC660="تأخير −5",AC660="عجز −10",AC660="جودة −15",AC660="امتثال −20",AC660="مخالفة −25",AC660="")),"✗ قائمة U",IF(AND(X660="لا",AC660&lt;&gt;"",AC660&lt;&gt;"لا خصم 0"),"✗ خصم",IF(AND(X660="نعم",AC660="لا خصم 0"),"✗ خصم",IF(AND(Z660="ممتاز 100%",AA660="ممتاز 100%",AB660&lt;&gt;"",AB660&lt;&gt;"مكتمل 100%"),"✗ إغلاق",IFERROR(IF(LEN(_xlfn.TEXTJOIN("، ",TRUE,IF(E660="","التاريخ",""),IF(F660="","الوقت",""),IF(G660="","المركز",""),IF(H660="","الدائرة",""),IF(I660="","القسم",""),IF(J660="","المسؤول",""),IF(K660="","نوع النشاط",""),IF(L660="","المشروع",""),IF(N660="","الممول",""),IF(V660="","الموضوع",""),IF(W660="","الملاحظة",""),IF(X660="","مشكلة",""),IF(Y660="","الإجراء",""),IF(Z660="","التنفيذ",""),IF(AA660="","الجودة",""),IF(AB660="","الإغلاق",""),IF(AC660="","الخصم",""),IF(AND(COUNTA($O660:$U660)&gt;0,O660=""),"مدير المشروع",""),IF(AND(COUNTA($O660:$U660)&gt;0,P660=""),"المستفيدين",""),IF(AND(COUNTA($O660:$U660)&gt;0,Q660=""),"المناطق",""),IF(AND(COUNTA($O660:$U660)&gt;0,R660=""),"الميزانية",""),IF(AND(COUNTA($O660:$U660)&gt;0,S660=""),"نسبة الجاهزية",""),IF(AND(COUNTA($O660:$U660)&gt;0,T660=""),"حالة الجاهزية",""),IF(AND(COUNTA($O660:$U660)&gt;0,U660=""),"التوصيات","")))&gt;0,"✗ ناقص: "&amp;_xlfn.TEXTJOIN("، ",TRUE,IF(E660="","التاريخ",""),IF(F660="","الوقت",""),IF(G660="","المركز",""),IF(H660="","الدائرة",""),IF(I660="","القسم",""),IF(J660="","المسؤول",""),IF(K660="","نوع النشاط",""),IF(L660="","المشروع",""),IF(N660="","الممول",""),IF(V660="","الموضوع",""),IF(W660="","الملاحظة",""),IF(X660="","مشكلة",""),IF(Y660="","الإجراء",""),IF(Z660="","التنفيذ",""),IF(AA660="","الجودة",""),IF(AB660="","الإغلاق",""),IF(AC660="","الخصم",""),IF(AND(COUNTA($O660:$U660)&gt;0,O660=""),"مدير المشروع",""),IF(AND(COUNTA($O660:$U660)&gt;0,P660=""),"المستفيدين",""),IF(AND(COUNTA($O660:$U660)&gt;0,Q660=""),"المناطق",""),IF(AND(COUNTA($O660:$U660)&gt;0,R660=""),"الميزانية",""),IF(AND(COUNTA($O660:$U660)&gt;0,S660=""),"نسبة الجاهزية",""),IF(AND(COUNTA($O660:$U660)&gt;0,T660=""),"حالة الجاهزية",""),IF(AND(COUNTA($O660:$U660)&gt;0,U660=""),"التوصيات","")),"✓"),"✓"))))))))))</f>
        <v/>
      </c>
      <c r="E660" s="235"/>
      <c r="F660" s="236"/>
      <c r="G660" s="90"/>
      <c r="H660" s="239"/>
      <c r="I660" s="89"/>
      <c r="J660" s="142"/>
      <c r="K660" s="90"/>
      <c r="L660" s="90"/>
      <c r="M660" s="90"/>
      <c r="N660" s="89"/>
      <c r="O660" s="200"/>
      <c r="P660" s="201"/>
      <c r="Q660" s="201"/>
      <c r="R660" s="237"/>
      <c r="S660" s="202"/>
      <c r="T660" s="200"/>
      <c r="U660" s="203"/>
      <c r="V660" s="89"/>
      <c r="W660" s="89"/>
      <c r="X660" s="145"/>
      <c r="Y660" s="89"/>
      <c r="Z660" s="90"/>
      <c r="AA660" s="90"/>
      <c r="AB660" s="90"/>
      <c r="AC660" s="90"/>
      <c r="AD660" s="92"/>
      <c r="AE660" s="149" t="str">
        <f>IFERROR(VLOOKUP(Z660,LISTS!$AL$2:$AM$1000,2,FALSE()),"")</f>
        <v/>
      </c>
      <c r="AF660" s="151" t="str">
        <f>IFERROR(VLOOKUP(AA660,LISTS!$AO$2:$AP$1000,2,FALSE()),"")</f>
        <v/>
      </c>
      <c r="AG660" s="152" t="str">
        <f>IFERROR(VLOOKUP(AB660,LISTS!$AR$2:$AS$1000,2,FALSE()),"")</f>
        <v/>
      </c>
      <c r="AH660" s="154" t="str">
        <f>IFERROR(VLOOKUP(AC660,LISTS!$AU$2:$AV$1000,2,FALSE()),"")</f>
        <v/>
      </c>
      <c r="AI660" s="238" t="str">
        <f t="shared" si="53"/>
        <v>—</v>
      </c>
      <c r="AJ660" s="190" t="str">
        <f t="shared" si="54"/>
        <v>—</v>
      </c>
      <c r="AK660" s="157" t="str">
        <f t="shared" si="50"/>
        <v/>
      </c>
      <c r="AL660" s="160" t="str">
        <f t="shared" si="51"/>
        <v/>
      </c>
      <c r="AM660" s="210"/>
      <c r="AN660" s="209"/>
    </row>
    <row r="661" spans="1:40" ht="27.95" customHeight="1">
      <c r="A661" s="134" t="str">
        <f>IF(I661&lt;&gt;"",COUNTA($I$2:I661),"")</f>
        <v/>
      </c>
      <c r="B661" s="138" t="str">
        <f t="shared" si="52"/>
        <v/>
      </c>
      <c r="C661" s="93" t="str">
        <f t="array" ref="C661">IF(E661="","",IF(M661&lt;&gt;"",
M661&amp;"/"&amp;SUMPRODUCT((M$2:M661=M661)*1)&amp;" - "&amp;(ROW()-2),
"إداري/"&amp;SUMPRODUCT((M$2:M661="")*1)&amp;" - "&amp;(ROW()-2)))</f>
        <v/>
      </c>
      <c r="D661" s="141" t="str">
        <f>IF(AND(G661="",H661="",I661=""),"",IF(COUNTIFS(LISTS!$A$2:$A$67,G661,LISTS!$B$2:$B$67,H661,LISTS!$C$2:$C$67,I661)=0,"✗ هرم",IF(NOT(OR(Z661="ممتاز 100%",Z661="جيد 80%",Z661="مقبول 60%",Z661="خطر 40%",Z661="")),"✗ قائمة R",IF(NOT(OR(AA661="ممتاز 100%",AA661="جيد 85%",AA661="مقبول 70%",AA661="ضعيف 50%",AA661="")),"✗ قائمة S",IF(NOT(OR(AB661="مكتمل 100%",AB661="جزئي 60%",AB661="معلق 30%",AB661="مفتوح 0%",AB661="")),"✗ قائمة T",IF(NOT(OR(AC661="لا خصم 0",AC661="تأخير −5",AC661="عجز −10",AC661="جودة −15",AC661="امتثال −20",AC661="مخالفة −25",AC661="")),"✗ قائمة U",IF(AND(X661="لا",AC661&lt;&gt;"",AC661&lt;&gt;"لا خصم 0"),"✗ خصم",IF(AND(X661="نعم",AC661="لا خصم 0"),"✗ خصم",IF(AND(Z661="ممتاز 100%",AA661="ممتاز 100%",AB661&lt;&gt;"",AB661&lt;&gt;"مكتمل 100%"),"✗ إغلاق",IFERROR(IF(LEN(_xlfn.TEXTJOIN("، ",TRUE,IF(E661="","التاريخ",""),IF(F661="","الوقت",""),IF(G661="","المركز",""),IF(H661="","الدائرة",""),IF(I661="","القسم",""),IF(J661="","المسؤول",""),IF(K661="","نوع النشاط",""),IF(L661="","المشروع",""),IF(N661="","الممول",""),IF(V661="","الموضوع",""),IF(W661="","الملاحظة",""),IF(X661="","مشكلة",""),IF(Y661="","الإجراء",""),IF(Z661="","التنفيذ",""),IF(AA661="","الجودة",""),IF(AB661="","الإغلاق",""),IF(AC661="","الخصم",""),IF(AND(COUNTA($O661:$U661)&gt;0,O661=""),"مدير المشروع",""),IF(AND(COUNTA($O661:$U661)&gt;0,P661=""),"المستفيدين",""),IF(AND(COUNTA($O661:$U661)&gt;0,Q661=""),"المناطق",""),IF(AND(COUNTA($O661:$U661)&gt;0,R661=""),"الميزانية",""),IF(AND(COUNTA($O661:$U661)&gt;0,S661=""),"نسبة الجاهزية",""),IF(AND(COUNTA($O661:$U661)&gt;0,T661=""),"حالة الجاهزية",""),IF(AND(COUNTA($O661:$U661)&gt;0,U661=""),"التوصيات","")))&gt;0,"✗ ناقص: "&amp;_xlfn.TEXTJOIN("، ",TRUE,IF(E661="","التاريخ",""),IF(F661="","الوقت",""),IF(G661="","المركز",""),IF(H661="","الدائرة",""),IF(I661="","القسم",""),IF(J661="","المسؤول",""),IF(K661="","نوع النشاط",""),IF(L661="","المشروع",""),IF(N661="","الممول",""),IF(V661="","الموضوع",""),IF(W661="","الملاحظة",""),IF(X661="","مشكلة",""),IF(Y661="","الإجراء",""),IF(Z661="","التنفيذ",""),IF(AA661="","الجودة",""),IF(AB661="","الإغلاق",""),IF(AC661="","الخصم",""),IF(AND(COUNTA($O661:$U661)&gt;0,O661=""),"مدير المشروع",""),IF(AND(COUNTA($O661:$U661)&gt;0,P661=""),"المستفيدين",""),IF(AND(COUNTA($O661:$U661)&gt;0,Q661=""),"المناطق",""),IF(AND(COUNTA($O661:$U661)&gt;0,R661=""),"الميزانية",""),IF(AND(COUNTA($O661:$U661)&gt;0,S661=""),"نسبة الجاهزية",""),IF(AND(COUNTA($O661:$U661)&gt;0,T661=""),"حالة الجاهزية",""),IF(AND(COUNTA($O661:$U661)&gt;0,U661=""),"التوصيات","")),"✓"),"✓"))))))))))</f>
        <v/>
      </c>
      <c r="E661" s="235"/>
      <c r="F661" s="236"/>
      <c r="G661" s="90"/>
      <c r="H661" s="239"/>
      <c r="I661" s="89"/>
      <c r="J661" s="142"/>
      <c r="K661" s="90"/>
      <c r="L661" s="90"/>
      <c r="M661" s="90"/>
      <c r="N661" s="89"/>
      <c r="O661" s="200"/>
      <c r="P661" s="201"/>
      <c r="Q661" s="201"/>
      <c r="R661" s="237"/>
      <c r="S661" s="202"/>
      <c r="T661" s="200"/>
      <c r="U661" s="203"/>
      <c r="V661" s="89"/>
      <c r="W661" s="89"/>
      <c r="X661" s="145"/>
      <c r="Y661" s="89"/>
      <c r="Z661" s="90"/>
      <c r="AA661" s="90"/>
      <c r="AB661" s="90"/>
      <c r="AC661" s="90"/>
      <c r="AD661" s="92"/>
      <c r="AE661" s="149" t="str">
        <f>IFERROR(VLOOKUP(Z661,LISTS!$AL$2:$AM$1000,2,FALSE()),"")</f>
        <v/>
      </c>
      <c r="AF661" s="151" t="str">
        <f>IFERROR(VLOOKUP(AA661,LISTS!$AO$2:$AP$1000,2,FALSE()),"")</f>
        <v/>
      </c>
      <c r="AG661" s="152" t="str">
        <f>IFERROR(VLOOKUP(AB661,LISTS!$AR$2:$AS$1000,2,FALSE()),"")</f>
        <v/>
      </c>
      <c r="AH661" s="154" t="str">
        <f>IFERROR(VLOOKUP(AC661,LISTS!$AU$2:$AV$1000,2,FALSE()),"")</f>
        <v/>
      </c>
      <c r="AI661" s="238" t="str">
        <f t="shared" si="53"/>
        <v>—</v>
      </c>
      <c r="AJ661" s="190" t="str">
        <f t="shared" si="54"/>
        <v>—</v>
      </c>
      <c r="AK661" s="157" t="str">
        <f t="shared" si="50"/>
        <v/>
      </c>
      <c r="AL661" s="160" t="str">
        <f t="shared" si="51"/>
        <v/>
      </c>
      <c r="AM661" s="210"/>
      <c r="AN661" s="209"/>
    </row>
    <row r="662" spans="1:40" ht="27.95" customHeight="1">
      <c r="A662" s="134" t="str">
        <f>IF(I662&lt;&gt;"",COUNTA($I$2:I662),"")</f>
        <v/>
      </c>
      <c r="B662" s="138" t="str">
        <f t="shared" si="52"/>
        <v/>
      </c>
      <c r="C662" s="93" t="str">
        <f t="array" ref="C662">IF(E662="","",IF(M662&lt;&gt;"",
M662&amp;"/"&amp;SUMPRODUCT((M$2:M662=M662)*1)&amp;" - "&amp;(ROW()-2),
"إداري/"&amp;SUMPRODUCT((M$2:M662="")*1)&amp;" - "&amp;(ROW()-2)))</f>
        <v/>
      </c>
      <c r="D662" s="141" t="str">
        <f>IF(AND(G662="",H662="",I662=""),"",IF(COUNTIFS(LISTS!$A$2:$A$67,G662,LISTS!$B$2:$B$67,H662,LISTS!$C$2:$C$67,I662)=0,"✗ هرم",IF(NOT(OR(Z662="ممتاز 100%",Z662="جيد 80%",Z662="مقبول 60%",Z662="خطر 40%",Z662="")),"✗ قائمة R",IF(NOT(OR(AA662="ممتاز 100%",AA662="جيد 85%",AA662="مقبول 70%",AA662="ضعيف 50%",AA662="")),"✗ قائمة S",IF(NOT(OR(AB662="مكتمل 100%",AB662="جزئي 60%",AB662="معلق 30%",AB662="مفتوح 0%",AB662="")),"✗ قائمة T",IF(NOT(OR(AC662="لا خصم 0",AC662="تأخير −5",AC662="عجز −10",AC662="جودة −15",AC662="امتثال −20",AC662="مخالفة −25",AC662="")),"✗ قائمة U",IF(AND(X662="لا",AC662&lt;&gt;"",AC662&lt;&gt;"لا خصم 0"),"✗ خصم",IF(AND(X662="نعم",AC662="لا خصم 0"),"✗ خصم",IF(AND(Z662="ممتاز 100%",AA662="ممتاز 100%",AB662&lt;&gt;"",AB662&lt;&gt;"مكتمل 100%"),"✗ إغلاق",IFERROR(IF(LEN(_xlfn.TEXTJOIN("، ",TRUE,IF(E662="","التاريخ",""),IF(F662="","الوقت",""),IF(G662="","المركز",""),IF(H662="","الدائرة",""),IF(I662="","القسم",""),IF(J662="","المسؤول",""),IF(K662="","نوع النشاط",""),IF(L662="","المشروع",""),IF(N662="","الممول",""),IF(V662="","الموضوع",""),IF(W662="","الملاحظة",""),IF(X662="","مشكلة",""),IF(Y662="","الإجراء",""),IF(Z662="","التنفيذ",""),IF(AA662="","الجودة",""),IF(AB662="","الإغلاق",""),IF(AC662="","الخصم",""),IF(AND(COUNTA($O662:$U662)&gt;0,O662=""),"مدير المشروع",""),IF(AND(COUNTA($O662:$U662)&gt;0,P662=""),"المستفيدين",""),IF(AND(COUNTA($O662:$U662)&gt;0,Q662=""),"المناطق",""),IF(AND(COUNTA($O662:$U662)&gt;0,R662=""),"الميزانية",""),IF(AND(COUNTA($O662:$U662)&gt;0,S662=""),"نسبة الجاهزية",""),IF(AND(COUNTA($O662:$U662)&gt;0,T662=""),"حالة الجاهزية",""),IF(AND(COUNTA($O662:$U662)&gt;0,U662=""),"التوصيات","")))&gt;0,"✗ ناقص: "&amp;_xlfn.TEXTJOIN("، ",TRUE,IF(E662="","التاريخ",""),IF(F662="","الوقت",""),IF(G662="","المركز",""),IF(H662="","الدائرة",""),IF(I662="","القسم",""),IF(J662="","المسؤول",""),IF(K662="","نوع النشاط",""),IF(L662="","المشروع",""),IF(N662="","الممول",""),IF(V662="","الموضوع",""),IF(W662="","الملاحظة",""),IF(X662="","مشكلة",""),IF(Y662="","الإجراء",""),IF(Z662="","التنفيذ",""),IF(AA662="","الجودة",""),IF(AB662="","الإغلاق",""),IF(AC662="","الخصم",""),IF(AND(COUNTA($O662:$U662)&gt;0,O662=""),"مدير المشروع",""),IF(AND(COUNTA($O662:$U662)&gt;0,P662=""),"المستفيدين",""),IF(AND(COUNTA($O662:$U662)&gt;0,Q662=""),"المناطق",""),IF(AND(COUNTA($O662:$U662)&gt;0,R662=""),"الميزانية",""),IF(AND(COUNTA($O662:$U662)&gt;0,S662=""),"نسبة الجاهزية",""),IF(AND(COUNTA($O662:$U662)&gt;0,T662=""),"حالة الجاهزية",""),IF(AND(COUNTA($O662:$U662)&gt;0,U662=""),"التوصيات","")),"✓"),"✓"))))))))))</f>
        <v/>
      </c>
      <c r="E662" s="235"/>
      <c r="F662" s="236"/>
      <c r="G662" s="90"/>
      <c r="H662" s="239"/>
      <c r="I662" s="89"/>
      <c r="J662" s="142"/>
      <c r="K662" s="90"/>
      <c r="L662" s="90"/>
      <c r="M662" s="90"/>
      <c r="N662" s="89"/>
      <c r="O662" s="200"/>
      <c r="P662" s="201"/>
      <c r="Q662" s="201"/>
      <c r="R662" s="237"/>
      <c r="S662" s="202"/>
      <c r="T662" s="200"/>
      <c r="U662" s="203"/>
      <c r="V662" s="89"/>
      <c r="W662" s="89"/>
      <c r="X662" s="145"/>
      <c r="Y662" s="89"/>
      <c r="Z662" s="90"/>
      <c r="AA662" s="90"/>
      <c r="AB662" s="90"/>
      <c r="AC662" s="90"/>
      <c r="AD662" s="92"/>
      <c r="AE662" s="149" t="str">
        <f>IFERROR(VLOOKUP(Z662,LISTS!$AL$2:$AM$1000,2,FALSE()),"")</f>
        <v/>
      </c>
      <c r="AF662" s="151" t="str">
        <f>IFERROR(VLOOKUP(AA662,LISTS!$AO$2:$AP$1000,2,FALSE()),"")</f>
        <v/>
      </c>
      <c r="AG662" s="152" t="str">
        <f>IFERROR(VLOOKUP(AB662,LISTS!$AR$2:$AS$1000,2,FALSE()),"")</f>
        <v/>
      </c>
      <c r="AH662" s="154" t="str">
        <f>IFERROR(VLOOKUP(AC662,LISTS!$AU$2:$AV$1000,2,FALSE()),"")</f>
        <v/>
      </c>
      <c r="AI662" s="238" t="str">
        <f t="shared" si="53"/>
        <v>—</v>
      </c>
      <c r="AJ662" s="190" t="str">
        <f t="shared" si="54"/>
        <v>—</v>
      </c>
      <c r="AK662" s="157" t="str">
        <f t="shared" si="50"/>
        <v/>
      </c>
      <c r="AL662" s="160" t="str">
        <f t="shared" si="51"/>
        <v/>
      </c>
      <c r="AM662" s="210"/>
      <c r="AN662" s="209"/>
    </row>
    <row r="663" spans="1:40" ht="27.95" customHeight="1">
      <c r="A663" s="134" t="str">
        <f>IF(I663&lt;&gt;"",COUNTA($I$2:I663),"")</f>
        <v/>
      </c>
      <c r="B663" s="138" t="str">
        <f t="shared" si="52"/>
        <v/>
      </c>
      <c r="C663" s="93" t="str">
        <f t="array" ref="C663">IF(E663="","",IF(M663&lt;&gt;"",
M663&amp;"/"&amp;SUMPRODUCT((M$2:M663=M663)*1)&amp;" - "&amp;(ROW()-2),
"إداري/"&amp;SUMPRODUCT((M$2:M663="")*1)&amp;" - "&amp;(ROW()-2)))</f>
        <v/>
      </c>
      <c r="D663" s="141" t="str">
        <f>IF(AND(G663="",H663="",I663=""),"",IF(COUNTIFS(LISTS!$A$2:$A$67,G663,LISTS!$B$2:$B$67,H663,LISTS!$C$2:$C$67,I663)=0,"✗ هرم",IF(NOT(OR(Z663="ممتاز 100%",Z663="جيد 80%",Z663="مقبول 60%",Z663="خطر 40%",Z663="")),"✗ قائمة R",IF(NOT(OR(AA663="ممتاز 100%",AA663="جيد 85%",AA663="مقبول 70%",AA663="ضعيف 50%",AA663="")),"✗ قائمة S",IF(NOT(OR(AB663="مكتمل 100%",AB663="جزئي 60%",AB663="معلق 30%",AB663="مفتوح 0%",AB663="")),"✗ قائمة T",IF(NOT(OR(AC663="لا خصم 0",AC663="تأخير −5",AC663="عجز −10",AC663="جودة −15",AC663="امتثال −20",AC663="مخالفة −25",AC663="")),"✗ قائمة U",IF(AND(X663="لا",AC663&lt;&gt;"",AC663&lt;&gt;"لا خصم 0"),"✗ خصم",IF(AND(X663="نعم",AC663="لا خصم 0"),"✗ خصم",IF(AND(Z663="ممتاز 100%",AA663="ممتاز 100%",AB663&lt;&gt;"",AB663&lt;&gt;"مكتمل 100%"),"✗ إغلاق",IFERROR(IF(LEN(_xlfn.TEXTJOIN("، ",TRUE,IF(E663="","التاريخ",""),IF(F663="","الوقت",""),IF(G663="","المركز",""),IF(H663="","الدائرة",""),IF(I663="","القسم",""),IF(J663="","المسؤول",""),IF(K663="","نوع النشاط",""),IF(L663="","المشروع",""),IF(N663="","الممول",""),IF(V663="","الموضوع",""),IF(W663="","الملاحظة",""),IF(X663="","مشكلة",""),IF(Y663="","الإجراء",""),IF(Z663="","التنفيذ",""),IF(AA663="","الجودة",""),IF(AB663="","الإغلاق",""),IF(AC663="","الخصم",""),IF(AND(COUNTA($O663:$U663)&gt;0,O663=""),"مدير المشروع",""),IF(AND(COUNTA($O663:$U663)&gt;0,P663=""),"المستفيدين",""),IF(AND(COUNTA($O663:$U663)&gt;0,Q663=""),"المناطق",""),IF(AND(COUNTA($O663:$U663)&gt;0,R663=""),"الميزانية",""),IF(AND(COUNTA($O663:$U663)&gt;0,S663=""),"نسبة الجاهزية",""),IF(AND(COUNTA($O663:$U663)&gt;0,T663=""),"حالة الجاهزية",""),IF(AND(COUNTA($O663:$U663)&gt;0,U663=""),"التوصيات","")))&gt;0,"✗ ناقص: "&amp;_xlfn.TEXTJOIN("، ",TRUE,IF(E663="","التاريخ",""),IF(F663="","الوقت",""),IF(G663="","المركز",""),IF(H663="","الدائرة",""),IF(I663="","القسم",""),IF(J663="","المسؤول",""),IF(K663="","نوع النشاط",""),IF(L663="","المشروع",""),IF(N663="","الممول",""),IF(V663="","الموضوع",""),IF(W663="","الملاحظة",""),IF(X663="","مشكلة",""),IF(Y663="","الإجراء",""),IF(Z663="","التنفيذ",""),IF(AA663="","الجودة",""),IF(AB663="","الإغلاق",""),IF(AC663="","الخصم",""),IF(AND(COUNTA($O663:$U663)&gt;0,O663=""),"مدير المشروع",""),IF(AND(COUNTA($O663:$U663)&gt;0,P663=""),"المستفيدين",""),IF(AND(COUNTA($O663:$U663)&gt;0,Q663=""),"المناطق",""),IF(AND(COUNTA($O663:$U663)&gt;0,R663=""),"الميزانية",""),IF(AND(COUNTA($O663:$U663)&gt;0,S663=""),"نسبة الجاهزية",""),IF(AND(COUNTA($O663:$U663)&gt;0,T663=""),"حالة الجاهزية",""),IF(AND(COUNTA($O663:$U663)&gt;0,U663=""),"التوصيات","")),"✓"),"✓"))))))))))</f>
        <v/>
      </c>
      <c r="E663" s="235"/>
      <c r="F663" s="236"/>
      <c r="G663" s="90"/>
      <c r="H663" s="239"/>
      <c r="I663" s="89"/>
      <c r="J663" s="142"/>
      <c r="K663" s="90"/>
      <c r="L663" s="90"/>
      <c r="M663" s="90"/>
      <c r="N663" s="89"/>
      <c r="O663" s="200"/>
      <c r="P663" s="201"/>
      <c r="Q663" s="201"/>
      <c r="R663" s="237"/>
      <c r="S663" s="202"/>
      <c r="T663" s="200"/>
      <c r="U663" s="203"/>
      <c r="V663" s="89"/>
      <c r="W663" s="89"/>
      <c r="X663" s="145"/>
      <c r="Y663" s="89"/>
      <c r="Z663" s="90"/>
      <c r="AA663" s="90"/>
      <c r="AB663" s="90"/>
      <c r="AC663" s="90"/>
      <c r="AD663" s="92"/>
      <c r="AE663" s="149" t="str">
        <f>IFERROR(VLOOKUP(Z663,LISTS!$AL$2:$AM$1000,2,FALSE()),"")</f>
        <v/>
      </c>
      <c r="AF663" s="151" t="str">
        <f>IFERROR(VLOOKUP(AA663,LISTS!$AO$2:$AP$1000,2,FALSE()),"")</f>
        <v/>
      </c>
      <c r="AG663" s="152" t="str">
        <f>IFERROR(VLOOKUP(AB663,LISTS!$AR$2:$AS$1000,2,FALSE()),"")</f>
        <v/>
      </c>
      <c r="AH663" s="154" t="str">
        <f>IFERROR(VLOOKUP(AC663,LISTS!$AU$2:$AV$1000,2,FALSE()),"")</f>
        <v/>
      </c>
      <c r="AI663" s="238" t="str">
        <f t="shared" si="53"/>
        <v>—</v>
      </c>
      <c r="AJ663" s="190" t="str">
        <f t="shared" si="54"/>
        <v>—</v>
      </c>
      <c r="AK663" s="157" t="str">
        <f t="shared" si="50"/>
        <v/>
      </c>
      <c r="AL663" s="160" t="str">
        <f t="shared" si="51"/>
        <v/>
      </c>
      <c r="AM663" s="210"/>
      <c r="AN663" s="209"/>
    </row>
    <row r="664" spans="1:40" ht="27.95" customHeight="1">
      <c r="A664" s="134" t="str">
        <f>IF(I664&lt;&gt;"",COUNTA($I$2:I664),"")</f>
        <v/>
      </c>
      <c r="B664" s="138" t="str">
        <f t="shared" si="52"/>
        <v/>
      </c>
      <c r="C664" s="93" t="str">
        <f t="array" ref="C664">IF(E664="","",IF(M664&lt;&gt;"",
M664&amp;"/"&amp;SUMPRODUCT((M$2:M664=M664)*1)&amp;" - "&amp;(ROW()-2),
"إداري/"&amp;SUMPRODUCT((M$2:M664="")*1)&amp;" - "&amp;(ROW()-2)))</f>
        <v/>
      </c>
      <c r="D664" s="141" t="str">
        <f>IF(AND(G664="",H664="",I664=""),"",IF(COUNTIFS(LISTS!$A$2:$A$67,G664,LISTS!$B$2:$B$67,H664,LISTS!$C$2:$C$67,I664)=0,"✗ هرم",IF(NOT(OR(Z664="ممتاز 100%",Z664="جيد 80%",Z664="مقبول 60%",Z664="خطر 40%",Z664="")),"✗ قائمة R",IF(NOT(OR(AA664="ممتاز 100%",AA664="جيد 85%",AA664="مقبول 70%",AA664="ضعيف 50%",AA664="")),"✗ قائمة S",IF(NOT(OR(AB664="مكتمل 100%",AB664="جزئي 60%",AB664="معلق 30%",AB664="مفتوح 0%",AB664="")),"✗ قائمة T",IF(NOT(OR(AC664="لا خصم 0",AC664="تأخير −5",AC664="عجز −10",AC664="جودة −15",AC664="امتثال −20",AC664="مخالفة −25",AC664="")),"✗ قائمة U",IF(AND(X664="لا",AC664&lt;&gt;"",AC664&lt;&gt;"لا خصم 0"),"✗ خصم",IF(AND(X664="نعم",AC664="لا خصم 0"),"✗ خصم",IF(AND(Z664="ممتاز 100%",AA664="ممتاز 100%",AB664&lt;&gt;"",AB664&lt;&gt;"مكتمل 100%"),"✗ إغلاق",IFERROR(IF(LEN(_xlfn.TEXTJOIN("، ",TRUE,IF(E664="","التاريخ",""),IF(F664="","الوقت",""),IF(G664="","المركز",""),IF(H664="","الدائرة",""),IF(I664="","القسم",""),IF(J664="","المسؤول",""),IF(K664="","نوع النشاط",""),IF(L664="","المشروع",""),IF(N664="","الممول",""),IF(V664="","الموضوع",""),IF(W664="","الملاحظة",""),IF(X664="","مشكلة",""),IF(Y664="","الإجراء",""),IF(Z664="","التنفيذ",""),IF(AA664="","الجودة",""),IF(AB664="","الإغلاق",""),IF(AC664="","الخصم",""),IF(AND(COUNTA($O664:$U664)&gt;0,O664=""),"مدير المشروع",""),IF(AND(COUNTA($O664:$U664)&gt;0,P664=""),"المستفيدين",""),IF(AND(COUNTA($O664:$U664)&gt;0,Q664=""),"المناطق",""),IF(AND(COUNTA($O664:$U664)&gt;0,R664=""),"الميزانية",""),IF(AND(COUNTA($O664:$U664)&gt;0,S664=""),"نسبة الجاهزية",""),IF(AND(COUNTA($O664:$U664)&gt;0,T664=""),"حالة الجاهزية",""),IF(AND(COUNTA($O664:$U664)&gt;0,U664=""),"التوصيات","")))&gt;0,"✗ ناقص: "&amp;_xlfn.TEXTJOIN("، ",TRUE,IF(E664="","التاريخ",""),IF(F664="","الوقت",""),IF(G664="","المركز",""),IF(H664="","الدائرة",""),IF(I664="","القسم",""),IF(J664="","المسؤول",""),IF(K664="","نوع النشاط",""),IF(L664="","المشروع",""),IF(N664="","الممول",""),IF(V664="","الموضوع",""),IF(W664="","الملاحظة",""),IF(X664="","مشكلة",""),IF(Y664="","الإجراء",""),IF(Z664="","التنفيذ",""),IF(AA664="","الجودة",""),IF(AB664="","الإغلاق",""),IF(AC664="","الخصم",""),IF(AND(COUNTA($O664:$U664)&gt;0,O664=""),"مدير المشروع",""),IF(AND(COUNTA($O664:$U664)&gt;0,P664=""),"المستفيدين",""),IF(AND(COUNTA($O664:$U664)&gt;0,Q664=""),"المناطق",""),IF(AND(COUNTA($O664:$U664)&gt;0,R664=""),"الميزانية",""),IF(AND(COUNTA($O664:$U664)&gt;0,S664=""),"نسبة الجاهزية",""),IF(AND(COUNTA($O664:$U664)&gt;0,T664=""),"حالة الجاهزية",""),IF(AND(COUNTA($O664:$U664)&gt;0,U664=""),"التوصيات","")),"✓"),"✓"))))))))))</f>
        <v/>
      </c>
      <c r="E664" s="235"/>
      <c r="F664" s="236"/>
      <c r="G664" s="90"/>
      <c r="H664" s="239"/>
      <c r="I664" s="89"/>
      <c r="J664" s="142"/>
      <c r="K664" s="90"/>
      <c r="L664" s="90"/>
      <c r="M664" s="90"/>
      <c r="N664" s="89"/>
      <c r="O664" s="200"/>
      <c r="P664" s="201"/>
      <c r="Q664" s="201"/>
      <c r="R664" s="237"/>
      <c r="S664" s="202"/>
      <c r="T664" s="200"/>
      <c r="U664" s="203"/>
      <c r="V664" s="89"/>
      <c r="W664" s="89"/>
      <c r="X664" s="145"/>
      <c r="Y664" s="89"/>
      <c r="Z664" s="90"/>
      <c r="AA664" s="90"/>
      <c r="AB664" s="90"/>
      <c r="AC664" s="90"/>
      <c r="AD664" s="92"/>
      <c r="AE664" s="149" t="str">
        <f>IFERROR(VLOOKUP(Z664,LISTS!$AL$2:$AM$1000,2,FALSE()),"")</f>
        <v/>
      </c>
      <c r="AF664" s="151" t="str">
        <f>IFERROR(VLOOKUP(AA664,LISTS!$AO$2:$AP$1000,2,FALSE()),"")</f>
        <v/>
      </c>
      <c r="AG664" s="152" t="str">
        <f>IFERROR(VLOOKUP(AB664,LISTS!$AR$2:$AS$1000,2,FALSE()),"")</f>
        <v/>
      </c>
      <c r="AH664" s="154" t="str">
        <f>IFERROR(VLOOKUP(AC664,LISTS!$AU$2:$AV$1000,2,FALSE()),"")</f>
        <v/>
      </c>
      <c r="AI664" s="238" t="str">
        <f t="shared" si="53"/>
        <v>—</v>
      </c>
      <c r="AJ664" s="190" t="str">
        <f t="shared" si="54"/>
        <v>—</v>
      </c>
      <c r="AK664" s="157" t="str">
        <f t="shared" si="50"/>
        <v/>
      </c>
      <c r="AL664" s="160" t="str">
        <f t="shared" si="51"/>
        <v/>
      </c>
      <c r="AM664" s="210"/>
      <c r="AN664" s="209"/>
    </row>
    <row r="665" spans="1:40" ht="27.95" customHeight="1">
      <c r="A665" s="134" t="str">
        <f>IF(I665&lt;&gt;"",COUNTA($I$2:I665),"")</f>
        <v/>
      </c>
      <c r="B665" s="138" t="str">
        <f t="shared" si="52"/>
        <v/>
      </c>
      <c r="C665" s="93" t="str">
        <f t="array" ref="C665">IF(E665="","",IF(M665&lt;&gt;"",
M665&amp;"/"&amp;SUMPRODUCT((M$2:M665=M665)*1)&amp;" - "&amp;(ROW()-2),
"إداري/"&amp;SUMPRODUCT((M$2:M665="")*1)&amp;" - "&amp;(ROW()-2)))</f>
        <v/>
      </c>
      <c r="D665" s="141" t="str">
        <f>IF(AND(G665="",H665="",I665=""),"",IF(COUNTIFS(LISTS!$A$2:$A$67,G665,LISTS!$B$2:$B$67,H665,LISTS!$C$2:$C$67,I665)=0,"✗ هرم",IF(NOT(OR(Z665="ممتاز 100%",Z665="جيد 80%",Z665="مقبول 60%",Z665="خطر 40%",Z665="")),"✗ قائمة R",IF(NOT(OR(AA665="ممتاز 100%",AA665="جيد 85%",AA665="مقبول 70%",AA665="ضعيف 50%",AA665="")),"✗ قائمة S",IF(NOT(OR(AB665="مكتمل 100%",AB665="جزئي 60%",AB665="معلق 30%",AB665="مفتوح 0%",AB665="")),"✗ قائمة T",IF(NOT(OR(AC665="لا خصم 0",AC665="تأخير −5",AC665="عجز −10",AC665="جودة −15",AC665="امتثال −20",AC665="مخالفة −25",AC665="")),"✗ قائمة U",IF(AND(X665="لا",AC665&lt;&gt;"",AC665&lt;&gt;"لا خصم 0"),"✗ خصم",IF(AND(X665="نعم",AC665="لا خصم 0"),"✗ خصم",IF(AND(Z665="ممتاز 100%",AA665="ممتاز 100%",AB665&lt;&gt;"",AB665&lt;&gt;"مكتمل 100%"),"✗ إغلاق",IFERROR(IF(LEN(_xlfn.TEXTJOIN("، ",TRUE,IF(E665="","التاريخ",""),IF(F665="","الوقت",""),IF(G665="","المركز",""),IF(H665="","الدائرة",""),IF(I665="","القسم",""),IF(J665="","المسؤول",""),IF(K665="","نوع النشاط",""),IF(L665="","المشروع",""),IF(N665="","الممول",""),IF(V665="","الموضوع",""),IF(W665="","الملاحظة",""),IF(X665="","مشكلة",""),IF(Y665="","الإجراء",""),IF(Z665="","التنفيذ",""),IF(AA665="","الجودة",""),IF(AB665="","الإغلاق",""),IF(AC665="","الخصم",""),IF(AND(COUNTA($O665:$U665)&gt;0,O665=""),"مدير المشروع",""),IF(AND(COUNTA($O665:$U665)&gt;0,P665=""),"المستفيدين",""),IF(AND(COUNTA($O665:$U665)&gt;0,Q665=""),"المناطق",""),IF(AND(COUNTA($O665:$U665)&gt;0,R665=""),"الميزانية",""),IF(AND(COUNTA($O665:$U665)&gt;0,S665=""),"نسبة الجاهزية",""),IF(AND(COUNTA($O665:$U665)&gt;0,T665=""),"حالة الجاهزية",""),IF(AND(COUNTA($O665:$U665)&gt;0,U665=""),"التوصيات","")))&gt;0,"✗ ناقص: "&amp;_xlfn.TEXTJOIN("، ",TRUE,IF(E665="","التاريخ",""),IF(F665="","الوقت",""),IF(G665="","المركز",""),IF(H665="","الدائرة",""),IF(I665="","القسم",""),IF(J665="","المسؤول",""),IF(K665="","نوع النشاط",""),IF(L665="","المشروع",""),IF(N665="","الممول",""),IF(V665="","الموضوع",""),IF(W665="","الملاحظة",""),IF(X665="","مشكلة",""),IF(Y665="","الإجراء",""),IF(Z665="","التنفيذ",""),IF(AA665="","الجودة",""),IF(AB665="","الإغلاق",""),IF(AC665="","الخصم",""),IF(AND(COUNTA($O665:$U665)&gt;0,O665=""),"مدير المشروع",""),IF(AND(COUNTA($O665:$U665)&gt;0,P665=""),"المستفيدين",""),IF(AND(COUNTA($O665:$U665)&gt;0,Q665=""),"المناطق",""),IF(AND(COUNTA($O665:$U665)&gt;0,R665=""),"الميزانية",""),IF(AND(COUNTA($O665:$U665)&gt;0,S665=""),"نسبة الجاهزية",""),IF(AND(COUNTA($O665:$U665)&gt;0,T665=""),"حالة الجاهزية",""),IF(AND(COUNTA($O665:$U665)&gt;0,U665=""),"التوصيات","")),"✓"),"✓"))))))))))</f>
        <v/>
      </c>
      <c r="E665" s="235"/>
      <c r="F665" s="236"/>
      <c r="G665" s="90"/>
      <c r="H665" s="239"/>
      <c r="I665" s="89"/>
      <c r="J665" s="142"/>
      <c r="K665" s="90"/>
      <c r="L665" s="90"/>
      <c r="M665" s="90"/>
      <c r="N665" s="89"/>
      <c r="O665" s="200"/>
      <c r="P665" s="201"/>
      <c r="Q665" s="201"/>
      <c r="R665" s="237"/>
      <c r="S665" s="202"/>
      <c r="T665" s="200"/>
      <c r="U665" s="203"/>
      <c r="V665" s="89"/>
      <c r="W665" s="89"/>
      <c r="X665" s="145"/>
      <c r="Y665" s="89"/>
      <c r="Z665" s="90"/>
      <c r="AA665" s="90"/>
      <c r="AB665" s="90"/>
      <c r="AC665" s="90"/>
      <c r="AD665" s="92"/>
      <c r="AE665" s="149" t="str">
        <f>IFERROR(VLOOKUP(Z665,LISTS!$AL$2:$AM$1000,2,FALSE()),"")</f>
        <v/>
      </c>
      <c r="AF665" s="151" t="str">
        <f>IFERROR(VLOOKUP(AA665,LISTS!$AO$2:$AP$1000,2,FALSE()),"")</f>
        <v/>
      </c>
      <c r="AG665" s="152" t="str">
        <f>IFERROR(VLOOKUP(AB665,LISTS!$AR$2:$AS$1000,2,FALSE()),"")</f>
        <v/>
      </c>
      <c r="AH665" s="154" t="str">
        <f>IFERROR(VLOOKUP(AC665,LISTS!$AU$2:$AV$1000,2,FALSE()),"")</f>
        <v/>
      </c>
      <c r="AI665" s="238" t="str">
        <f t="shared" si="53"/>
        <v>—</v>
      </c>
      <c r="AJ665" s="190" t="str">
        <f t="shared" si="54"/>
        <v>—</v>
      </c>
      <c r="AK665" s="157" t="str">
        <f t="shared" si="50"/>
        <v/>
      </c>
      <c r="AL665" s="160" t="str">
        <f t="shared" si="51"/>
        <v/>
      </c>
      <c r="AM665" s="210"/>
      <c r="AN665" s="209"/>
    </row>
    <row r="666" spans="1:40" ht="27.95" customHeight="1">
      <c r="A666" s="134" t="str">
        <f>IF(I666&lt;&gt;"",COUNTA($I$2:I666),"")</f>
        <v/>
      </c>
      <c r="B666" s="138" t="str">
        <f t="shared" si="52"/>
        <v/>
      </c>
      <c r="C666" s="93" t="str">
        <f t="array" ref="C666">IF(E666="","",IF(M666&lt;&gt;"",
M666&amp;"/"&amp;SUMPRODUCT((M$2:M666=M666)*1)&amp;" - "&amp;(ROW()-2),
"إداري/"&amp;SUMPRODUCT((M$2:M666="")*1)&amp;" - "&amp;(ROW()-2)))</f>
        <v/>
      </c>
      <c r="D666" s="141" t="str">
        <f>IF(AND(G666="",H666="",I666=""),"",IF(COUNTIFS(LISTS!$A$2:$A$67,G666,LISTS!$B$2:$B$67,H666,LISTS!$C$2:$C$67,I666)=0,"✗ هرم",IF(NOT(OR(Z666="ممتاز 100%",Z666="جيد 80%",Z666="مقبول 60%",Z666="خطر 40%",Z666="")),"✗ قائمة R",IF(NOT(OR(AA666="ممتاز 100%",AA666="جيد 85%",AA666="مقبول 70%",AA666="ضعيف 50%",AA666="")),"✗ قائمة S",IF(NOT(OR(AB666="مكتمل 100%",AB666="جزئي 60%",AB666="معلق 30%",AB666="مفتوح 0%",AB666="")),"✗ قائمة T",IF(NOT(OR(AC666="لا خصم 0",AC666="تأخير −5",AC666="عجز −10",AC666="جودة −15",AC666="امتثال −20",AC666="مخالفة −25",AC666="")),"✗ قائمة U",IF(AND(X666="لا",AC666&lt;&gt;"",AC666&lt;&gt;"لا خصم 0"),"✗ خصم",IF(AND(X666="نعم",AC666="لا خصم 0"),"✗ خصم",IF(AND(Z666="ممتاز 100%",AA666="ممتاز 100%",AB666&lt;&gt;"",AB666&lt;&gt;"مكتمل 100%"),"✗ إغلاق",IFERROR(IF(LEN(_xlfn.TEXTJOIN("، ",TRUE,IF(E666="","التاريخ",""),IF(F666="","الوقت",""),IF(G666="","المركز",""),IF(H666="","الدائرة",""),IF(I666="","القسم",""),IF(J666="","المسؤول",""),IF(K666="","نوع النشاط",""),IF(L666="","المشروع",""),IF(N666="","الممول",""),IF(V666="","الموضوع",""),IF(W666="","الملاحظة",""),IF(X666="","مشكلة",""),IF(Y666="","الإجراء",""),IF(Z666="","التنفيذ",""),IF(AA666="","الجودة",""),IF(AB666="","الإغلاق",""),IF(AC666="","الخصم",""),IF(AND(COUNTA($O666:$U666)&gt;0,O666=""),"مدير المشروع",""),IF(AND(COUNTA($O666:$U666)&gt;0,P666=""),"المستفيدين",""),IF(AND(COUNTA($O666:$U666)&gt;0,Q666=""),"المناطق",""),IF(AND(COUNTA($O666:$U666)&gt;0,R666=""),"الميزانية",""),IF(AND(COUNTA($O666:$U666)&gt;0,S666=""),"نسبة الجاهزية",""),IF(AND(COUNTA($O666:$U666)&gt;0,T666=""),"حالة الجاهزية",""),IF(AND(COUNTA($O666:$U666)&gt;0,U666=""),"التوصيات","")))&gt;0,"✗ ناقص: "&amp;_xlfn.TEXTJOIN("، ",TRUE,IF(E666="","التاريخ",""),IF(F666="","الوقت",""),IF(G666="","المركز",""),IF(H666="","الدائرة",""),IF(I666="","القسم",""),IF(J666="","المسؤول",""),IF(K666="","نوع النشاط",""),IF(L666="","المشروع",""),IF(N666="","الممول",""),IF(V666="","الموضوع",""),IF(W666="","الملاحظة",""),IF(X666="","مشكلة",""),IF(Y666="","الإجراء",""),IF(Z666="","التنفيذ",""),IF(AA666="","الجودة",""),IF(AB666="","الإغلاق",""),IF(AC666="","الخصم",""),IF(AND(COUNTA($O666:$U666)&gt;0,O666=""),"مدير المشروع",""),IF(AND(COUNTA($O666:$U666)&gt;0,P666=""),"المستفيدين",""),IF(AND(COUNTA($O666:$U666)&gt;0,Q666=""),"المناطق",""),IF(AND(COUNTA($O666:$U666)&gt;0,R666=""),"الميزانية",""),IF(AND(COUNTA($O666:$U666)&gt;0,S666=""),"نسبة الجاهزية",""),IF(AND(COUNTA($O666:$U666)&gt;0,T666=""),"حالة الجاهزية",""),IF(AND(COUNTA($O666:$U666)&gt;0,U666=""),"التوصيات","")),"✓"),"✓"))))))))))</f>
        <v/>
      </c>
      <c r="E666" s="235"/>
      <c r="F666" s="236"/>
      <c r="G666" s="90"/>
      <c r="H666" s="239"/>
      <c r="I666" s="89"/>
      <c r="J666" s="142"/>
      <c r="K666" s="90"/>
      <c r="L666" s="90"/>
      <c r="M666" s="90"/>
      <c r="N666" s="89"/>
      <c r="O666" s="200"/>
      <c r="P666" s="201"/>
      <c r="Q666" s="201"/>
      <c r="R666" s="237"/>
      <c r="S666" s="202"/>
      <c r="T666" s="200"/>
      <c r="U666" s="203"/>
      <c r="V666" s="89"/>
      <c r="W666" s="89"/>
      <c r="X666" s="145"/>
      <c r="Y666" s="89"/>
      <c r="Z666" s="90"/>
      <c r="AA666" s="90"/>
      <c r="AB666" s="90"/>
      <c r="AC666" s="90"/>
      <c r="AD666" s="92"/>
      <c r="AE666" s="149" t="str">
        <f>IFERROR(VLOOKUP(Z666,LISTS!$AL$2:$AM$1000,2,FALSE()),"")</f>
        <v/>
      </c>
      <c r="AF666" s="151" t="str">
        <f>IFERROR(VLOOKUP(AA666,LISTS!$AO$2:$AP$1000,2,FALSE()),"")</f>
        <v/>
      </c>
      <c r="AG666" s="152" t="str">
        <f>IFERROR(VLOOKUP(AB666,LISTS!$AR$2:$AS$1000,2,FALSE()),"")</f>
        <v/>
      </c>
      <c r="AH666" s="154" t="str">
        <f>IFERROR(VLOOKUP(AC666,LISTS!$AU$2:$AV$1000,2,FALSE()),"")</f>
        <v/>
      </c>
      <c r="AI666" s="238" t="str">
        <f t="shared" si="53"/>
        <v>—</v>
      </c>
      <c r="AJ666" s="190" t="str">
        <f t="shared" si="54"/>
        <v>—</v>
      </c>
      <c r="AK666" s="157" t="str">
        <f t="shared" si="50"/>
        <v/>
      </c>
      <c r="AL666" s="160" t="str">
        <f t="shared" si="51"/>
        <v/>
      </c>
      <c r="AM666" s="210"/>
      <c r="AN666" s="209"/>
    </row>
    <row r="667" spans="1:40" ht="27.95" customHeight="1">
      <c r="A667" s="134" t="str">
        <f>IF(I667&lt;&gt;"",COUNTA($I$2:I667),"")</f>
        <v/>
      </c>
      <c r="B667" s="138" t="str">
        <f t="shared" si="52"/>
        <v/>
      </c>
      <c r="C667" s="93" t="str">
        <f t="array" ref="C667">IF(E667="","",IF(M667&lt;&gt;"",
M667&amp;"/"&amp;SUMPRODUCT((M$2:M667=M667)*1)&amp;" - "&amp;(ROW()-2),
"إداري/"&amp;SUMPRODUCT((M$2:M667="")*1)&amp;" - "&amp;(ROW()-2)))</f>
        <v/>
      </c>
      <c r="D667" s="141" t="str">
        <f>IF(AND(G667="",H667="",I667=""),"",IF(COUNTIFS(LISTS!$A$2:$A$67,G667,LISTS!$B$2:$B$67,H667,LISTS!$C$2:$C$67,I667)=0,"✗ هرم",IF(NOT(OR(Z667="ممتاز 100%",Z667="جيد 80%",Z667="مقبول 60%",Z667="خطر 40%",Z667="")),"✗ قائمة R",IF(NOT(OR(AA667="ممتاز 100%",AA667="جيد 85%",AA667="مقبول 70%",AA667="ضعيف 50%",AA667="")),"✗ قائمة S",IF(NOT(OR(AB667="مكتمل 100%",AB667="جزئي 60%",AB667="معلق 30%",AB667="مفتوح 0%",AB667="")),"✗ قائمة T",IF(NOT(OR(AC667="لا خصم 0",AC667="تأخير −5",AC667="عجز −10",AC667="جودة −15",AC667="امتثال −20",AC667="مخالفة −25",AC667="")),"✗ قائمة U",IF(AND(X667="لا",AC667&lt;&gt;"",AC667&lt;&gt;"لا خصم 0"),"✗ خصم",IF(AND(X667="نعم",AC667="لا خصم 0"),"✗ خصم",IF(AND(Z667="ممتاز 100%",AA667="ممتاز 100%",AB667&lt;&gt;"",AB667&lt;&gt;"مكتمل 100%"),"✗ إغلاق",IFERROR(IF(LEN(_xlfn.TEXTJOIN("، ",TRUE,IF(E667="","التاريخ",""),IF(F667="","الوقت",""),IF(G667="","المركز",""),IF(H667="","الدائرة",""),IF(I667="","القسم",""),IF(J667="","المسؤول",""),IF(K667="","نوع النشاط",""),IF(L667="","المشروع",""),IF(N667="","الممول",""),IF(V667="","الموضوع",""),IF(W667="","الملاحظة",""),IF(X667="","مشكلة",""),IF(Y667="","الإجراء",""),IF(Z667="","التنفيذ",""),IF(AA667="","الجودة",""),IF(AB667="","الإغلاق",""),IF(AC667="","الخصم",""),IF(AND(COUNTA($O667:$U667)&gt;0,O667=""),"مدير المشروع",""),IF(AND(COUNTA($O667:$U667)&gt;0,P667=""),"المستفيدين",""),IF(AND(COUNTA($O667:$U667)&gt;0,Q667=""),"المناطق",""),IF(AND(COUNTA($O667:$U667)&gt;0,R667=""),"الميزانية",""),IF(AND(COUNTA($O667:$U667)&gt;0,S667=""),"نسبة الجاهزية",""),IF(AND(COUNTA($O667:$U667)&gt;0,T667=""),"حالة الجاهزية",""),IF(AND(COUNTA($O667:$U667)&gt;0,U667=""),"التوصيات","")))&gt;0,"✗ ناقص: "&amp;_xlfn.TEXTJOIN("، ",TRUE,IF(E667="","التاريخ",""),IF(F667="","الوقت",""),IF(G667="","المركز",""),IF(H667="","الدائرة",""),IF(I667="","القسم",""),IF(J667="","المسؤول",""),IF(K667="","نوع النشاط",""),IF(L667="","المشروع",""),IF(N667="","الممول",""),IF(V667="","الموضوع",""),IF(W667="","الملاحظة",""),IF(X667="","مشكلة",""),IF(Y667="","الإجراء",""),IF(Z667="","التنفيذ",""),IF(AA667="","الجودة",""),IF(AB667="","الإغلاق",""),IF(AC667="","الخصم",""),IF(AND(COUNTA($O667:$U667)&gt;0,O667=""),"مدير المشروع",""),IF(AND(COUNTA($O667:$U667)&gt;0,P667=""),"المستفيدين",""),IF(AND(COUNTA($O667:$U667)&gt;0,Q667=""),"المناطق",""),IF(AND(COUNTA($O667:$U667)&gt;0,R667=""),"الميزانية",""),IF(AND(COUNTA($O667:$U667)&gt;0,S667=""),"نسبة الجاهزية",""),IF(AND(COUNTA($O667:$U667)&gt;0,T667=""),"حالة الجاهزية",""),IF(AND(COUNTA($O667:$U667)&gt;0,U667=""),"التوصيات","")),"✓"),"✓"))))))))))</f>
        <v/>
      </c>
      <c r="E667" s="235"/>
      <c r="F667" s="236"/>
      <c r="G667" s="90"/>
      <c r="H667" s="239"/>
      <c r="I667" s="89"/>
      <c r="J667" s="142"/>
      <c r="K667" s="90"/>
      <c r="L667" s="90"/>
      <c r="M667" s="90"/>
      <c r="N667" s="89"/>
      <c r="O667" s="200"/>
      <c r="P667" s="201"/>
      <c r="Q667" s="201"/>
      <c r="R667" s="237"/>
      <c r="S667" s="202"/>
      <c r="T667" s="200"/>
      <c r="U667" s="203"/>
      <c r="V667" s="89"/>
      <c r="W667" s="89"/>
      <c r="X667" s="145"/>
      <c r="Y667" s="89"/>
      <c r="Z667" s="90"/>
      <c r="AA667" s="90"/>
      <c r="AB667" s="90"/>
      <c r="AC667" s="90"/>
      <c r="AD667" s="92"/>
      <c r="AE667" s="149" t="str">
        <f>IFERROR(VLOOKUP(Z667,LISTS!$AL$2:$AM$1000,2,FALSE()),"")</f>
        <v/>
      </c>
      <c r="AF667" s="151" t="str">
        <f>IFERROR(VLOOKUP(AA667,LISTS!$AO$2:$AP$1000,2,FALSE()),"")</f>
        <v/>
      </c>
      <c r="AG667" s="152" t="str">
        <f>IFERROR(VLOOKUP(AB667,LISTS!$AR$2:$AS$1000,2,FALSE()),"")</f>
        <v/>
      </c>
      <c r="AH667" s="154" t="str">
        <f>IFERROR(VLOOKUP(AC667,LISTS!$AU$2:$AV$1000,2,FALSE()),"")</f>
        <v/>
      </c>
      <c r="AI667" s="238" t="str">
        <f t="shared" si="53"/>
        <v>—</v>
      </c>
      <c r="AJ667" s="190" t="str">
        <f t="shared" si="54"/>
        <v>—</v>
      </c>
      <c r="AK667" s="157" t="str">
        <f t="shared" si="50"/>
        <v/>
      </c>
      <c r="AL667" s="160" t="str">
        <f t="shared" si="51"/>
        <v/>
      </c>
      <c r="AM667" s="210"/>
      <c r="AN667" s="209"/>
    </row>
    <row r="668" spans="1:40" ht="27.95" customHeight="1">
      <c r="A668" s="134" t="str">
        <f>IF(I668&lt;&gt;"",COUNTA($I$2:I668),"")</f>
        <v/>
      </c>
      <c r="B668" s="138" t="str">
        <f t="shared" si="52"/>
        <v/>
      </c>
      <c r="C668" s="93" t="str">
        <f t="array" ref="C668">IF(E668="","",IF(M668&lt;&gt;"",
M668&amp;"/"&amp;SUMPRODUCT((M$2:M668=M668)*1)&amp;" - "&amp;(ROW()-2),
"إداري/"&amp;SUMPRODUCT((M$2:M668="")*1)&amp;" - "&amp;(ROW()-2)))</f>
        <v/>
      </c>
      <c r="D668" s="141" t="str">
        <f>IF(AND(G668="",H668="",I668=""),"",IF(COUNTIFS(LISTS!$A$2:$A$67,G668,LISTS!$B$2:$B$67,H668,LISTS!$C$2:$C$67,I668)=0,"✗ هرم",IF(NOT(OR(Z668="ممتاز 100%",Z668="جيد 80%",Z668="مقبول 60%",Z668="خطر 40%",Z668="")),"✗ قائمة R",IF(NOT(OR(AA668="ممتاز 100%",AA668="جيد 85%",AA668="مقبول 70%",AA668="ضعيف 50%",AA668="")),"✗ قائمة S",IF(NOT(OR(AB668="مكتمل 100%",AB668="جزئي 60%",AB668="معلق 30%",AB668="مفتوح 0%",AB668="")),"✗ قائمة T",IF(NOT(OR(AC668="لا خصم 0",AC668="تأخير −5",AC668="عجز −10",AC668="جودة −15",AC668="امتثال −20",AC668="مخالفة −25",AC668="")),"✗ قائمة U",IF(AND(X668="لا",AC668&lt;&gt;"",AC668&lt;&gt;"لا خصم 0"),"✗ خصم",IF(AND(X668="نعم",AC668="لا خصم 0"),"✗ خصم",IF(AND(Z668="ممتاز 100%",AA668="ممتاز 100%",AB668&lt;&gt;"",AB668&lt;&gt;"مكتمل 100%"),"✗ إغلاق",IFERROR(IF(LEN(_xlfn.TEXTJOIN("، ",TRUE,IF(E668="","التاريخ",""),IF(F668="","الوقت",""),IF(G668="","المركز",""),IF(H668="","الدائرة",""),IF(I668="","القسم",""),IF(J668="","المسؤول",""),IF(K668="","نوع النشاط",""),IF(L668="","المشروع",""),IF(N668="","الممول",""),IF(V668="","الموضوع",""),IF(W668="","الملاحظة",""),IF(X668="","مشكلة",""),IF(Y668="","الإجراء",""),IF(Z668="","التنفيذ",""),IF(AA668="","الجودة",""),IF(AB668="","الإغلاق",""),IF(AC668="","الخصم",""),IF(AND(COUNTA($O668:$U668)&gt;0,O668=""),"مدير المشروع",""),IF(AND(COUNTA($O668:$U668)&gt;0,P668=""),"المستفيدين",""),IF(AND(COUNTA($O668:$U668)&gt;0,Q668=""),"المناطق",""),IF(AND(COUNTA($O668:$U668)&gt;0,R668=""),"الميزانية",""),IF(AND(COUNTA($O668:$U668)&gt;0,S668=""),"نسبة الجاهزية",""),IF(AND(COUNTA($O668:$U668)&gt;0,T668=""),"حالة الجاهزية",""),IF(AND(COUNTA($O668:$U668)&gt;0,U668=""),"التوصيات","")))&gt;0,"✗ ناقص: "&amp;_xlfn.TEXTJOIN("، ",TRUE,IF(E668="","التاريخ",""),IF(F668="","الوقت",""),IF(G668="","المركز",""),IF(H668="","الدائرة",""),IF(I668="","القسم",""),IF(J668="","المسؤول",""),IF(K668="","نوع النشاط",""),IF(L668="","المشروع",""),IF(N668="","الممول",""),IF(V668="","الموضوع",""),IF(W668="","الملاحظة",""),IF(X668="","مشكلة",""),IF(Y668="","الإجراء",""),IF(Z668="","التنفيذ",""),IF(AA668="","الجودة",""),IF(AB668="","الإغلاق",""),IF(AC668="","الخصم",""),IF(AND(COUNTA($O668:$U668)&gt;0,O668=""),"مدير المشروع",""),IF(AND(COUNTA($O668:$U668)&gt;0,P668=""),"المستفيدين",""),IF(AND(COUNTA($O668:$U668)&gt;0,Q668=""),"المناطق",""),IF(AND(COUNTA($O668:$U668)&gt;0,R668=""),"الميزانية",""),IF(AND(COUNTA($O668:$U668)&gt;0,S668=""),"نسبة الجاهزية",""),IF(AND(COUNTA($O668:$U668)&gt;0,T668=""),"حالة الجاهزية",""),IF(AND(COUNTA($O668:$U668)&gt;0,U668=""),"التوصيات","")),"✓"),"✓"))))))))))</f>
        <v/>
      </c>
      <c r="E668" s="235"/>
      <c r="F668" s="236"/>
      <c r="G668" s="90"/>
      <c r="H668" s="239"/>
      <c r="I668" s="89"/>
      <c r="J668" s="142"/>
      <c r="K668" s="90"/>
      <c r="L668" s="90"/>
      <c r="M668" s="90"/>
      <c r="N668" s="89"/>
      <c r="O668" s="200"/>
      <c r="P668" s="201"/>
      <c r="Q668" s="201"/>
      <c r="R668" s="237"/>
      <c r="S668" s="202"/>
      <c r="T668" s="200"/>
      <c r="U668" s="203"/>
      <c r="V668" s="89"/>
      <c r="W668" s="89"/>
      <c r="X668" s="145"/>
      <c r="Y668" s="89"/>
      <c r="Z668" s="90"/>
      <c r="AA668" s="90"/>
      <c r="AB668" s="90"/>
      <c r="AC668" s="90"/>
      <c r="AD668" s="92"/>
      <c r="AE668" s="149" t="str">
        <f>IFERROR(VLOOKUP(Z668,LISTS!$AL$2:$AM$1000,2,FALSE()),"")</f>
        <v/>
      </c>
      <c r="AF668" s="151" t="str">
        <f>IFERROR(VLOOKUP(AA668,LISTS!$AO$2:$AP$1000,2,FALSE()),"")</f>
        <v/>
      </c>
      <c r="AG668" s="152" t="str">
        <f>IFERROR(VLOOKUP(AB668,LISTS!$AR$2:$AS$1000,2,FALSE()),"")</f>
        <v/>
      </c>
      <c r="AH668" s="154" t="str">
        <f>IFERROR(VLOOKUP(AC668,LISTS!$AU$2:$AV$1000,2,FALSE()),"")</f>
        <v/>
      </c>
      <c r="AI668" s="238" t="str">
        <f t="shared" si="53"/>
        <v>—</v>
      </c>
      <c r="AJ668" s="190" t="str">
        <f t="shared" si="54"/>
        <v>—</v>
      </c>
      <c r="AK668" s="157" t="str">
        <f t="shared" si="50"/>
        <v/>
      </c>
      <c r="AL668" s="160" t="str">
        <f t="shared" si="51"/>
        <v/>
      </c>
      <c r="AM668" s="210"/>
      <c r="AN668" s="209"/>
    </row>
    <row r="669" spans="1:40" ht="27.95" customHeight="1">
      <c r="A669" s="134" t="str">
        <f>IF(I669&lt;&gt;"",COUNTA($I$2:I669),"")</f>
        <v/>
      </c>
      <c r="B669" s="138" t="str">
        <f t="shared" si="52"/>
        <v/>
      </c>
      <c r="C669" s="93" t="str">
        <f t="array" ref="C669">IF(E669="","",IF(M669&lt;&gt;"",
M669&amp;"/"&amp;SUMPRODUCT((M$2:M669=M669)*1)&amp;" - "&amp;(ROW()-2),
"إداري/"&amp;SUMPRODUCT((M$2:M669="")*1)&amp;" - "&amp;(ROW()-2)))</f>
        <v/>
      </c>
      <c r="D669" s="141" t="str">
        <f>IF(AND(G669="",H669="",I669=""),"",IF(COUNTIFS(LISTS!$A$2:$A$67,G669,LISTS!$B$2:$B$67,H669,LISTS!$C$2:$C$67,I669)=0,"✗ هرم",IF(NOT(OR(Z669="ممتاز 100%",Z669="جيد 80%",Z669="مقبول 60%",Z669="خطر 40%",Z669="")),"✗ قائمة R",IF(NOT(OR(AA669="ممتاز 100%",AA669="جيد 85%",AA669="مقبول 70%",AA669="ضعيف 50%",AA669="")),"✗ قائمة S",IF(NOT(OR(AB669="مكتمل 100%",AB669="جزئي 60%",AB669="معلق 30%",AB669="مفتوح 0%",AB669="")),"✗ قائمة T",IF(NOT(OR(AC669="لا خصم 0",AC669="تأخير −5",AC669="عجز −10",AC669="جودة −15",AC669="امتثال −20",AC669="مخالفة −25",AC669="")),"✗ قائمة U",IF(AND(X669="لا",AC669&lt;&gt;"",AC669&lt;&gt;"لا خصم 0"),"✗ خصم",IF(AND(X669="نعم",AC669="لا خصم 0"),"✗ خصم",IF(AND(Z669="ممتاز 100%",AA669="ممتاز 100%",AB669&lt;&gt;"",AB669&lt;&gt;"مكتمل 100%"),"✗ إغلاق",IFERROR(IF(LEN(_xlfn.TEXTJOIN("، ",TRUE,IF(E669="","التاريخ",""),IF(F669="","الوقت",""),IF(G669="","المركز",""),IF(H669="","الدائرة",""),IF(I669="","القسم",""),IF(J669="","المسؤول",""),IF(K669="","نوع النشاط",""),IF(L669="","المشروع",""),IF(N669="","الممول",""),IF(V669="","الموضوع",""),IF(W669="","الملاحظة",""),IF(X669="","مشكلة",""),IF(Y669="","الإجراء",""),IF(Z669="","التنفيذ",""),IF(AA669="","الجودة",""),IF(AB669="","الإغلاق",""),IF(AC669="","الخصم",""),IF(AND(COUNTA($O669:$U669)&gt;0,O669=""),"مدير المشروع",""),IF(AND(COUNTA($O669:$U669)&gt;0,P669=""),"المستفيدين",""),IF(AND(COUNTA($O669:$U669)&gt;0,Q669=""),"المناطق",""),IF(AND(COUNTA($O669:$U669)&gt;0,R669=""),"الميزانية",""),IF(AND(COUNTA($O669:$U669)&gt;0,S669=""),"نسبة الجاهزية",""),IF(AND(COUNTA($O669:$U669)&gt;0,T669=""),"حالة الجاهزية",""),IF(AND(COUNTA($O669:$U669)&gt;0,U669=""),"التوصيات","")))&gt;0,"✗ ناقص: "&amp;_xlfn.TEXTJOIN("، ",TRUE,IF(E669="","التاريخ",""),IF(F669="","الوقت",""),IF(G669="","المركز",""),IF(H669="","الدائرة",""),IF(I669="","القسم",""),IF(J669="","المسؤول",""),IF(K669="","نوع النشاط",""),IF(L669="","المشروع",""),IF(N669="","الممول",""),IF(V669="","الموضوع",""),IF(W669="","الملاحظة",""),IF(X669="","مشكلة",""),IF(Y669="","الإجراء",""),IF(Z669="","التنفيذ",""),IF(AA669="","الجودة",""),IF(AB669="","الإغلاق",""),IF(AC669="","الخصم",""),IF(AND(COUNTA($O669:$U669)&gt;0,O669=""),"مدير المشروع",""),IF(AND(COUNTA($O669:$U669)&gt;0,P669=""),"المستفيدين",""),IF(AND(COUNTA($O669:$U669)&gt;0,Q669=""),"المناطق",""),IF(AND(COUNTA($O669:$U669)&gt;0,R669=""),"الميزانية",""),IF(AND(COUNTA($O669:$U669)&gt;0,S669=""),"نسبة الجاهزية",""),IF(AND(COUNTA($O669:$U669)&gt;0,T669=""),"حالة الجاهزية",""),IF(AND(COUNTA($O669:$U669)&gt;0,U669=""),"التوصيات","")),"✓"),"✓"))))))))))</f>
        <v/>
      </c>
      <c r="E669" s="235"/>
      <c r="F669" s="236"/>
      <c r="G669" s="90"/>
      <c r="H669" s="239"/>
      <c r="I669" s="89"/>
      <c r="J669" s="142"/>
      <c r="K669" s="90"/>
      <c r="L669" s="90"/>
      <c r="M669" s="90"/>
      <c r="N669" s="89"/>
      <c r="O669" s="200"/>
      <c r="P669" s="201"/>
      <c r="Q669" s="201"/>
      <c r="R669" s="237"/>
      <c r="S669" s="202"/>
      <c r="T669" s="200"/>
      <c r="U669" s="203"/>
      <c r="V669" s="89"/>
      <c r="W669" s="89"/>
      <c r="X669" s="145"/>
      <c r="Y669" s="89"/>
      <c r="Z669" s="90"/>
      <c r="AA669" s="90"/>
      <c r="AB669" s="90"/>
      <c r="AC669" s="90"/>
      <c r="AD669" s="92"/>
      <c r="AE669" s="149" t="str">
        <f>IFERROR(VLOOKUP(Z669,LISTS!$AL$2:$AM$1000,2,FALSE()),"")</f>
        <v/>
      </c>
      <c r="AF669" s="151" t="str">
        <f>IFERROR(VLOOKUP(AA669,LISTS!$AO$2:$AP$1000,2,FALSE()),"")</f>
        <v/>
      </c>
      <c r="AG669" s="152" t="str">
        <f>IFERROR(VLOOKUP(AB669,LISTS!$AR$2:$AS$1000,2,FALSE()),"")</f>
        <v/>
      </c>
      <c r="AH669" s="154" t="str">
        <f>IFERROR(VLOOKUP(AC669,LISTS!$AU$2:$AV$1000,2,FALSE()),"")</f>
        <v/>
      </c>
      <c r="AI669" s="238" t="str">
        <f t="shared" si="53"/>
        <v>—</v>
      </c>
      <c r="AJ669" s="190" t="str">
        <f t="shared" si="54"/>
        <v>—</v>
      </c>
      <c r="AK669" s="157" t="str">
        <f t="shared" si="50"/>
        <v/>
      </c>
      <c r="AL669" s="160" t="str">
        <f t="shared" si="51"/>
        <v/>
      </c>
      <c r="AM669" s="210"/>
      <c r="AN669" s="209"/>
    </row>
    <row r="670" spans="1:40" ht="27.95" customHeight="1">
      <c r="A670" s="134" t="str">
        <f>IF(I670&lt;&gt;"",COUNTA($I$2:I670),"")</f>
        <v/>
      </c>
      <c r="B670" s="138" t="str">
        <f t="shared" si="52"/>
        <v/>
      </c>
      <c r="C670" s="93" t="str">
        <f t="array" ref="C670">IF(E670="","",IF(M670&lt;&gt;"",
M670&amp;"/"&amp;SUMPRODUCT((M$2:M670=M670)*1)&amp;" - "&amp;(ROW()-2),
"إداري/"&amp;SUMPRODUCT((M$2:M670="")*1)&amp;" - "&amp;(ROW()-2)))</f>
        <v/>
      </c>
      <c r="D670" s="141" t="str">
        <f>IF(AND(G670="",H670="",I670=""),"",IF(COUNTIFS(LISTS!$A$2:$A$67,G670,LISTS!$B$2:$B$67,H670,LISTS!$C$2:$C$67,I670)=0,"✗ هرم",IF(NOT(OR(Z670="ممتاز 100%",Z670="جيد 80%",Z670="مقبول 60%",Z670="خطر 40%",Z670="")),"✗ قائمة R",IF(NOT(OR(AA670="ممتاز 100%",AA670="جيد 85%",AA670="مقبول 70%",AA670="ضعيف 50%",AA670="")),"✗ قائمة S",IF(NOT(OR(AB670="مكتمل 100%",AB670="جزئي 60%",AB670="معلق 30%",AB670="مفتوح 0%",AB670="")),"✗ قائمة T",IF(NOT(OR(AC670="لا خصم 0",AC670="تأخير −5",AC670="عجز −10",AC670="جودة −15",AC670="امتثال −20",AC670="مخالفة −25",AC670="")),"✗ قائمة U",IF(AND(X670="لا",AC670&lt;&gt;"",AC670&lt;&gt;"لا خصم 0"),"✗ خصم",IF(AND(X670="نعم",AC670="لا خصم 0"),"✗ خصم",IF(AND(Z670="ممتاز 100%",AA670="ممتاز 100%",AB670&lt;&gt;"",AB670&lt;&gt;"مكتمل 100%"),"✗ إغلاق",IFERROR(IF(LEN(_xlfn.TEXTJOIN("، ",TRUE,IF(E670="","التاريخ",""),IF(F670="","الوقت",""),IF(G670="","المركز",""),IF(H670="","الدائرة",""),IF(I670="","القسم",""),IF(J670="","المسؤول",""),IF(K670="","نوع النشاط",""),IF(L670="","المشروع",""),IF(N670="","الممول",""),IF(V670="","الموضوع",""),IF(W670="","الملاحظة",""),IF(X670="","مشكلة",""),IF(Y670="","الإجراء",""),IF(Z670="","التنفيذ",""),IF(AA670="","الجودة",""),IF(AB670="","الإغلاق",""),IF(AC670="","الخصم",""),IF(AND(COUNTA($O670:$U670)&gt;0,O670=""),"مدير المشروع",""),IF(AND(COUNTA($O670:$U670)&gt;0,P670=""),"المستفيدين",""),IF(AND(COUNTA($O670:$U670)&gt;0,Q670=""),"المناطق",""),IF(AND(COUNTA($O670:$U670)&gt;0,R670=""),"الميزانية",""),IF(AND(COUNTA($O670:$U670)&gt;0,S670=""),"نسبة الجاهزية",""),IF(AND(COUNTA($O670:$U670)&gt;0,T670=""),"حالة الجاهزية",""),IF(AND(COUNTA($O670:$U670)&gt;0,U670=""),"التوصيات","")))&gt;0,"✗ ناقص: "&amp;_xlfn.TEXTJOIN("، ",TRUE,IF(E670="","التاريخ",""),IF(F670="","الوقت",""),IF(G670="","المركز",""),IF(H670="","الدائرة",""),IF(I670="","القسم",""),IF(J670="","المسؤول",""),IF(K670="","نوع النشاط",""),IF(L670="","المشروع",""),IF(N670="","الممول",""),IF(V670="","الموضوع",""),IF(W670="","الملاحظة",""),IF(X670="","مشكلة",""),IF(Y670="","الإجراء",""),IF(Z670="","التنفيذ",""),IF(AA670="","الجودة",""),IF(AB670="","الإغلاق",""),IF(AC670="","الخصم",""),IF(AND(COUNTA($O670:$U670)&gt;0,O670=""),"مدير المشروع",""),IF(AND(COUNTA($O670:$U670)&gt;0,P670=""),"المستفيدين",""),IF(AND(COUNTA($O670:$U670)&gt;0,Q670=""),"المناطق",""),IF(AND(COUNTA($O670:$U670)&gt;0,R670=""),"الميزانية",""),IF(AND(COUNTA($O670:$U670)&gt;0,S670=""),"نسبة الجاهزية",""),IF(AND(COUNTA($O670:$U670)&gt;0,T670=""),"حالة الجاهزية",""),IF(AND(COUNTA($O670:$U670)&gt;0,U670=""),"التوصيات","")),"✓"),"✓"))))))))))</f>
        <v/>
      </c>
      <c r="E670" s="235"/>
      <c r="F670" s="236"/>
      <c r="G670" s="90"/>
      <c r="H670" s="239"/>
      <c r="I670" s="89"/>
      <c r="J670" s="142"/>
      <c r="K670" s="90"/>
      <c r="L670" s="90"/>
      <c r="M670" s="90"/>
      <c r="N670" s="89"/>
      <c r="O670" s="200"/>
      <c r="P670" s="201"/>
      <c r="Q670" s="201"/>
      <c r="R670" s="237"/>
      <c r="S670" s="202"/>
      <c r="T670" s="200"/>
      <c r="U670" s="203"/>
      <c r="V670" s="89"/>
      <c r="W670" s="89"/>
      <c r="X670" s="145"/>
      <c r="Y670" s="89"/>
      <c r="Z670" s="90"/>
      <c r="AA670" s="90"/>
      <c r="AB670" s="90"/>
      <c r="AC670" s="90"/>
      <c r="AD670" s="92"/>
      <c r="AE670" s="149" t="str">
        <f>IFERROR(VLOOKUP(Z670,LISTS!$AL$2:$AM$1000,2,FALSE()),"")</f>
        <v/>
      </c>
      <c r="AF670" s="151" t="str">
        <f>IFERROR(VLOOKUP(AA670,LISTS!$AO$2:$AP$1000,2,FALSE()),"")</f>
        <v/>
      </c>
      <c r="AG670" s="152" t="str">
        <f>IFERROR(VLOOKUP(AB670,LISTS!$AR$2:$AS$1000,2,FALSE()),"")</f>
        <v/>
      </c>
      <c r="AH670" s="154" t="str">
        <f>IFERROR(VLOOKUP(AC670,LISTS!$AU$2:$AV$1000,2,FALSE()),"")</f>
        <v/>
      </c>
      <c r="AI670" s="238" t="str">
        <f t="shared" si="53"/>
        <v>—</v>
      </c>
      <c r="AJ670" s="190" t="str">
        <f t="shared" si="54"/>
        <v>—</v>
      </c>
      <c r="AK670" s="157" t="str">
        <f t="shared" ref="AK670:AK733" si="55">IF(E670="","",MONTH(E670))</f>
        <v/>
      </c>
      <c r="AL670" s="160" t="str">
        <f t="shared" ref="AL670:AL733" si="56">IF(E670="","",YEAR(E670))</f>
        <v/>
      </c>
      <c r="AM670" s="210"/>
      <c r="AN670" s="209"/>
    </row>
    <row r="671" spans="1:40" ht="27.95" customHeight="1">
      <c r="A671" s="134" t="str">
        <f>IF(I671&lt;&gt;"",COUNTA($I$2:I671),"")</f>
        <v/>
      </c>
      <c r="B671" s="138" t="str">
        <f t="shared" ref="B671:B734" si="57">IF(E671="","",CHOOSE(WEEKDAY(E671,2),"الاثنين","الثلاثاء","الأربعاء","الخميس","الجمعة","السبت","الأحد"))</f>
        <v/>
      </c>
      <c r="C671" s="93" t="str">
        <f t="array" ref="C671">IF(E671="","",IF(M671&lt;&gt;"",
M671&amp;"/"&amp;SUMPRODUCT((M$2:M671=M671)*1)&amp;" - "&amp;(ROW()-2),
"إداري/"&amp;SUMPRODUCT((M$2:M671="")*1)&amp;" - "&amp;(ROW()-2)))</f>
        <v/>
      </c>
      <c r="D671" s="141" t="str">
        <f>IF(AND(G671="",H671="",I671=""),"",IF(COUNTIFS(LISTS!$A$2:$A$67,G671,LISTS!$B$2:$B$67,H671,LISTS!$C$2:$C$67,I671)=0,"✗ هرم",IF(NOT(OR(Z671="ممتاز 100%",Z671="جيد 80%",Z671="مقبول 60%",Z671="خطر 40%",Z671="")),"✗ قائمة R",IF(NOT(OR(AA671="ممتاز 100%",AA671="جيد 85%",AA671="مقبول 70%",AA671="ضعيف 50%",AA671="")),"✗ قائمة S",IF(NOT(OR(AB671="مكتمل 100%",AB671="جزئي 60%",AB671="معلق 30%",AB671="مفتوح 0%",AB671="")),"✗ قائمة T",IF(NOT(OR(AC671="لا خصم 0",AC671="تأخير −5",AC671="عجز −10",AC671="جودة −15",AC671="امتثال −20",AC671="مخالفة −25",AC671="")),"✗ قائمة U",IF(AND(X671="لا",AC671&lt;&gt;"",AC671&lt;&gt;"لا خصم 0"),"✗ خصم",IF(AND(X671="نعم",AC671="لا خصم 0"),"✗ خصم",IF(AND(Z671="ممتاز 100%",AA671="ممتاز 100%",AB671&lt;&gt;"",AB671&lt;&gt;"مكتمل 100%"),"✗ إغلاق",IFERROR(IF(LEN(_xlfn.TEXTJOIN("، ",TRUE,IF(E671="","التاريخ",""),IF(F671="","الوقت",""),IF(G671="","المركز",""),IF(H671="","الدائرة",""),IF(I671="","القسم",""),IF(J671="","المسؤول",""),IF(K671="","نوع النشاط",""),IF(L671="","المشروع",""),IF(N671="","الممول",""),IF(V671="","الموضوع",""),IF(W671="","الملاحظة",""),IF(X671="","مشكلة",""),IF(Y671="","الإجراء",""),IF(Z671="","التنفيذ",""),IF(AA671="","الجودة",""),IF(AB671="","الإغلاق",""),IF(AC671="","الخصم",""),IF(AND(COUNTA($O671:$U671)&gt;0,O671=""),"مدير المشروع",""),IF(AND(COUNTA($O671:$U671)&gt;0,P671=""),"المستفيدين",""),IF(AND(COUNTA($O671:$U671)&gt;0,Q671=""),"المناطق",""),IF(AND(COUNTA($O671:$U671)&gt;0,R671=""),"الميزانية",""),IF(AND(COUNTA($O671:$U671)&gt;0,S671=""),"نسبة الجاهزية",""),IF(AND(COUNTA($O671:$U671)&gt;0,T671=""),"حالة الجاهزية",""),IF(AND(COUNTA($O671:$U671)&gt;0,U671=""),"التوصيات","")))&gt;0,"✗ ناقص: "&amp;_xlfn.TEXTJOIN("، ",TRUE,IF(E671="","التاريخ",""),IF(F671="","الوقت",""),IF(G671="","المركز",""),IF(H671="","الدائرة",""),IF(I671="","القسم",""),IF(J671="","المسؤول",""),IF(K671="","نوع النشاط",""),IF(L671="","المشروع",""),IF(N671="","الممول",""),IF(V671="","الموضوع",""),IF(W671="","الملاحظة",""),IF(X671="","مشكلة",""),IF(Y671="","الإجراء",""),IF(Z671="","التنفيذ",""),IF(AA671="","الجودة",""),IF(AB671="","الإغلاق",""),IF(AC671="","الخصم",""),IF(AND(COUNTA($O671:$U671)&gt;0,O671=""),"مدير المشروع",""),IF(AND(COUNTA($O671:$U671)&gt;0,P671=""),"المستفيدين",""),IF(AND(COUNTA($O671:$U671)&gt;0,Q671=""),"المناطق",""),IF(AND(COUNTA($O671:$U671)&gt;0,R671=""),"الميزانية",""),IF(AND(COUNTA($O671:$U671)&gt;0,S671=""),"نسبة الجاهزية",""),IF(AND(COUNTA($O671:$U671)&gt;0,T671=""),"حالة الجاهزية",""),IF(AND(COUNTA($O671:$U671)&gt;0,U671=""),"التوصيات","")),"✓"),"✓"))))))))))</f>
        <v/>
      </c>
      <c r="E671" s="235"/>
      <c r="F671" s="236"/>
      <c r="G671" s="90"/>
      <c r="H671" s="239"/>
      <c r="I671" s="89"/>
      <c r="J671" s="142"/>
      <c r="K671" s="90"/>
      <c r="L671" s="90"/>
      <c r="M671" s="90"/>
      <c r="N671" s="89"/>
      <c r="O671" s="200"/>
      <c r="P671" s="201"/>
      <c r="Q671" s="201"/>
      <c r="R671" s="237"/>
      <c r="S671" s="202"/>
      <c r="T671" s="200"/>
      <c r="U671" s="203"/>
      <c r="V671" s="89"/>
      <c r="W671" s="89"/>
      <c r="X671" s="145"/>
      <c r="Y671" s="89"/>
      <c r="Z671" s="90"/>
      <c r="AA671" s="90"/>
      <c r="AB671" s="90"/>
      <c r="AC671" s="90"/>
      <c r="AD671" s="92"/>
      <c r="AE671" s="149" t="str">
        <f>IFERROR(VLOOKUP(Z671,LISTS!$AL$2:$AM$1000,2,FALSE()),"")</f>
        <v/>
      </c>
      <c r="AF671" s="151" t="str">
        <f>IFERROR(VLOOKUP(AA671,LISTS!$AO$2:$AP$1000,2,FALSE()),"")</f>
        <v/>
      </c>
      <c r="AG671" s="152" t="str">
        <f>IFERROR(VLOOKUP(AB671,LISTS!$AR$2:$AS$1000,2,FALSE()),"")</f>
        <v/>
      </c>
      <c r="AH671" s="154" t="str">
        <f>IFERROR(VLOOKUP(AC671,LISTS!$AU$2:$AV$1000,2,FALSE()),"")</f>
        <v/>
      </c>
      <c r="AI671" s="238" t="str">
        <f t="shared" si="53"/>
        <v>—</v>
      </c>
      <c r="AJ671" s="190" t="str">
        <f t="shared" si="54"/>
        <v>—</v>
      </c>
      <c r="AK671" s="157" t="str">
        <f t="shared" si="55"/>
        <v/>
      </c>
      <c r="AL671" s="160" t="str">
        <f t="shared" si="56"/>
        <v/>
      </c>
      <c r="AM671" s="210"/>
      <c r="AN671" s="209"/>
    </row>
    <row r="672" spans="1:40" ht="27.95" customHeight="1">
      <c r="A672" s="134" t="str">
        <f>IF(I672&lt;&gt;"",COUNTA($I$2:I672),"")</f>
        <v/>
      </c>
      <c r="B672" s="138" t="str">
        <f t="shared" si="57"/>
        <v/>
      </c>
      <c r="C672" s="93" t="str">
        <f t="array" ref="C672">IF(E672="","",IF(M672&lt;&gt;"",
M672&amp;"/"&amp;SUMPRODUCT((M$2:M672=M672)*1)&amp;" - "&amp;(ROW()-2),
"إداري/"&amp;SUMPRODUCT((M$2:M672="")*1)&amp;" - "&amp;(ROW()-2)))</f>
        <v/>
      </c>
      <c r="D672" s="141" t="str">
        <f>IF(AND(G672="",H672="",I672=""),"",IF(COUNTIFS(LISTS!$A$2:$A$67,G672,LISTS!$B$2:$B$67,H672,LISTS!$C$2:$C$67,I672)=0,"✗ هرم",IF(NOT(OR(Z672="ممتاز 100%",Z672="جيد 80%",Z672="مقبول 60%",Z672="خطر 40%",Z672="")),"✗ قائمة R",IF(NOT(OR(AA672="ممتاز 100%",AA672="جيد 85%",AA672="مقبول 70%",AA672="ضعيف 50%",AA672="")),"✗ قائمة S",IF(NOT(OR(AB672="مكتمل 100%",AB672="جزئي 60%",AB672="معلق 30%",AB672="مفتوح 0%",AB672="")),"✗ قائمة T",IF(NOT(OR(AC672="لا خصم 0",AC672="تأخير −5",AC672="عجز −10",AC672="جودة −15",AC672="امتثال −20",AC672="مخالفة −25",AC672="")),"✗ قائمة U",IF(AND(X672="لا",AC672&lt;&gt;"",AC672&lt;&gt;"لا خصم 0"),"✗ خصم",IF(AND(X672="نعم",AC672="لا خصم 0"),"✗ خصم",IF(AND(Z672="ممتاز 100%",AA672="ممتاز 100%",AB672&lt;&gt;"",AB672&lt;&gt;"مكتمل 100%"),"✗ إغلاق",IFERROR(IF(LEN(_xlfn.TEXTJOIN("، ",TRUE,IF(E672="","التاريخ",""),IF(F672="","الوقت",""),IF(G672="","المركز",""),IF(H672="","الدائرة",""),IF(I672="","القسم",""),IF(J672="","المسؤول",""),IF(K672="","نوع النشاط",""),IF(L672="","المشروع",""),IF(N672="","الممول",""),IF(V672="","الموضوع",""),IF(W672="","الملاحظة",""),IF(X672="","مشكلة",""),IF(Y672="","الإجراء",""),IF(Z672="","التنفيذ",""),IF(AA672="","الجودة",""),IF(AB672="","الإغلاق",""),IF(AC672="","الخصم",""),IF(AND(COUNTA($O672:$U672)&gt;0,O672=""),"مدير المشروع",""),IF(AND(COUNTA($O672:$U672)&gt;0,P672=""),"المستفيدين",""),IF(AND(COUNTA($O672:$U672)&gt;0,Q672=""),"المناطق",""),IF(AND(COUNTA($O672:$U672)&gt;0,R672=""),"الميزانية",""),IF(AND(COUNTA($O672:$U672)&gt;0,S672=""),"نسبة الجاهزية",""),IF(AND(COUNTA($O672:$U672)&gt;0,T672=""),"حالة الجاهزية",""),IF(AND(COUNTA($O672:$U672)&gt;0,U672=""),"التوصيات","")))&gt;0,"✗ ناقص: "&amp;_xlfn.TEXTJOIN("، ",TRUE,IF(E672="","التاريخ",""),IF(F672="","الوقت",""),IF(G672="","المركز",""),IF(H672="","الدائرة",""),IF(I672="","القسم",""),IF(J672="","المسؤول",""),IF(K672="","نوع النشاط",""),IF(L672="","المشروع",""),IF(N672="","الممول",""),IF(V672="","الموضوع",""),IF(W672="","الملاحظة",""),IF(X672="","مشكلة",""),IF(Y672="","الإجراء",""),IF(Z672="","التنفيذ",""),IF(AA672="","الجودة",""),IF(AB672="","الإغلاق",""),IF(AC672="","الخصم",""),IF(AND(COUNTA($O672:$U672)&gt;0,O672=""),"مدير المشروع",""),IF(AND(COUNTA($O672:$U672)&gt;0,P672=""),"المستفيدين",""),IF(AND(COUNTA($O672:$U672)&gt;0,Q672=""),"المناطق",""),IF(AND(COUNTA($O672:$U672)&gt;0,R672=""),"الميزانية",""),IF(AND(COUNTA($O672:$U672)&gt;0,S672=""),"نسبة الجاهزية",""),IF(AND(COUNTA($O672:$U672)&gt;0,T672=""),"حالة الجاهزية",""),IF(AND(COUNTA($O672:$U672)&gt;0,U672=""),"التوصيات","")),"✓"),"✓"))))))))))</f>
        <v/>
      </c>
      <c r="E672" s="235"/>
      <c r="F672" s="236"/>
      <c r="G672" s="90"/>
      <c r="H672" s="239"/>
      <c r="I672" s="89"/>
      <c r="J672" s="142"/>
      <c r="K672" s="90"/>
      <c r="L672" s="90"/>
      <c r="M672" s="90"/>
      <c r="N672" s="89"/>
      <c r="O672" s="200"/>
      <c r="P672" s="201"/>
      <c r="Q672" s="201"/>
      <c r="R672" s="237"/>
      <c r="S672" s="202"/>
      <c r="T672" s="200"/>
      <c r="U672" s="203"/>
      <c r="V672" s="89"/>
      <c r="W672" s="89"/>
      <c r="X672" s="145"/>
      <c r="Y672" s="89"/>
      <c r="Z672" s="90"/>
      <c r="AA672" s="90"/>
      <c r="AB672" s="90"/>
      <c r="AC672" s="90"/>
      <c r="AD672" s="92"/>
      <c r="AE672" s="149" t="str">
        <f>IFERROR(VLOOKUP(Z672,LISTS!$AL$2:$AM$1000,2,FALSE()),"")</f>
        <v/>
      </c>
      <c r="AF672" s="151" t="str">
        <f>IFERROR(VLOOKUP(AA672,LISTS!$AO$2:$AP$1000,2,FALSE()),"")</f>
        <v/>
      </c>
      <c r="AG672" s="152" t="str">
        <f>IFERROR(VLOOKUP(AB672,LISTS!$AR$2:$AS$1000,2,FALSE()),"")</f>
        <v/>
      </c>
      <c r="AH672" s="154" t="str">
        <f>IFERROR(VLOOKUP(AC672,LISTS!$AU$2:$AV$1000,2,FALSE()),"")</f>
        <v/>
      </c>
      <c r="AI672" s="238" t="str">
        <f t="shared" si="53"/>
        <v>—</v>
      </c>
      <c r="AJ672" s="190" t="str">
        <f t="shared" si="54"/>
        <v>—</v>
      </c>
      <c r="AK672" s="157" t="str">
        <f t="shared" si="55"/>
        <v/>
      </c>
      <c r="AL672" s="160" t="str">
        <f t="shared" si="56"/>
        <v/>
      </c>
      <c r="AM672" s="210"/>
      <c r="AN672" s="209"/>
    </row>
    <row r="673" spans="1:40" ht="27.95" customHeight="1">
      <c r="A673" s="134" t="str">
        <f>IF(I673&lt;&gt;"",COUNTA($I$2:I673),"")</f>
        <v/>
      </c>
      <c r="B673" s="138" t="str">
        <f t="shared" si="57"/>
        <v/>
      </c>
      <c r="C673" s="93" t="str">
        <f t="array" ref="C673">IF(E673="","",IF(M673&lt;&gt;"",
M673&amp;"/"&amp;SUMPRODUCT((M$2:M673=M673)*1)&amp;" - "&amp;(ROW()-2),
"إداري/"&amp;SUMPRODUCT((M$2:M673="")*1)&amp;" - "&amp;(ROW()-2)))</f>
        <v/>
      </c>
      <c r="D673" s="141" t="str">
        <f>IF(AND(G673="",H673="",I673=""),"",IF(COUNTIFS(LISTS!$A$2:$A$67,G673,LISTS!$B$2:$B$67,H673,LISTS!$C$2:$C$67,I673)=0,"✗ هرم",IF(NOT(OR(Z673="ممتاز 100%",Z673="جيد 80%",Z673="مقبول 60%",Z673="خطر 40%",Z673="")),"✗ قائمة R",IF(NOT(OR(AA673="ممتاز 100%",AA673="جيد 85%",AA673="مقبول 70%",AA673="ضعيف 50%",AA673="")),"✗ قائمة S",IF(NOT(OR(AB673="مكتمل 100%",AB673="جزئي 60%",AB673="معلق 30%",AB673="مفتوح 0%",AB673="")),"✗ قائمة T",IF(NOT(OR(AC673="لا خصم 0",AC673="تأخير −5",AC673="عجز −10",AC673="جودة −15",AC673="امتثال −20",AC673="مخالفة −25",AC673="")),"✗ قائمة U",IF(AND(X673="لا",AC673&lt;&gt;"",AC673&lt;&gt;"لا خصم 0"),"✗ خصم",IF(AND(X673="نعم",AC673="لا خصم 0"),"✗ خصم",IF(AND(Z673="ممتاز 100%",AA673="ممتاز 100%",AB673&lt;&gt;"",AB673&lt;&gt;"مكتمل 100%"),"✗ إغلاق",IFERROR(IF(LEN(_xlfn.TEXTJOIN("، ",TRUE,IF(E673="","التاريخ",""),IF(F673="","الوقت",""),IF(G673="","المركز",""),IF(H673="","الدائرة",""),IF(I673="","القسم",""),IF(J673="","المسؤول",""),IF(K673="","نوع النشاط",""),IF(L673="","المشروع",""),IF(N673="","الممول",""),IF(V673="","الموضوع",""),IF(W673="","الملاحظة",""),IF(X673="","مشكلة",""),IF(Y673="","الإجراء",""),IF(Z673="","التنفيذ",""),IF(AA673="","الجودة",""),IF(AB673="","الإغلاق",""),IF(AC673="","الخصم",""),IF(AND(COUNTA($O673:$U673)&gt;0,O673=""),"مدير المشروع",""),IF(AND(COUNTA($O673:$U673)&gt;0,P673=""),"المستفيدين",""),IF(AND(COUNTA($O673:$U673)&gt;0,Q673=""),"المناطق",""),IF(AND(COUNTA($O673:$U673)&gt;0,R673=""),"الميزانية",""),IF(AND(COUNTA($O673:$U673)&gt;0,S673=""),"نسبة الجاهزية",""),IF(AND(COUNTA($O673:$U673)&gt;0,T673=""),"حالة الجاهزية",""),IF(AND(COUNTA($O673:$U673)&gt;0,U673=""),"التوصيات","")))&gt;0,"✗ ناقص: "&amp;_xlfn.TEXTJOIN("، ",TRUE,IF(E673="","التاريخ",""),IF(F673="","الوقت",""),IF(G673="","المركز",""),IF(H673="","الدائرة",""),IF(I673="","القسم",""),IF(J673="","المسؤول",""),IF(K673="","نوع النشاط",""),IF(L673="","المشروع",""),IF(N673="","الممول",""),IF(V673="","الموضوع",""),IF(W673="","الملاحظة",""),IF(X673="","مشكلة",""),IF(Y673="","الإجراء",""),IF(Z673="","التنفيذ",""),IF(AA673="","الجودة",""),IF(AB673="","الإغلاق",""),IF(AC673="","الخصم",""),IF(AND(COUNTA($O673:$U673)&gt;0,O673=""),"مدير المشروع",""),IF(AND(COUNTA($O673:$U673)&gt;0,P673=""),"المستفيدين",""),IF(AND(COUNTA($O673:$U673)&gt;0,Q673=""),"المناطق",""),IF(AND(COUNTA($O673:$U673)&gt;0,R673=""),"الميزانية",""),IF(AND(COUNTA($O673:$U673)&gt;0,S673=""),"نسبة الجاهزية",""),IF(AND(COUNTA($O673:$U673)&gt;0,T673=""),"حالة الجاهزية",""),IF(AND(COUNTA($O673:$U673)&gt;0,U673=""),"التوصيات","")),"✓"),"✓"))))))))))</f>
        <v/>
      </c>
      <c r="E673" s="235"/>
      <c r="F673" s="236"/>
      <c r="G673" s="90"/>
      <c r="H673" s="239"/>
      <c r="I673" s="89"/>
      <c r="J673" s="142"/>
      <c r="K673" s="90"/>
      <c r="L673" s="90"/>
      <c r="M673" s="90"/>
      <c r="N673" s="89"/>
      <c r="O673" s="200"/>
      <c r="P673" s="201"/>
      <c r="Q673" s="201"/>
      <c r="R673" s="237"/>
      <c r="S673" s="202"/>
      <c r="T673" s="200"/>
      <c r="U673" s="203"/>
      <c r="V673" s="89"/>
      <c r="W673" s="89"/>
      <c r="X673" s="145"/>
      <c r="Y673" s="89"/>
      <c r="Z673" s="90"/>
      <c r="AA673" s="90"/>
      <c r="AB673" s="90"/>
      <c r="AC673" s="90"/>
      <c r="AD673" s="92"/>
      <c r="AE673" s="149" t="str">
        <f>IFERROR(VLOOKUP(Z673,LISTS!$AL$2:$AM$1000,2,FALSE()),"")</f>
        <v/>
      </c>
      <c r="AF673" s="151" t="str">
        <f>IFERROR(VLOOKUP(AA673,LISTS!$AO$2:$AP$1000,2,FALSE()),"")</f>
        <v/>
      </c>
      <c r="AG673" s="152" t="str">
        <f>IFERROR(VLOOKUP(AB673,LISTS!$AR$2:$AS$1000,2,FALSE()),"")</f>
        <v/>
      </c>
      <c r="AH673" s="154" t="str">
        <f>IFERROR(VLOOKUP(AC673,LISTS!$AU$2:$AV$1000,2,FALSE()),"")</f>
        <v/>
      </c>
      <c r="AI673" s="238" t="str">
        <f t="shared" si="53"/>
        <v>—</v>
      </c>
      <c r="AJ673" s="190" t="str">
        <f t="shared" si="54"/>
        <v>—</v>
      </c>
      <c r="AK673" s="157" t="str">
        <f t="shared" si="55"/>
        <v/>
      </c>
      <c r="AL673" s="160" t="str">
        <f t="shared" si="56"/>
        <v/>
      </c>
      <c r="AM673" s="210"/>
      <c r="AN673" s="209"/>
    </row>
    <row r="674" spans="1:40" ht="27.95" customHeight="1">
      <c r="A674" s="134" t="str">
        <f>IF(I674&lt;&gt;"",COUNTA($I$2:I674),"")</f>
        <v/>
      </c>
      <c r="B674" s="138" t="str">
        <f t="shared" si="57"/>
        <v/>
      </c>
      <c r="C674" s="93" t="str">
        <f t="array" ref="C674">IF(E674="","",IF(M674&lt;&gt;"",
M674&amp;"/"&amp;SUMPRODUCT((M$2:M674=M674)*1)&amp;" - "&amp;(ROW()-2),
"إداري/"&amp;SUMPRODUCT((M$2:M674="")*1)&amp;" - "&amp;(ROW()-2)))</f>
        <v/>
      </c>
      <c r="D674" s="141" t="str">
        <f>IF(AND(G674="",H674="",I674=""),"",IF(COUNTIFS(LISTS!$A$2:$A$67,G674,LISTS!$B$2:$B$67,H674,LISTS!$C$2:$C$67,I674)=0,"✗ هرم",IF(NOT(OR(Z674="ممتاز 100%",Z674="جيد 80%",Z674="مقبول 60%",Z674="خطر 40%",Z674="")),"✗ قائمة R",IF(NOT(OR(AA674="ممتاز 100%",AA674="جيد 85%",AA674="مقبول 70%",AA674="ضعيف 50%",AA674="")),"✗ قائمة S",IF(NOT(OR(AB674="مكتمل 100%",AB674="جزئي 60%",AB674="معلق 30%",AB674="مفتوح 0%",AB674="")),"✗ قائمة T",IF(NOT(OR(AC674="لا خصم 0",AC674="تأخير −5",AC674="عجز −10",AC674="جودة −15",AC674="امتثال −20",AC674="مخالفة −25",AC674="")),"✗ قائمة U",IF(AND(X674="لا",AC674&lt;&gt;"",AC674&lt;&gt;"لا خصم 0"),"✗ خصم",IF(AND(X674="نعم",AC674="لا خصم 0"),"✗ خصم",IF(AND(Z674="ممتاز 100%",AA674="ممتاز 100%",AB674&lt;&gt;"",AB674&lt;&gt;"مكتمل 100%"),"✗ إغلاق",IFERROR(IF(LEN(_xlfn.TEXTJOIN("، ",TRUE,IF(E674="","التاريخ",""),IF(F674="","الوقت",""),IF(G674="","المركز",""),IF(H674="","الدائرة",""),IF(I674="","القسم",""),IF(J674="","المسؤول",""),IF(K674="","نوع النشاط",""),IF(L674="","المشروع",""),IF(N674="","الممول",""),IF(V674="","الموضوع",""),IF(W674="","الملاحظة",""),IF(X674="","مشكلة",""),IF(Y674="","الإجراء",""),IF(Z674="","التنفيذ",""),IF(AA674="","الجودة",""),IF(AB674="","الإغلاق",""),IF(AC674="","الخصم",""),IF(AND(COUNTA($O674:$U674)&gt;0,O674=""),"مدير المشروع",""),IF(AND(COUNTA($O674:$U674)&gt;0,P674=""),"المستفيدين",""),IF(AND(COUNTA($O674:$U674)&gt;0,Q674=""),"المناطق",""),IF(AND(COUNTA($O674:$U674)&gt;0,R674=""),"الميزانية",""),IF(AND(COUNTA($O674:$U674)&gt;0,S674=""),"نسبة الجاهزية",""),IF(AND(COUNTA($O674:$U674)&gt;0,T674=""),"حالة الجاهزية",""),IF(AND(COUNTA($O674:$U674)&gt;0,U674=""),"التوصيات","")))&gt;0,"✗ ناقص: "&amp;_xlfn.TEXTJOIN("، ",TRUE,IF(E674="","التاريخ",""),IF(F674="","الوقت",""),IF(G674="","المركز",""),IF(H674="","الدائرة",""),IF(I674="","القسم",""),IF(J674="","المسؤول",""),IF(K674="","نوع النشاط",""),IF(L674="","المشروع",""),IF(N674="","الممول",""),IF(V674="","الموضوع",""),IF(W674="","الملاحظة",""),IF(X674="","مشكلة",""),IF(Y674="","الإجراء",""),IF(Z674="","التنفيذ",""),IF(AA674="","الجودة",""),IF(AB674="","الإغلاق",""),IF(AC674="","الخصم",""),IF(AND(COUNTA($O674:$U674)&gt;0,O674=""),"مدير المشروع",""),IF(AND(COUNTA($O674:$U674)&gt;0,P674=""),"المستفيدين",""),IF(AND(COUNTA($O674:$U674)&gt;0,Q674=""),"المناطق",""),IF(AND(COUNTA($O674:$U674)&gt;0,R674=""),"الميزانية",""),IF(AND(COUNTA($O674:$U674)&gt;0,S674=""),"نسبة الجاهزية",""),IF(AND(COUNTA($O674:$U674)&gt;0,T674=""),"حالة الجاهزية",""),IF(AND(COUNTA($O674:$U674)&gt;0,U674=""),"التوصيات","")),"✓"),"✓"))))))))))</f>
        <v/>
      </c>
      <c r="E674" s="235"/>
      <c r="F674" s="236"/>
      <c r="G674" s="90"/>
      <c r="H674" s="239"/>
      <c r="I674" s="89"/>
      <c r="J674" s="142"/>
      <c r="K674" s="90"/>
      <c r="L674" s="90"/>
      <c r="M674" s="90"/>
      <c r="N674" s="89"/>
      <c r="O674" s="200"/>
      <c r="P674" s="201"/>
      <c r="Q674" s="201"/>
      <c r="R674" s="237"/>
      <c r="S674" s="202"/>
      <c r="T674" s="200"/>
      <c r="U674" s="203"/>
      <c r="V674" s="89"/>
      <c r="W674" s="89"/>
      <c r="X674" s="145"/>
      <c r="Y674" s="89"/>
      <c r="Z674" s="90"/>
      <c r="AA674" s="90"/>
      <c r="AB674" s="90"/>
      <c r="AC674" s="90"/>
      <c r="AD674" s="92"/>
      <c r="AE674" s="149" t="str">
        <f>IFERROR(VLOOKUP(Z674,LISTS!$AL$2:$AM$1000,2,FALSE()),"")</f>
        <v/>
      </c>
      <c r="AF674" s="151" t="str">
        <f>IFERROR(VLOOKUP(AA674,LISTS!$AO$2:$AP$1000,2,FALSE()),"")</f>
        <v/>
      </c>
      <c r="AG674" s="152" t="str">
        <f>IFERROR(VLOOKUP(AB674,LISTS!$AR$2:$AS$1000,2,FALSE()),"")</f>
        <v/>
      </c>
      <c r="AH674" s="154" t="str">
        <f>IFERROR(VLOOKUP(AC674,LISTS!$AU$2:$AV$1000,2,FALSE()),"")</f>
        <v/>
      </c>
      <c r="AI674" s="238" t="str">
        <f t="shared" si="53"/>
        <v>—</v>
      </c>
      <c r="AJ674" s="190" t="str">
        <f t="shared" si="54"/>
        <v>—</v>
      </c>
      <c r="AK674" s="157" t="str">
        <f t="shared" si="55"/>
        <v/>
      </c>
      <c r="AL674" s="160" t="str">
        <f t="shared" si="56"/>
        <v/>
      </c>
      <c r="AM674" s="210"/>
      <c r="AN674" s="209"/>
    </row>
    <row r="675" spans="1:40" ht="27.95" customHeight="1">
      <c r="A675" s="134" t="str">
        <f>IF(I675&lt;&gt;"",COUNTA($I$2:I675),"")</f>
        <v/>
      </c>
      <c r="B675" s="138" t="str">
        <f t="shared" si="57"/>
        <v/>
      </c>
      <c r="C675" s="93" t="str">
        <f t="array" ref="C675">IF(E675="","",IF(M675&lt;&gt;"",
M675&amp;"/"&amp;SUMPRODUCT((M$2:M675=M675)*1)&amp;" - "&amp;(ROW()-2),
"إداري/"&amp;SUMPRODUCT((M$2:M675="")*1)&amp;" - "&amp;(ROW()-2)))</f>
        <v/>
      </c>
      <c r="D675" s="141" t="str">
        <f>IF(AND(G675="",H675="",I675=""),"",IF(COUNTIFS(LISTS!$A$2:$A$67,G675,LISTS!$B$2:$B$67,H675,LISTS!$C$2:$C$67,I675)=0,"✗ هرم",IF(NOT(OR(Z675="ممتاز 100%",Z675="جيد 80%",Z675="مقبول 60%",Z675="خطر 40%",Z675="")),"✗ قائمة R",IF(NOT(OR(AA675="ممتاز 100%",AA675="جيد 85%",AA675="مقبول 70%",AA675="ضعيف 50%",AA675="")),"✗ قائمة S",IF(NOT(OR(AB675="مكتمل 100%",AB675="جزئي 60%",AB675="معلق 30%",AB675="مفتوح 0%",AB675="")),"✗ قائمة T",IF(NOT(OR(AC675="لا خصم 0",AC675="تأخير −5",AC675="عجز −10",AC675="جودة −15",AC675="امتثال −20",AC675="مخالفة −25",AC675="")),"✗ قائمة U",IF(AND(X675="لا",AC675&lt;&gt;"",AC675&lt;&gt;"لا خصم 0"),"✗ خصم",IF(AND(X675="نعم",AC675="لا خصم 0"),"✗ خصم",IF(AND(Z675="ممتاز 100%",AA675="ممتاز 100%",AB675&lt;&gt;"",AB675&lt;&gt;"مكتمل 100%"),"✗ إغلاق",IFERROR(IF(LEN(_xlfn.TEXTJOIN("، ",TRUE,IF(E675="","التاريخ",""),IF(F675="","الوقت",""),IF(G675="","المركز",""),IF(H675="","الدائرة",""),IF(I675="","القسم",""),IF(J675="","المسؤول",""),IF(K675="","نوع النشاط",""),IF(L675="","المشروع",""),IF(N675="","الممول",""),IF(V675="","الموضوع",""),IF(W675="","الملاحظة",""),IF(X675="","مشكلة",""),IF(Y675="","الإجراء",""),IF(Z675="","التنفيذ",""),IF(AA675="","الجودة",""),IF(AB675="","الإغلاق",""),IF(AC675="","الخصم",""),IF(AND(COUNTA($O675:$U675)&gt;0,O675=""),"مدير المشروع",""),IF(AND(COUNTA($O675:$U675)&gt;0,P675=""),"المستفيدين",""),IF(AND(COUNTA($O675:$U675)&gt;0,Q675=""),"المناطق",""),IF(AND(COUNTA($O675:$U675)&gt;0,R675=""),"الميزانية",""),IF(AND(COUNTA($O675:$U675)&gt;0,S675=""),"نسبة الجاهزية",""),IF(AND(COUNTA($O675:$U675)&gt;0,T675=""),"حالة الجاهزية",""),IF(AND(COUNTA($O675:$U675)&gt;0,U675=""),"التوصيات","")))&gt;0,"✗ ناقص: "&amp;_xlfn.TEXTJOIN("، ",TRUE,IF(E675="","التاريخ",""),IF(F675="","الوقت",""),IF(G675="","المركز",""),IF(H675="","الدائرة",""),IF(I675="","القسم",""),IF(J675="","المسؤول",""),IF(K675="","نوع النشاط",""),IF(L675="","المشروع",""),IF(N675="","الممول",""),IF(V675="","الموضوع",""),IF(W675="","الملاحظة",""),IF(X675="","مشكلة",""),IF(Y675="","الإجراء",""),IF(Z675="","التنفيذ",""),IF(AA675="","الجودة",""),IF(AB675="","الإغلاق",""),IF(AC675="","الخصم",""),IF(AND(COUNTA($O675:$U675)&gt;0,O675=""),"مدير المشروع",""),IF(AND(COUNTA($O675:$U675)&gt;0,P675=""),"المستفيدين",""),IF(AND(COUNTA($O675:$U675)&gt;0,Q675=""),"المناطق",""),IF(AND(COUNTA($O675:$U675)&gt;0,R675=""),"الميزانية",""),IF(AND(COUNTA($O675:$U675)&gt;0,S675=""),"نسبة الجاهزية",""),IF(AND(COUNTA($O675:$U675)&gt;0,T675=""),"حالة الجاهزية",""),IF(AND(COUNTA($O675:$U675)&gt;0,U675=""),"التوصيات","")),"✓"),"✓"))))))))))</f>
        <v/>
      </c>
      <c r="E675" s="235"/>
      <c r="F675" s="236"/>
      <c r="G675" s="90"/>
      <c r="H675" s="239"/>
      <c r="I675" s="89"/>
      <c r="J675" s="142"/>
      <c r="K675" s="90"/>
      <c r="L675" s="90"/>
      <c r="M675" s="90"/>
      <c r="N675" s="89"/>
      <c r="O675" s="200"/>
      <c r="P675" s="201"/>
      <c r="Q675" s="201"/>
      <c r="R675" s="237"/>
      <c r="S675" s="202"/>
      <c r="T675" s="200"/>
      <c r="U675" s="203"/>
      <c r="V675" s="89"/>
      <c r="W675" s="89"/>
      <c r="X675" s="145"/>
      <c r="Y675" s="89"/>
      <c r="Z675" s="90"/>
      <c r="AA675" s="90"/>
      <c r="AB675" s="90"/>
      <c r="AC675" s="90"/>
      <c r="AD675" s="92"/>
      <c r="AE675" s="149" t="str">
        <f>IFERROR(VLOOKUP(Z675,LISTS!$AL$2:$AM$1000,2,FALSE()),"")</f>
        <v/>
      </c>
      <c r="AF675" s="151" t="str">
        <f>IFERROR(VLOOKUP(AA675,LISTS!$AO$2:$AP$1000,2,FALSE()),"")</f>
        <v/>
      </c>
      <c r="AG675" s="152" t="str">
        <f>IFERROR(VLOOKUP(AB675,LISTS!$AR$2:$AS$1000,2,FALSE()),"")</f>
        <v/>
      </c>
      <c r="AH675" s="154" t="str">
        <f>IFERROR(VLOOKUP(AC675,LISTS!$AU$2:$AV$1000,2,FALSE()),"")</f>
        <v/>
      </c>
      <c r="AI675" s="238" t="str">
        <f t="shared" si="53"/>
        <v>—</v>
      </c>
      <c r="AJ675" s="190" t="str">
        <f t="shared" si="54"/>
        <v>—</v>
      </c>
      <c r="AK675" s="157" t="str">
        <f t="shared" si="55"/>
        <v/>
      </c>
      <c r="AL675" s="160" t="str">
        <f t="shared" si="56"/>
        <v/>
      </c>
      <c r="AM675" s="210"/>
      <c r="AN675" s="209"/>
    </row>
    <row r="676" spans="1:40" ht="27.95" customHeight="1">
      <c r="A676" s="134" t="str">
        <f>IF(I676&lt;&gt;"",COUNTA($I$2:I676),"")</f>
        <v/>
      </c>
      <c r="B676" s="138" t="str">
        <f t="shared" si="57"/>
        <v/>
      </c>
      <c r="C676" s="93" t="str">
        <f t="array" ref="C676">IF(E676="","",IF(M676&lt;&gt;"",
M676&amp;"/"&amp;SUMPRODUCT((M$2:M676=M676)*1)&amp;" - "&amp;(ROW()-2),
"إداري/"&amp;SUMPRODUCT((M$2:M676="")*1)&amp;" - "&amp;(ROW()-2)))</f>
        <v/>
      </c>
      <c r="D676" s="141" t="str">
        <f>IF(AND(G676="",H676="",I676=""),"",IF(COUNTIFS(LISTS!$A$2:$A$67,G676,LISTS!$B$2:$B$67,H676,LISTS!$C$2:$C$67,I676)=0,"✗ هرم",IF(NOT(OR(Z676="ممتاز 100%",Z676="جيد 80%",Z676="مقبول 60%",Z676="خطر 40%",Z676="")),"✗ قائمة R",IF(NOT(OR(AA676="ممتاز 100%",AA676="جيد 85%",AA676="مقبول 70%",AA676="ضعيف 50%",AA676="")),"✗ قائمة S",IF(NOT(OR(AB676="مكتمل 100%",AB676="جزئي 60%",AB676="معلق 30%",AB676="مفتوح 0%",AB676="")),"✗ قائمة T",IF(NOT(OR(AC676="لا خصم 0",AC676="تأخير −5",AC676="عجز −10",AC676="جودة −15",AC676="امتثال −20",AC676="مخالفة −25",AC676="")),"✗ قائمة U",IF(AND(X676="لا",AC676&lt;&gt;"",AC676&lt;&gt;"لا خصم 0"),"✗ خصم",IF(AND(X676="نعم",AC676="لا خصم 0"),"✗ خصم",IF(AND(Z676="ممتاز 100%",AA676="ممتاز 100%",AB676&lt;&gt;"",AB676&lt;&gt;"مكتمل 100%"),"✗ إغلاق",IFERROR(IF(LEN(_xlfn.TEXTJOIN("، ",TRUE,IF(E676="","التاريخ",""),IF(F676="","الوقت",""),IF(G676="","المركز",""),IF(H676="","الدائرة",""),IF(I676="","القسم",""),IF(J676="","المسؤول",""),IF(K676="","نوع النشاط",""),IF(L676="","المشروع",""),IF(N676="","الممول",""),IF(V676="","الموضوع",""),IF(W676="","الملاحظة",""),IF(X676="","مشكلة",""),IF(Y676="","الإجراء",""),IF(Z676="","التنفيذ",""),IF(AA676="","الجودة",""),IF(AB676="","الإغلاق",""),IF(AC676="","الخصم",""),IF(AND(COUNTA($O676:$U676)&gt;0,O676=""),"مدير المشروع",""),IF(AND(COUNTA($O676:$U676)&gt;0,P676=""),"المستفيدين",""),IF(AND(COUNTA($O676:$U676)&gt;0,Q676=""),"المناطق",""),IF(AND(COUNTA($O676:$U676)&gt;0,R676=""),"الميزانية",""),IF(AND(COUNTA($O676:$U676)&gt;0,S676=""),"نسبة الجاهزية",""),IF(AND(COUNTA($O676:$U676)&gt;0,T676=""),"حالة الجاهزية",""),IF(AND(COUNTA($O676:$U676)&gt;0,U676=""),"التوصيات","")))&gt;0,"✗ ناقص: "&amp;_xlfn.TEXTJOIN("، ",TRUE,IF(E676="","التاريخ",""),IF(F676="","الوقت",""),IF(G676="","المركز",""),IF(H676="","الدائرة",""),IF(I676="","القسم",""),IF(J676="","المسؤول",""),IF(K676="","نوع النشاط",""),IF(L676="","المشروع",""),IF(N676="","الممول",""),IF(V676="","الموضوع",""),IF(W676="","الملاحظة",""),IF(X676="","مشكلة",""),IF(Y676="","الإجراء",""),IF(Z676="","التنفيذ",""),IF(AA676="","الجودة",""),IF(AB676="","الإغلاق",""),IF(AC676="","الخصم",""),IF(AND(COUNTA($O676:$U676)&gt;0,O676=""),"مدير المشروع",""),IF(AND(COUNTA($O676:$U676)&gt;0,P676=""),"المستفيدين",""),IF(AND(COUNTA($O676:$U676)&gt;0,Q676=""),"المناطق",""),IF(AND(COUNTA($O676:$U676)&gt;0,R676=""),"الميزانية",""),IF(AND(COUNTA($O676:$U676)&gt;0,S676=""),"نسبة الجاهزية",""),IF(AND(COUNTA($O676:$U676)&gt;0,T676=""),"حالة الجاهزية",""),IF(AND(COUNTA($O676:$U676)&gt;0,U676=""),"التوصيات","")),"✓"),"✓"))))))))))</f>
        <v/>
      </c>
      <c r="E676" s="235"/>
      <c r="F676" s="236"/>
      <c r="G676" s="90"/>
      <c r="H676" s="239"/>
      <c r="I676" s="89"/>
      <c r="J676" s="142"/>
      <c r="K676" s="90"/>
      <c r="L676" s="90"/>
      <c r="M676" s="90"/>
      <c r="N676" s="89"/>
      <c r="O676" s="200"/>
      <c r="P676" s="201"/>
      <c r="Q676" s="201"/>
      <c r="R676" s="237"/>
      <c r="S676" s="202"/>
      <c r="T676" s="200"/>
      <c r="U676" s="203"/>
      <c r="V676" s="89"/>
      <c r="W676" s="89"/>
      <c r="X676" s="145"/>
      <c r="Y676" s="89"/>
      <c r="Z676" s="90"/>
      <c r="AA676" s="90"/>
      <c r="AB676" s="90"/>
      <c r="AC676" s="90"/>
      <c r="AD676" s="92"/>
      <c r="AE676" s="149" t="str">
        <f>IFERROR(VLOOKUP(Z676,LISTS!$AL$2:$AM$1000,2,FALSE()),"")</f>
        <v/>
      </c>
      <c r="AF676" s="151" t="str">
        <f>IFERROR(VLOOKUP(AA676,LISTS!$AO$2:$AP$1000,2,FALSE()),"")</f>
        <v/>
      </c>
      <c r="AG676" s="152" t="str">
        <f>IFERROR(VLOOKUP(AB676,LISTS!$AR$2:$AS$1000,2,FALSE()),"")</f>
        <v/>
      </c>
      <c r="AH676" s="154" t="str">
        <f>IFERROR(VLOOKUP(AC676,LISTS!$AU$2:$AV$1000,2,FALSE()),"")</f>
        <v/>
      </c>
      <c r="AI676" s="238" t="str">
        <f t="shared" si="53"/>
        <v>—</v>
      </c>
      <c r="AJ676" s="190" t="str">
        <f t="shared" si="54"/>
        <v>—</v>
      </c>
      <c r="AK676" s="157" t="str">
        <f t="shared" si="55"/>
        <v/>
      </c>
      <c r="AL676" s="160" t="str">
        <f t="shared" si="56"/>
        <v/>
      </c>
      <c r="AM676" s="210"/>
      <c r="AN676" s="209"/>
    </row>
    <row r="677" spans="1:40" ht="27.95" customHeight="1">
      <c r="A677" s="134" t="str">
        <f>IF(I677&lt;&gt;"",COUNTA($I$2:I677),"")</f>
        <v/>
      </c>
      <c r="B677" s="138" t="str">
        <f t="shared" si="57"/>
        <v/>
      </c>
      <c r="C677" s="93" t="str">
        <f t="array" ref="C677">IF(E677="","",IF(M677&lt;&gt;"",
M677&amp;"/"&amp;SUMPRODUCT((M$2:M677=M677)*1)&amp;" - "&amp;(ROW()-2),
"إداري/"&amp;SUMPRODUCT((M$2:M677="")*1)&amp;" - "&amp;(ROW()-2)))</f>
        <v/>
      </c>
      <c r="D677" s="141" t="str">
        <f>IF(AND(G677="",H677="",I677=""),"",IF(COUNTIFS(LISTS!$A$2:$A$67,G677,LISTS!$B$2:$B$67,H677,LISTS!$C$2:$C$67,I677)=0,"✗ هرم",IF(NOT(OR(Z677="ممتاز 100%",Z677="جيد 80%",Z677="مقبول 60%",Z677="خطر 40%",Z677="")),"✗ قائمة R",IF(NOT(OR(AA677="ممتاز 100%",AA677="جيد 85%",AA677="مقبول 70%",AA677="ضعيف 50%",AA677="")),"✗ قائمة S",IF(NOT(OR(AB677="مكتمل 100%",AB677="جزئي 60%",AB677="معلق 30%",AB677="مفتوح 0%",AB677="")),"✗ قائمة T",IF(NOT(OR(AC677="لا خصم 0",AC677="تأخير −5",AC677="عجز −10",AC677="جودة −15",AC677="امتثال −20",AC677="مخالفة −25",AC677="")),"✗ قائمة U",IF(AND(X677="لا",AC677&lt;&gt;"",AC677&lt;&gt;"لا خصم 0"),"✗ خصم",IF(AND(X677="نعم",AC677="لا خصم 0"),"✗ خصم",IF(AND(Z677="ممتاز 100%",AA677="ممتاز 100%",AB677&lt;&gt;"",AB677&lt;&gt;"مكتمل 100%"),"✗ إغلاق",IFERROR(IF(LEN(_xlfn.TEXTJOIN("، ",TRUE,IF(E677="","التاريخ",""),IF(F677="","الوقت",""),IF(G677="","المركز",""),IF(H677="","الدائرة",""),IF(I677="","القسم",""),IF(J677="","المسؤول",""),IF(K677="","نوع النشاط",""),IF(L677="","المشروع",""),IF(N677="","الممول",""),IF(V677="","الموضوع",""),IF(W677="","الملاحظة",""),IF(X677="","مشكلة",""),IF(Y677="","الإجراء",""),IF(Z677="","التنفيذ",""),IF(AA677="","الجودة",""),IF(AB677="","الإغلاق",""),IF(AC677="","الخصم",""),IF(AND(COUNTA($O677:$U677)&gt;0,O677=""),"مدير المشروع",""),IF(AND(COUNTA($O677:$U677)&gt;0,P677=""),"المستفيدين",""),IF(AND(COUNTA($O677:$U677)&gt;0,Q677=""),"المناطق",""),IF(AND(COUNTA($O677:$U677)&gt;0,R677=""),"الميزانية",""),IF(AND(COUNTA($O677:$U677)&gt;0,S677=""),"نسبة الجاهزية",""),IF(AND(COUNTA($O677:$U677)&gt;0,T677=""),"حالة الجاهزية",""),IF(AND(COUNTA($O677:$U677)&gt;0,U677=""),"التوصيات","")))&gt;0,"✗ ناقص: "&amp;_xlfn.TEXTJOIN("، ",TRUE,IF(E677="","التاريخ",""),IF(F677="","الوقت",""),IF(G677="","المركز",""),IF(H677="","الدائرة",""),IF(I677="","القسم",""),IF(J677="","المسؤول",""),IF(K677="","نوع النشاط",""),IF(L677="","المشروع",""),IF(N677="","الممول",""),IF(V677="","الموضوع",""),IF(W677="","الملاحظة",""),IF(X677="","مشكلة",""),IF(Y677="","الإجراء",""),IF(Z677="","التنفيذ",""),IF(AA677="","الجودة",""),IF(AB677="","الإغلاق",""),IF(AC677="","الخصم",""),IF(AND(COUNTA($O677:$U677)&gt;0,O677=""),"مدير المشروع",""),IF(AND(COUNTA($O677:$U677)&gt;0,P677=""),"المستفيدين",""),IF(AND(COUNTA($O677:$U677)&gt;0,Q677=""),"المناطق",""),IF(AND(COUNTA($O677:$U677)&gt;0,R677=""),"الميزانية",""),IF(AND(COUNTA($O677:$U677)&gt;0,S677=""),"نسبة الجاهزية",""),IF(AND(COUNTA($O677:$U677)&gt;0,T677=""),"حالة الجاهزية",""),IF(AND(COUNTA($O677:$U677)&gt;0,U677=""),"التوصيات","")),"✓"),"✓"))))))))))</f>
        <v/>
      </c>
      <c r="E677" s="235"/>
      <c r="F677" s="236"/>
      <c r="G677" s="90"/>
      <c r="H677" s="239"/>
      <c r="I677" s="89"/>
      <c r="J677" s="142"/>
      <c r="K677" s="90"/>
      <c r="L677" s="90"/>
      <c r="M677" s="90"/>
      <c r="N677" s="89"/>
      <c r="O677" s="200"/>
      <c r="P677" s="201"/>
      <c r="Q677" s="201"/>
      <c r="R677" s="237"/>
      <c r="S677" s="202"/>
      <c r="T677" s="200"/>
      <c r="U677" s="203"/>
      <c r="V677" s="89"/>
      <c r="W677" s="89"/>
      <c r="X677" s="145"/>
      <c r="Y677" s="89"/>
      <c r="Z677" s="90"/>
      <c r="AA677" s="90"/>
      <c r="AB677" s="90"/>
      <c r="AC677" s="90"/>
      <c r="AD677" s="92"/>
      <c r="AE677" s="149" t="str">
        <f>IFERROR(VLOOKUP(Z677,LISTS!$AL$2:$AM$1000,2,FALSE()),"")</f>
        <v/>
      </c>
      <c r="AF677" s="151" t="str">
        <f>IFERROR(VLOOKUP(AA677,LISTS!$AO$2:$AP$1000,2,FALSE()),"")</f>
        <v/>
      </c>
      <c r="AG677" s="152" t="str">
        <f>IFERROR(VLOOKUP(AB677,LISTS!$AR$2:$AS$1000,2,FALSE()),"")</f>
        <v/>
      </c>
      <c r="AH677" s="154" t="str">
        <f>IFERROR(VLOOKUP(AC677,LISTS!$AU$2:$AV$1000,2,FALSE()),"")</f>
        <v/>
      </c>
      <c r="AI677" s="238" t="str">
        <f t="shared" si="53"/>
        <v>—</v>
      </c>
      <c r="AJ677" s="190" t="str">
        <f t="shared" si="54"/>
        <v>—</v>
      </c>
      <c r="AK677" s="157" t="str">
        <f t="shared" si="55"/>
        <v/>
      </c>
      <c r="AL677" s="160" t="str">
        <f t="shared" si="56"/>
        <v/>
      </c>
      <c r="AM677" s="210"/>
      <c r="AN677" s="209"/>
    </row>
    <row r="678" spans="1:40" ht="27.95" customHeight="1">
      <c r="A678" s="134" t="str">
        <f>IF(I678&lt;&gt;"",COUNTA($I$2:I678),"")</f>
        <v/>
      </c>
      <c r="B678" s="138" t="str">
        <f t="shared" si="57"/>
        <v/>
      </c>
      <c r="C678" s="93" t="str">
        <f t="array" ref="C678">IF(E678="","",IF(M678&lt;&gt;"",
M678&amp;"/"&amp;SUMPRODUCT((M$2:M678=M678)*1)&amp;" - "&amp;(ROW()-2),
"إداري/"&amp;SUMPRODUCT((M$2:M678="")*1)&amp;" - "&amp;(ROW()-2)))</f>
        <v/>
      </c>
      <c r="D678" s="141" t="str">
        <f>IF(AND(G678="",H678="",I678=""),"",IF(COUNTIFS(LISTS!$A$2:$A$67,G678,LISTS!$B$2:$B$67,H678,LISTS!$C$2:$C$67,I678)=0,"✗ هرم",IF(NOT(OR(Z678="ممتاز 100%",Z678="جيد 80%",Z678="مقبول 60%",Z678="خطر 40%",Z678="")),"✗ قائمة R",IF(NOT(OR(AA678="ممتاز 100%",AA678="جيد 85%",AA678="مقبول 70%",AA678="ضعيف 50%",AA678="")),"✗ قائمة S",IF(NOT(OR(AB678="مكتمل 100%",AB678="جزئي 60%",AB678="معلق 30%",AB678="مفتوح 0%",AB678="")),"✗ قائمة T",IF(NOT(OR(AC678="لا خصم 0",AC678="تأخير −5",AC678="عجز −10",AC678="جودة −15",AC678="امتثال −20",AC678="مخالفة −25",AC678="")),"✗ قائمة U",IF(AND(X678="لا",AC678&lt;&gt;"",AC678&lt;&gt;"لا خصم 0"),"✗ خصم",IF(AND(X678="نعم",AC678="لا خصم 0"),"✗ خصم",IF(AND(Z678="ممتاز 100%",AA678="ممتاز 100%",AB678&lt;&gt;"",AB678&lt;&gt;"مكتمل 100%"),"✗ إغلاق",IFERROR(IF(LEN(_xlfn.TEXTJOIN("، ",TRUE,IF(E678="","التاريخ",""),IF(F678="","الوقت",""),IF(G678="","المركز",""),IF(H678="","الدائرة",""),IF(I678="","القسم",""),IF(J678="","المسؤول",""),IF(K678="","نوع النشاط",""),IF(L678="","المشروع",""),IF(N678="","الممول",""),IF(V678="","الموضوع",""),IF(W678="","الملاحظة",""),IF(X678="","مشكلة",""),IF(Y678="","الإجراء",""),IF(Z678="","التنفيذ",""),IF(AA678="","الجودة",""),IF(AB678="","الإغلاق",""),IF(AC678="","الخصم",""),IF(AND(COUNTA($O678:$U678)&gt;0,O678=""),"مدير المشروع",""),IF(AND(COUNTA($O678:$U678)&gt;0,P678=""),"المستفيدين",""),IF(AND(COUNTA($O678:$U678)&gt;0,Q678=""),"المناطق",""),IF(AND(COUNTA($O678:$U678)&gt;0,R678=""),"الميزانية",""),IF(AND(COUNTA($O678:$U678)&gt;0,S678=""),"نسبة الجاهزية",""),IF(AND(COUNTA($O678:$U678)&gt;0,T678=""),"حالة الجاهزية",""),IF(AND(COUNTA($O678:$U678)&gt;0,U678=""),"التوصيات","")))&gt;0,"✗ ناقص: "&amp;_xlfn.TEXTJOIN("، ",TRUE,IF(E678="","التاريخ",""),IF(F678="","الوقت",""),IF(G678="","المركز",""),IF(H678="","الدائرة",""),IF(I678="","القسم",""),IF(J678="","المسؤول",""),IF(K678="","نوع النشاط",""),IF(L678="","المشروع",""),IF(N678="","الممول",""),IF(V678="","الموضوع",""),IF(W678="","الملاحظة",""),IF(X678="","مشكلة",""),IF(Y678="","الإجراء",""),IF(Z678="","التنفيذ",""),IF(AA678="","الجودة",""),IF(AB678="","الإغلاق",""),IF(AC678="","الخصم",""),IF(AND(COUNTA($O678:$U678)&gt;0,O678=""),"مدير المشروع",""),IF(AND(COUNTA($O678:$U678)&gt;0,P678=""),"المستفيدين",""),IF(AND(COUNTA($O678:$U678)&gt;0,Q678=""),"المناطق",""),IF(AND(COUNTA($O678:$U678)&gt;0,R678=""),"الميزانية",""),IF(AND(COUNTA($O678:$U678)&gt;0,S678=""),"نسبة الجاهزية",""),IF(AND(COUNTA($O678:$U678)&gt;0,T678=""),"حالة الجاهزية",""),IF(AND(COUNTA($O678:$U678)&gt;0,U678=""),"التوصيات","")),"✓"),"✓"))))))))))</f>
        <v/>
      </c>
      <c r="E678" s="235"/>
      <c r="F678" s="236"/>
      <c r="G678" s="90"/>
      <c r="H678" s="239"/>
      <c r="I678" s="89"/>
      <c r="J678" s="142"/>
      <c r="K678" s="90"/>
      <c r="L678" s="90"/>
      <c r="M678" s="90"/>
      <c r="N678" s="89"/>
      <c r="O678" s="200"/>
      <c r="P678" s="201"/>
      <c r="Q678" s="201"/>
      <c r="R678" s="237"/>
      <c r="S678" s="202"/>
      <c r="T678" s="200"/>
      <c r="U678" s="203"/>
      <c r="V678" s="89"/>
      <c r="W678" s="89"/>
      <c r="X678" s="145"/>
      <c r="Y678" s="89"/>
      <c r="Z678" s="90"/>
      <c r="AA678" s="90"/>
      <c r="AB678" s="90"/>
      <c r="AC678" s="90"/>
      <c r="AD678" s="92"/>
      <c r="AE678" s="149" t="str">
        <f>IFERROR(VLOOKUP(Z678,LISTS!$AL$2:$AM$1000,2,FALSE()),"")</f>
        <v/>
      </c>
      <c r="AF678" s="151" t="str">
        <f>IFERROR(VLOOKUP(AA678,LISTS!$AO$2:$AP$1000,2,FALSE()),"")</f>
        <v/>
      </c>
      <c r="AG678" s="152" t="str">
        <f>IFERROR(VLOOKUP(AB678,LISTS!$AR$2:$AS$1000,2,FALSE()),"")</f>
        <v/>
      </c>
      <c r="AH678" s="154" t="str">
        <f>IFERROR(VLOOKUP(AC678,LISTS!$AU$2:$AV$1000,2,FALSE()),"")</f>
        <v/>
      </c>
      <c r="AI678" s="238" t="str">
        <f t="shared" si="53"/>
        <v>—</v>
      </c>
      <c r="AJ678" s="190" t="str">
        <f t="shared" si="54"/>
        <v>—</v>
      </c>
      <c r="AK678" s="157" t="str">
        <f t="shared" si="55"/>
        <v/>
      </c>
      <c r="AL678" s="160" t="str">
        <f t="shared" si="56"/>
        <v/>
      </c>
      <c r="AM678" s="210"/>
      <c r="AN678" s="209"/>
    </row>
    <row r="679" spans="1:40" ht="27.95" customHeight="1">
      <c r="A679" s="134" t="str">
        <f>IF(I679&lt;&gt;"",COUNTA($I$2:I679),"")</f>
        <v/>
      </c>
      <c r="B679" s="138" t="str">
        <f t="shared" si="57"/>
        <v/>
      </c>
      <c r="C679" s="93" t="str">
        <f t="array" ref="C679">IF(E679="","",IF(M679&lt;&gt;"",
M679&amp;"/"&amp;SUMPRODUCT((M$2:M679=M679)*1)&amp;" - "&amp;(ROW()-2),
"إداري/"&amp;SUMPRODUCT((M$2:M679="")*1)&amp;" - "&amp;(ROW()-2)))</f>
        <v/>
      </c>
      <c r="D679" s="141" t="str">
        <f>IF(AND(G679="",H679="",I679=""),"",IF(COUNTIFS(LISTS!$A$2:$A$67,G679,LISTS!$B$2:$B$67,H679,LISTS!$C$2:$C$67,I679)=0,"✗ هرم",IF(NOT(OR(Z679="ممتاز 100%",Z679="جيد 80%",Z679="مقبول 60%",Z679="خطر 40%",Z679="")),"✗ قائمة R",IF(NOT(OR(AA679="ممتاز 100%",AA679="جيد 85%",AA679="مقبول 70%",AA679="ضعيف 50%",AA679="")),"✗ قائمة S",IF(NOT(OR(AB679="مكتمل 100%",AB679="جزئي 60%",AB679="معلق 30%",AB679="مفتوح 0%",AB679="")),"✗ قائمة T",IF(NOT(OR(AC679="لا خصم 0",AC679="تأخير −5",AC679="عجز −10",AC679="جودة −15",AC679="امتثال −20",AC679="مخالفة −25",AC679="")),"✗ قائمة U",IF(AND(X679="لا",AC679&lt;&gt;"",AC679&lt;&gt;"لا خصم 0"),"✗ خصم",IF(AND(X679="نعم",AC679="لا خصم 0"),"✗ خصم",IF(AND(Z679="ممتاز 100%",AA679="ممتاز 100%",AB679&lt;&gt;"",AB679&lt;&gt;"مكتمل 100%"),"✗ إغلاق",IFERROR(IF(LEN(_xlfn.TEXTJOIN("، ",TRUE,IF(E679="","التاريخ",""),IF(F679="","الوقت",""),IF(G679="","المركز",""),IF(H679="","الدائرة",""),IF(I679="","القسم",""),IF(J679="","المسؤول",""),IF(K679="","نوع النشاط",""),IF(L679="","المشروع",""),IF(N679="","الممول",""),IF(V679="","الموضوع",""),IF(W679="","الملاحظة",""),IF(X679="","مشكلة",""),IF(Y679="","الإجراء",""),IF(Z679="","التنفيذ",""),IF(AA679="","الجودة",""),IF(AB679="","الإغلاق",""),IF(AC679="","الخصم",""),IF(AND(COUNTA($O679:$U679)&gt;0,O679=""),"مدير المشروع",""),IF(AND(COUNTA($O679:$U679)&gt;0,P679=""),"المستفيدين",""),IF(AND(COUNTA($O679:$U679)&gt;0,Q679=""),"المناطق",""),IF(AND(COUNTA($O679:$U679)&gt;0,R679=""),"الميزانية",""),IF(AND(COUNTA($O679:$U679)&gt;0,S679=""),"نسبة الجاهزية",""),IF(AND(COUNTA($O679:$U679)&gt;0,T679=""),"حالة الجاهزية",""),IF(AND(COUNTA($O679:$U679)&gt;0,U679=""),"التوصيات","")))&gt;0,"✗ ناقص: "&amp;_xlfn.TEXTJOIN("، ",TRUE,IF(E679="","التاريخ",""),IF(F679="","الوقت",""),IF(G679="","المركز",""),IF(H679="","الدائرة",""),IF(I679="","القسم",""),IF(J679="","المسؤول",""),IF(K679="","نوع النشاط",""),IF(L679="","المشروع",""),IF(N679="","الممول",""),IF(V679="","الموضوع",""),IF(W679="","الملاحظة",""),IF(X679="","مشكلة",""),IF(Y679="","الإجراء",""),IF(Z679="","التنفيذ",""),IF(AA679="","الجودة",""),IF(AB679="","الإغلاق",""),IF(AC679="","الخصم",""),IF(AND(COUNTA($O679:$U679)&gt;0,O679=""),"مدير المشروع",""),IF(AND(COUNTA($O679:$U679)&gt;0,P679=""),"المستفيدين",""),IF(AND(COUNTA($O679:$U679)&gt;0,Q679=""),"المناطق",""),IF(AND(COUNTA($O679:$U679)&gt;0,R679=""),"الميزانية",""),IF(AND(COUNTA($O679:$U679)&gt;0,S679=""),"نسبة الجاهزية",""),IF(AND(COUNTA($O679:$U679)&gt;0,T679=""),"حالة الجاهزية",""),IF(AND(COUNTA($O679:$U679)&gt;0,U679=""),"التوصيات","")),"✓"),"✓"))))))))))</f>
        <v/>
      </c>
      <c r="E679" s="235"/>
      <c r="F679" s="236"/>
      <c r="G679" s="90"/>
      <c r="H679" s="239"/>
      <c r="I679" s="89"/>
      <c r="J679" s="142"/>
      <c r="K679" s="90"/>
      <c r="L679" s="90"/>
      <c r="M679" s="90"/>
      <c r="N679" s="89"/>
      <c r="O679" s="200"/>
      <c r="P679" s="201"/>
      <c r="Q679" s="201"/>
      <c r="R679" s="237"/>
      <c r="S679" s="202"/>
      <c r="T679" s="200"/>
      <c r="U679" s="203"/>
      <c r="V679" s="89"/>
      <c r="W679" s="89"/>
      <c r="X679" s="145"/>
      <c r="Y679" s="89"/>
      <c r="Z679" s="90"/>
      <c r="AA679" s="90"/>
      <c r="AB679" s="90"/>
      <c r="AC679" s="90"/>
      <c r="AD679" s="92"/>
      <c r="AE679" s="149" t="str">
        <f>IFERROR(VLOOKUP(Z679,LISTS!$AL$2:$AM$1000,2,FALSE()),"")</f>
        <v/>
      </c>
      <c r="AF679" s="151" t="str">
        <f>IFERROR(VLOOKUP(AA679,LISTS!$AO$2:$AP$1000,2,FALSE()),"")</f>
        <v/>
      </c>
      <c r="AG679" s="152" t="str">
        <f>IFERROR(VLOOKUP(AB679,LISTS!$AR$2:$AS$1000,2,FALSE()),"")</f>
        <v/>
      </c>
      <c r="AH679" s="154" t="str">
        <f>IFERROR(VLOOKUP(AC679,LISTS!$AU$2:$AV$1000,2,FALSE()),"")</f>
        <v/>
      </c>
      <c r="AI679" s="238" t="str">
        <f t="shared" si="53"/>
        <v>—</v>
      </c>
      <c r="AJ679" s="190" t="str">
        <f t="shared" si="54"/>
        <v>—</v>
      </c>
      <c r="AK679" s="157" t="str">
        <f t="shared" si="55"/>
        <v/>
      </c>
      <c r="AL679" s="160" t="str">
        <f t="shared" si="56"/>
        <v/>
      </c>
      <c r="AM679" s="210"/>
      <c r="AN679" s="209"/>
    </row>
    <row r="680" spans="1:40" ht="27.95" customHeight="1">
      <c r="A680" s="134" t="str">
        <f>IF(I680&lt;&gt;"",COUNTA($I$2:I680),"")</f>
        <v/>
      </c>
      <c r="B680" s="138" t="str">
        <f t="shared" si="57"/>
        <v/>
      </c>
      <c r="C680" s="93" t="str">
        <f t="array" ref="C680">IF(E680="","",IF(M680&lt;&gt;"",
M680&amp;"/"&amp;SUMPRODUCT((M$2:M680=M680)*1)&amp;" - "&amp;(ROW()-2),
"إداري/"&amp;SUMPRODUCT((M$2:M680="")*1)&amp;" - "&amp;(ROW()-2)))</f>
        <v/>
      </c>
      <c r="D680" s="141" t="str">
        <f>IF(AND(G680="",H680="",I680=""),"",IF(COUNTIFS(LISTS!$A$2:$A$67,G680,LISTS!$B$2:$B$67,H680,LISTS!$C$2:$C$67,I680)=0,"✗ هرم",IF(NOT(OR(Z680="ممتاز 100%",Z680="جيد 80%",Z680="مقبول 60%",Z680="خطر 40%",Z680="")),"✗ قائمة R",IF(NOT(OR(AA680="ممتاز 100%",AA680="جيد 85%",AA680="مقبول 70%",AA680="ضعيف 50%",AA680="")),"✗ قائمة S",IF(NOT(OR(AB680="مكتمل 100%",AB680="جزئي 60%",AB680="معلق 30%",AB680="مفتوح 0%",AB680="")),"✗ قائمة T",IF(NOT(OR(AC680="لا خصم 0",AC680="تأخير −5",AC680="عجز −10",AC680="جودة −15",AC680="امتثال −20",AC680="مخالفة −25",AC680="")),"✗ قائمة U",IF(AND(X680="لا",AC680&lt;&gt;"",AC680&lt;&gt;"لا خصم 0"),"✗ خصم",IF(AND(X680="نعم",AC680="لا خصم 0"),"✗ خصم",IF(AND(Z680="ممتاز 100%",AA680="ممتاز 100%",AB680&lt;&gt;"",AB680&lt;&gt;"مكتمل 100%"),"✗ إغلاق",IFERROR(IF(LEN(_xlfn.TEXTJOIN("، ",TRUE,IF(E680="","التاريخ",""),IF(F680="","الوقت",""),IF(G680="","المركز",""),IF(H680="","الدائرة",""),IF(I680="","القسم",""),IF(J680="","المسؤول",""),IF(K680="","نوع النشاط",""),IF(L680="","المشروع",""),IF(N680="","الممول",""),IF(V680="","الموضوع",""),IF(W680="","الملاحظة",""),IF(X680="","مشكلة",""),IF(Y680="","الإجراء",""),IF(Z680="","التنفيذ",""),IF(AA680="","الجودة",""),IF(AB680="","الإغلاق",""),IF(AC680="","الخصم",""),IF(AND(COUNTA($O680:$U680)&gt;0,O680=""),"مدير المشروع",""),IF(AND(COUNTA($O680:$U680)&gt;0,P680=""),"المستفيدين",""),IF(AND(COUNTA($O680:$U680)&gt;0,Q680=""),"المناطق",""),IF(AND(COUNTA($O680:$U680)&gt;0,R680=""),"الميزانية",""),IF(AND(COUNTA($O680:$U680)&gt;0,S680=""),"نسبة الجاهزية",""),IF(AND(COUNTA($O680:$U680)&gt;0,T680=""),"حالة الجاهزية",""),IF(AND(COUNTA($O680:$U680)&gt;0,U680=""),"التوصيات","")))&gt;0,"✗ ناقص: "&amp;_xlfn.TEXTJOIN("، ",TRUE,IF(E680="","التاريخ",""),IF(F680="","الوقت",""),IF(G680="","المركز",""),IF(H680="","الدائرة",""),IF(I680="","القسم",""),IF(J680="","المسؤول",""),IF(K680="","نوع النشاط",""),IF(L680="","المشروع",""),IF(N680="","الممول",""),IF(V680="","الموضوع",""),IF(W680="","الملاحظة",""),IF(X680="","مشكلة",""),IF(Y680="","الإجراء",""),IF(Z680="","التنفيذ",""),IF(AA680="","الجودة",""),IF(AB680="","الإغلاق",""),IF(AC680="","الخصم",""),IF(AND(COUNTA($O680:$U680)&gt;0,O680=""),"مدير المشروع",""),IF(AND(COUNTA($O680:$U680)&gt;0,P680=""),"المستفيدين",""),IF(AND(COUNTA($O680:$U680)&gt;0,Q680=""),"المناطق",""),IF(AND(COUNTA($O680:$U680)&gt;0,R680=""),"الميزانية",""),IF(AND(COUNTA($O680:$U680)&gt;0,S680=""),"نسبة الجاهزية",""),IF(AND(COUNTA($O680:$U680)&gt;0,T680=""),"حالة الجاهزية",""),IF(AND(COUNTA($O680:$U680)&gt;0,U680=""),"التوصيات","")),"✓"),"✓"))))))))))</f>
        <v/>
      </c>
      <c r="E680" s="235"/>
      <c r="F680" s="236"/>
      <c r="G680" s="90"/>
      <c r="H680" s="239"/>
      <c r="I680" s="89"/>
      <c r="J680" s="142"/>
      <c r="K680" s="90"/>
      <c r="L680" s="90"/>
      <c r="M680" s="90"/>
      <c r="N680" s="89"/>
      <c r="O680" s="200"/>
      <c r="P680" s="201"/>
      <c r="Q680" s="201"/>
      <c r="R680" s="237"/>
      <c r="S680" s="202"/>
      <c r="T680" s="200"/>
      <c r="U680" s="203"/>
      <c r="V680" s="89"/>
      <c r="W680" s="89"/>
      <c r="X680" s="145"/>
      <c r="Y680" s="89"/>
      <c r="Z680" s="90"/>
      <c r="AA680" s="90"/>
      <c r="AB680" s="90"/>
      <c r="AC680" s="90"/>
      <c r="AD680" s="92"/>
      <c r="AE680" s="149" t="str">
        <f>IFERROR(VLOOKUP(Z680,LISTS!$AL$2:$AM$1000,2,FALSE()),"")</f>
        <v/>
      </c>
      <c r="AF680" s="151" t="str">
        <f>IFERROR(VLOOKUP(AA680,LISTS!$AO$2:$AP$1000,2,FALSE()),"")</f>
        <v/>
      </c>
      <c r="AG680" s="152" t="str">
        <f>IFERROR(VLOOKUP(AB680,LISTS!$AR$2:$AS$1000,2,FALSE()),"")</f>
        <v/>
      </c>
      <c r="AH680" s="154" t="str">
        <f>IFERROR(VLOOKUP(AC680,LISTS!$AU$2:$AV$1000,2,FALSE()),"")</f>
        <v/>
      </c>
      <c r="AI680" s="238" t="str">
        <f t="shared" si="53"/>
        <v>—</v>
      </c>
      <c r="AJ680" s="190" t="str">
        <f t="shared" si="54"/>
        <v>—</v>
      </c>
      <c r="AK680" s="157" t="str">
        <f t="shared" si="55"/>
        <v/>
      </c>
      <c r="AL680" s="160" t="str">
        <f t="shared" si="56"/>
        <v/>
      </c>
      <c r="AM680" s="210"/>
      <c r="AN680" s="209"/>
    </row>
    <row r="681" spans="1:40" ht="27.95" customHeight="1">
      <c r="A681" s="134" t="str">
        <f>IF(I681&lt;&gt;"",COUNTA($I$2:I681),"")</f>
        <v/>
      </c>
      <c r="B681" s="138" t="str">
        <f t="shared" si="57"/>
        <v/>
      </c>
      <c r="C681" s="93" t="str">
        <f t="array" ref="C681">IF(E681="","",IF(M681&lt;&gt;"",
M681&amp;"/"&amp;SUMPRODUCT((M$2:M681=M681)*1)&amp;" - "&amp;(ROW()-2),
"إداري/"&amp;SUMPRODUCT((M$2:M681="")*1)&amp;" - "&amp;(ROW()-2)))</f>
        <v/>
      </c>
      <c r="D681" s="141" t="str">
        <f>IF(AND(G681="",H681="",I681=""),"",IF(COUNTIFS(LISTS!$A$2:$A$67,G681,LISTS!$B$2:$B$67,H681,LISTS!$C$2:$C$67,I681)=0,"✗ هرم",IF(NOT(OR(Z681="ممتاز 100%",Z681="جيد 80%",Z681="مقبول 60%",Z681="خطر 40%",Z681="")),"✗ قائمة R",IF(NOT(OR(AA681="ممتاز 100%",AA681="جيد 85%",AA681="مقبول 70%",AA681="ضعيف 50%",AA681="")),"✗ قائمة S",IF(NOT(OR(AB681="مكتمل 100%",AB681="جزئي 60%",AB681="معلق 30%",AB681="مفتوح 0%",AB681="")),"✗ قائمة T",IF(NOT(OR(AC681="لا خصم 0",AC681="تأخير −5",AC681="عجز −10",AC681="جودة −15",AC681="امتثال −20",AC681="مخالفة −25",AC681="")),"✗ قائمة U",IF(AND(X681="لا",AC681&lt;&gt;"",AC681&lt;&gt;"لا خصم 0"),"✗ خصم",IF(AND(X681="نعم",AC681="لا خصم 0"),"✗ خصم",IF(AND(Z681="ممتاز 100%",AA681="ممتاز 100%",AB681&lt;&gt;"",AB681&lt;&gt;"مكتمل 100%"),"✗ إغلاق",IFERROR(IF(LEN(_xlfn.TEXTJOIN("، ",TRUE,IF(E681="","التاريخ",""),IF(F681="","الوقت",""),IF(G681="","المركز",""),IF(H681="","الدائرة",""),IF(I681="","القسم",""),IF(J681="","المسؤول",""),IF(K681="","نوع النشاط",""),IF(L681="","المشروع",""),IF(N681="","الممول",""),IF(V681="","الموضوع",""),IF(W681="","الملاحظة",""),IF(X681="","مشكلة",""),IF(Y681="","الإجراء",""),IF(Z681="","التنفيذ",""),IF(AA681="","الجودة",""),IF(AB681="","الإغلاق",""),IF(AC681="","الخصم",""),IF(AND(COUNTA($O681:$U681)&gt;0,O681=""),"مدير المشروع",""),IF(AND(COUNTA($O681:$U681)&gt;0,P681=""),"المستفيدين",""),IF(AND(COUNTA($O681:$U681)&gt;0,Q681=""),"المناطق",""),IF(AND(COUNTA($O681:$U681)&gt;0,R681=""),"الميزانية",""),IF(AND(COUNTA($O681:$U681)&gt;0,S681=""),"نسبة الجاهزية",""),IF(AND(COUNTA($O681:$U681)&gt;0,T681=""),"حالة الجاهزية",""),IF(AND(COUNTA($O681:$U681)&gt;0,U681=""),"التوصيات","")))&gt;0,"✗ ناقص: "&amp;_xlfn.TEXTJOIN("، ",TRUE,IF(E681="","التاريخ",""),IF(F681="","الوقت",""),IF(G681="","المركز",""),IF(H681="","الدائرة",""),IF(I681="","القسم",""),IF(J681="","المسؤول",""),IF(K681="","نوع النشاط",""),IF(L681="","المشروع",""),IF(N681="","الممول",""),IF(V681="","الموضوع",""),IF(W681="","الملاحظة",""),IF(X681="","مشكلة",""),IF(Y681="","الإجراء",""),IF(Z681="","التنفيذ",""),IF(AA681="","الجودة",""),IF(AB681="","الإغلاق",""),IF(AC681="","الخصم",""),IF(AND(COUNTA($O681:$U681)&gt;0,O681=""),"مدير المشروع",""),IF(AND(COUNTA($O681:$U681)&gt;0,P681=""),"المستفيدين",""),IF(AND(COUNTA($O681:$U681)&gt;0,Q681=""),"المناطق",""),IF(AND(COUNTA($O681:$U681)&gt;0,R681=""),"الميزانية",""),IF(AND(COUNTA($O681:$U681)&gt;0,S681=""),"نسبة الجاهزية",""),IF(AND(COUNTA($O681:$U681)&gt;0,T681=""),"حالة الجاهزية",""),IF(AND(COUNTA($O681:$U681)&gt;0,U681=""),"التوصيات","")),"✓"),"✓"))))))))))</f>
        <v/>
      </c>
      <c r="E681" s="235"/>
      <c r="F681" s="236"/>
      <c r="G681" s="90"/>
      <c r="H681" s="239"/>
      <c r="I681" s="89"/>
      <c r="J681" s="142"/>
      <c r="K681" s="90"/>
      <c r="L681" s="90"/>
      <c r="M681" s="90"/>
      <c r="N681" s="89"/>
      <c r="O681" s="200"/>
      <c r="P681" s="201"/>
      <c r="Q681" s="201"/>
      <c r="R681" s="237"/>
      <c r="S681" s="202"/>
      <c r="T681" s="200"/>
      <c r="U681" s="203"/>
      <c r="V681" s="89"/>
      <c r="W681" s="89"/>
      <c r="X681" s="145"/>
      <c r="Y681" s="89"/>
      <c r="Z681" s="90"/>
      <c r="AA681" s="90"/>
      <c r="AB681" s="90"/>
      <c r="AC681" s="90"/>
      <c r="AD681" s="92"/>
      <c r="AE681" s="149" t="str">
        <f>IFERROR(VLOOKUP(Z681,LISTS!$AL$2:$AM$1000,2,FALSE()),"")</f>
        <v/>
      </c>
      <c r="AF681" s="151" t="str">
        <f>IFERROR(VLOOKUP(AA681,LISTS!$AO$2:$AP$1000,2,FALSE()),"")</f>
        <v/>
      </c>
      <c r="AG681" s="152" t="str">
        <f>IFERROR(VLOOKUP(AB681,LISTS!$AR$2:$AS$1000,2,FALSE()),"")</f>
        <v/>
      </c>
      <c r="AH681" s="154" t="str">
        <f>IFERROR(VLOOKUP(AC681,LISTS!$AU$2:$AV$1000,2,FALSE()),"")</f>
        <v/>
      </c>
      <c r="AI681" s="238" t="str">
        <f t="shared" si="53"/>
        <v>—</v>
      </c>
      <c r="AJ681" s="190" t="str">
        <f t="shared" si="54"/>
        <v>—</v>
      </c>
      <c r="AK681" s="157" t="str">
        <f t="shared" si="55"/>
        <v/>
      </c>
      <c r="AL681" s="160" t="str">
        <f t="shared" si="56"/>
        <v/>
      </c>
      <c r="AM681" s="210"/>
      <c r="AN681" s="209"/>
    </row>
    <row r="682" spans="1:40" ht="27.95" customHeight="1">
      <c r="A682" s="134" t="str">
        <f>IF(I682&lt;&gt;"",COUNTA($I$2:I682),"")</f>
        <v/>
      </c>
      <c r="B682" s="138" t="str">
        <f t="shared" si="57"/>
        <v/>
      </c>
      <c r="C682" s="93" t="str">
        <f t="array" ref="C682">IF(E682="","",IF(M682&lt;&gt;"",
M682&amp;"/"&amp;SUMPRODUCT((M$2:M682=M682)*1)&amp;" - "&amp;(ROW()-2),
"إداري/"&amp;SUMPRODUCT((M$2:M682="")*1)&amp;" - "&amp;(ROW()-2)))</f>
        <v/>
      </c>
      <c r="D682" s="141" t="str">
        <f>IF(AND(G682="",H682="",I682=""),"",IF(COUNTIFS(LISTS!$A$2:$A$67,G682,LISTS!$B$2:$B$67,H682,LISTS!$C$2:$C$67,I682)=0,"✗ هرم",IF(NOT(OR(Z682="ممتاز 100%",Z682="جيد 80%",Z682="مقبول 60%",Z682="خطر 40%",Z682="")),"✗ قائمة R",IF(NOT(OR(AA682="ممتاز 100%",AA682="جيد 85%",AA682="مقبول 70%",AA682="ضعيف 50%",AA682="")),"✗ قائمة S",IF(NOT(OR(AB682="مكتمل 100%",AB682="جزئي 60%",AB682="معلق 30%",AB682="مفتوح 0%",AB682="")),"✗ قائمة T",IF(NOT(OR(AC682="لا خصم 0",AC682="تأخير −5",AC682="عجز −10",AC682="جودة −15",AC682="امتثال −20",AC682="مخالفة −25",AC682="")),"✗ قائمة U",IF(AND(X682="لا",AC682&lt;&gt;"",AC682&lt;&gt;"لا خصم 0"),"✗ خصم",IF(AND(X682="نعم",AC682="لا خصم 0"),"✗ خصم",IF(AND(Z682="ممتاز 100%",AA682="ممتاز 100%",AB682&lt;&gt;"",AB682&lt;&gt;"مكتمل 100%"),"✗ إغلاق",IFERROR(IF(LEN(_xlfn.TEXTJOIN("، ",TRUE,IF(E682="","التاريخ",""),IF(F682="","الوقت",""),IF(G682="","المركز",""),IF(H682="","الدائرة",""),IF(I682="","القسم",""),IF(J682="","المسؤول",""),IF(K682="","نوع النشاط",""),IF(L682="","المشروع",""),IF(N682="","الممول",""),IF(V682="","الموضوع",""),IF(W682="","الملاحظة",""),IF(X682="","مشكلة",""),IF(Y682="","الإجراء",""),IF(Z682="","التنفيذ",""),IF(AA682="","الجودة",""),IF(AB682="","الإغلاق",""),IF(AC682="","الخصم",""),IF(AND(COUNTA($O682:$U682)&gt;0,O682=""),"مدير المشروع",""),IF(AND(COUNTA($O682:$U682)&gt;0,P682=""),"المستفيدين",""),IF(AND(COUNTA($O682:$U682)&gt;0,Q682=""),"المناطق",""),IF(AND(COUNTA($O682:$U682)&gt;0,R682=""),"الميزانية",""),IF(AND(COUNTA($O682:$U682)&gt;0,S682=""),"نسبة الجاهزية",""),IF(AND(COUNTA($O682:$U682)&gt;0,T682=""),"حالة الجاهزية",""),IF(AND(COUNTA($O682:$U682)&gt;0,U682=""),"التوصيات","")))&gt;0,"✗ ناقص: "&amp;_xlfn.TEXTJOIN("، ",TRUE,IF(E682="","التاريخ",""),IF(F682="","الوقت",""),IF(G682="","المركز",""),IF(H682="","الدائرة",""),IF(I682="","القسم",""),IF(J682="","المسؤول",""),IF(K682="","نوع النشاط",""),IF(L682="","المشروع",""),IF(N682="","الممول",""),IF(V682="","الموضوع",""),IF(W682="","الملاحظة",""),IF(X682="","مشكلة",""),IF(Y682="","الإجراء",""),IF(Z682="","التنفيذ",""),IF(AA682="","الجودة",""),IF(AB682="","الإغلاق",""),IF(AC682="","الخصم",""),IF(AND(COUNTA($O682:$U682)&gt;0,O682=""),"مدير المشروع",""),IF(AND(COUNTA($O682:$U682)&gt;0,P682=""),"المستفيدين",""),IF(AND(COUNTA($O682:$U682)&gt;0,Q682=""),"المناطق",""),IF(AND(COUNTA($O682:$U682)&gt;0,R682=""),"الميزانية",""),IF(AND(COUNTA($O682:$U682)&gt;0,S682=""),"نسبة الجاهزية",""),IF(AND(COUNTA($O682:$U682)&gt;0,T682=""),"حالة الجاهزية",""),IF(AND(COUNTA($O682:$U682)&gt;0,U682=""),"التوصيات","")),"✓"),"✓"))))))))))</f>
        <v/>
      </c>
      <c r="E682" s="235"/>
      <c r="F682" s="236"/>
      <c r="G682" s="90"/>
      <c r="H682" s="239"/>
      <c r="I682" s="89"/>
      <c r="J682" s="142"/>
      <c r="K682" s="90"/>
      <c r="L682" s="90"/>
      <c r="M682" s="90"/>
      <c r="N682" s="89"/>
      <c r="O682" s="200"/>
      <c r="P682" s="201"/>
      <c r="Q682" s="201"/>
      <c r="R682" s="237"/>
      <c r="S682" s="202"/>
      <c r="T682" s="200"/>
      <c r="U682" s="203"/>
      <c r="V682" s="89"/>
      <c r="W682" s="89"/>
      <c r="X682" s="145"/>
      <c r="Y682" s="89"/>
      <c r="Z682" s="90"/>
      <c r="AA682" s="90"/>
      <c r="AB682" s="90"/>
      <c r="AC682" s="90"/>
      <c r="AD682" s="92"/>
      <c r="AE682" s="149" t="str">
        <f>IFERROR(VLOOKUP(Z682,LISTS!$AL$2:$AM$1000,2,FALSE()),"")</f>
        <v/>
      </c>
      <c r="AF682" s="151" t="str">
        <f>IFERROR(VLOOKUP(AA682,LISTS!$AO$2:$AP$1000,2,FALSE()),"")</f>
        <v/>
      </c>
      <c r="AG682" s="152" t="str">
        <f>IFERROR(VLOOKUP(AB682,LISTS!$AR$2:$AS$1000,2,FALSE()),"")</f>
        <v/>
      </c>
      <c r="AH682" s="154" t="str">
        <f>IFERROR(VLOOKUP(AC682,LISTS!$AU$2:$AV$1000,2,FALSE()),"")</f>
        <v/>
      </c>
      <c r="AI682" s="238" t="str">
        <f t="shared" si="53"/>
        <v>—</v>
      </c>
      <c r="AJ682" s="190" t="str">
        <f t="shared" si="54"/>
        <v>—</v>
      </c>
      <c r="AK682" s="157" t="str">
        <f t="shared" si="55"/>
        <v/>
      </c>
      <c r="AL682" s="160" t="str">
        <f t="shared" si="56"/>
        <v/>
      </c>
      <c r="AM682" s="210"/>
      <c r="AN682" s="209"/>
    </row>
    <row r="683" spans="1:40" ht="27.95" customHeight="1">
      <c r="A683" s="134" t="str">
        <f>IF(I683&lt;&gt;"",COUNTA($I$2:I683),"")</f>
        <v/>
      </c>
      <c r="B683" s="138" t="str">
        <f t="shared" si="57"/>
        <v/>
      </c>
      <c r="C683" s="93" t="str">
        <f t="array" ref="C683">IF(E683="","",IF(M683&lt;&gt;"",
M683&amp;"/"&amp;SUMPRODUCT((M$2:M683=M683)*1)&amp;" - "&amp;(ROW()-2),
"إداري/"&amp;SUMPRODUCT((M$2:M683="")*1)&amp;" - "&amp;(ROW()-2)))</f>
        <v/>
      </c>
      <c r="D683" s="141" t="str">
        <f>IF(AND(G683="",H683="",I683=""),"",IF(COUNTIFS(LISTS!$A$2:$A$67,G683,LISTS!$B$2:$B$67,H683,LISTS!$C$2:$C$67,I683)=0,"✗ هرم",IF(NOT(OR(Z683="ممتاز 100%",Z683="جيد 80%",Z683="مقبول 60%",Z683="خطر 40%",Z683="")),"✗ قائمة R",IF(NOT(OR(AA683="ممتاز 100%",AA683="جيد 85%",AA683="مقبول 70%",AA683="ضعيف 50%",AA683="")),"✗ قائمة S",IF(NOT(OR(AB683="مكتمل 100%",AB683="جزئي 60%",AB683="معلق 30%",AB683="مفتوح 0%",AB683="")),"✗ قائمة T",IF(NOT(OR(AC683="لا خصم 0",AC683="تأخير −5",AC683="عجز −10",AC683="جودة −15",AC683="امتثال −20",AC683="مخالفة −25",AC683="")),"✗ قائمة U",IF(AND(X683="لا",AC683&lt;&gt;"",AC683&lt;&gt;"لا خصم 0"),"✗ خصم",IF(AND(X683="نعم",AC683="لا خصم 0"),"✗ خصم",IF(AND(Z683="ممتاز 100%",AA683="ممتاز 100%",AB683&lt;&gt;"",AB683&lt;&gt;"مكتمل 100%"),"✗ إغلاق",IFERROR(IF(LEN(_xlfn.TEXTJOIN("، ",TRUE,IF(E683="","التاريخ",""),IF(F683="","الوقت",""),IF(G683="","المركز",""),IF(H683="","الدائرة",""),IF(I683="","القسم",""),IF(J683="","المسؤول",""),IF(K683="","نوع النشاط",""),IF(L683="","المشروع",""),IF(N683="","الممول",""),IF(V683="","الموضوع",""),IF(W683="","الملاحظة",""),IF(X683="","مشكلة",""),IF(Y683="","الإجراء",""),IF(Z683="","التنفيذ",""),IF(AA683="","الجودة",""),IF(AB683="","الإغلاق",""),IF(AC683="","الخصم",""),IF(AND(COUNTA($O683:$U683)&gt;0,O683=""),"مدير المشروع",""),IF(AND(COUNTA($O683:$U683)&gt;0,P683=""),"المستفيدين",""),IF(AND(COUNTA($O683:$U683)&gt;0,Q683=""),"المناطق",""),IF(AND(COUNTA($O683:$U683)&gt;0,R683=""),"الميزانية",""),IF(AND(COUNTA($O683:$U683)&gt;0,S683=""),"نسبة الجاهزية",""),IF(AND(COUNTA($O683:$U683)&gt;0,T683=""),"حالة الجاهزية",""),IF(AND(COUNTA($O683:$U683)&gt;0,U683=""),"التوصيات","")))&gt;0,"✗ ناقص: "&amp;_xlfn.TEXTJOIN("، ",TRUE,IF(E683="","التاريخ",""),IF(F683="","الوقت",""),IF(G683="","المركز",""),IF(H683="","الدائرة",""),IF(I683="","القسم",""),IF(J683="","المسؤول",""),IF(K683="","نوع النشاط",""),IF(L683="","المشروع",""),IF(N683="","الممول",""),IF(V683="","الموضوع",""),IF(W683="","الملاحظة",""),IF(X683="","مشكلة",""),IF(Y683="","الإجراء",""),IF(Z683="","التنفيذ",""),IF(AA683="","الجودة",""),IF(AB683="","الإغلاق",""),IF(AC683="","الخصم",""),IF(AND(COUNTA($O683:$U683)&gt;0,O683=""),"مدير المشروع",""),IF(AND(COUNTA($O683:$U683)&gt;0,P683=""),"المستفيدين",""),IF(AND(COUNTA($O683:$U683)&gt;0,Q683=""),"المناطق",""),IF(AND(COUNTA($O683:$U683)&gt;0,R683=""),"الميزانية",""),IF(AND(COUNTA($O683:$U683)&gt;0,S683=""),"نسبة الجاهزية",""),IF(AND(COUNTA($O683:$U683)&gt;0,T683=""),"حالة الجاهزية",""),IF(AND(COUNTA($O683:$U683)&gt;0,U683=""),"التوصيات","")),"✓"),"✓"))))))))))</f>
        <v/>
      </c>
      <c r="E683" s="235"/>
      <c r="F683" s="236"/>
      <c r="G683" s="90"/>
      <c r="H683" s="239"/>
      <c r="I683" s="89"/>
      <c r="J683" s="142"/>
      <c r="K683" s="90"/>
      <c r="L683" s="90"/>
      <c r="M683" s="90"/>
      <c r="N683" s="89"/>
      <c r="O683" s="200"/>
      <c r="P683" s="201"/>
      <c r="Q683" s="201"/>
      <c r="R683" s="237"/>
      <c r="S683" s="202"/>
      <c r="T683" s="200"/>
      <c r="U683" s="203"/>
      <c r="V683" s="89"/>
      <c r="W683" s="89"/>
      <c r="X683" s="145"/>
      <c r="Y683" s="89"/>
      <c r="Z683" s="90"/>
      <c r="AA683" s="90"/>
      <c r="AB683" s="90"/>
      <c r="AC683" s="90"/>
      <c r="AD683" s="92"/>
      <c r="AE683" s="149" t="str">
        <f>IFERROR(VLOOKUP(Z683,LISTS!$AL$2:$AM$1000,2,FALSE()),"")</f>
        <v/>
      </c>
      <c r="AF683" s="151" t="str">
        <f>IFERROR(VLOOKUP(AA683,LISTS!$AO$2:$AP$1000,2,FALSE()),"")</f>
        <v/>
      </c>
      <c r="AG683" s="152" t="str">
        <f>IFERROR(VLOOKUP(AB683,LISTS!$AR$2:$AS$1000,2,FALSE()),"")</f>
        <v/>
      </c>
      <c r="AH683" s="154" t="str">
        <f>IFERROR(VLOOKUP(AC683,LISTS!$AU$2:$AV$1000,2,FALSE()),"")</f>
        <v/>
      </c>
      <c r="AI683" s="238" t="str">
        <f t="shared" si="53"/>
        <v>—</v>
      </c>
      <c r="AJ683" s="190" t="str">
        <f t="shared" si="54"/>
        <v>—</v>
      </c>
      <c r="AK683" s="157" t="str">
        <f t="shared" si="55"/>
        <v/>
      </c>
      <c r="AL683" s="160" t="str">
        <f t="shared" si="56"/>
        <v/>
      </c>
      <c r="AM683" s="210"/>
      <c r="AN683" s="209"/>
    </row>
    <row r="684" spans="1:40" ht="27.95" customHeight="1">
      <c r="A684" s="134" t="str">
        <f>IF(I684&lt;&gt;"",COUNTA($I$2:I684),"")</f>
        <v/>
      </c>
      <c r="B684" s="138" t="str">
        <f t="shared" si="57"/>
        <v/>
      </c>
      <c r="C684" s="93" t="str">
        <f t="array" ref="C684">IF(E684="","",IF(M684&lt;&gt;"",
M684&amp;"/"&amp;SUMPRODUCT((M$2:M684=M684)*1)&amp;" - "&amp;(ROW()-2),
"إداري/"&amp;SUMPRODUCT((M$2:M684="")*1)&amp;" - "&amp;(ROW()-2)))</f>
        <v/>
      </c>
      <c r="D684" s="141" t="str">
        <f>IF(AND(G684="",H684="",I684=""),"",IF(COUNTIFS(LISTS!$A$2:$A$67,G684,LISTS!$B$2:$B$67,H684,LISTS!$C$2:$C$67,I684)=0,"✗ هرم",IF(NOT(OR(Z684="ممتاز 100%",Z684="جيد 80%",Z684="مقبول 60%",Z684="خطر 40%",Z684="")),"✗ قائمة R",IF(NOT(OR(AA684="ممتاز 100%",AA684="جيد 85%",AA684="مقبول 70%",AA684="ضعيف 50%",AA684="")),"✗ قائمة S",IF(NOT(OR(AB684="مكتمل 100%",AB684="جزئي 60%",AB684="معلق 30%",AB684="مفتوح 0%",AB684="")),"✗ قائمة T",IF(NOT(OR(AC684="لا خصم 0",AC684="تأخير −5",AC684="عجز −10",AC684="جودة −15",AC684="امتثال −20",AC684="مخالفة −25",AC684="")),"✗ قائمة U",IF(AND(X684="لا",AC684&lt;&gt;"",AC684&lt;&gt;"لا خصم 0"),"✗ خصم",IF(AND(X684="نعم",AC684="لا خصم 0"),"✗ خصم",IF(AND(Z684="ممتاز 100%",AA684="ممتاز 100%",AB684&lt;&gt;"",AB684&lt;&gt;"مكتمل 100%"),"✗ إغلاق",IFERROR(IF(LEN(_xlfn.TEXTJOIN("، ",TRUE,IF(E684="","التاريخ",""),IF(F684="","الوقت",""),IF(G684="","المركز",""),IF(H684="","الدائرة",""),IF(I684="","القسم",""),IF(J684="","المسؤول",""),IF(K684="","نوع النشاط",""),IF(L684="","المشروع",""),IF(N684="","الممول",""),IF(V684="","الموضوع",""),IF(W684="","الملاحظة",""),IF(X684="","مشكلة",""),IF(Y684="","الإجراء",""),IF(Z684="","التنفيذ",""),IF(AA684="","الجودة",""),IF(AB684="","الإغلاق",""),IF(AC684="","الخصم",""),IF(AND(COUNTA($O684:$U684)&gt;0,O684=""),"مدير المشروع",""),IF(AND(COUNTA($O684:$U684)&gt;0,P684=""),"المستفيدين",""),IF(AND(COUNTA($O684:$U684)&gt;0,Q684=""),"المناطق",""),IF(AND(COUNTA($O684:$U684)&gt;0,R684=""),"الميزانية",""),IF(AND(COUNTA($O684:$U684)&gt;0,S684=""),"نسبة الجاهزية",""),IF(AND(COUNTA($O684:$U684)&gt;0,T684=""),"حالة الجاهزية",""),IF(AND(COUNTA($O684:$U684)&gt;0,U684=""),"التوصيات","")))&gt;0,"✗ ناقص: "&amp;_xlfn.TEXTJOIN("، ",TRUE,IF(E684="","التاريخ",""),IF(F684="","الوقت",""),IF(G684="","المركز",""),IF(H684="","الدائرة",""),IF(I684="","القسم",""),IF(J684="","المسؤول",""),IF(K684="","نوع النشاط",""),IF(L684="","المشروع",""),IF(N684="","الممول",""),IF(V684="","الموضوع",""),IF(W684="","الملاحظة",""),IF(X684="","مشكلة",""),IF(Y684="","الإجراء",""),IF(Z684="","التنفيذ",""),IF(AA684="","الجودة",""),IF(AB684="","الإغلاق",""),IF(AC684="","الخصم",""),IF(AND(COUNTA($O684:$U684)&gt;0,O684=""),"مدير المشروع",""),IF(AND(COUNTA($O684:$U684)&gt;0,P684=""),"المستفيدين",""),IF(AND(COUNTA($O684:$U684)&gt;0,Q684=""),"المناطق",""),IF(AND(COUNTA($O684:$U684)&gt;0,R684=""),"الميزانية",""),IF(AND(COUNTA($O684:$U684)&gt;0,S684=""),"نسبة الجاهزية",""),IF(AND(COUNTA($O684:$U684)&gt;0,T684=""),"حالة الجاهزية",""),IF(AND(COUNTA($O684:$U684)&gt;0,U684=""),"التوصيات","")),"✓"),"✓"))))))))))</f>
        <v/>
      </c>
      <c r="E684" s="235"/>
      <c r="F684" s="236"/>
      <c r="G684" s="90"/>
      <c r="H684" s="239"/>
      <c r="I684" s="89"/>
      <c r="J684" s="142"/>
      <c r="K684" s="90"/>
      <c r="L684" s="90"/>
      <c r="M684" s="90"/>
      <c r="N684" s="89"/>
      <c r="O684" s="200"/>
      <c r="P684" s="201"/>
      <c r="Q684" s="201"/>
      <c r="R684" s="237"/>
      <c r="S684" s="202"/>
      <c r="T684" s="200"/>
      <c r="U684" s="203"/>
      <c r="V684" s="89"/>
      <c r="W684" s="89"/>
      <c r="X684" s="145"/>
      <c r="Y684" s="89"/>
      <c r="Z684" s="90"/>
      <c r="AA684" s="90"/>
      <c r="AB684" s="90"/>
      <c r="AC684" s="90"/>
      <c r="AD684" s="92"/>
      <c r="AE684" s="149" t="str">
        <f>IFERROR(VLOOKUP(Z684,LISTS!$AL$2:$AM$1000,2,FALSE()),"")</f>
        <v/>
      </c>
      <c r="AF684" s="151" t="str">
        <f>IFERROR(VLOOKUP(AA684,LISTS!$AO$2:$AP$1000,2,FALSE()),"")</f>
        <v/>
      </c>
      <c r="AG684" s="152" t="str">
        <f>IFERROR(VLOOKUP(AB684,LISTS!$AR$2:$AS$1000,2,FALSE()),"")</f>
        <v/>
      </c>
      <c r="AH684" s="154" t="str">
        <f>IFERROR(VLOOKUP(AC684,LISTS!$AU$2:$AV$1000,2,FALSE()),"")</f>
        <v/>
      </c>
      <c r="AI684" s="238" t="str">
        <f t="shared" si="53"/>
        <v>—</v>
      </c>
      <c r="AJ684" s="190" t="str">
        <f t="shared" si="54"/>
        <v>—</v>
      </c>
      <c r="AK684" s="157" t="str">
        <f t="shared" si="55"/>
        <v/>
      </c>
      <c r="AL684" s="160" t="str">
        <f t="shared" si="56"/>
        <v/>
      </c>
      <c r="AM684" s="210"/>
      <c r="AN684" s="209"/>
    </row>
    <row r="685" spans="1:40" ht="27.95" customHeight="1">
      <c r="A685" s="134" t="str">
        <f>IF(I685&lt;&gt;"",COUNTA($I$2:I685),"")</f>
        <v/>
      </c>
      <c r="B685" s="138" t="str">
        <f t="shared" si="57"/>
        <v/>
      </c>
      <c r="C685" s="93" t="str">
        <f t="array" ref="C685">IF(E685="","",IF(M685&lt;&gt;"",
M685&amp;"/"&amp;SUMPRODUCT((M$2:M685=M685)*1)&amp;" - "&amp;(ROW()-2),
"إداري/"&amp;SUMPRODUCT((M$2:M685="")*1)&amp;" - "&amp;(ROW()-2)))</f>
        <v/>
      </c>
      <c r="D685" s="141" t="str">
        <f>IF(AND(G685="",H685="",I685=""),"",IF(COUNTIFS(LISTS!$A$2:$A$67,G685,LISTS!$B$2:$B$67,H685,LISTS!$C$2:$C$67,I685)=0,"✗ هرم",IF(NOT(OR(Z685="ممتاز 100%",Z685="جيد 80%",Z685="مقبول 60%",Z685="خطر 40%",Z685="")),"✗ قائمة R",IF(NOT(OR(AA685="ممتاز 100%",AA685="جيد 85%",AA685="مقبول 70%",AA685="ضعيف 50%",AA685="")),"✗ قائمة S",IF(NOT(OR(AB685="مكتمل 100%",AB685="جزئي 60%",AB685="معلق 30%",AB685="مفتوح 0%",AB685="")),"✗ قائمة T",IF(NOT(OR(AC685="لا خصم 0",AC685="تأخير −5",AC685="عجز −10",AC685="جودة −15",AC685="امتثال −20",AC685="مخالفة −25",AC685="")),"✗ قائمة U",IF(AND(X685="لا",AC685&lt;&gt;"",AC685&lt;&gt;"لا خصم 0"),"✗ خصم",IF(AND(X685="نعم",AC685="لا خصم 0"),"✗ خصم",IF(AND(Z685="ممتاز 100%",AA685="ممتاز 100%",AB685&lt;&gt;"",AB685&lt;&gt;"مكتمل 100%"),"✗ إغلاق",IFERROR(IF(LEN(_xlfn.TEXTJOIN("، ",TRUE,IF(E685="","التاريخ",""),IF(F685="","الوقت",""),IF(G685="","المركز",""),IF(H685="","الدائرة",""),IF(I685="","القسم",""),IF(J685="","المسؤول",""),IF(K685="","نوع النشاط",""),IF(L685="","المشروع",""),IF(N685="","الممول",""),IF(V685="","الموضوع",""),IF(W685="","الملاحظة",""),IF(X685="","مشكلة",""),IF(Y685="","الإجراء",""),IF(Z685="","التنفيذ",""),IF(AA685="","الجودة",""),IF(AB685="","الإغلاق",""),IF(AC685="","الخصم",""),IF(AND(COUNTA($O685:$U685)&gt;0,O685=""),"مدير المشروع",""),IF(AND(COUNTA($O685:$U685)&gt;0,P685=""),"المستفيدين",""),IF(AND(COUNTA($O685:$U685)&gt;0,Q685=""),"المناطق",""),IF(AND(COUNTA($O685:$U685)&gt;0,R685=""),"الميزانية",""),IF(AND(COUNTA($O685:$U685)&gt;0,S685=""),"نسبة الجاهزية",""),IF(AND(COUNTA($O685:$U685)&gt;0,T685=""),"حالة الجاهزية",""),IF(AND(COUNTA($O685:$U685)&gt;0,U685=""),"التوصيات","")))&gt;0,"✗ ناقص: "&amp;_xlfn.TEXTJOIN("، ",TRUE,IF(E685="","التاريخ",""),IF(F685="","الوقت",""),IF(G685="","المركز",""),IF(H685="","الدائرة",""),IF(I685="","القسم",""),IF(J685="","المسؤول",""),IF(K685="","نوع النشاط",""),IF(L685="","المشروع",""),IF(N685="","الممول",""),IF(V685="","الموضوع",""),IF(W685="","الملاحظة",""),IF(X685="","مشكلة",""),IF(Y685="","الإجراء",""),IF(Z685="","التنفيذ",""),IF(AA685="","الجودة",""),IF(AB685="","الإغلاق",""),IF(AC685="","الخصم",""),IF(AND(COUNTA($O685:$U685)&gt;0,O685=""),"مدير المشروع",""),IF(AND(COUNTA($O685:$U685)&gt;0,P685=""),"المستفيدين",""),IF(AND(COUNTA($O685:$U685)&gt;0,Q685=""),"المناطق",""),IF(AND(COUNTA($O685:$U685)&gt;0,R685=""),"الميزانية",""),IF(AND(COUNTA($O685:$U685)&gt;0,S685=""),"نسبة الجاهزية",""),IF(AND(COUNTA($O685:$U685)&gt;0,T685=""),"حالة الجاهزية",""),IF(AND(COUNTA($O685:$U685)&gt;0,U685=""),"التوصيات","")),"✓"),"✓"))))))))))</f>
        <v/>
      </c>
      <c r="E685" s="235"/>
      <c r="F685" s="236"/>
      <c r="G685" s="90"/>
      <c r="H685" s="239"/>
      <c r="I685" s="89"/>
      <c r="J685" s="142"/>
      <c r="K685" s="90"/>
      <c r="L685" s="90"/>
      <c r="M685" s="90"/>
      <c r="N685" s="89"/>
      <c r="O685" s="200"/>
      <c r="P685" s="201"/>
      <c r="Q685" s="201"/>
      <c r="R685" s="237"/>
      <c r="S685" s="202"/>
      <c r="T685" s="200"/>
      <c r="U685" s="203"/>
      <c r="V685" s="89"/>
      <c r="W685" s="89"/>
      <c r="X685" s="145"/>
      <c r="Y685" s="89"/>
      <c r="Z685" s="90"/>
      <c r="AA685" s="90"/>
      <c r="AB685" s="90"/>
      <c r="AC685" s="90"/>
      <c r="AD685" s="92"/>
      <c r="AE685" s="149" t="str">
        <f>IFERROR(VLOOKUP(Z685,LISTS!$AL$2:$AM$1000,2,FALSE()),"")</f>
        <v/>
      </c>
      <c r="AF685" s="151" t="str">
        <f>IFERROR(VLOOKUP(AA685,LISTS!$AO$2:$AP$1000,2,FALSE()),"")</f>
        <v/>
      </c>
      <c r="AG685" s="152" t="str">
        <f>IFERROR(VLOOKUP(AB685,LISTS!$AR$2:$AS$1000,2,FALSE()),"")</f>
        <v/>
      </c>
      <c r="AH685" s="154" t="str">
        <f>IFERROR(VLOOKUP(AC685,LISTS!$AU$2:$AV$1000,2,FALSE()),"")</f>
        <v/>
      </c>
      <c r="AI685" s="238" t="str">
        <f t="shared" si="53"/>
        <v>—</v>
      </c>
      <c r="AJ685" s="190" t="str">
        <f t="shared" si="54"/>
        <v>—</v>
      </c>
      <c r="AK685" s="157" t="str">
        <f t="shared" si="55"/>
        <v/>
      </c>
      <c r="AL685" s="160" t="str">
        <f t="shared" si="56"/>
        <v/>
      </c>
      <c r="AM685" s="210"/>
      <c r="AN685" s="209"/>
    </row>
    <row r="686" spans="1:40" ht="27.95" customHeight="1">
      <c r="A686" s="134" t="str">
        <f>IF(I686&lt;&gt;"",COUNTA($I$2:I686),"")</f>
        <v/>
      </c>
      <c r="B686" s="138" t="str">
        <f t="shared" si="57"/>
        <v/>
      </c>
      <c r="C686" s="93" t="str">
        <f t="array" ref="C686">IF(E686="","",IF(M686&lt;&gt;"",
M686&amp;"/"&amp;SUMPRODUCT((M$2:M686=M686)*1)&amp;" - "&amp;(ROW()-2),
"إداري/"&amp;SUMPRODUCT((M$2:M686="")*1)&amp;" - "&amp;(ROW()-2)))</f>
        <v/>
      </c>
      <c r="D686" s="141" t="str">
        <f>IF(AND(G686="",H686="",I686=""),"",IF(COUNTIFS(LISTS!$A$2:$A$67,G686,LISTS!$B$2:$B$67,H686,LISTS!$C$2:$C$67,I686)=0,"✗ هرم",IF(NOT(OR(Z686="ممتاز 100%",Z686="جيد 80%",Z686="مقبول 60%",Z686="خطر 40%",Z686="")),"✗ قائمة R",IF(NOT(OR(AA686="ممتاز 100%",AA686="جيد 85%",AA686="مقبول 70%",AA686="ضعيف 50%",AA686="")),"✗ قائمة S",IF(NOT(OR(AB686="مكتمل 100%",AB686="جزئي 60%",AB686="معلق 30%",AB686="مفتوح 0%",AB686="")),"✗ قائمة T",IF(NOT(OR(AC686="لا خصم 0",AC686="تأخير −5",AC686="عجز −10",AC686="جودة −15",AC686="امتثال −20",AC686="مخالفة −25",AC686="")),"✗ قائمة U",IF(AND(X686="لا",AC686&lt;&gt;"",AC686&lt;&gt;"لا خصم 0"),"✗ خصم",IF(AND(X686="نعم",AC686="لا خصم 0"),"✗ خصم",IF(AND(Z686="ممتاز 100%",AA686="ممتاز 100%",AB686&lt;&gt;"",AB686&lt;&gt;"مكتمل 100%"),"✗ إغلاق",IFERROR(IF(LEN(_xlfn.TEXTJOIN("، ",TRUE,IF(E686="","التاريخ",""),IF(F686="","الوقت",""),IF(G686="","المركز",""),IF(H686="","الدائرة",""),IF(I686="","القسم",""),IF(J686="","المسؤول",""),IF(K686="","نوع النشاط",""),IF(L686="","المشروع",""),IF(N686="","الممول",""),IF(V686="","الموضوع",""),IF(W686="","الملاحظة",""),IF(X686="","مشكلة",""),IF(Y686="","الإجراء",""),IF(Z686="","التنفيذ",""),IF(AA686="","الجودة",""),IF(AB686="","الإغلاق",""),IF(AC686="","الخصم",""),IF(AND(COUNTA($O686:$U686)&gt;0,O686=""),"مدير المشروع",""),IF(AND(COUNTA($O686:$U686)&gt;0,P686=""),"المستفيدين",""),IF(AND(COUNTA($O686:$U686)&gt;0,Q686=""),"المناطق",""),IF(AND(COUNTA($O686:$U686)&gt;0,R686=""),"الميزانية",""),IF(AND(COUNTA($O686:$U686)&gt;0,S686=""),"نسبة الجاهزية",""),IF(AND(COUNTA($O686:$U686)&gt;0,T686=""),"حالة الجاهزية",""),IF(AND(COUNTA($O686:$U686)&gt;0,U686=""),"التوصيات","")))&gt;0,"✗ ناقص: "&amp;_xlfn.TEXTJOIN("، ",TRUE,IF(E686="","التاريخ",""),IF(F686="","الوقت",""),IF(G686="","المركز",""),IF(H686="","الدائرة",""),IF(I686="","القسم",""),IF(J686="","المسؤول",""),IF(K686="","نوع النشاط",""),IF(L686="","المشروع",""),IF(N686="","الممول",""),IF(V686="","الموضوع",""),IF(W686="","الملاحظة",""),IF(X686="","مشكلة",""),IF(Y686="","الإجراء",""),IF(Z686="","التنفيذ",""),IF(AA686="","الجودة",""),IF(AB686="","الإغلاق",""),IF(AC686="","الخصم",""),IF(AND(COUNTA($O686:$U686)&gt;0,O686=""),"مدير المشروع",""),IF(AND(COUNTA($O686:$U686)&gt;0,P686=""),"المستفيدين",""),IF(AND(COUNTA($O686:$U686)&gt;0,Q686=""),"المناطق",""),IF(AND(COUNTA($O686:$U686)&gt;0,R686=""),"الميزانية",""),IF(AND(COUNTA($O686:$U686)&gt;0,S686=""),"نسبة الجاهزية",""),IF(AND(COUNTA($O686:$U686)&gt;0,T686=""),"حالة الجاهزية",""),IF(AND(COUNTA($O686:$U686)&gt;0,U686=""),"التوصيات","")),"✓"),"✓"))))))))))</f>
        <v/>
      </c>
      <c r="E686" s="235"/>
      <c r="F686" s="236"/>
      <c r="G686" s="90"/>
      <c r="H686" s="239"/>
      <c r="I686" s="89"/>
      <c r="J686" s="142"/>
      <c r="K686" s="90"/>
      <c r="L686" s="90"/>
      <c r="M686" s="90"/>
      <c r="N686" s="89"/>
      <c r="O686" s="200"/>
      <c r="P686" s="201"/>
      <c r="Q686" s="201"/>
      <c r="R686" s="237"/>
      <c r="S686" s="202"/>
      <c r="T686" s="200"/>
      <c r="U686" s="203"/>
      <c r="V686" s="89"/>
      <c r="W686" s="89"/>
      <c r="X686" s="145"/>
      <c r="Y686" s="89"/>
      <c r="Z686" s="90"/>
      <c r="AA686" s="90"/>
      <c r="AB686" s="90"/>
      <c r="AC686" s="90"/>
      <c r="AD686" s="92"/>
      <c r="AE686" s="149" t="str">
        <f>IFERROR(VLOOKUP(Z686,LISTS!$AL$2:$AM$1000,2,FALSE()),"")</f>
        <v/>
      </c>
      <c r="AF686" s="151" t="str">
        <f>IFERROR(VLOOKUP(AA686,LISTS!$AO$2:$AP$1000,2,FALSE()),"")</f>
        <v/>
      </c>
      <c r="AG686" s="152" t="str">
        <f>IFERROR(VLOOKUP(AB686,LISTS!$AR$2:$AS$1000,2,FALSE()),"")</f>
        <v/>
      </c>
      <c r="AH686" s="154" t="str">
        <f>IFERROR(VLOOKUP(AC686,LISTS!$AU$2:$AV$1000,2,FALSE()),"")</f>
        <v/>
      </c>
      <c r="AI686" s="238" t="str">
        <f t="shared" si="53"/>
        <v>—</v>
      </c>
      <c r="AJ686" s="190" t="str">
        <f t="shared" si="54"/>
        <v>—</v>
      </c>
      <c r="AK686" s="157" t="str">
        <f t="shared" si="55"/>
        <v/>
      </c>
      <c r="AL686" s="160" t="str">
        <f t="shared" si="56"/>
        <v/>
      </c>
      <c r="AM686" s="210"/>
      <c r="AN686" s="209"/>
    </row>
    <row r="687" spans="1:40" ht="27.95" customHeight="1">
      <c r="A687" s="134" t="str">
        <f>IF(I687&lt;&gt;"",COUNTA($I$2:I687),"")</f>
        <v/>
      </c>
      <c r="B687" s="138" t="str">
        <f t="shared" si="57"/>
        <v/>
      </c>
      <c r="C687" s="93" t="str">
        <f t="array" ref="C687">IF(E687="","",IF(M687&lt;&gt;"",
M687&amp;"/"&amp;SUMPRODUCT((M$2:M687=M687)*1)&amp;" - "&amp;(ROW()-2),
"إداري/"&amp;SUMPRODUCT((M$2:M687="")*1)&amp;" - "&amp;(ROW()-2)))</f>
        <v/>
      </c>
      <c r="D687" s="141" t="str">
        <f>IF(AND(G687="",H687="",I687=""),"",IF(COUNTIFS(LISTS!$A$2:$A$67,G687,LISTS!$B$2:$B$67,H687,LISTS!$C$2:$C$67,I687)=0,"✗ هرم",IF(NOT(OR(Z687="ممتاز 100%",Z687="جيد 80%",Z687="مقبول 60%",Z687="خطر 40%",Z687="")),"✗ قائمة R",IF(NOT(OR(AA687="ممتاز 100%",AA687="جيد 85%",AA687="مقبول 70%",AA687="ضعيف 50%",AA687="")),"✗ قائمة S",IF(NOT(OR(AB687="مكتمل 100%",AB687="جزئي 60%",AB687="معلق 30%",AB687="مفتوح 0%",AB687="")),"✗ قائمة T",IF(NOT(OR(AC687="لا خصم 0",AC687="تأخير −5",AC687="عجز −10",AC687="جودة −15",AC687="امتثال −20",AC687="مخالفة −25",AC687="")),"✗ قائمة U",IF(AND(X687="لا",AC687&lt;&gt;"",AC687&lt;&gt;"لا خصم 0"),"✗ خصم",IF(AND(X687="نعم",AC687="لا خصم 0"),"✗ خصم",IF(AND(Z687="ممتاز 100%",AA687="ممتاز 100%",AB687&lt;&gt;"",AB687&lt;&gt;"مكتمل 100%"),"✗ إغلاق",IFERROR(IF(LEN(_xlfn.TEXTJOIN("، ",TRUE,IF(E687="","التاريخ",""),IF(F687="","الوقت",""),IF(G687="","المركز",""),IF(H687="","الدائرة",""),IF(I687="","القسم",""),IF(J687="","المسؤول",""),IF(K687="","نوع النشاط",""),IF(L687="","المشروع",""),IF(N687="","الممول",""),IF(V687="","الموضوع",""),IF(W687="","الملاحظة",""),IF(X687="","مشكلة",""),IF(Y687="","الإجراء",""),IF(Z687="","التنفيذ",""),IF(AA687="","الجودة",""),IF(AB687="","الإغلاق",""),IF(AC687="","الخصم",""),IF(AND(COUNTA($O687:$U687)&gt;0,O687=""),"مدير المشروع",""),IF(AND(COUNTA($O687:$U687)&gt;0,P687=""),"المستفيدين",""),IF(AND(COUNTA($O687:$U687)&gt;0,Q687=""),"المناطق",""),IF(AND(COUNTA($O687:$U687)&gt;0,R687=""),"الميزانية",""),IF(AND(COUNTA($O687:$U687)&gt;0,S687=""),"نسبة الجاهزية",""),IF(AND(COUNTA($O687:$U687)&gt;0,T687=""),"حالة الجاهزية",""),IF(AND(COUNTA($O687:$U687)&gt;0,U687=""),"التوصيات","")))&gt;0,"✗ ناقص: "&amp;_xlfn.TEXTJOIN("، ",TRUE,IF(E687="","التاريخ",""),IF(F687="","الوقت",""),IF(G687="","المركز",""),IF(H687="","الدائرة",""),IF(I687="","القسم",""),IF(J687="","المسؤول",""),IF(K687="","نوع النشاط",""),IF(L687="","المشروع",""),IF(N687="","الممول",""),IF(V687="","الموضوع",""),IF(W687="","الملاحظة",""),IF(X687="","مشكلة",""),IF(Y687="","الإجراء",""),IF(Z687="","التنفيذ",""),IF(AA687="","الجودة",""),IF(AB687="","الإغلاق",""),IF(AC687="","الخصم",""),IF(AND(COUNTA($O687:$U687)&gt;0,O687=""),"مدير المشروع",""),IF(AND(COUNTA($O687:$U687)&gt;0,P687=""),"المستفيدين",""),IF(AND(COUNTA($O687:$U687)&gt;0,Q687=""),"المناطق",""),IF(AND(COUNTA($O687:$U687)&gt;0,R687=""),"الميزانية",""),IF(AND(COUNTA($O687:$U687)&gt;0,S687=""),"نسبة الجاهزية",""),IF(AND(COUNTA($O687:$U687)&gt;0,T687=""),"حالة الجاهزية",""),IF(AND(COUNTA($O687:$U687)&gt;0,U687=""),"التوصيات","")),"✓"),"✓"))))))))))</f>
        <v/>
      </c>
      <c r="E687" s="235"/>
      <c r="F687" s="236"/>
      <c r="G687" s="90"/>
      <c r="H687" s="239"/>
      <c r="I687" s="89"/>
      <c r="J687" s="142"/>
      <c r="K687" s="90"/>
      <c r="L687" s="90"/>
      <c r="M687" s="90"/>
      <c r="N687" s="89"/>
      <c r="O687" s="200"/>
      <c r="P687" s="201"/>
      <c r="Q687" s="201"/>
      <c r="R687" s="237"/>
      <c r="S687" s="202"/>
      <c r="T687" s="200"/>
      <c r="U687" s="203"/>
      <c r="V687" s="89"/>
      <c r="W687" s="89"/>
      <c r="X687" s="145"/>
      <c r="Y687" s="89"/>
      <c r="Z687" s="90"/>
      <c r="AA687" s="90"/>
      <c r="AB687" s="90"/>
      <c r="AC687" s="90"/>
      <c r="AD687" s="92"/>
      <c r="AE687" s="149" t="str">
        <f>IFERROR(VLOOKUP(Z687,LISTS!$AL$2:$AM$1000,2,FALSE()),"")</f>
        <v/>
      </c>
      <c r="AF687" s="151" t="str">
        <f>IFERROR(VLOOKUP(AA687,LISTS!$AO$2:$AP$1000,2,FALSE()),"")</f>
        <v/>
      </c>
      <c r="AG687" s="152" t="str">
        <f>IFERROR(VLOOKUP(AB687,LISTS!$AR$2:$AS$1000,2,FALSE()),"")</f>
        <v/>
      </c>
      <c r="AH687" s="154" t="str">
        <f>IFERROR(VLOOKUP(AC687,LISTS!$AU$2:$AV$1000,2,FALSE()),"")</f>
        <v/>
      </c>
      <c r="AI687" s="238" t="str">
        <f t="shared" si="53"/>
        <v>—</v>
      </c>
      <c r="AJ687" s="190" t="str">
        <f t="shared" si="54"/>
        <v>—</v>
      </c>
      <c r="AK687" s="157" t="str">
        <f t="shared" si="55"/>
        <v/>
      </c>
      <c r="AL687" s="160" t="str">
        <f t="shared" si="56"/>
        <v/>
      </c>
      <c r="AM687" s="210"/>
      <c r="AN687" s="209"/>
    </row>
    <row r="688" spans="1:40" ht="27.95" customHeight="1">
      <c r="A688" s="134" t="str">
        <f>IF(I688&lt;&gt;"",COUNTA($I$2:I688),"")</f>
        <v/>
      </c>
      <c r="B688" s="138" t="str">
        <f t="shared" si="57"/>
        <v/>
      </c>
      <c r="C688" s="93" t="str">
        <f t="array" ref="C688">IF(E688="","",IF(M688&lt;&gt;"",
M688&amp;"/"&amp;SUMPRODUCT((M$2:M688=M688)*1)&amp;" - "&amp;(ROW()-2),
"إداري/"&amp;SUMPRODUCT((M$2:M688="")*1)&amp;" - "&amp;(ROW()-2)))</f>
        <v/>
      </c>
      <c r="D688" s="141" t="str">
        <f>IF(AND(G688="",H688="",I688=""),"",IF(COUNTIFS(LISTS!$A$2:$A$67,G688,LISTS!$B$2:$B$67,H688,LISTS!$C$2:$C$67,I688)=0,"✗ هرم",IF(NOT(OR(Z688="ممتاز 100%",Z688="جيد 80%",Z688="مقبول 60%",Z688="خطر 40%",Z688="")),"✗ قائمة R",IF(NOT(OR(AA688="ممتاز 100%",AA688="جيد 85%",AA688="مقبول 70%",AA688="ضعيف 50%",AA688="")),"✗ قائمة S",IF(NOT(OR(AB688="مكتمل 100%",AB688="جزئي 60%",AB688="معلق 30%",AB688="مفتوح 0%",AB688="")),"✗ قائمة T",IF(NOT(OR(AC688="لا خصم 0",AC688="تأخير −5",AC688="عجز −10",AC688="جودة −15",AC688="امتثال −20",AC688="مخالفة −25",AC688="")),"✗ قائمة U",IF(AND(X688="لا",AC688&lt;&gt;"",AC688&lt;&gt;"لا خصم 0"),"✗ خصم",IF(AND(X688="نعم",AC688="لا خصم 0"),"✗ خصم",IF(AND(Z688="ممتاز 100%",AA688="ممتاز 100%",AB688&lt;&gt;"",AB688&lt;&gt;"مكتمل 100%"),"✗ إغلاق",IFERROR(IF(LEN(_xlfn.TEXTJOIN("، ",TRUE,IF(E688="","التاريخ",""),IF(F688="","الوقت",""),IF(G688="","المركز",""),IF(H688="","الدائرة",""),IF(I688="","القسم",""),IF(J688="","المسؤول",""),IF(K688="","نوع النشاط",""),IF(L688="","المشروع",""),IF(N688="","الممول",""),IF(V688="","الموضوع",""),IF(W688="","الملاحظة",""),IF(X688="","مشكلة",""),IF(Y688="","الإجراء",""),IF(Z688="","التنفيذ",""),IF(AA688="","الجودة",""),IF(AB688="","الإغلاق",""),IF(AC688="","الخصم",""),IF(AND(COUNTA($O688:$U688)&gt;0,O688=""),"مدير المشروع",""),IF(AND(COUNTA($O688:$U688)&gt;0,P688=""),"المستفيدين",""),IF(AND(COUNTA($O688:$U688)&gt;0,Q688=""),"المناطق",""),IF(AND(COUNTA($O688:$U688)&gt;0,R688=""),"الميزانية",""),IF(AND(COUNTA($O688:$U688)&gt;0,S688=""),"نسبة الجاهزية",""),IF(AND(COUNTA($O688:$U688)&gt;0,T688=""),"حالة الجاهزية",""),IF(AND(COUNTA($O688:$U688)&gt;0,U688=""),"التوصيات","")))&gt;0,"✗ ناقص: "&amp;_xlfn.TEXTJOIN("، ",TRUE,IF(E688="","التاريخ",""),IF(F688="","الوقت",""),IF(G688="","المركز",""),IF(H688="","الدائرة",""),IF(I688="","القسم",""),IF(J688="","المسؤول",""),IF(K688="","نوع النشاط",""),IF(L688="","المشروع",""),IF(N688="","الممول",""),IF(V688="","الموضوع",""),IF(W688="","الملاحظة",""),IF(X688="","مشكلة",""),IF(Y688="","الإجراء",""),IF(Z688="","التنفيذ",""),IF(AA688="","الجودة",""),IF(AB688="","الإغلاق",""),IF(AC688="","الخصم",""),IF(AND(COUNTA($O688:$U688)&gt;0,O688=""),"مدير المشروع",""),IF(AND(COUNTA($O688:$U688)&gt;0,P688=""),"المستفيدين",""),IF(AND(COUNTA($O688:$U688)&gt;0,Q688=""),"المناطق",""),IF(AND(COUNTA($O688:$U688)&gt;0,R688=""),"الميزانية",""),IF(AND(COUNTA($O688:$U688)&gt;0,S688=""),"نسبة الجاهزية",""),IF(AND(COUNTA($O688:$U688)&gt;0,T688=""),"حالة الجاهزية",""),IF(AND(COUNTA($O688:$U688)&gt;0,U688=""),"التوصيات","")),"✓"),"✓"))))))))))</f>
        <v/>
      </c>
      <c r="E688" s="235"/>
      <c r="F688" s="236"/>
      <c r="G688" s="90"/>
      <c r="H688" s="239"/>
      <c r="I688" s="89"/>
      <c r="J688" s="142"/>
      <c r="K688" s="90"/>
      <c r="L688" s="90"/>
      <c r="M688" s="90"/>
      <c r="N688" s="89"/>
      <c r="O688" s="200"/>
      <c r="P688" s="201"/>
      <c r="Q688" s="201"/>
      <c r="R688" s="237"/>
      <c r="S688" s="202"/>
      <c r="T688" s="200"/>
      <c r="U688" s="203"/>
      <c r="V688" s="89"/>
      <c r="W688" s="89"/>
      <c r="X688" s="145"/>
      <c r="Y688" s="89"/>
      <c r="Z688" s="90"/>
      <c r="AA688" s="90"/>
      <c r="AB688" s="90"/>
      <c r="AC688" s="90"/>
      <c r="AD688" s="92"/>
      <c r="AE688" s="149" t="str">
        <f>IFERROR(VLOOKUP(Z688,LISTS!$AL$2:$AM$1000,2,FALSE()),"")</f>
        <v/>
      </c>
      <c r="AF688" s="151" t="str">
        <f>IFERROR(VLOOKUP(AA688,LISTS!$AO$2:$AP$1000,2,FALSE()),"")</f>
        <v/>
      </c>
      <c r="AG688" s="152" t="str">
        <f>IFERROR(VLOOKUP(AB688,LISTS!$AR$2:$AS$1000,2,FALSE()),"")</f>
        <v/>
      </c>
      <c r="AH688" s="154" t="str">
        <f>IFERROR(VLOOKUP(AC688,LISTS!$AU$2:$AV$1000,2,FALSE()),"")</f>
        <v/>
      </c>
      <c r="AI688" s="238" t="str">
        <f t="shared" si="53"/>
        <v>—</v>
      </c>
      <c r="AJ688" s="190" t="str">
        <f t="shared" si="54"/>
        <v>—</v>
      </c>
      <c r="AK688" s="157" t="str">
        <f t="shared" si="55"/>
        <v/>
      </c>
      <c r="AL688" s="160" t="str">
        <f t="shared" si="56"/>
        <v/>
      </c>
      <c r="AM688" s="210"/>
      <c r="AN688" s="209"/>
    </row>
    <row r="689" spans="1:40" ht="27.95" customHeight="1">
      <c r="A689" s="134" t="str">
        <f>IF(I689&lt;&gt;"",COUNTA($I$2:I689),"")</f>
        <v/>
      </c>
      <c r="B689" s="138" t="str">
        <f t="shared" si="57"/>
        <v/>
      </c>
      <c r="C689" s="93" t="str">
        <f t="array" ref="C689">IF(E689="","",IF(M689&lt;&gt;"",
M689&amp;"/"&amp;SUMPRODUCT((M$2:M689=M689)*1)&amp;" - "&amp;(ROW()-2),
"إداري/"&amp;SUMPRODUCT((M$2:M689="")*1)&amp;" - "&amp;(ROW()-2)))</f>
        <v/>
      </c>
      <c r="D689" s="141" t="str">
        <f>IF(AND(G689="",H689="",I689=""),"",IF(COUNTIFS(LISTS!$A$2:$A$67,G689,LISTS!$B$2:$B$67,H689,LISTS!$C$2:$C$67,I689)=0,"✗ هرم",IF(NOT(OR(Z689="ممتاز 100%",Z689="جيد 80%",Z689="مقبول 60%",Z689="خطر 40%",Z689="")),"✗ قائمة R",IF(NOT(OR(AA689="ممتاز 100%",AA689="جيد 85%",AA689="مقبول 70%",AA689="ضعيف 50%",AA689="")),"✗ قائمة S",IF(NOT(OR(AB689="مكتمل 100%",AB689="جزئي 60%",AB689="معلق 30%",AB689="مفتوح 0%",AB689="")),"✗ قائمة T",IF(NOT(OR(AC689="لا خصم 0",AC689="تأخير −5",AC689="عجز −10",AC689="جودة −15",AC689="امتثال −20",AC689="مخالفة −25",AC689="")),"✗ قائمة U",IF(AND(X689="لا",AC689&lt;&gt;"",AC689&lt;&gt;"لا خصم 0"),"✗ خصم",IF(AND(X689="نعم",AC689="لا خصم 0"),"✗ خصم",IF(AND(Z689="ممتاز 100%",AA689="ممتاز 100%",AB689&lt;&gt;"",AB689&lt;&gt;"مكتمل 100%"),"✗ إغلاق",IFERROR(IF(LEN(_xlfn.TEXTJOIN("، ",TRUE,IF(E689="","التاريخ",""),IF(F689="","الوقت",""),IF(G689="","المركز",""),IF(H689="","الدائرة",""),IF(I689="","القسم",""),IF(J689="","المسؤول",""),IF(K689="","نوع النشاط",""),IF(L689="","المشروع",""),IF(N689="","الممول",""),IF(V689="","الموضوع",""),IF(W689="","الملاحظة",""),IF(X689="","مشكلة",""),IF(Y689="","الإجراء",""),IF(Z689="","التنفيذ",""),IF(AA689="","الجودة",""),IF(AB689="","الإغلاق",""),IF(AC689="","الخصم",""),IF(AND(COUNTA($O689:$U689)&gt;0,O689=""),"مدير المشروع",""),IF(AND(COUNTA($O689:$U689)&gt;0,P689=""),"المستفيدين",""),IF(AND(COUNTA($O689:$U689)&gt;0,Q689=""),"المناطق",""),IF(AND(COUNTA($O689:$U689)&gt;0,R689=""),"الميزانية",""),IF(AND(COUNTA($O689:$U689)&gt;0,S689=""),"نسبة الجاهزية",""),IF(AND(COUNTA($O689:$U689)&gt;0,T689=""),"حالة الجاهزية",""),IF(AND(COUNTA($O689:$U689)&gt;0,U689=""),"التوصيات","")))&gt;0,"✗ ناقص: "&amp;_xlfn.TEXTJOIN("، ",TRUE,IF(E689="","التاريخ",""),IF(F689="","الوقت",""),IF(G689="","المركز",""),IF(H689="","الدائرة",""),IF(I689="","القسم",""),IF(J689="","المسؤول",""),IF(K689="","نوع النشاط",""),IF(L689="","المشروع",""),IF(N689="","الممول",""),IF(V689="","الموضوع",""),IF(W689="","الملاحظة",""),IF(X689="","مشكلة",""),IF(Y689="","الإجراء",""),IF(Z689="","التنفيذ",""),IF(AA689="","الجودة",""),IF(AB689="","الإغلاق",""),IF(AC689="","الخصم",""),IF(AND(COUNTA($O689:$U689)&gt;0,O689=""),"مدير المشروع",""),IF(AND(COUNTA($O689:$U689)&gt;0,P689=""),"المستفيدين",""),IF(AND(COUNTA($O689:$U689)&gt;0,Q689=""),"المناطق",""),IF(AND(COUNTA($O689:$U689)&gt;0,R689=""),"الميزانية",""),IF(AND(COUNTA($O689:$U689)&gt;0,S689=""),"نسبة الجاهزية",""),IF(AND(COUNTA($O689:$U689)&gt;0,T689=""),"حالة الجاهزية",""),IF(AND(COUNTA($O689:$U689)&gt;0,U689=""),"التوصيات","")),"✓"),"✓"))))))))))</f>
        <v/>
      </c>
      <c r="E689" s="235"/>
      <c r="F689" s="236"/>
      <c r="G689" s="90"/>
      <c r="H689" s="239"/>
      <c r="I689" s="89"/>
      <c r="J689" s="142"/>
      <c r="K689" s="90"/>
      <c r="L689" s="90"/>
      <c r="M689" s="90"/>
      <c r="N689" s="89"/>
      <c r="O689" s="200"/>
      <c r="P689" s="201"/>
      <c r="Q689" s="201"/>
      <c r="R689" s="237"/>
      <c r="S689" s="202"/>
      <c r="T689" s="200"/>
      <c r="U689" s="203"/>
      <c r="V689" s="89"/>
      <c r="W689" s="89"/>
      <c r="X689" s="145"/>
      <c r="Y689" s="89"/>
      <c r="Z689" s="90"/>
      <c r="AA689" s="90"/>
      <c r="AB689" s="90"/>
      <c r="AC689" s="90"/>
      <c r="AD689" s="92"/>
      <c r="AE689" s="149" t="str">
        <f>IFERROR(VLOOKUP(Z689,LISTS!$AL$2:$AM$1000,2,FALSE()),"")</f>
        <v/>
      </c>
      <c r="AF689" s="151" t="str">
        <f>IFERROR(VLOOKUP(AA689,LISTS!$AO$2:$AP$1000,2,FALSE()),"")</f>
        <v/>
      </c>
      <c r="AG689" s="152" t="str">
        <f>IFERROR(VLOOKUP(AB689,LISTS!$AR$2:$AS$1000,2,FALSE()),"")</f>
        <v/>
      </c>
      <c r="AH689" s="154" t="str">
        <f>IFERROR(VLOOKUP(AC689,LISTS!$AU$2:$AV$1000,2,FALSE()),"")</f>
        <v/>
      </c>
      <c r="AI689" s="238" t="str">
        <f t="shared" si="53"/>
        <v>—</v>
      </c>
      <c r="AJ689" s="190" t="str">
        <f t="shared" si="54"/>
        <v>—</v>
      </c>
      <c r="AK689" s="157" t="str">
        <f t="shared" si="55"/>
        <v/>
      </c>
      <c r="AL689" s="160" t="str">
        <f t="shared" si="56"/>
        <v/>
      </c>
      <c r="AM689" s="210"/>
      <c r="AN689" s="209"/>
    </row>
    <row r="690" spans="1:40" ht="27.95" customHeight="1">
      <c r="A690" s="134" t="str">
        <f>IF(I690&lt;&gt;"",COUNTA($I$2:I690),"")</f>
        <v/>
      </c>
      <c r="B690" s="138" t="str">
        <f t="shared" si="57"/>
        <v/>
      </c>
      <c r="C690" s="93" t="str">
        <f t="array" ref="C690">IF(E690="","",IF(M690&lt;&gt;"",
M690&amp;"/"&amp;SUMPRODUCT((M$2:M690=M690)*1)&amp;" - "&amp;(ROW()-2),
"إداري/"&amp;SUMPRODUCT((M$2:M690="")*1)&amp;" - "&amp;(ROW()-2)))</f>
        <v/>
      </c>
      <c r="D690" s="141" t="str">
        <f>IF(AND(G690="",H690="",I690=""),"",IF(COUNTIFS(LISTS!$A$2:$A$67,G690,LISTS!$B$2:$B$67,H690,LISTS!$C$2:$C$67,I690)=0,"✗ هرم",IF(NOT(OR(Z690="ممتاز 100%",Z690="جيد 80%",Z690="مقبول 60%",Z690="خطر 40%",Z690="")),"✗ قائمة R",IF(NOT(OR(AA690="ممتاز 100%",AA690="جيد 85%",AA690="مقبول 70%",AA690="ضعيف 50%",AA690="")),"✗ قائمة S",IF(NOT(OR(AB690="مكتمل 100%",AB690="جزئي 60%",AB690="معلق 30%",AB690="مفتوح 0%",AB690="")),"✗ قائمة T",IF(NOT(OR(AC690="لا خصم 0",AC690="تأخير −5",AC690="عجز −10",AC690="جودة −15",AC690="امتثال −20",AC690="مخالفة −25",AC690="")),"✗ قائمة U",IF(AND(X690="لا",AC690&lt;&gt;"",AC690&lt;&gt;"لا خصم 0"),"✗ خصم",IF(AND(X690="نعم",AC690="لا خصم 0"),"✗ خصم",IF(AND(Z690="ممتاز 100%",AA690="ممتاز 100%",AB690&lt;&gt;"",AB690&lt;&gt;"مكتمل 100%"),"✗ إغلاق",IFERROR(IF(LEN(_xlfn.TEXTJOIN("، ",TRUE,IF(E690="","التاريخ",""),IF(F690="","الوقت",""),IF(G690="","المركز",""),IF(H690="","الدائرة",""),IF(I690="","القسم",""),IF(J690="","المسؤول",""),IF(K690="","نوع النشاط",""),IF(L690="","المشروع",""),IF(N690="","الممول",""),IF(V690="","الموضوع",""),IF(W690="","الملاحظة",""),IF(X690="","مشكلة",""),IF(Y690="","الإجراء",""),IF(Z690="","التنفيذ",""),IF(AA690="","الجودة",""),IF(AB690="","الإغلاق",""),IF(AC690="","الخصم",""),IF(AND(COUNTA($O690:$U690)&gt;0,O690=""),"مدير المشروع",""),IF(AND(COUNTA($O690:$U690)&gt;0,P690=""),"المستفيدين",""),IF(AND(COUNTA($O690:$U690)&gt;0,Q690=""),"المناطق",""),IF(AND(COUNTA($O690:$U690)&gt;0,R690=""),"الميزانية",""),IF(AND(COUNTA($O690:$U690)&gt;0,S690=""),"نسبة الجاهزية",""),IF(AND(COUNTA($O690:$U690)&gt;0,T690=""),"حالة الجاهزية",""),IF(AND(COUNTA($O690:$U690)&gt;0,U690=""),"التوصيات","")))&gt;0,"✗ ناقص: "&amp;_xlfn.TEXTJOIN("، ",TRUE,IF(E690="","التاريخ",""),IF(F690="","الوقت",""),IF(G690="","المركز",""),IF(H690="","الدائرة",""),IF(I690="","القسم",""),IF(J690="","المسؤول",""),IF(K690="","نوع النشاط",""),IF(L690="","المشروع",""),IF(N690="","الممول",""),IF(V690="","الموضوع",""),IF(W690="","الملاحظة",""),IF(X690="","مشكلة",""),IF(Y690="","الإجراء",""),IF(Z690="","التنفيذ",""),IF(AA690="","الجودة",""),IF(AB690="","الإغلاق",""),IF(AC690="","الخصم",""),IF(AND(COUNTA($O690:$U690)&gt;0,O690=""),"مدير المشروع",""),IF(AND(COUNTA($O690:$U690)&gt;0,P690=""),"المستفيدين",""),IF(AND(COUNTA($O690:$U690)&gt;0,Q690=""),"المناطق",""),IF(AND(COUNTA($O690:$U690)&gt;0,R690=""),"الميزانية",""),IF(AND(COUNTA($O690:$U690)&gt;0,S690=""),"نسبة الجاهزية",""),IF(AND(COUNTA($O690:$U690)&gt;0,T690=""),"حالة الجاهزية",""),IF(AND(COUNTA($O690:$U690)&gt;0,U690=""),"التوصيات","")),"✓"),"✓"))))))))))</f>
        <v/>
      </c>
      <c r="E690" s="235"/>
      <c r="F690" s="236"/>
      <c r="G690" s="90"/>
      <c r="H690" s="239"/>
      <c r="I690" s="89"/>
      <c r="J690" s="142"/>
      <c r="K690" s="90"/>
      <c r="L690" s="90"/>
      <c r="M690" s="90"/>
      <c r="N690" s="89"/>
      <c r="O690" s="200"/>
      <c r="P690" s="201"/>
      <c r="Q690" s="201"/>
      <c r="R690" s="237"/>
      <c r="S690" s="202"/>
      <c r="T690" s="200"/>
      <c r="U690" s="203"/>
      <c r="V690" s="89"/>
      <c r="W690" s="89"/>
      <c r="X690" s="145"/>
      <c r="Y690" s="89"/>
      <c r="Z690" s="90"/>
      <c r="AA690" s="90"/>
      <c r="AB690" s="90"/>
      <c r="AC690" s="90"/>
      <c r="AD690" s="92"/>
      <c r="AE690" s="149" t="str">
        <f>IFERROR(VLOOKUP(Z690,LISTS!$AL$2:$AM$1000,2,FALSE()),"")</f>
        <v/>
      </c>
      <c r="AF690" s="151" t="str">
        <f>IFERROR(VLOOKUP(AA690,LISTS!$AO$2:$AP$1000,2,FALSE()),"")</f>
        <v/>
      </c>
      <c r="AG690" s="152" t="str">
        <f>IFERROR(VLOOKUP(AB690,LISTS!$AR$2:$AS$1000,2,FALSE()),"")</f>
        <v/>
      </c>
      <c r="AH690" s="154" t="str">
        <f>IFERROR(VLOOKUP(AC690,LISTS!$AU$2:$AV$1000,2,FALSE()),"")</f>
        <v/>
      </c>
      <c r="AI690" s="238" t="str">
        <f t="shared" si="53"/>
        <v>—</v>
      </c>
      <c r="AJ690" s="190" t="str">
        <f t="shared" si="54"/>
        <v>—</v>
      </c>
      <c r="AK690" s="157" t="str">
        <f t="shared" si="55"/>
        <v/>
      </c>
      <c r="AL690" s="160" t="str">
        <f t="shared" si="56"/>
        <v/>
      </c>
      <c r="AM690" s="210"/>
      <c r="AN690" s="209"/>
    </row>
    <row r="691" spans="1:40" ht="27.95" customHeight="1">
      <c r="A691" s="134" t="str">
        <f>IF(I691&lt;&gt;"",COUNTA($I$2:I691),"")</f>
        <v/>
      </c>
      <c r="B691" s="138" t="str">
        <f t="shared" si="57"/>
        <v/>
      </c>
      <c r="C691" s="93" t="str">
        <f t="array" ref="C691">IF(E691="","",IF(M691&lt;&gt;"",
M691&amp;"/"&amp;SUMPRODUCT((M$2:M691=M691)*1)&amp;" - "&amp;(ROW()-2),
"إداري/"&amp;SUMPRODUCT((M$2:M691="")*1)&amp;" - "&amp;(ROW()-2)))</f>
        <v/>
      </c>
      <c r="D691" s="141" t="str">
        <f>IF(AND(G691="",H691="",I691=""),"",IF(COUNTIFS(LISTS!$A$2:$A$67,G691,LISTS!$B$2:$B$67,H691,LISTS!$C$2:$C$67,I691)=0,"✗ هرم",IF(NOT(OR(Z691="ممتاز 100%",Z691="جيد 80%",Z691="مقبول 60%",Z691="خطر 40%",Z691="")),"✗ قائمة R",IF(NOT(OR(AA691="ممتاز 100%",AA691="جيد 85%",AA691="مقبول 70%",AA691="ضعيف 50%",AA691="")),"✗ قائمة S",IF(NOT(OR(AB691="مكتمل 100%",AB691="جزئي 60%",AB691="معلق 30%",AB691="مفتوح 0%",AB691="")),"✗ قائمة T",IF(NOT(OR(AC691="لا خصم 0",AC691="تأخير −5",AC691="عجز −10",AC691="جودة −15",AC691="امتثال −20",AC691="مخالفة −25",AC691="")),"✗ قائمة U",IF(AND(X691="لا",AC691&lt;&gt;"",AC691&lt;&gt;"لا خصم 0"),"✗ خصم",IF(AND(X691="نعم",AC691="لا خصم 0"),"✗ خصم",IF(AND(Z691="ممتاز 100%",AA691="ممتاز 100%",AB691&lt;&gt;"",AB691&lt;&gt;"مكتمل 100%"),"✗ إغلاق",IFERROR(IF(LEN(_xlfn.TEXTJOIN("، ",TRUE,IF(E691="","التاريخ",""),IF(F691="","الوقت",""),IF(G691="","المركز",""),IF(H691="","الدائرة",""),IF(I691="","القسم",""),IF(J691="","المسؤول",""),IF(K691="","نوع النشاط",""),IF(L691="","المشروع",""),IF(N691="","الممول",""),IF(V691="","الموضوع",""),IF(W691="","الملاحظة",""),IF(X691="","مشكلة",""),IF(Y691="","الإجراء",""),IF(Z691="","التنفيذ",""),IF(AA691="","الجودة",""),IF(AB691="","الإغلاق",""),IF(AC691="","الخصم",""),IF(AND(COUNTA($O691:$U691)&gt;0,O691=""),"مدير المشروع",""),IF(AND(COUNTA($O691:$U691)&gt;0,P691=""),"المستفيدين",""),IF(AND(COUNTA($O691:$U691)&gt;0,Q691=""),"المناطق",""),IF(AND(COUNTA($O691:$U691)&gt;0,R691=""),"الميزانية",""),IF(AND(COUNTA($O691:$U691)&gt;0,S691=""),"نسبة الجاهزية",""),IF(AND(COUNTA($O691:$U691)&gt;0,T691=""),"حالة الجاهزية",""),IF(AND(COUNTA($O691:$U691)&gt;0,U691=""),"التوصيات","")))&gt;0,"✗ ناقص: "&amp;_xlfn.TEXTJOIN("، ",TRUE,IF(E691="","التاريخ",""),IF(F691="","الوقت",""),IF(G691="","المركز",""),IF(H691="","الدائرة",""),IF(I691="","القسم",""),IF(J691="","المسؤول",""),IF(K691="","نوع النشاط",""),IF(L691="","المشروع",""),IF(N691="","الممول",""),IF(V691="","الموضوع",""),IF(W691="","الملاحظة",""),IF(X691="","مشكلة",""),IF(Y691="","الإجراء",""),IF(Z691="","التنفيذ",""),IF(AA691="","الجودة",""),IF(AB691="","الإغلاق",""),IF(AC691="","الخصم",""),IF(AND(COUNTA($O691:$U691)&gt;0,O691=""),"مدير المشروع",""),IF(AND(COUNTA($O691:$U691)&gt;0,P691=""),"المستفيدين",""),IF(AND(COUNTA($O691:$U691)&gt;0,Q691=""),"المناطق",""),IF(AND(COUNTA($O691:$U691)&gt;0,R691=""),"الميزانية",""),IF(AND(COUNTA($O691:$U691)&gt;0,S691=""),"نسبة الجاهزية",""),IF(AND(COUNTA($O691:$U691)&gt;0,T691=""),"حالة الجاهزية",""),IF(AND(COUNTA($O691:$U691)&gt;0,U691=""),"التوصيات","")),"✓"),"✓"))))))))))</f>
        <v/>
      </c>
      <c r="E691" s="235"/>
      <c r="F691" s="236"/>
      <c r="G691" s="90"/>
      <c r="H691" s="239"/>
      <c r="I691" s="89"/>
      <c r="J691" s="142"/>
      <c r="K691" s="90"/>
      <c r="L691" s="90"/>
      <c r="M691" s="90"/>
      <c r="N691" s="89"/>
      <c r="O691" s="200"/>
      <c r="P691" s="201"/>
      <c r="Q691" s="201"/>
      <c r="R691" s="237"/>
      <c r="S691" s="202"/>
      <c r="T691" s="200"/>
      <c r="U691" s="203"/>
      <c r="V691" s="89"/>
      <c r="W691" s="89"/>
      <c r="X691" s="145"/>
      <c r="Y691" s="89"/>
      <c r="Z691" s="90"/>
      <c r="AA691" s="90"/>
      <c r="AB691" s="90"/>
      <c r="AC691" s="90"/>
      <c r="AD691" s="92"/>
      <c r="AE691" s="149" t="str">
        <f>IFERROR(VLOOKUP(Z691,LISTS!$AL$2:$AM$1000,2,FALSE()),"")</f>
        <v/>
      </c>
      <c r="AF691" s="151" t="str">
        <f>IFERROR(VLOOKUP(AA691,LISTS!$AO$2:$AP$1000,2,FALSE()),"")</f>
        <v/>
      </c>
      <c r="AG691" s="152" t="str">
        <f>IFERROR(VLOOKUP(AB691,LISTS!$AR$2:$AS$1000,2,FALSE()),"")</f>
        <v/>
      </c>
      <c r="AH691" s="154" t="str">
        <f>IFERROR(VLOOKUP(AC691,LISTS!$AU$2:$AV$1000,2,FALSE()),"")</f>
        <v/>
      </c>
      <c r="AI691" s="238" t="str">
        <f t="shared" si="53"/>
        <v>—</v>
      </c>
      <c r="AJ691" s="190" t="str">
        <f t="shared" si="54"/>
        <v>—</v>
      </c>
      <c r="AK691" s="157" t="str">
        <f t="shared" si="55"/>
        <v/>
      </c>
      <c r="AL691" s="160" t="str">
        <f t="shared" si="56"/>
        <v/>
      </c>
      <c r="AM691" s="210"/>
      <c r="AN691" s="209"/>
    </row>
    <row r="692" spans="1:40" ht="27.95" customHeight="1">
      <c r="A692" s="134" t="str">
        <f>IF(I692&lt;&gt;"",COUNTA($I$2:I692),"")</f>
        <v/>
      </c>
      <c r="B692" s="138" t="str">
        <f t="shared" si="57"/>
        <v/>
      </c>
      <c r="C692" s="93" t="str">
        <f t="array" ref="C692">IF(E692="","",IF(M692&lt;&gt;"",
M692&amp;"/"&amp;SUMPRODUCT((M$2:M692=M692)*1)&amp;" - "&amp;(ROW()-2),
"إداري/"&amp;SUMPRODUCT((M$2:M692="")*1)&amp;" - "&amp;(ROW()-2)))</f>
        <v/>
      </c>
      <c r="D692" s="141" t="str">
        <f>IF(AND(G692="",H692="",I692=""),"",IF(COUNTIFS(LISTS!$A$2:$A$67,G692,LISTS!$B$2:$B$67,H692,LISTS!$C$2:$C$67,I692)=0,"✗ هرم",IF(NOT(OR(Z692="ممتاز 100%",Z692="جيد 80%",Z692="مقبول 60%",Z692="خطر 40%",Z692="")),"✗ قائمة R",IF(NOT(OR(AA692="ممتاز 100%",AA692="جيد 85%",AA692="مقبول 70%",AA692="ضعيف 50%",AA692="")),"✗ قائمة S",IF(NOT(OR(AB692="مكتمل 100%",AB692="جزئي 60%",AB692="معلق 30%",AB692="مفتوح 0%",AB692="")),"✗ قائمة T",IF(NOT(OR(AC692="لا خصم 0",AC692="تأخير −5",AC692="عجز −10",AC692="جودة −15",AC692="امتثال −20",AC692="مخالفة −25",AC692="")),"✗ قائمة U",IF(AND(X692="لا",AC692&lt;&gt;"",AC692&lt;&gt;"لا خصم 0"),"✗ خصم",IF(AND(X692="نعم",AC692="لا خصم 0"),"✗ خصم",IF(AND(Z692="ممتاز 100%",AA692="ممتاز 100%",AB692&lt;&gt;"",AB692&lt;&gt;"مكتمل 100%"),"✗ إغلاق",IFERROR(IF(LEN(_xlfn.TEXTJOIN("، ",TRUE,IF(E692="","التاريخ",""),IF(F692="","الوقت",""),IF(G692="","المركز",""),IF(H692="","الدائرة",""),IF(I692="","القسم",""),IF(J692="","المسؤول",""),IF(K692="","نوع النشاط",""),IF(L692="","المشروع",""),IF(N692="","الممول",""),IF(V692="","الموضوع",""),IF(W692="","الملاحظة",""),IF(X692="","مشكلة",""),IF(Y692="","الإجراء",""),IF(Z692="","التنفيذ",""),IF(AA692="","الجودة",""),IF(AB692="","الإغلاق",""),IF(AC692="","الخصم",""),IF(AND(COUNTA($O692:$U692)&gt;0,O692=""),"مدير المشروع",""),IF(AND(COUNTA($O692:$U692)&gt;0,P692=""),"المستفيدين",""),IF(AND(COUNTA($O692:$U692)&gt;0,Q692=""),"المناطق",""),IF(AND(COUNTA($O692:$U692)&gt;0,R692=""),"الميزانية",""),IF(AND(COUNTA($O692:$U692)&gt;0,S692=""),"نسبة الجاهزية",""),IF(AND(COUNTA($O692:$U692)&gt;0,T692=""),"حالة الجاهزية",""),IF(AND(COUNTA($O692:$U692)&gt;0,U692=""),"التوصيات","")))&gt;0,"✗ ناقص: "&amp;_xlfn.TEXTJOIN("، ",TRUE,IF(E692="","التاريخ",""),IF(F692="","الوقت",""),IF(G692="","المركز",""),IF(H692="","الدائرة",""),IF(I692="","القسم",""),IF(J692="","المسؤول",""),IF(K692="","نوع النشاط",""),IF(L692="","المشروع",""),IF(N692="","الممول",""),IF(V692="","الموضوع",""),IF(W692="","الملاحظة",""),IF(X692="","مشكلة",""),IF(Y692="","الإجراء",""),IF(Z692="","التنفيذ",""),IF(AA692="","الجودة",""),IF(AB692="","الإغلاق",""),IF(AC692="","الخصم",""),IF(AND(COUNTA($O692:$U692)&gt;0,O692=""),"مدير المشروع",""),IF(AND(COUNTA($O692:$U692)&gt;0,P692=""),"المستفيدين",""),IF(AND(COUNTA($O692:$U692)&gt;0,Q692=""),"المناطق",""),IF(AND(COUNTA($O692:$U692)&gt;0,R692=""),"الميزانية",""),IF(AND(COUNTA($O692:$U692)&gt;0,S692=""),"نسبة الجاهزية",""),IF(AND(COUNTA($O692:$U692)&gt;0,T692=""),"حالة الجاهزية",""),IF(AND(COUNTA($O692:$U692)&gt;0,U692=""),"التوصيات","")),"✓"),"✓"))))))))))</f>
        <v/>
      </c>
      <c r="E692" s="235"/>
      <c r="F692" s="236"/>
      <c r="G692" s="90"/>
      <c r="H692" s="239"/>
      <c r="I692" s="89"/>
      <c r="J692" s="142"/>
      <c r="K692" s="90"/>
      <c r="L692" s="90"/>
      <c r="M692" s="90"/>
      <c r="N692" s="89"/>
      <c r="O692" s="200"/>
      <c r="P692" s="201"/>
      <c r="Q692" s="201"/>
      <c r="R692" s="237"/>
      <c r="S692" s="202"/>
      <c r="T692" s="200"/>
      <c r="U692" s="203"/>
      <c r="V692" s="89"/>
      <c r="W692" s="89"/>
      <c r="X692" s="145"/>
      <c r="Y692" s="89"/>
      <c r="Z692" s="90"/>
      <c r="AA692" s="90"/>
      <c r="AB692" s="90"/>
      <c r="AC692" s="90"/>
      <c r="AD692" s="92"/>
      <c r="AE692" s="149" t="str">
        <f>IFERROR(VLOOKUP(Z692,LISTS!$AL$2:$AM$1000,2,FALSE()),"")</f>
        <v/>
      </c>
      <c r="AF692" s="151" t="str">
        <f>IFERROR(VLOOKUP(AA692,LISTS!$AO$2:$AP$1000,2,FALSE()),"")</f>
        <v/>
      </c>
      <c r="AG692" s="152" t="str">
        <f>IFERROR(VLOOKUP(AB692,LISTS!$AR$2:$AS$1000,2,FALSE()),"")</f>
        <v/>
      </c>
      <c r="AH692" s="154" t="str">
        <f>IFERROR(VLOOKUP(AC692,LISTS!$AU$2:$AV$1000,2,FALSE()),"")</f>
        <v/>
      </c>
      <c r="AI692" s="238" t="str">
        <f t="shared" si="53"/>
        <v>—</v>
      </c>
      <c r="AJ692" s="190" t="str">
        <f t="shared" si="54"/>
        <v>—</v>
      </c>
      <c r="AK692" s="157" t="str">
        <f t="shared" si="55"/>
        <v/>
      </c>
      <c r="AL692" s="160" t="str">
        <f t="shared" si="56"/>
        <v/>
      </c>
      <c r="AM692" s="210"/>
      <c r="AN692" s="209"/>
    </row>
    <row r="693" spans="1:40" ht="27.95" customHeight="1">
      <c r="A693" s="134" t="str">
        <f>IF(I693&lt;&gt;"",COUNTA($I$2:I693),"")</f>
        <v/>
      </c>
      <c r="B693" s="138" t="str">
        <f t="shared" si="57"/>
        <v/>
      </c>
      <c r="C693" s="93" t="str">
        <f t="array" ref="C693">IF(E693="","",IF(M693&lt;&gt;"",
M693&amp;"/"&amp;SUMPRODUCT((M$2:M693=M693)*1)&amp;" - "&amp;(ROW()-2),
"إداري/"&amp;SUMPRODUCT((M$2:M693="")*1)&amp;" - "&amp;(ROW()-2)))</f>
        <v/>
      </c>
      <c r="D693" s="141" t="str">
        <f>IF(AND(G693="",H693="",I693=""),"",IF(COUNTIFS(LISTS!$A$2:$A$67,G693,LISTS!$B$2:$B$67,H693,LISTS!$C$2:$C$67,I693)=0,"✗ هرم",IF(NOT(OR(Z693="ممتاز 100%",Z693="جيد 80%",Z693="مقبول 60%",Z693="خطر 40%",Z693="")),"✗ قائمة R",IF(NOT(OR(AA693="ممتاز 100%",AA693="جيد 85%",AA693="مقبول 70%",AA693="ضعيف 50%",AA693="")),"✗ قائمة S",IF(NOT(OR(AB693="مكتمل 100%",AB693="جزئي 60%",AB693="معلق 30%",AB693="مفتوح 0%",AB693="")),"✗ قائمة T",IF(NOT(OR(AC693="لا خصم 0",AC693="تأخير −5",AC693="عجز −10",AC693="جودة −15",AC693="امتثال −20",AC693="مخالفة −25",AC693="")),"✗ قائمة U",IF(AND(X693="لا",AC693&lt;&gt;"",AC693&lt;&gt;"لا خصم 0"),"✗ خصم",IF(AND(X693="نعم",AC693="لا خصم 0"),"✗ خصم",IF(AND(Z693="ممتاز 100%",AA693="ممتاز 100%",AB693&lt;&gt;"",AB693&lt;&gt;"مكتمل 100%"),"✗ إغلاق",IFERROR(IF(LEN(_xlfn.TEXTJOIN("، ",TRUE,IF(E693="","التاريخ",""),IF(F693="","الوقت",""),IF(G693="","المركز",""),IF(H693="","الدائرة",""),IF(I693="","القسم",""),IF(J693="","المسؤول",""),IF(K693="","نوع النشاط",""),IF(L693="","المشروع",""),IF(N693="","الممول",""),IF(V693="","الموضوع",""),IF(W693="","الملاحظة",""),IF(X693="","مشكلة",""),IF(Y693="","الإجراء",""),IF(Z693="","التنفيذ",""),IF(AA693="","الجودة",""),IF(AB693="","الإغلاق",""),IF(AC693="","الخصم",""),IF(AND(COUNTA($O693:$U693)&gt;0,O693=""),"مدير المشروع",""),IF(AND(COUNTA($O693:$U693)&gt;0,P693=""),"المستفيدين",""),IF(AND(COUNTA($O693:$U693)&gt;0,Q693=""),"المناطق",""),IF(AND(COUNTA($O693:$U693)&gt;0,R693=""),"الميزانية",""),IF(AND(COUNTA($O693:$U693)&gt;0,S693=""),"نسبة الجاهزية",""),IF(AND(COUNTA($O693:$U693)&gt;0,T693=""),"حالة الجاهزية",""),IF(AND(COUNTA($O693:$U693)&gt;0,U693=""),"التوصيات","")))&gt;0,"✗ ناقص: "&amp;_xlfn.TEXTJOIN("، ",TRUE,IF(E693="","التاريخ",""),IF(F693="","الوقت",""),IF(G693="","المركز",""),IF(H693="","الدائرة",""),IF(I693="","القسم",""),IF(J693="","المسؤول",""),IF(K693="","نوع النشاط",""),IF(L693="","المشروع",""),IF(N693="","الممول",""),IF(V693="","الموضوع",""),IF(W693="","الملاحظة",""),IF(X693="","مشكلة",""),IF(Y693="","الإجراء",""),IF(Z693="","التنفيذ",""),IF(AA693="","الجودة",""),IF(AB693="","الإغلاق",""),IF(AC693="","الخصم",""),IF(AND(COUNTA($O693:$U693)&gt;0,O693=""),"مدير المشروع",""),IF(AND(COUNTA($O693:$U693)&gt;0,P693=""),"المستفيدين",""),IF(AND(COUNTA($O693:$U693)&gt;0,Q693=""),"المناطق",""),IF(AND(COUNTA($O693:$U693)&gt;0,R693=""),"الميزانية",""),IF(AND(COUNTA($O693:$U693)&gt;0,S693=""),"نسبة الجاهزية",""),IF(AND(COUNTA($O693:$U693)&gt;0,T693=""),"حالة الجاهزية",""),IF(AND(COUNTA($O693:$U693)&gt;0,U693=""),"التوصيات","")),"✓"),"✓"))))))))))</f>
        <v/>
      </c>
      <c r="E693" s="235"/>
      <c r="F693" s="236"/>
      <c r="G693" s="90"/>
      <c r="H693" s="239"/>
      <c r="I693" s="89"/>
      <c r="J693" s="142"/>
      <c r="K693" s="90"/>
      <c r="L693" s="90"/>
      <c r="M693" s="90"/>
      <c r="N693" s="89"/>
      <c r="O693" s="200"/>
      <c r="P693" s="201"/>
      <c r="Q693" s="201"/>
      <c r="R693" s="237"/>
      <c r="S693" s="202"/>
      <c r="T693" s="200"/>
      <c r="U693" s="203"/>
      <c r="V693" s="89"/>
      <c r="W693" s="89"/>
      <c r="X693" s="145"/>
      <c r="Y693" s="89"/>
      <c r="Z693" s="90"/>
      <c r="AA693" s="90"/>
      <c r="AB693" s="90"/>
      <c r="AC693" s="90"/>
      <c r="AD693" s="92"/>
      <c r="AE693" s="149" t="str">
        <f>IFERROR(VLOOKUP(Z693,LISTS!$AL$2:$AM$1000,2,FALSE()),"")</f>
        <v/>
      </c>
      <c r="AF693" s="151" t="str">
        <f>IFERROR(VLOOKUP(AA693,LISTS!$AO$2:$AP$1000,2,FALSE()),"")</f>
        <v/>
      </c>
      <c r="AG693" s="152" t="str">
        <f>IFERROR(VLOOKUP(AB693,LISTS!$AR$2:$AS$1000,2,FALSE()),"")</f>
        <v/>
      </c>
      <c r="AH693" s="154" t="str">
        <f>IFERROR(VLOOKUP(AC693,LISTS!$AU$2:$AV$1000,2,FALSE()),"")</f>
        <v/>
      </c>
      <c r="AI693" s="238" t="str">
        <f t="shared" si="53"/>
        <v>—</v>
      </c>
      <c r="AJ693" s="190" t="str">
        <f t="shared" si="54"/>
        <v>—</v>
      </c>
      <c r="AK693" s="157" t="str">
        <f t="shared" si="55"/>
        <v/>
      </c>
      <c r="AL693" s="160" t="str">
        <f t="shared" si="56"/>
        <v/>
      </c>
      <c r="AM693" s="210"/>
      <c r="AN693" s="209"/>
    </row>
    <row r="694" spans="1:40" ht="27.95" customHeight="1">
      <c r="A694" s="134" t="str">
        <f>IF(I694&lt;&gt;"",COUNTA($I$2:I694),"")</f>
        <v/>
      </c>
      <c r="B694" s="138" t="str">
        <f t="shared" si="57"/>
        <v/>
      </c>
      <c r="C694" s="93" t="str">
        <f t="array" ref="C694">IF(E694="","",IF(M694&lt;&gt;"",
M694&amp;"/"&amp;SUMPRODUCT((M$2:M694=M694)*1)&amp;" - "&amp;(ROW()-2),
"إداري/"&amp;SUMPRODUCT((M$2:M694="")*1)&amp;" - "&amp;(ROW()-2)))</f>
        <v/>
      </c>
      <c r="D694" s="141" t="str">
        <f>IF(AND(G694="",H694="",I694=""),"",IF(COUNTIFS(LISTS!$A$2:$A$67,G694,LISTS!$B$2:$B$67,H694,LISTS!$C$2:$C$67,I694)=0,"✗ هرم",IF(NOT(OR(Z694="ممتاز 100%",Z694="جيد 80%",Z694="مقبول 60%",Z694="خطر 40%",Z694="")),"✗ قائمة R",IF(NOT(OR(AA694="ممتاز 100%",AA694="جيد 85%",AA694="مقبول 70%",AA694="ضعيف 50%",AA694="")),"✗ قائمة S",IF(NOT(OR(AB694="مكتمل 100%",AB694="جزئي 60%",AB694="معلق 30%",AB694="مفتوح 0%",AB694="")),"✗ قائمة T",IF(NOT(OR(AC694="لا خصم 0",AC694="تأخير −5",AC694="عجز −10",AC694="جودة −15",AC694="امتثال −20",AC694="مخالفة −25",AC694="")),"✗ قائمة U",IF(AND(X694="لا",AC694&lt;&gt;"",AC694&lt;&gt;"لا خصم 0"),"✗ خصم",IF(AND(X694="نعم",AC694="لا خصم 0"),"✗ خصم",IF(AND(Z694="ممتاز 100%",AA694="ممتاز 100%",AB694&lt;&gt;"",AB694&lt;&gt;"مكتمل 100%"),"✗ إغلاق",IFERROR(IF(LEN(_xlfn.TEXTJOIN("، ",TRUE,IF(E694="","التاريخ",""),IF(F694="","الوقت",""),IF(G694="","المركز",""),IF(H694="","الدائرة",""),IF(I694="","القسم",""),IF(J694="","المسؤول",""),IF(K694="","نوع النشاط",""),IF(L694="","المشروع",""),IF(N694="","الممول",""),IF(V694="","الموضوع",""),IF(W694="","الملاحظة",""),IF(X694="","مشكلة",""),IF(Y694="","الإجراء",""),IF(Z694="","التنفيذ",""),IF(AA694="","الجودة",""),IF(AB694="","الإغلاق",""),IF(AC694="","الخصم",""),IF(AND(COUNTA($O694:$U694)&gt;0,O694=""),"مدير المشروع",""),IF(AND(COUNTA($O694:$U694)&gt;0,P694=""),"المستفيدين",""),IF(AND(COUNTA($O694:$U694)&gt;0,Q694=""),"المناطق",""),IF(AND(COUNTA($O694:$U694)&gt;0,R694=""),"الميزانية",""),IF(AND(COUNTA($O694:$U694)&gt;0,S694=""),"نسبة الجاهزية",""),IF(AND(COUNTA($O694:$U694)&gt;0,T694=""),"حالة الجاهزية",""),IF(AND(COUNTA($O694:$U694)&gt;0,U694=""),"التوصيات","")))&gt;0,"✗ ناقص: "&amp;_xlfn.TEXTJOIN("، ",TRUE,IF(E694="","التاريخ",""),IF(F694="","الوقت",""),IF(G694="","المركز",""),IF(H694="","الدائرة",""),IF(I694="","القسم",""),IF(J694="","المسؤول",""),IF(K694="","نوع النشاط",""),IF(L694="","المشروع",""),IF(N694="","الممول",""),IF(V694="","الموضوع",""),IF(W694="","الملاحظة",""),IF(X694="","مشكلة",""),IF(Y694="","الإجراء",""),IF(Z694="","التنفيذ",""),IF(AA694="","الجودة",""),IF(AB694="","الإغلاق",""),IF(AC694="","الخصم",""),IF(AND(COUNTA($O694:$U694)&gt;0,O694=""),"مدير المشروع",""),IF(AND(COUNTA($O694:$U694)&gt;0,P694=""),"المستفيدين",""),IF(AND(COUNTA($O694:$U694)&gt;0,Q694=""),"المناطق",""),IF(AND(COUNTA($O694:$U694)&gt;0,R694=""),"الميزانية",""),IF(AND(COUNTA($O694:$U694)&gt;0,S694=""),"نسبة الجاهزية",""),IF(AND(COUNTA($O694:$U694)&gt;0,T694=""),"حالة الجاهزية",""),IF(AND(COUNTA($O694:$U694)&gt;0,U694=""),"التوصيات","")),"✓"),"✓"))))))))))</f>
        <v/>
      </c>
      <c r="E694" s="235"/>
      <c r="F694" s="236"/>
      <c r="G694" s="90"/>
      <c r="H694" s="239"/>
      <c r="I694" s="89"/>
      <c r="J694" s="142"/>
      <c r="K694" s="90"/>
      <c r="L694" s="90"/>
      <c r="M694" s="90"/>
      <c r="N694" s="89"/>
      <c r="O694" s="200"/>
      <c r="P694" s="201"/>
      <c r="Q694" s="201"/>
      <c r="R694" s="237"/>
      <c r="S694" s="202"/>
      <c r="T694" s="200"/>
      <c r="U694" s="203"/>
      <c r="V694" s="89"/>
      <c r="W694" s="89"/>
      <c r="X694" s="145"/>
      <c r="Y694" s="89"/>
      <c r="Z694" s="90"/>
      <c r="AA694" s="90"/>
      <c r="AB694" s="90"/>
      <c r="AC694" s="90"/>
      <c r="AD694" s="92"/>
      <c r="AE694" s="149" t="str">
        <f>IFERROR(VLOOKUP(Z694,LISTS!$AL$2:$AM$1000,2,FALSE()),"")</f>
        <v/>
      </c>
      <c r="AF694" s="151" t="str">
        <f>IFERROR(VLOOKUP(AA694,LISTS!$AO$2:$AP$1000,2,FALSE()),"")</f>
        <v/>
      </c>
      <c r="AG694" s="152" t="str">
        <f>IFERROR(VLOOKUP(AB694,LISTS!$AR$2:$AS$1000,2,FALSE()),"")</f>
        <v/>
      </c>
      <c r="AH694" s="154" t="str">
        <f>IFERROR(VLOOKUP(AC694,LISTS!$AU$2:$AV$1000,2,FALSE()),"")</f>
        <v/>
      </c>
      <c r="AI694" s="238" t="str">
        <f t="shared" si="53"/>
        <v>—</v>
      </c>
      <c r="AJ694" s="190" t="str">
        <f t="shared" si="54"/>
        <v>—</v>
      </c>
      <c r="AK694" s="157" t="str">
        <f t="shared" si="55"/>
        <v/>
      </c>
      <c r="AL694" s="160" t="str">
        <f t="shared" si="56"/>
        <v/>
      </c>
      <c r="AM694" s="210"/>
      <c r="AN694" s="209"/>
    </row>
    <row r="695" spans="1:40" ht="27.95" customHeight="1">
      <c r="A695" s="134" t="str">
        <f>IF(I695&lt;&gt;"",COUNTA($I$2:I695),"")</f>
        <v/>
      </c>
      <c r="B695" s="138" t="str">
        <f t="shared" si="57"/>
        <v/>
      </c>
      <c r="C695" s="93" t="str">
        <f t="array" ref="C695">IF(E695="","",IF(M695&lt;&gt;"",
M695&amp;"/"&amp;SUMPRODUCT((M$2:M695=M695)*1)&amp;" - "&amp;(ROW()-2),
"إداري/"&amp;SUMPRODUCT((M$2:M695="")*1)&amp;" - "&amp;(ROW()-2)))</f>
        <v/>
      </c>
      <c r="D695" s="141" t="str">
        <f>IF(AND(G695="",H695="",I695=""),"",IF(COUNTIFS(LISTS!$A$2:$A$67,G695,LISTS!$B$2:$B$67,H695,LISTS!$C$2:$C$67,I695)=0,"✗ هرم",IF(NOT(OR(Z695="ممتاز 100%",Z695="جيد 80%",Z695="مقبول 60%",Z695="خطر 40%",Z695="")),"✗ قائمة R",IF(NOT(OR(AA695="ممتاز 100%",AA695="جيد 85%",AA695="مقبول 70%",AA695="ضعيف 50%",AA695="")),"✗ قائمة S",IF(NOT(OR(AB695="مكتمل 100%",AB695="جزئي 60%",AB695="معلق 30%",AB695="مفتوح 0%",AB695="")),"✗ قائمة T",IF(NOT(OR(AC695="لا خصم 0",AC695="تأخير −5",AC695="عجز −10",AC695="جودة −15",AC695="امتثال −20",AC695="مخالفة −25",AC695="")),"✗ قائمة U",IF(AND(X695="لا",AC695&lt;&gt;"",AC695&lt;&gt;"لا خصم 0"),"✗ خصم",IF(AND(X695="نعم",AC695="لا خصم 0"),"✗ خصم",IF(AND(Z695="ممتاز 100%",AA695="ممتاز 100%",AB695&lt;&gt;"",AB695&lt;&gt;"مكتمل 100%"),"✗ إغلاق",IFERROR(IF(LEN(_xlfn.TEXTJOIN("، ",TRUE,IF(E695="","التاريخ",""),IF(F695="","الوقت",""),IF(G695="","المركز",""),IF(H695="","الدائرة",""),IF(I695="","القسم",""),IF(J695="","المسؤول",""),IF(K695="","نوع النشاط",""),IF(L695="","المشروع",""),IF(N695="","الممول",""),IF(V695="","الموضوع",""),IF(W695="","الملاحظة",""),IF(X695="","مشكلة",""),IF(Y695="","الإجراء",""),IF(Z695="","التنفيذ",""),IF(AA695="","الجودة",""),IF(AB695="","الإغلاق",""),IF(AC695="","الخصم",""),IF(AND(COUNTA($O695:$U695)&gt;0,O695=""),"مدير المشروع",""),IF(AND(COUNTA($O695:$U695)&gt;0,P695=""),"المستفيدين",""),IF(AND(COUNTA($O695:$U695)&gt;0,Q695=""),"المناطق",""),IF(AND(COUNTA($O695:$U695)&gt;0,R695=""),"الميزانية",""),IF(AND(COUNTA($O695:$U695)&gt;0,S695=""),"نسبة الجاهزية",""),IF(AND(COUNTA($O695:$U695)&gt;0,T695=""),"حالة الجاهزية",""),IF(AND(COUNTA($O695:$U695)&gt;0,U695=""),"التوصيات","")))&gt;0,"✗ ناقص: "&amp;_xlfn.TEXTJOIN("، ",TRUE,IF(E695="","التاريخ",""),IF(F695="","الوقت",""),IF(G695="","المركز",""),IF(H695="","الدائرة",""),IF(I695="","القسم",""),IF(J695="","المسؤول",""),IF(K695="","نوع النشاط",""),IF(L695="","المشروع",""),IF(N695="","الممول",""),IF(V695="","الموضوع",""),IF(W695="","الملاحظة",""),IF(X695="","مشكلة",""),IF(Y695="","الإجراء",""),IF(Z695="","التنفيذ",""),IF(AA695="","الجودة",""),IF(AB695="","الإغلاق",""),IF(AC695="","الخصم",""),IF(AND(COUNTA($O695:$U695)&gt;0,O695=""),"مدير المشروع",""),IF(AND(COUNTA($O695:$U695)&gt;0,P695=""),"المستفيدين",""),IF(AND(COUNTA($O695:$U695)&gt;0,Q695=""),"المناطق",""),IF(AND(COUNTA($O695:$U695)&gt;0,R695=""),"الميزانية",""),IF(AND(COUNTA($O695:$U695)&gt;0,S695=""),"نسبة الجاهزية",""),IF(AND(COUNTA($O695:$U695)&gt;0,T695=""),"حالة الجاهزية",""),IF(AND(COUNTA($O695:$U695)&gt;0,U695=""),"التوصيات","")),"✓"),"✓"))))))))))</f>
        <v/>
      </c>
      <c r="E695" s="235"/>
      <c r="F695" s="236"/>
      <c r="G695" s="90"/>
      <c r="H695" s="239"/>
      <c r="I695" s="89"/>
      <c r="J695" s="142"/>
      <c r="K695" s="90"/>
      <c r="L695" s="90"/>
      <c r="M695" s="90"/>
      <c r="N695" s="89"/>
      <c r="O695" s="200"/>
      <c r="P695" s="201"/>
      <c r="Q695" s="201"/>
      <c r="R695" s="237"/>
      <c r="S695" s="202"/>
      <c r="T695" s="200"/>
      <c r="U695" s="203"/>
      <c r="V695" s="89"/>
      <c r="W695" s="89"/>
      <c r="X695" s="145"/>
      <c r="Y695" s="89"/>
      <c r="Z695" s="90"/>
      <c r="AA695" s="90"/>
      <c r="AB695" s="90"/>
      <c r="AC695" s="90"/>
      <c r="AD695" s="92"/>
      <c r="AE695" s="149" t="str">
        <f>IFERROR(VLOOKUP(Z695,LISTS!$AL$2:$AM$1000,2,FALSE()),"")</f>
        <v/>
      </c>
      <c r="AF695" s="151" t="str">
        <f>IFERROR(VLOOKUP(AA695,LISTS!$AO$2:$AP$1000,2,FALSE()),"")</f>
        <v/>
      </c>
      <c r="AG695" s="152" t="str">
        <f>IFERROR(VLOOKUP(AB695,LISTS!$AR$2:$AS$1000,2,FALSE()),"")</f>
        <v/>
      </c>
      <c r="AH695" s="154" t="str">
        <f>IFERROR(VLOOKUP(AC695,LISTS!$AU$2:$AV$1000,2,FALSE()),"")</f>
        <v/>
      </c>
      <c r="AI695" s="238" t="str">
        <f t="shared" si="53"/>
        <v>—</v>
      </c>
      <c r="AJ695" s="190" t="str">
        <f t="shared" si="54"/>
        <v>—</v>
      </c>
      <c r="AK695" s="157" t="str">
        <f t="shared" si="55"/>
        <v/>
      </c>
      <c r="AL695" s="160" t="str">
        <f t="shared" si="56"/>
        <v/>
      </c>
      <c r="AM695" s="210"/>
      <c r="AN695" s="209"/>
    </row>
    <row r="696" spans="1:40" ht="27.95" customHeight="1">
      <c r="A696" s="134" t="str">
        <f>IF(I696&lt;&gt;"",COUNTA($I$2:I696),"")</f>
        <v/>
      </c>
      <c r="B696" s="138" t="str">
        <f t="shared" si="57"/>
        <v/>
      </c>
      <c r="C696" s="93" t="str">
        <f t="array" ref="C696">IF(E696="","",IF(M696&lt;&gt;"",
M696&amp;"/"&amp;SUMPRODUCT((M$2:M696=M696)*1)&amp;" - "&amp;(ROW()-2),
"إداري/"&amp;SUMPRODUCT((M$2:M696="")*1)&amp;" - "&amp;(ROW()-2)))</f>
        <v/>
      </c>
      <c r="D696" s="141" t="str">
        <f>IF(AND(G696="",H696="",I696=""),"",IF(COUNTIFS(LISTS!$A$2:$A$67,G696,LISTS!$B$2:$B$67,H696,LISTS!$C$2:$C$67,I696)=0,"✗ هرم",IF(NOT(OR(Z696="ممتاز 100%",Z696="جيد 80%",Z696="مقبول 60%",Z696="خطر 40%",Z696="")),"✗ قائمة R",IF(NOT(OR(AA696="ممتاز 100%",AA696="جيد 85%",AA696="مقبول 70%",AA696="ضعيف 50%",AA696="")),"✗ قائمة S",IF(NOT(OR(AB696="مكتمل 100%",AB696="جزئي 60%",AB696="معلق 30%",AB696="مفتوح 0%",AB696="")),"✗ قائمة T",IF(NOT(OR(AC696="لا خصم 0",AC696="تأخير −5",AC696="عجز −10",AC696="جودة −15",AC696="امتثال −20",AC696="مخالفة −25",AC696="")),"✗ قائمة U",IF(AND(X696="لا",AC696&lt;&gt;"",AC696&lt;&gt;"لا خصم 0"),"✗ خصم",IF(AND(X696="نعم",AC696="لا خصم 0"),"✗ خصم",IF(AND(Z696="ممتاز 100%",AA696="ممتاز 100%",AB696&lt;&gt;"",AB696&lt;&gt;"مكتمل 100%"),"✗ إغلاق",IFERROR(IF(LEN(_xlfn.TEXTJOIN("، ",TRUE,IF(E696="","التاريخ",""),IF(F696="","الوقت",""),IF(G696="","المركز",""),IF(H696="","الدائرة",""),IF(I696="","القسم",""),IF(J696="","المسؤول",""),IF(K696="","نوع النشاط",""),IF(L696="","المشروع",""),IF(N696="","الممول",""),IF(V696="","الموضوع",""),IF(W696="","الملاحظة",""),IF(X696="","مشكلة",""),IF(Y696="","الإجراء",""),IF(Z696="","التنفيذ",""),IF(AA696="","الجودة",""),IF(AB696="","الإغلاق",""),IF(AC696="","الخصم",""),IF(AND(COUNTA($O696:$U696)&gt;0,O696=""),"مدير المشروع",""),IF(AND(COUNTA($O696:$U696)&gt;0,P696=""),"المستفيدين",""),IF(AND(COUNTA($O696:$U696)&gt;0,Q696=""),"المناطق",""),IF(AND(COUNTA($O696:$U696)&gt;0,R696=""),"الميزانية",""),IF(AND(COUNTA($O696:$U696)&gt;0,S696=""),"نسبة الجاهزية",""),IF(AND(COUNTA($O696:$U696)&gt;0,T696=""),"حالة الجاهزية",""),IF(AND(COUNTA($O696:$U696)&gt;0,U696=""),"التوصيات","")))&gt;0,"✗ ناقص: "&amp;_xlfn.TEXTJOIN("، ",TRUE,IF(E696="","التاريخ",""),IF(F696="","الوقت",""),IF(G696="","المركز",""),IF(H696="","الدائرة",""),IF(I696="","القسم",""),IF(J696="","المسؤول",""),IF(K696="","نوع النشاط",""),IF(L696="","المشروع",""),IF(N696="","الممول",""),IF(V696="","الموضوع",""),IF(W696="","الملاحظة",""),IF(X696="","مشكلة",""),IF(Y696="","الإجراء",""),IF(Z696="","التنفيذ",""),IF(AA696="","الجودة",""),IF(AB696="","الإغلاق",""),IF(AC696="","الخصم",""),IF(AND(COUNTA($O696:$U696)&gt;0,O696=""),"مدير المشروع",""),IF(AND(COUNTA($O696:$U696)&gt;0,P696=""),"المستفيدين",""),IF(AND(COUNTA($O696:$U696)&gt;0,Q696=""),"المناطق",""),IF(AND(COUNTA($O696:$U696)&gt;0,R696=""),"الميزانية",""),IF(AND(COUNTA($O696:$U696)&gt;0,S696=""),"نسبة الجاهزية",""),IF(AND(COUNTA($O696:$U696)&gt;0,T696=""),"حالة الجاهزية",""),IF(AND(COUNTA($O696:$U696)&gt;0,U696=""),"التوصيات","")),"✓"),"✓"))))))))))</f>
        <v/>
      </c>
      <c r="E696" s="235"/>
      <c r="F696" s="236"/>
      <c r="G696" s="90"/>
      <c r="H696" s="239"/>
      <c r="I696" s="89"/>
      <c r="J696" s="142"/>
      <c r="K696" s="90"/>
      <c r="L696" s="90"/>
      <c r="M696" s="90"/>
      <c r="N696" s="89"/>
      <c r="O696" s="200"/>
      <c r="P696" s="201"/>
      <c r="Q696" s="201"/>
      <c r="R696" s="237"/>
      <c r="S696" s="202"/>
      <c r="T696" s="200"/>
      <c r="U696" s="203"/>
      <c r="V696" s="89"/>
      <c r="W696" s="89"/>
      <c r="X696" s="145"/>
      <c r="Y696" s="89"/>
      <c r="Z696" s="90"/>
      <c r="AA696" s="90"/>
      <c r="AB696" s="90"/>
      <c r="AC696" s="90"/>
      <c r="AD696" s="92"/>
      <c r="AE696" s="149" t="str">
        <f>IFERROR(VLOOKUP(Z696,LISTS!$AL$2:$AM$1000,2,FALSE()),"")</f>
        <v/>
      </c>
      <c r="AF696" s="151" t="str">
        <f>IFERROR(VLOOKUP(AA696,LISTS!$AO$2:$AP$1000,2,FALSE()),"")</f>
        <v/>
      </c>
      <c r="AG696" s="152" t="str">
        <f>IFERROR(VLOOKUP(AB696,LISTS!$AR$2:$AS$1000,2,FALSE()),"")</f>
        <v/>
      </c>
      <c r="AH696" s="154" t="str">
        <f>IFERROR(VLOOKUP(AC696,LISTS!$AU$2:$AV$1000,2,FALSE()),"")</f>
        <v/>
      </c>
      <c r="AI696" s="238" t="str">
        <f t="shared" si="53"/>
        <v>—</v>
      </c>
      <c r="AJ696" s="190" t="str">
        <f t="shared" si="54"/>
        <v>—</v>
      </c>
      <c r="AK696" s="157" t="str">
        <f t="shared" si="55"/>
        <v/>
      </c>
      <c r="AL696" s="160" t="str">
        <f t="shared" si="56"/>
        <v/>
      </c>
      <c r="AM696" s="210"/>
      <c r="AN696" s="209"/>
    </row>
    <row r="697" spans="1:40" ht="27.95" customHeight="1">
      <c r="A697" s="134" t="str">
        <f>IF(I697&lt;&gt;"",COUNTA($I$2:I697),"")</f>
        <v/>
      </c>
      <c r="B697" s="138" t="str">
        <f t="shared" si="57"/>
        <v/>
      </c>
      <c r="C697" s="93" t="str">
        <f t="array" ref="C697">IF(E697="","",IF(M697&lt;&gt;"",
M697&amp;"/"&amp;SUMPRODUCT((M$2:M697=M697)*1)&amp;" - "&amp;(ROW()-2),
"إداري/"&amp;SUMPRODUCT((M$2:M697="")*1)&amp;" - "&amp;(ROW()-2)))</f>
        <v/>
      </c>
      <c r="D697" s="141" t="str">
        <f>IF(AND(G697="",H697="",I697=""),"",IF(COUNTIFS(LISTS!$A$2:$A$67,G697,LISTS!$B$2:$B$67,H697,LISTS!$C$2:$C$67,I697)=0,"✗ هرم",IF(NOT(OR(Z697="ممتاز 100%",Z697="جيد 80%",Z697="مقبول 60%",Z697="خطر 40%",Z697="")),"✗ قائمة R",IF(NOT(OR(AA697="ممتاز 100%",AA697="جيد 85%",AA697="مقبول 70%",AA697="ضعيف 50%",AA697="")),"✗ قائمة S",IF(NOT(OR(AB697="مكتمل 100%",AB697="جزئي 60%",AB697="معلق 30%",AB697="مفتوح 0%",AB697="")),"✗ قائمة T",IF(NOT(OR(AC697="لا خصم 0",AC697="تأخير −5",AC697="عجز −10",AC697="جودة −15",AC697="امتثال −20",AC697="مخالفة −25",AC697="")),"✗ قائمة U",IF(AND(X697="لا",AC697&lt;&gt;"",AC697&lt;&gt;"لا خصم 0"),"✗ خصم",IF(AND(X697="نعم",AC697="لا خصم 0"),"✗ خصم",IF(AND(Z697="ممتاز 100%",AA697="ممتاز 100%",AB697&lt;&gt;"",AB697&lt;&gt;"مكتمل 100%"),"✗ إغلاق",IFERROR(IF(LEN(_xlfn.TEXTJOIN("، ",TRUE,IF(E697="","التاريخ",""),IF(F697="","الوقت",""),IF(G697="","المركز",""),IF(H697="","الدائرة",""),IF(I697="","القسم",""),IF(J697="","المسؤول",""),IF(K697="","نوع النشاط",""),IF(L697="","المشروع",""),IF(N697="","الممول",""),IF(V697="","الموضوع",""),IF(W697="","الملاحظة",""),IF(X697="","مشكلة",""),IF(Y697="","الإجراء",""),IF(Z697="","التنفيذ",""),IF(AA697="","الجودة",""),IF(AB697="","الإغلاق",""),IF(AC697="","الخصم",""),IF(AND(COUNTA($O697:$U697)&gt;0,O697=""),"مدير المشروع",""),IF(AND(COUNTA($O697:$U697)&gt;0,P697=""),"المستفيدين",""),IF(AND(COUNTA($O697:$U697)&gt;0,Q697=""),"المناطق",""),IF(AND(COUNTA($O697:$U697)&gt;0,R697=""),"الميزانية",""),IF(AND(COUNTA($O697:$U697)&gt;0,S697=""),"نسبة الجاهزية",""),IF(AND(COUNTA($O697:$U697)&gt;0,T697=""),"حالة الجاهزية",""),IF(AND(COUNTA($O697:$U697)&gt;0,U697=""),"التوصيات","")))&gt;0,"✗ ناقص: "&amp;_xlfn.TEXTJOIN("، ",TRUE,IF(E697="","التاريخ",""),IF(F697="","الوقت",""),IF(G697="","المركز",""),IF(H697="","الدائرة",""),IF(I697="","القسم",""),IF(J697="","المسؤول",""),IF(K697="","نوع النشاط",""),IF(L697="","المشروع",""),IF(N697="","الممول",""),IF(V697="","الموضوع",""),IF(W697="","الملاحظة",""),IF(X697="","مشكلة",""),IF(Y697="","الإجراء",""),IF(Z697="","التنفيذ",""),IF(AA697="","الجودة",""),IF(AB697="","الإغلاق",""),IF(AC697="","الخصم",""),IF(AND(COUNTA($O697:$U697)&gt;0,O697=""),"مدير المشروع",""),IF(AND(COUNTA($O697:$U697)&gt;0,P697=""),"المستفيدين",""),IF(AND(COUNTA($O697:$U697)&gt;0,Q697=""),"المناطق",""),IF(AND(COUNTA($O697:$U697)&gt;0,R697=""),"الميزانية",""),IF(AND(COUNTA($O697:$U697)&gt;0,S697=""),"نسبة الجاهزية",""),IF(AND(COUNTA($O697:$U697)&gt;0,T697=""),"حالة الجاهزية",""),IF(AND(COUNTA($O697:$U697)&gt;0,U697=""),"التوصيات","")),"✓"),"✓"))))))))))</f>
        <v/>
      </c>
      <c r="E697" s="235"/>
      <c r="F697" s="236"/>
      <c r="G697" s="90"/>
      <c r="H697" s="239"/>
      <c r="I697" s="89"/>
      <c r="J697" s="142"/>
      <c r="K697" s="90"/>
      <c r="L697" s="90"/>
      <c r="M697" s="90"/>
      <c r="N697" s="89"/>
      <c r="O697" s="200"/>
      <c r="P697" s="201"/>
      <c r="Q697" s="201"/>
      <c r="R697" s="237"/>
      <c r="S697" s="202"/>
      <c r="T697" s="200"/>
      <c r="U697" s="203"/>
      <c r="V697" s="89"/>
      <c r="W697" s="89"/>
      <c r="X697" s="145"/>
      <c r="Y697" s="89"/>
      <c r="Z697" s="90"/>
      <c r="AA697" s="90"/>
      <c r="AB697" s="90"/>
      <c r="AC697" s="90"/>
      <c r="AD697" s="92"/>
      <c r="AE697" s="149" t="str">
        <f>IFERROR(VLOOKUP(Z697,LISTS!$AL$2:$AM$1000,2,FALSE()),"")</f>
        <v/>
      </c>
      <c r="AF697" s="151" t="str">
        <f>IFERROR(VLOOKUP(AA697,LISTS!$AO$2:$AP$1000,2,FALSE()),"")</f>
        <v/>
      </c>
      <c r="AG697" s="152" t="str">
        <f>IFERROR(VLOOKUP(AB697,LISTS!$AR$2:$AS$1000,2,FALSE()),"")</f>
        <v/>
      </c>
      <c r="AH697" s="154" t="str">
        <f>IFERROR(VLOOKUP(AC697,LISTS!$AU$2:$AV$1000,2,FALSE()),"")</f>
        <v/>
      </c>
      <c r="AI697" s="238" t="str">
        <f t="shared" si="53"/>
        <v>—</v>
      </c>
      <c r="AJ697" s="190" t="str">
        <f t="shared" si="54"/>
        <v>—</v>
      </c>
      <c r="AK697" s="157" t="str">
        <f t="shared" si="55"/>
        <v/>
      </c>
      <c r="AL697" s="160" t="str">
        <f t="shared" si="56"/>
        <v/>
      </c>
      <c r="AM697" s="210"/>
      <c r="AN697" s="209"/>
    </row>
    <row r="698" spans="1:40" ht="27.95" customHeight="1">
      <c r="A698" s="134" t="str">
        <f>IF(I698&lt;&gt;"",COUNTA($I$2:I698),"")</f>
        <v/>
      </c>
      <c r="B698" s="138" t="str">
        <f t="shared" si="57"/>
        <v/>
      </c>
      <c r="C698" s="93" t="str">
        <f t="array" ref="C698">IF(E698="","",IF(M698&lt;&gt;"",
M698&amp;"/"&amp;SUMPRODUCT((M$2:M698=M698)*1)&amp;" - "&amp;(ROW()-2),
"إداري/"&amp;SUMPRODUCT((M$2:M698="")*1)&amp;" - "&amp;(ROW()-2)))</f>
        <v/>
      </c>
      <c r="D698" s="141" t="str">
        <f>IF(AND(G698="",H698="",I698=""),"",IF(COUNTIFS(LISTS!$A$2:$A$67,G698,LISTS!$B$2:$B$67,H698,LISTS!$C$2:$C$67,I698)=0,"✗ هرم",IF(NOT(OR(Z698="ممتاز 100%",Z698="جيد 80%",Z698="مقبول 60%",Z698="خطر 40%",Z698="")),"✗ قائمة R",IF(NOT(OR(AA698="ممتاز 100%",AA698="جيد 85%",AA698="مقبول 70%",AA698="ضعيف 50%",AA698="")),"✗ قائمة S",IF(NOT(OR(AB698="مكتمل 100%",AB698="جزئي 60%",AB698="معلق 30%",AB698="مفتوح 0%",AB698="")),"✗ قائمة T",IF(NOT(OR(AC698="لا خصم 0",AC698="تأخير −5",AC698="عجز −10",AC698="جودة −15",AC698="امتثال −20",AC698="مخالفة −25",AC698="")),"✗ قائمة U",IF(AND(X698="لا",AC698&lt;&gt;"",AC698&lt;&gt;"لا خصم 0"),"✗ خصم",IF(AND(X698="نعم",AC698="لا خصم 0"),"✗ خصم",IF(AND(Z698="ممتاز 100%",AA698="ممتاز 100%",AB698&lt;&gt;"",AB698&lt;&gt;"مكتمل 100%"),"✗ إغلاق",IFERROR(IF(LEN(_xlfn.TEXTJOIN("، ",TRUE,IF(E698="","التاريخ",""),IF(F698="","الوقت",""),IF(G698="","المركز",""),IF(H698="","الدائرة",""),IF(I698="","القسم",""),IF(J698="","المسؤول",""),IF(K698="","نوع النشاط",""),IF(L698="","المشروع",""),IF(N698="","الممول",""),IF(V698="","الموضوع",""),IF(W698="","الملاحظة",""),IF(X698="","مشكلة",""),IF(Y698="","الإجراء",""),IF(Z698="","التنفيذ",""),IF(AA698="","الجودة",""),IF(AB698="","الإغلاق",""),IF(AC698="","الخصم",""),IF(AND(COUNTA($O698:$U698)&gt;0,O698=""),"مدير المشروع",""),IF(AND(COUNTA($O698:$U698)&gt;0,P698=""),"المستفيدين",""),IF(AND(COUNTA($O698:$U698)&gt;0,Q698=""),"المناطق",""),IF(AND(COUNTA($O698:$U698)&gt;0,R698=""),"الميزانية",""),IF(AND(COUNTA($O698:$U698)&gt;0,S698=""),"نسبة الجاهزية",""),IF(AND(COUNTA($O698:$U698)&gt;0,T698=""),"حالة الجاهزية",""),IF(AND(COUNTA($O698:$U698)&gt;0,U698=""),"التوصيات","")))&gt;0,"✗ ناقص: "&amp;_xlfn.TEXTJOIN("، ",TRUE,IF(E698="","التاريخ",""),IF(F698="","الوقت",""),IF(G698="","المركز",""),IF(H698="","الدائرة",""),IF(I698="","القسم",""),IF(J698="","المسؤول",""),IF(K698="","نوع النشاط",""),IF(L698="","المشروع",""),IF(N698="","الممول",""),IF(V698="","الموضوع",""),IF(W698="","الملاحظة",""),IF(X698="","مشكلة",""),IF(Y698="","الإجراء",""),IF(Z698="","التنفيذ",""),IF(AA698="","الجودة",""),IF(AB698="","الإغلاق",""),IF(AC698="","الخصم",""),IF(AND(COUNTA($O698:$U698)&gt;0,O698=""),"مدير المشروع",""),IF(AND(COUNTA($O698:$U698)&gt;0,P698=""),"المستفيدين",""),IF(AND(COUNTA($O698:$U698)&gt;0,Q698=""),"المناطق",""),IF(AND(COUNTA($O698:$U698)&gt;0,R698=""),"الميزانية",""),IF(AND(COUNTA($O698:$U698)&gt;0,S698=""),"نسبة الجاهزية",""),IF(AND(COUNTA($O698:$U698)&gt;0,T698=""),"حالة الجاهزية",""),IF(AND(COUNTA($O698:$U698)&gt;0,U698=""),"التوصيات","")),"✓"),"✓"))))))))))</f>
        <v/>
      </c>
      <c r="E698" s="235"/>
      <c r="F698" s="236"/>
      <c r="G698" s="90"/>
      <c r="H698" s="239"/>
      <c r="I698" s="89"/>
      <c r="J698" s="142"/>
      <c r="K698" s="90"/>
      <c r="L698" s="90"/>
      <c r="M698" s="90"/>
      <c r="N698" s="89"/>
      <c r="O698" s="200"/>
      <c r="P698" s="201"/>
      <c r="Q698" s="201"/>
      <c r="R698" s="237"/>
      <c r="S698" s="202"/>
      <c r="T698" s="200"/>
      <c r="U698" s="203"/>
      <c r="V698" s="89"/>
      <c r="W698" s="89"/>
      <c r="X698" s="145"/>
      <c r="Y698" s="89"/>
      <c r="Z698" s="90"/>
      <c r="AA698" s="90"/>
      <c r="AB698" s="90"/>
      <c r="AC698" s="90"/>
      <c r="AD698" s="92"/>
      <c r="AE698" s="149" t="str">
        <f>IFERROR(VLOOKUP(Z698,LISTS!$AL$2:$AM$1000,2,FALSE()),"")</f>
        <v/>
      </c>
      <c r="AF698" s="151" t="str">
        <f>IFERROR(VLOOKUP(AA698,LISTS!$AO$2:$AP$1000,2,FALSE()),"")</f>
        <v/>
      </c>
      <c r="AG698" s="152" t="str">
        <f>IFERROR(VLOOKUP(AB698,LISTS!$AR$2:$AS$1000,2,FALSE()),"")</f>
        <v/>
      </c>
      <c r="AH698" s="154" t="str">
        <f>IFERROR(VLOOKUP(AC698,LISTS!$AU$2:$AV$1000,2,FALSE()),"")</f>
        <v/>
      </c>
      <c r="AI698" s="238" t="str">
        <f t="shared" si="53"/>
        <v>—</v>
      </c>
      <c r="AJ698" s="190" t="str">
        <f t="shared" si="54"/>
        <v>—</v>
      </c>
      <c r="AK698" s="157" t="str">
        <f t="shared" si="55"/>
        <v/>
      </c>
      <c r="AL698" s="160" t="str">
        <f t="shared" si="56"/>
        <v/>
      </c>
      <c r="AM698" s="210"/>
      <c r="AN698" s="209"/>
    </row>
    <row r="699" spans="1:40" ht="27.95" customHeight="1">
      <c r="A699" s="134" t="str">
        <f>IF(I699&lt;&gt;"",COUNTA($I$2:I699),"")</f>
        <v/>
      </c>
      <c r="B699" s="138" t="str">
        <f t="shared" si="57"/>
        <v/>
      </c>
      <c r="C699" s="93" t="str">
        <f t="array" ref="C699">IF(E699="","",IF(M699&lt;&gt;"",
M699&amp;"/"&amp;SUMPRODUCT((M$2:M699=M699)*1)&amp;" - "&amp;(ROW()-2),
"إداري/"&amp;SUMPRODUCT((M$2:M699="")*1)&amp;" - "&amp;(ROW()-2)))</f>
        <v/>
      </c>
      <c r="D699" s="141" t="str">
        <f>IF(AND(G699="",H699="",I699=""),"",IF(COUNTIFS(LISTS!$A$2:$A$67,G699,LISTS!$B$2:$B$67,H699,LISTS!$C$2:$C$67,I699)=0,"✗ هرم",IF(NOT(OR(Z699="ممتاز 100%",Z699="جيد 80%",Z699="مقبول 60%",Z699="خطر 40%",Z699="")),"✗ قائمة R",IF(NOT(OR(AA699="ممتاز 100%",AA699="جيد 85%",AA699="مقبول 70%",AA699="ضعيف 50%",AA699="")),"✗ قائمة S",IF(NOT(OR(AB699="مكتمل 100%",AB699="جزئي 60%",AB699="معلق 30%",AB699="مفتوح 0%",AB699="")),"✗ قائمة T",IF(NOT(OR(AC699="لا خصم 0",AC699="تأخير −5",AC699="عجز −10",AC699="جودة −15",AC699="امتثال −20",AC699="مخالفة −25",AC699="")),"✗ قائمة U",IF(AND(X699="لا",AC699&lt;&gt;"",AC699&lt;&gt;"لا خصم 0"),"✗ خصم",IF(AND(X699="نعم",AC699="لا خصم 0"),"✗ خصم",IF(AND(Z699="ممتاز 100%",AA699="ممتاز 100%",AB699&lt;&gt;"",AB699&lt;&gt;"مكتمل 100%"),"✗ إغلاق",IFERROR(IF(LEN(_xlfn.TEXTJOIN("، ",TRUE,IF(E699="","التاريخ",""),IF(F699="","الوقت",""),IF(G699="","المركز",""),IF(H699="","الدائرة",""),IF(I699="","القسم",""),IF(J699="","المسؤول",""),IF(K699="","نوع النشاط",""),IF(L699="","المشروع",""),IF(N699="","الممول",""),IF(V699="","الموضوع",""),IF(W699="","الملاحظة",""),IF(X699="","مشكلة",""),IF(Y699="","الإجراء",""),IF(Z699="","التنفيذ",""),IF(AA699="","الجودة",""),IF(AB699="","الإغلاق",""),IF(AC699="","الخصم",""),IF(AND(COUNTA($O699:$U699)&gt;0,O699=""),"مدير المشروع",""),IF(AND(COUNTA($O699:$U699)&gt;0,P699=""),"المستفيدين",""),IF(AND(COUNTA($O699:$U699)&gt;0,Q699=""),"المناطق",""),IF(AND(COUNTA($O699:$U699)&gt;0,R699=""),"الميزانية",""),IF(AND(COUNTA($O699:$U699)&gt;0,S699=""),"نسبة الجاهزية",""),IF(AND(COUNTA($O699:$U699)&gt;0,T699=""),"حالة الجاهزية",""),IF(AND(COUNTA($O699:$U699)&gt;0,U699=""),"التوصيات","")))&gt;0,"✗ ناقص: "&amp;_xlfn.TEXTJOIN("، ",TRUE,IF(E699="","التاريخ",""),IF(F699="","الوقت",""),IF(G699="","المركز",""),IF(H699="","الدائرة",""),IF(I699="","القسم",""),IF(J699="","المسؤول",""),IF(K699="","نوع النشاط",""),IF(L699="","المشروع",""),IF(N699="","الممول",""),IF(V699="","الموضوع",""),IF(W699="","الملاحظة",""),IF(X699="","مشكلة",""),IF(Y699="","الإجراء",""),IF(Z699="","التنفيذ",""),IF(AA699="","الجودة",""),IF(AB699="","الإغلاق",""),IF(AC699="","الخصم",""),IF(AND(COUNTA($O699:$U699)&gt;0,O699=""),"مدير المشروع",""),IF(AND(COUNTA($O699:$U699)&gt;0,P699=""),"المستفيدين",""),IF(AND(COUNTA($O699:$U699)&gt;0,Q699=""),"المناطق",""),IF(AND(COUNTA($O699:$U699)&gt;0,R699=""),"الميزانية",""),IF(AND(COUNTA($O699:$U699)&gt;0,S699=""),"نسبة الجاهزية",""),IF(AND(COUNTA($O699:$U699)&gt;0,T699=""),"حالة الجاهزية",""),IF(AND(COUNTA($O699:$U699)&gt;0,U699=""),"التوصيات","")),"✓"),"✓"))))))))))</f>
        <v/>
      </c>
      <c r="E699" s="235"/>
      <c r="F699" s="236"/>
      <c r="G699" s="90"/>
      <c r="H699" s="239"/>
      <c r="I699" s="89"/>
      <c r="J699" s="142"/>
      <c r="K699" s="90"/>
      <c r="L699" s="90"/>
      <c r="M699" s="90"/>
      <c r="N699" s="89"/>
      <c r="O699" s="200"/>
      <c r="P699" s="201"/>
      <c r="Q699" s="201"/>
      <c r="R699" s="237"/>
      <c r="S699" s="202"/>
      <c r="T699" s="200"/>
      <c r="U699" s="203"/>
      <c r="V699" s="89"/>
      <c r="W699" s="89"/>
      <c r="X699" s="145"/>
      <c r="Y699" s="89"/>
      <c r="Z699" s="90"/>
      <c r="AA699" s="90"/>
      <c r="AB699" s="90"/>
      <c r="AC699" s="90"/>
      <c r="AD699" s="92"/>
      <c r="AE699" s="149" t="str">
        <f>IFERROR(VLOOKUP(Z699,LISTS!$AL$2:$AM$1000,2,FALSE()),"")</f>
        <v/>
      </c>
      <c r="AF699" s="151" t="str">
        <f>IFERROR(VLOOKUP(AA699,LISTS!$AO$2:$AP$1000,2,FALSE()),"")</f>
        <v/>
      </c>
      <c r="AG699" s="152" t="str">
        <f>IFERROR(VLOOKUP(AB699,LISTS!$AR$2:$AS$1000,2,FALSE()),"")</f>
        <v/>
      </c>
      <c r="AH699" s="154" t="str">
        <f>IFERROR(VLOOKUP(AC699,LISTS!$AU$2:$AV$1000,2,FALSE()),"")</f>
        <v/>
      </c>
      <c r="AI699" s="238" t="str">
        <f t="shared" si="53"/>
        <v>—</v>
      </c>
      <c r="AJ699" s="190" t="str">
        <f t="shared" si="54"/>
        <v>—</v>
      </c>
      <c r="AK699" s="157" t="str">
        <f t="shared" si="55"/>
        <v/>
      </c>
      <c r="AL699" s="160" t="str">
        <f t="shared" si="56"/>
        <v/>
      </c>
      <c r="AM699" s="210"/>
      <c r="AN699" s="209"/>
    </row>
    <row r="700" spans="1:40" ht="27.95" customHeight="1">
      <c r="A700" s="134" t="str">
        <f>IF(I700&lt;&gt;"",COUNTA($I$2:I700),"")</f>
        <v/>
      </c>
      <c r="B700" s="138" t="str">
        <f t="shared" si="57"/>
        <v/>
      </c>
      <c r="C700" s="93" t="str">
        <f t="array" ref="C700">IF(E700="","",IF(M700&lt;&gt;"",
M700&amp;"/"&amp;SUMPRODUCT((M$2:M700=M700)*1)&amp;" - "&amp;(ROW()-2),
"إداري/"&amp;SUMPRODUCT((M$2:M700="")*1)&amp;" - "&amp;(ROW()-2)))</f>
        <v/>
      </c>
      <c r="D700" s="141" t="str">
        <f>IF(AND(G700="",H700="",I700=""),"",IF(COUNTIFS(LISTS!$A$2:$A$67,G700,LISTS!$B$2:$B$67,H700,LISTS!$C$2:$C$67,I700)=0,"✗ هرم",IF(NOT(OR(Z700="ممتاز 100%",Z700="جيد 80%",Z700="مقبول 60%",Z700="خطر 40%",Z700="")),"✗ قائمة R",IF(NOT(OR(AA700="ممتاز 100%",AA700="جيد 85%",AA700="مقبول 70%",AA700="ضعيف 50%",AA700="")),"✗ قائمة S",IF(NOT(OR(AB700="مكتمل 100%",AB700="جزئي 60%",AB700="معلق 30%",AB700="مفتوح 0%",AB700="")),"✗ قائمة T",IF(NOT(OR(AC700="لا خصم 0",AC700="تأخير −5",AC700="عجز −10",AC700="جودة −15",AC700="امتثال −20",AC700="مخالفة −25",AC700="")),"✗ قائمة U",IF(AND(X700="لا",AC700&lt;&gt;"",AC700&lt;&gt;"لا خصم 0"),"✗ خصم",IF(AND(X700="نعم",AC700="لا خصم 0"),"✗ خصم",IF(AND(Z700="ممتاز 100%",AA700="ممتاز 100%",AB700&lt;&gt;"",AB700&lt;&gt;"مكتمل 100%"),"✗ إغلاق",IFERROR(IF(LEN(_xlfn.TEXTJOIN("، ",TRUE,IF(E700="","التاريخ",""),IF(F700="","الوقت",""),IF(G700="","المركز",""),IF(H700="","الدائرة",""),IF(I700="","القسم",""),IF(J700="","المسؤول",""),IF(K700="","نوع النشاط",""),IF(L700="","المشروع",""),IF(N700="","الممول",""),IF(V700="","الموضوع",""),IF(W700="","الملاحظة",""),IF(X700="","مشكلة",""),IF(Y700="","الإجراء",""),IF(Z700="","التنفيذ",""),IF(AA700="","الجودة",""),IF(AB700="","الإغلاق",""),IF(AC700="","الخصم",""),IF(AND(COUNTA($O700:$U700)&gt;0,O700=""),"مدير المشروع",""),IF(AND(COUNTA($O700:$U700)&gt;0,P700=""),"المستفيدين",""),IF(AND(COUNTA($O700:$U700)&gt;0,Q700=""),"المناطق",""),IF(AND(COUNTA($O700:$U700)&gt;0,R700=""),"الميزانية",""),IF(AND(COUNTA($O700:$U700)&gt;0,S700=""),"نسبة الجاهزية",""),IF(AND(COUNTA($O700:$U700)&gt;0,T700=""),"حالة الجاهزية",""),IF(AND(COUNTA($O700:$U700)&gt;0,U700=""),"التوصيات","")))&gt;0,"✗ ناقص: "&amp;_xlfn.TEXTJOIN("، ",TRUE,IF(E700="","التاريخ",""),IF(F700="","الوقت",""),IF(G700="","المركز",""),IF(H700="","الدائرة",""),IF(I700="","القسم",""),IF(J700="","المسؤول",""),IF(K700="","نوع النشاط",""),IF(L700="","المشروع",""),IF(N700="","الممول",""),IF(V700="","الموضوع",""),IF(W700="","الملاحظة",""),IF(X700="","مشكلة",""),IF(Y700="","الإجراء",""),IF(Z700="","التنفيذ",""),IF(AA700="","الجودة",""),IF(AB700="","الإغلاق",""),IF(AC700="","الخصم",""),IF(AND(COUNTA($O700:$U700)&gt;0,O700=""),"مدير المشروع",""),IF(AND(COUNTA($O700:$U700)&gt;0,P700=""),"المستفيدين",""),IF(AND(COUNTA($O700:$U700)&gt;0,Q700=""),"المناطق",""),IF(AND(COUNTA($O700:$U700)&gt;0,R700=""),"الميزانية",""),IF(AND(COUNTA($O700:$U700)&gt;0,S700=""),"نسبة الجاهزية",""),IF(AND(COUNTA($O700:$U700)&gt;0,T700=""),"حالة الجاهزية",""),IF(AND(COUNTA($O700:$U700)&gt;0,U700=""),"التوصيات","")),"✓"),"✓"))))))))))</f>
        <v/>
      </c>
      <c r="E700" s="235"/>
      <c r="F700" s="236"/>
      <c r="G700" s="90"/>
      <c r="H700" s="239"/>
      <c r="I700" s="89"/>
      <c r="J700" s="142"/>
      <c r="K700" s="90"/>
      <c r="L700" s="90"/>
      <c r="M700" s="90"/>
      <c r="N700" s="89"/>
      <c r="O700" s="200"/>
      <c r="P700" s="201"/>
      <c r="Q700" s="201"/>
      <c r="R700" s="237"/>
      <c r="S700" s="202"/>
      <c r="T700" s="200"/>
      <c r="U700" s="203"/>
      <c r="V700" s="89"/>
      <c r="W700" s="89"/>
      <c r="X700" s="145"/>
      <c r="Y700" s="89"/>
      <c r="Z700" s="90"/>
      <c r="AA700" s="90"/>
      <c r="AB700" s="90"/>
      <c r="AC700" s="90"/>
      <c r="AD700" s="92"/>
      <c r="AE700" s="149" t="str">
        <f>IFERROR(VLOOKUP(Z700,LISTS!$AL$2:$AM$1000,2,FALSE()),"")</f>
        <v/>
      </c>
      <c r="AF700" s="151" t="str">
        <f>IFERROR(VLOOKUP(AA700,LISTS!$AO$2:$AP$1000,2,FALSE()),"")</f>
        <v/>
      </c>
      <c r="AG700" s="152" t="str">
        <f>IFERROR(VLOOKUP(AB700,LISTS!$AR$2:$AS$1000,2,FALSE()),"")</f>
        <v/>
      </c>
      <c r="AH700" s="154" t="str">
        <f>IFERROR(VLOOKUP(AC700,LISTS!$AU$2:$AV$1000,2,FALSE()),"")</f>
        <v/>
      </c>
      <c r="AI700" s="238" t="str">
        <f t="shared" si="53"/>
        <v>—</v>
      </c>
      <c r="AJ700" s="190" t="str">
        <f t="shared" si="54"/>
        <v>—</v>
      </c>
      <c r="AK700" s="157" t="str">
        <f t="shared" si="55"/>
        <v/>
      </c>
      <c r="AL700" s="160" t="str">
        <f t="shared" si="56"/>
        <v/>
      </c>
      <c r="AM700" s="210"/>
      <c r="AN700" s="209"/>
    </row>
    <row r="701" spans="1:40" ht="27.95" customHeight="1">
      <c r="A701" s="134" t="str">
        <f>IF(I701&lt;&gt;"",COUNTA($I$2:I701),"")</f>
        <v/>
      </c>
      <c r="B701" s="138" t="str">
        <f t="shared" si="57"/>
        <v/>
      </c>
      <c r="C701" s="93" t="str">
        <f t="array" ref="C701">IF(E701="","",IF(M701&lt;&gt;"",
M701&amp;"/"&amp;SUMPRODUCT((M$2:M701=M701)*1)&amp;" - "&amp;(ROW()-2),
"إداري/"&amp;SUMPRODUCT((M$2:M701="")*1)&amp;" - "&amp;(ROW()-2)))</f>
        <v/>
      </c>
      <c r="D701" s="141" t="str">
        <f>IF(AND(G701="",H701="",I701=""),"",IF(COUNTIFS(LISTS!$A$2:$A$67,G701,LISTS!$B$2:$B$67,H701,LISTS!$C$2:$C$67,I701)=0,"✗ هرم",IF(NOT(OR(Z701="ممتاز 100%",Z701="جيد 80%",Z701="مقبول 60%",Z701="خطر 40%",Z701="")),"✗ قائمة R",IF(NOT(OR(AA701="ممتاز 100%",AA701="جيد 85%",AA701="مقبول 70%",AA701="ضعيف 50%",AA701="")),"✗ قائمة S",IF(NOT(OR(AB701="مكتمل 100%",AB701="جزئي 60%",AB701="معلق 30%",AB701="مفتوح 0%",AB701="")),"✗ قائمة T",IF(NOT(OR(AC701="لا خصم 0",AC701="تأخير −5",AC701="عجز −10",AC701="جودة −15",AC701="امتثال −20",AC701="مخالفة −25",AC701="")),"✗ قائمة U",IF(AND(X701="لا",AC701&lt;&gt;"",AC701&lt;&gt;"لا خصم 0"),"✗ خصم",IF(AND(X701="نعم",AC701="لا خصم 0"),"✗ خصم",IF(AND(Z701="ممتاز 100%",AA701="ممتاز 100%",AB701&lt;&gt;"",AB701&lt;&gt;"مكتمل 100%"),"✗ إغلاق",IFERROR(IF(LEN(_xlfn.TEXTJOIN("، ",TRUE,IF(E701="","التاريخ",""),IF(F701="","الوقت",""),IF(G701="","المركز",""),IF(H701="","الدائرة",""),IF(I701="","القسم",""),IF(J701="","المسؤول",""),IF(K701="","نوع النشاط",""),IF(L701="","المشروع",""),IF(N701="","الممول",""),IF(V701="","الموضوع",""),IF(W701="","الملاحظة",""),IF(X701="","مشكلة",""),IF(Y701="","الإجراء",""),IF(Z701="","التنفيذ",""),IF(AA701="","الجودة",""),IF(AB701="","الإغلاق",""),IF(AC701="","الخصم",""),IF(AND(COUNTA($O701:$U701)&gt;0,O701=""),"مدير المشروع",""),IF(AND(COUNTA($O701:$U701)&gt;0,P701=""),"المستفيدين",""),IF(AND(COUNTA($O701:$U701)&gt;0,Q701=""),"المناطق",""),IF(AND(COUNTA($O701:$U701)&gt;0,R701=""),"الميزانية",""),IF(AND(COUNTA($O701:$U701)&gt;0,S701=""),"نسبة الجاهزية",""),IF(AND(COUNTA($O701:$U701)&gt;0,T701=""),"حالة الجاهزية",""),IF(AND(COUNTA($O701:$U701)&gt;0,U701=""),"التوصيات","")))&gt;0,"✗ ناقص: "&amp;_xlfn.TEXTJOIN("، ",TRUE,IF(E701="","التاريخ",""),IF(F701="","الوقت",""),IF(G701="","المركز",""),IF(H701="","الدائرة",""),IF(I701="","القسم",""),IF(J701="","المسؤول",""),IF(K701="","نوع النشاط",""),IF(L701="","المشروع",""),IF(N701="","الممول",""),IF(V701="","الموضوع",""),IF(W701="","الملاحظة",""),IF(X701="","مشكلة",""),IF(Y701="","الإجراء",""),IF(Z701="","التنفيذ",""),IF(AA701="","الجودة",""),IF(AB701="","الإغلاق",""),IF(AC701="","الخصم",""),IF(AND(COUNTA($O701:$U701)&gt;0,O701=""),"مدير المشروع",""),IF(AND(COUNTA($O701:$U701)&gt;0,P701=""),"المستفيدين",""),IF(AND(COUNTA($O701:$U701)&gt;0,Q701=""),"المناطق",""),IF(AND(COUNTA($O701:$U701)&gt;0,R701=""),"الميزانية",""),IF(AND(COUNTA($O701:$U701)&gt;0,S701=""),"نسبة الجاهزية",""),IF(AND(COUNTA($O701:$U701)&gt;0,T701=""),"حالة الجاهزية",""),IF(AND(COUNTA($O701:$U701)&gt;0,U701=""),"التوصيات","")),"✓"),"✓"))))))))))</f>
        <v/>
      </c>
      <c r="E701" s="235"/>
      <c r="F701" s="236"/>
      <c r="G701" s="90"/>
      <c r="H701" s="239"/>
      <c r="I701" s="89"/>
      <c r="J701" s="142"/>
      <c r="K701" s="90"/>
      <c r="L701" s="90"/>
      <c r="M701" s="90"/>
      <c r="N701" s="89"/>
      <c r="O701" s="200"/>
      <c r="P701" s="201"/>
      <c r="Q701" s="201"/>
      <c r="R701" s="237"/>
      <c r="S701" s="202"/>
      <c r="T701" s="200"/>
      <c r="U701" s="203"/>
      <c r="V701" s="89"/>
      <c r="W701" s="89"/>
      <c r="X701" s="145"/>
      <c r="Y701" s="89"/>
      <c r="Z701" s="90"/>
      <c r="AA701" s="90"/>
      <c r="AB701" s="90"/>
      <c r="AC701" s="90"/>
      <c r="AD701" s="92"/>
      <c r="AE701" s="149" t="str">
        <f>IFERROR(VLOOKUP(Z701,LISTS!$AL$2:$AM$1000,2,FALSE()),"")</f>
        <v/>
      </c>
      <c r="AF701" s="151" t="str">
        <f>IFERROR(VLOOKUP(AA701,LISTS!$AO$2:$AP$1000,2,FALSE()),"")</f>
        <v/>
      </c>
      <c r="AG701" s="152" t="str">
        <f>IFERROR(VLOOKUP(AB701,LISTS!$AR$2:$AS$1000,2,FALSE()),"")</f>
        <v/>
      </c>
      <c r="AH701" s="154" t="str">
        <f>IFERROR(VLOOKUP(AC701,LISTS!$AU$2:$AV$1000,2,FALSE()),"")</f>
        <v/>
      </c>
      <c r="AI701" s="238" t="str">
        <f t="shared" si="53"/>
        <v>—</v>
      </c>
      <c r="AJ701" s="190" t="str">
        <f t="shared" si="54"/>
        <v>—</v>
      </c>
      <c r="AK701" s="157" t="str">
        <f t="shared" si="55"/>
        <v/>
      </c>
      <c r="AL701" s="160" t="str">
        <f t="shared" si="56"/>
        <v/>
      </c>
      <c r="AM701" s="210"/>
      <c r="AN701" s="209"/>
    </row>
    <row r="702" spans="1:40" ht="27.95" customHeight="1">
      <c r="A702" s="134" t="str">
        <f>IF(I702&lt;&gt;"",COUNTA($I$2:I702),"")</f>
        <v/>
      </c>
      <c r="B702" s="138" t="str">
        <f t="shared" si="57"/>
        <v/>
      </c>
      <c r="C702" s="93" t="str">
        <f t="array" ref="C702">IF(E702="","",IF(M702&lt;&gt;"",
M702&amp;"/"&amp;SUMPRODUCT((M$2:M702=M702)*1)&amp;" - "&amp;(ROW()-2),
"إداري/"&amp;SUMPRODUCT((M$2:M702="")*1)&amp;" - "&amp;(ROW()-2)))</f>
        <v/>
      </c>
      <c r="D702" s="141" t="str">
        <f>IF(AND(G702="",H702="",I702=""),"",IF(COUNTIFS(LISTS!$A$2:$A$67,G702,LISTS!$B$2:$B$67,H702,LISTS!$C$2:$C$67,I702)=0,"✗ هرم",IF(NOT(OR(Z702="ممتاز 100%",Z702="جيد 80%",Z702="مقبول 60%",Z702="خطر 40%",Z702="")),"✗ قائمة R",IF(NOT(OR(AA702="ممتاز 100%",AA702="جيد 85%",AA702="مقبول 70%",AA702="ضعيف 50%",AA702="")),"✗ قائمة S",IF(NOT(OR(AB702="مكتمل 100%",AB702="جزئي 60%",AB702="معلق 30%",AB702="مفتوح 0%",AB702="")),"✗ قائمة T",IF(NOT(OR(AC702="لا خصم 0",AC702="تأخير −5",AC702="عجز −10",AC702="جودة −15",AC702="امتثال −20",AC702="مخالفة −25",AC702="")),"✗ قائمة U",IF(AND(X702="لا",AC702&lt;&gt;"",AC702&lt;&gt;"لا خصم 0"),"✗ خصم",IF(AND(X702="نعم",AC702="لا خصم 0"),"✗ خصم",IF(AND(Z702="ممتاز 100%",AA702="ممتاز 100%",AB702&lt;&gt;"",AB702&lt;&gt;"مكتمل 100%"),"✗ إغلاق",IFERROR(IF(LEN(_xlfn.TEXTJOIN("، ",TRUE,IF(E702="","التاريخ",""),IF(F702="","الوقت",""),IF(G702="","المركز",""),IF(H702="","الدائرة",""),IF(I702="","القسم",""),IF(J702="","المسؤول",""),IF(K702="","نوع النشاط",""),IF(L702="","المشروع",""),IF(N702="","الممول",""),IF(V702="","الموضوع",""),IF(W702="","الملاحظة",""),IF(X702="","مشكلة",""),IF(Y702="","الإجراء",""),IF(Z702="","التنفيذ",""),IF(AA702="","الجودة",""),IF(AB702="","الإغلاق",""),IF(AC702="","الخصم",""),IF(AND(COUNTA($O702:$U702)&gt;0,O702=""),"مدير المشروع",""),IF(AND(COUNTA($O702:$U702)&gt;0,P702=""),"المستفيدين",""),IF(AND(COUNTA($O702:$U702)&gt;0,Q702=""),"المناطق",""),IF(AND(COUNTA($O702:$U702)&gt;0,R702=""),"الميزانية",""),IF(AND(COUNTA($O702:$U702)&gt;0,S702=""),"نسبة الجاهزية",""),IF(AND(COUNTA($O702:$U702)&gt;0,T702=""),"حالة الجاهزية",""),IF(AND(COUNTA($O702:$U702)&gt;0,U702=""),"التوصيات","")))&gt;0,"✗ ناقص: "&amp;_xlfn.TEXTJOIN("، ",TRUE,IF(E702="","التاريخ",""),IF(F702="","الوقت",""),IF(G702="","المركز",""),IF(H702="","الدائرة",""),IF(I702="","القسم",""),IF(J702="","المسؤول",""),IF(K702="","نوع النشاط",""),IF(L702="","المشروع",""),IF(N702="","الممول",""),IF(V702="","الموضوع",""),IF(W702="","الملاحظة",""),IF(X702="","مشكلة",""),IF(Y702="","الإجراء",""),IF(Z702="","التنفيذ",""),IF(AA702="","الجودة",""),IF(AB702="","الإغلاق",""),IF(AC702="","الخصم",""),IF(AND(COUNTA($O702:$U702)&gt;0,O702=""),"مدير المشروع",""),IF(AND(COUNTA($O702:$U702)&gt;0,P702=""),"المستفيدين",""),IF(AND(COUNTA($O702:$U702)&gt;0,Q702=""),"المناطق",""),IF(AND(COUNTA($O702:$U702)&gt;0,R702=""),"الميزانية",""),IF(AND(COUNTA($O702:$U702)&gt;0,S702=""),"نسبة الجاهزية",""),IF(AND(COUNTA($O702:$U702)&gt;0,T702=""),"حالة الجاهزية",""),IF(AND(COUNTA($O702:$U702)&gt;0,U702=""),"التوصيات","")),"✓"),"✓"))))))))))</f>
        <v/>
      </c>
      <c r="E702" s="235"/>
      <c r="F702" s="236"/>
      <c r="G702" s="90"/>
      <c r="H702" s="239"/>
      <c r="I702" s="89"/>
      <c r="J702" s="142"/>
      <c r="K702" s="90"/>
      <c r="L702" s="90"/>
      <c r="M702" s="90"/>
      <c r="N702" s="89"/>
      <c r="O702" s="200"/>
      <c r="P702" s="201"/>
      <c r="Q702" s="201"/>
      <c r="R702" s="237"/>
      <c r="S702" s="202"/>
      <c r="T702" s="200"/>
      <c r="U702" s="203"/>
      <c r="V702" s="89"/>
      <c r="W702" s="89"/>
      <c r="X702" s="145"/>
      <c r="Y702" s="89"/>
      <c r="Z702" s="90"/>
      <c r="AA702" s="90"/>
      <c r="AB702" s="90"/>
      <c r="AC702" s="90"/>
      <c r="AD702" s="92"/>
      <c r="AE702" s="149" t="str">
        <f>IFERROR(VLOOKUP(Z702,LISTS!$AL$2:$AM$1000,2,FALSE()),"")</f>
        <v/>
      </c>
      <c r="AF702" s="151" t="str">
        <f>IFERROR(VLOOKUP(AA702,LISTS!$AO$2:$AP$1000,2,FALSE()),"")</f>
        <v/>
      </c>
      <c r="AG702" s="152" t="str">
        <f>IFERROR(VLOOKUP(AB702,LISTS!$AR$2:$AS$1000,2,FALSE()),"")</f>
        <v/>
      </c>
      <c r="AH702" s="154" t="str">
        <f>IFERROR(VLOOKUP(AC702,LISTS!$AU$2:$AV$1000,2,FALSE()),"")</f>
        <v/>
      </c>
      <c r="AI702" s="238" t="str">
        <f t="shared" si="53"/>
        <v>—</v>
      </c>
      <c r="AJ702" s="190" t="str">
        <f t="shared" si="54"/>
        <v>—</v>
      </c>
      <c r="AK702" s="157" t="str">
        <f t="shared" si="55"/>
        <v/>
      </c>
      <c r="AL702" s="160" t="str">
        <f t="shared" si="56"/>
        <v/>
      </c>
      <c r="AM702" s="210"/>
      <c r="AN702" s="209"/>
    </row>
    <row r="703" spans="1:40" ht="27.95" customHeight="1">
      <c r="A703" s="134" t="str">
        <f>IF(I703&lt;&gt;"",COUNTA($I$2:I703),"")</f>
        <v/>
      </c>
      <c r="B703" s="138" t="str">
        <f t="shared" si="57"/>
        <v/>
      </c>
      <c r="C703" s="93" t="str">
        <f t="array" ref="C703">IF(E703="","",IF(M703&lt;&gt;"",
M703&amp;"/"&amp;SUMPRODUCT((M$2:M703=M703)*1)&amp;" - "&amp;(ROW()-2),
"إداري/"&amp;SUMPRODUCT((M$2:M703="")*1)&amp;" - "&amp;(ROW()-2)))</f>
        <v/>
      </c>
      <c r="D703" s="141" t="str">
        <f>IF(AND(G703="",H703="",I703=""),"",IF(COUNTIFS(LISTS!$A$2:$A$67,G703,LISTS!$B$2:$B$67,H703,LISTS!$C$2:$C$67,I703)=0,"✗ هرم",IF(NOT(OR(Z703="ممتاز 100%",Z703="جيد 80%",Z703="مقبول 60%",Z703="خطر 40%",Z703="")),"✗ قائمة R",IF(NOT(OR(AA703="ممتاز 100%",AA703="جيد 85%",AA703="مقبول 70%",AA703="ضعيف 50%",AA703="")),"✗ قائمة S",IF(NOT(OR(AB703="مكتمل 100%",AB703="جزئي 60%",AB703="معلق 30%",AB703="مفتوح 0%",AB703="")),"✗ قائمة T",IF(NOT(OR(AC703="لا خصم 0",AC703="تأخير −5",AC703="عجز −10",AC703="جودة −15",AC703="امتثال −20",AC703="مخالفة −25",AC703="")),"✗ قائمة U",IF(AND(X703="لا",AC703&lt;&gt;"",AC703&lt;&gt;"لا خصم 0"),"✗ خصم",IF(AND(X703="نعم",AC703="لا خصم 0"),"✗ خصم",IF(AND(Z703="ممتاز 100%",AA703="ممتاز 100%",AB703&lt;&gt;"",AB703&lt;&gt;"مكتمل 100%"),"✗ إغلاق",IFERROR(IF(LEN(_xlfn.TEXTJOIN("، ",TRUE,IF(E703="","التاريخ",""),IF(F703="","الوقت",""),IF(G703="","المركز",""),IF(H703="","الدائرة",""),IF(I703="","القسم",""),IF(J703="","المسؤول",""),IF(K703="","نوع النشاط",""),IF(L703="","المشروع",""),IF(N703="","الممول",""),IF(V703="","الموضوع",""),IF(W703="","الملاحظة",""),IF(X703="","مشكلة",""),IF(Y703="","الإجراء",""),IF(Z703="","التنفيذ",""),IF(AA703="","الجودة",""),IF(AB703="","الإغلاق",""),IF(AC703="","الخصم",""),IF(AND(COUNTA($O703:$U703)&gt;0,O703=""),"مدير المشروع",""),IF(AND(COUNTA($O703:$U703)&gt;0,P703=""),"المستفيدين",""),IF(AND(COUNTA($O703:$U703)&gt;0,Q703=""),"المناطق",""),IF(AND(COUNTA($O703:$U703)&gt;0,R703=""),"الميزانية",""),IF(AND(COUNTA($O703:$U703)&gt;0,S703=""),"نسبة الجاهزية",""),IF(AND(COUNTA($O703:$U703)&gt;0,T703=""),"حالة الجاهزية",""),IF(AND(COUNTA($O703:$U703)&gt;0,U703=""),"التوصيات","")))&gt;0,"✗ ناقص: "&amp;_xlfn.TEXTJOIN("، ",TRUE,IF(E703="","التاريخ",""),IF(F703="","الوقت",""),IF(G703="","المركز",""),IF(H703="","الدائرة",""),IF(I703="","القسم",""),IF(J703="","المسؤول",""),IF(K703="","نوع النشاط",""),IF(L703="","المشروع",""),IF(N703="","الممول",""),IF(V703="","الموضوع",""),IF(W703="","الملاحظة",""),IF(X703="","مشكلة",""),IF(Y703="","الإجراء",""),IF(Z703="","التنفيذ",""),IF(AA703="","الجودة",""),IF(AB703="","الإغلاق",""),IF(AC703="","الخصم",""),IF(AND(COUNTA($O703:$U703)&gt;0,O703=""),"مدير المشروع",""),IF(AND(COUNTA($O703:$U703)&gt;0,P703=""),"المستفيدين",""),IF(AND(COUNTA($O703:$U703)&gt;0,Q703=""),"المناطق",""),IF(AND(COUNTA($O703:$U703)&gt;0,R703=""),"الميزانية",""),IF(AND(COUNTA($O703:$U703)&gt;0,S703=""),"نسبة الجاهزية",""),IF(AND(COUNTA($O703:$U703)&gt;0,T703=""),"حالة الجاهزية",""),IF(AND(COUNTA($O703:$U703)&gt;0,U703=""),"التوصيات","")),"✓"),"✓"))))))))))</f>
        <v/>
      </c>
      <c r="E703" s="235"/>
      <c r="F703" s="236"/>
      <c r="G703" s="90"/>
      <c r="H703" s="239"/>
      <c r="I703" s="89"/>
      <c r="J703" s="142"/>
      <c r="K703" s="90"/>
      <c r="L703" s="90"/>
      <c r="M703" s="90"/>
      <c r="N703" s="89"/>
      <c r="O703" s="200"/>
      <c r="P703" s="201"/>
      <c r="Q703" s="201"/>
      <c r="R703" s="237"/>
      <c r="S703" s="202"/>
      <c r="T703" s="200"/>
      <c r="U703" s="203"/>
      <c r="V703" s="89"/>
      <c r="W703" s="89"/>
      <c r="X703" s="145"/>
      <c r="Y703" s="89"/>
      <c r="Z703" s="90"/>
      <c r="AA703" s="90"/>
      <c r="AB703" s="90"/>
      <c r="AC703" s="90"/>
      <c r="AD703" s="92"/>
      <c r="AE703" s="149" t="str">
        <f>IFERROR(VLOOKUP(Z703,LISTS!$AL$2:$AM$1000,2,FALSE()),"")</f>
        <v/>
      </c>
      <c r="AF703" s="151" t="str">
        <f>IFERROR(VLOOKUP(AA703,LISTS!$AO$2:$AP$1000,2,FALSE()),"")</f>
        <v/>
      </c>
      <c r="AG703" s="152" t="str">
        <f>IFERROR(VLOOKUP(AB703,LISTS!$AR$2:$AS$1000,2,FALSE()),"")</f>
        <v/>
      </c>
      <c r="AH703" s="154" t="str">
        <f>IFERROR(VLOOKUP(AC703,LISTS!$AU$2:$AV$1000,2,FALSE()),"")</f>
        <v/>
      </c>
      <c r="AI703" s="238" t="str">
        <f t="shared" si="53"/>
        <v>—</v>
      </c>
      <c r="AJ703" s="190" t="str">
        <f t="shared" si="54"/>
        <v>—</v>
      </c>
      <c r="AK703" s="157" t="str">
        <f t="shared" si="55"/>
        <v/>
      </c>
      <c r="AL703" s="160" t="str">
        <f t="shared" si="56"/>
        <v/>
      </c>
      <c r="AM703" s="210"/>
      <c r="AN703" s="209"/>
    </row>
    <row r="704" spans="1:40" ht="27.95" customHeight="1">
      <c r="A704" s="134" t="str">
        <f>IF(I704&lt;&gt;"",COUNTA($I$2:I704),"")</f>
        <v/>
      </c>
      <c r="B704" s="138" t="str">
        <f t="shared" si="57"/>
        <v/>
      </c>
      <c r="C704" s="93" t="str">
        <f t="array" ref="C704">IF(E704="","",IF(M704&lt;&gt;"",
M704&amp;"/"&amp;SUMPRODUCT((M$2:M704=M704)*1)&amp;" - "&amp;(ROW()-2),
"إداري/"&amp;SUMPRODUCT((M$2:M704="")*1)&amp;" - "&amp;(ROW()-2)))</f>
        <v/>
      </c>
      <c r="D704" s="141" t="str">
        <f>IF(AND(G704="",H704="",I704=""),"",IF(COUNTIFS(LISTS!$A$2:$A$67,G704,LISTS!$B$2:$B$67,H704,LISTS!$C$2:$C$67,I704)=0,"✗ هرم",IF(NOT(OR(Z704="ممتاز 100%",Z704="جيد 80%",Z704="مقبول 60%",Z704="خطر 40%",Z704="")),"✗ قائمة R",IF(NOT(OR(AA704="ممتاز 100%",AA704="جيد 85%",AA704="مقبول 70%",AA704="ضعيف 50%",AA704="")),"✗ قائمة S",IF(NOT(OR(AB704="مكتمل 100%",AB704="جزئي 60%",AB704="معلق 30%",AB704="مفتوح 0%",AB704="")),"✗ قائمة T",IF(NOT(OR(AC704="لا خصم 0",AC704="تأخير −5",AC704="عجز −10",AC704="جودة −15",AC704="امتثال −20",AC704="مخالفة −25",AC704="")),"✗ قائمة U",IF(AND(X704="لا",AC704&lt;&gt;"",AC704&lt;&gt;"لا خصم 0"),"✗ خصم",IF(AND(X704="نعم",AC704="لا خصم 0"),"✗ خصم",IF(AND(Z704="ممتاز 100%",AA704="ممتاز 100%",AB704&lt;&gt;"",AB704&lt;&gt;"مكتمل 100%"),"✗ إغلاق",IFERROR(IF(LEN(_xlfn.TEXTJOIN("، ",TRUE,IF(E704="","التاريخ",""),IF(F704="","الوقت",""),IF(G704="","المركز",""),IF(H704="","الدائرة",""),IF(I704="","القسم",""),IF(J704="","المسؤول",""),IF(K704="","نوع النشاط",""),IF(L704="","المشروع",""),IF(N704="","الممول",""),IF(V704="","الموضوع",""),IF(W704="","الملاحظة",""),IF(X704="","مشكلة",""),IF(Y704="","الإجراء",""),IF(Z704="","التنفيذ",""),IF(AA704="","الجودة",""),IF(AB704="","الإغلاق",""),IF(AC704="","الخصم",""),IF(AND(COUNTA($O704:$U704)&gt;0,O704=""),"مدير المشروع",""),IF(AND(COUNTA($O704:$U704)&gt;0,P704=""),"المستفيدين",""),IF(AND(COUNTA($O704:$U704)&gt;0,Q704=""),"المناطق",""),IF(AND(COUNTA($O704:$U704)&gt;0,R704=""),"الميزانية",""),IF(AND(COUNTA($O704:$U704)&gt;0,S704=""),"نسبة الجاهزية",""),IF(AND(COUNTA($O704:$U704)&gt;0,T704=""),"حالة الجاهزية",""),IF(AND(COUNTA($O704:$U704)&gt;0,U704=""),"التوصيات","")))&gt;0,"✗ ناقص: "&amp;_xlfn.TEXTJOIN("، ",TRUE,IF(E704="","التاريخ",""),IF(F704="","الوقت",""),IF(G704="","المركز",""),IF(H704="","الدائرة",""),IF(I704="","القسم",""),IF(J704="","المسؤول",""),IF(K704="","نوع النشاط",""),IF(L704="","المشروع",""),IF(N704="","الممول",""),IF(V704="","الموضوع",""),IF(W704="","الملاحظة",""),IF(X704="","مشكلة",""),IF(Y704="","الإجراء",""),IF(Z704="","التنفيذ",""),IF(AA704="","الجودة",""),IF(AB704="","الإغلاق",""),IF(AC704="","الخصم",""),IF(AND(COUNTA($O704:$U704)&gt;0,O704=""),"مدير المشروع",""),IF(AND(COUNTA($O704:$U704)&gt;0,P704=""),"المستفيدين",""),IF(AND(COUNTA($O704:$U704)&gt;0,Q704=""),"المناطق",""),IF(AND(COUNTA($O704:$U704)&gt;0,R704=""),"الميزانية",""),IF(AND(COUNTA($O704:$U704)&gt;0,S704=""),"نسبة الجاهزية",""),IF(AND(COUNTA($O704:$U704)&gt;0,T704=""),"حالة الجاهزية",""),IF(AND(COUNTA($O704:$U704)&gt;0,U704=""),"التوصيات","")),"✓"),"✓"))))))))))</f>
        <v/>
      </c>
      <c r="E704" s="235"/>
      <c r="F704" s="236"/>
      <c r="G704" s="90"/>
      <c r="H704" s="239"/>
      <c r="I704" s="89"/>
      <c r="J704" s="142"/>
      <c r="K704" s="90"/>
      <c r="L704" s="90"/>
      <c r="M704" s="90"/>
      <c r="N704" s="89"/>
      <c r="O704" s="200"/>
      <c r="P704" s="201"/>
      <c r="Q704" s="201"/>
      <c r="R704" s="237"/>
      <c r="S704" s="202"/>
      <c r="T704" s="200"/>
      <c r="U704" s="203"/>
      <c r="V704" s="89"/>
      <c r="W704" s="89"/>
      <c r="X704" s="145"/>
      <c r="Y704" s="89"/>
      <c r="Z704" s="90"/>
      <c r="AA704" s="90"/>
      <c r="AB704" s="90"/>
      <c r="AC704" s="90"/>
      <c r="AD704" s="92"/>
      <c r="AE704" s="149" t="str">
        <f>IFERROR(VLOOKUP(Z704,LISTS!$AL$2:$AM$1000,2,FALSE()),"")</f>
        <v/>
      </c>
      <c r="AF704" s="151" t="str">
        <f>IFERROR(VLOOKUP(AA704,LISTS!$AO$2:$AP$1000,2,FALSE()),"")</f>
        <v/>
      </c>
      <c r="AG704" s="152" t="str">
        <f>IFERROR(VLOOKUP(AB704,LISTS!$AR$2:$AS$1000,2,FALSE()),"")</f>
        <v/>
      </c>
      <c r="AH704" s="154" t="str">
        <f>IFERROR(VLOOKUP(AC704,LISTS!$AU$2:$AV$1000,2,FALSE()),"")</f>
        <v/>
      </c>
      <c r="AI704" s="238" t="str">
        <f t="shared" si="53"/>
        <v>—</v>
      </c>
      <c r="AJ704" s="190" t="str">
        <f t="shared" si="54"/>
        <v>—</v>
      </c>
      <c r="AK704" s="157" t="str">
        <f t="shared" si="55"/>
        <v/>
      </c>
      <c r="AL704" s="160" t="str">
        <f t="shared" si="56"/>
        <v/>
      </c>
      <c r="AM704" s="210"/>
      <c r="AN704" s="209"/>
    </row>
    <row r="705" spans="1:40" ht="27.95" customHeight="1">
      <c r="A705" s="134" t="str">
        <f>IF(I705&lt;&gt;"",COUNTA($I$2:I705),"")</f>
        <v/>
      </c>
      <c r="B705" s="138" t="str">
        <f t="shared" si="57"/>
        <v/>
      </c>
      <c r="C705" s="93" t="str">
        <f t="array" ref="C705">IF(E705="","",IF(M705&lt;&gt;"",
M705&amp;"/"&amp;SUMPRODUCT((M$2:M705=M705)*1)&amp;" - "&amp;(ROW()-2),
"إداري/"&amp;SUMPRODUCT((M$2:M705="")*1)&amp;" - "&amp;(ROW()-2)))</f>
        <v/>
      </c>
      <c r="D705" s="141" t="str">
        <f>IF(AND(G705="",H705="",I705=""),"",IF(COUNTIFS(LISTS!$A$2:$A$67,G705,LISTS!$B$2:$B$67,H705,LISTS!$C$2:$C$67,I705)=0,"✗ هرم",IF(NOT(OR(Z705="ممتاز 100%",Z705="جيد 80%",Z705="مقبول 60%",Z705="خطر 40%",Z705="")),"✗ قائمة R",IF(NOT(OR(AA705="ممتاز 100%",AA705="جيد 85%",AA705="مقبول 70%",AA705="ضعيف 50%",AA705="")),"✗ قائمة S",IF(NOT(OR(AB705="مكتمل 100%",AB705="جزئي 60%",AB705="معلق 30%",AB705="مفتوح 0%",AB705="")),"✗ قائمة T",IF(NOT(OR(AC705="لا خصم 0",AC705="تأخير −5",AC705="عجز −10",AC705="جودة −15",AC705="امتثال −20",AC705="مخالفة −25",AC705="")),"✗ قائمة U",IF(AND(X705="لا",AC705&lt;&gt;"",AC705&lt;&gt;"لا خصم 0"),"✗ خصم",IF(AND(X705="نعم",AC705="لا خصم 0"),"✗ خصم",IF(AND(Z705="ممتاز 100%",AA705="ممتاز 100%",AB705&lt;&gt;"",AB705&lt;&gt;"مكتمل 100%"),"✗ إغلاق",IFERROR(IF(LEN(_xlfn.TEXTJOIN("، ",TRUE,IF(E705="","التاريخ",""),IF(F705="","الوقت",""),IF(G705="","المركز",""),IF(H705="","الدائرة",""),IF(I705="","القسم",""),IF(J705="","المسؤول",""),IF(K705="","نوع النشاط",""),IF(L705="","المشروع",""),IF(N705="","الممول",""),IF(V705="","الموضوع",""),IF(W705="","الملاحظة",""),IF(X705="","مشكلة",""),IF(Y705="","الإجراء",""),IF(Z705="","التنفيذ",""),IF(AA705="","الجودة",""),IF(AB705="","الإغلاق",""),IF(AC705="","الخصم",""),IF(AND(COUNTA($O705:$U705)&gt;0,O705=""),"مدير المشروع",""),IF(AND(COUNTA($O705:$U705)&gt;0,P705=""),"المستفيدين",""),IF(AND(COUNTA($O705:$U705)&gt;0,Q705=""),"المناطق",""),IF(AND(COUNTA($O705:$U705)&gt;0,R705=""),"الميزانية",""),IF(AND(COUNTA($O705:$U705)&gt;0,S705=""),"نسبة الجاهزية",""),IF(AND(COUNTA($O705:$U705)&gt;0,T705=""),"حالة الجاهزية",""),IF(AND(COUNTA($O705:$U705)&gt;0,U705=""),"التوصيات","")))&gt;0,"✗ ناقص: "&amp;_xlfn.TEXTJOIN("، ",TRUE,IF(E705="","التاريخ",""),IF(F705="","الوقت",""),IF(G705="","المركز",""),IF(H705="","الدائرة",""),IF(I705="","القسم",""),IF(J705="","المسؤول",""),IF(K705="","نوع النشاط",""),IF(L705="","المشروع",""),IF(N705="","الممول",""),IF(V705="","الموضوع",""),IF(W705="","الملاحظة",""),IF(X705="","مشكلة",""),IF(Y705="","الإجراء",""),IF(Z705="","التنفيذ",""),IF(AA705="","الجودة",""),IF(AB705="","الإغلاق",""),IF(AC705="","الخصم",""),IF(AND(COUNTA($O705:$U705)&gt;0,O705=""),"مدير المشروع",""),IF(AND(COUNTA($O705:$U705)&gt;0,P705=""),"المستفيدين",""),IF(AND(COUNTA($O705:$U705)&gt;0,Q705=""),"المناطق",""),IF(AND(COUNTA($O705:$U705)&gt;0,R705=""),"الميزانية",""),IF(AND(COUNTA($O705:$U705)&gt;0,S705=""),"نسبة الجاهزية",""),IF(AND(COUNTA($O705:$U705)&gt;0,T705=""),"حالة الجاهزية",""),IF(AND(COUNTA($O705:$U705)&gt;0,U705=""),"التوصيات","")),"✓"),"✓"))))))))))</f>
        <v/>
      </c>
      <c r="E705" s="235"/>
      <c r="F705" s="236"/>
      <c r="G705" s="90"/>
      <c r="H705" s="239"/>
      <c r="I705" s="89"/>
      <c r="J705" s="142"/>
      <c r="K705" s="90"/>
      <c r="L705" s="90"/>
      <c r="M705" s="90"/>
      <c r="N705" s="89"/>
      <c r="O705" s="200"/>
      <c r="P705" s="201"/>
      <c r="Q705" s="201"/>
      <c r="R705" s="237"/>
      <c r="S705" s="202"/>
      <c r="T705" s="200"/>
      <c r="U705" s="203"/>
      <c r="V705" s="89"/>
      <c r="W705" s="89"/>
      <c r="X705" s="145"/>
      <c r="Y705" s="89"/>
      <c r="Z705" s="90"/>
      <c r="AA705" s="90"/>
      <c r="AB705" s="90"/>
      <c r="AC705" s="90"/>
      <c r="AD705" s="92"/>
      <c r="AE705" s="149" t="str">
        <f>IFERROR(VLOOKUP(Z705,LISTS!$AL$2:$AM$1000,2,FALSE()),"")</f>
        <v/>
      </c>
      <c r="AF705" s="151" t="str">
        <f>IFERROR(VLOOKUP(AA705,LISTS!$AO$2:$AP$1000,2,FALSE()),"")</f>
        <v/>
      </c>
      <c r="AG705" s="152" t="str">
        <f>IFERROR(VLOOKUP(AB705,LISTS!$AR$2:$AS$1000,2,FALSE()),"")</f>
        <v/>
      </c>
      <c r="AH705" s="154" t="str">
        <f>IFERROR(VLOOKUP(AC705,LISTS!$AU$2:$AV$1000,2,FALSE()),"")</f>
        <v/>
      </c>
      <c r="AI705" s="238" t="str">
        <f t="shared" si="53"/>
        <v>—</v>
      </c>
      <c r="AJ705" s="190" t="str">
        <f t="shared" si="54"/>
        <v>—</v>
      </c>
      <c r="AK705" s="157" t="str">
        <f t="shared" si="55"/>
        <v/>
      </c>
      <c r="AL705" s="160" t="str">
        <f t="shared" si="56"/>
        <v/>
      </c>
      <c r="AM705" s="210"/>
      <c r="AN705" s="209"/>
    </row>
    <row r="706" spans="1:40" ht="27.95" customHeight="1">
      <c r="A706" s="134" t="str">
        <f>IF(I706&lt;&gt;"",COUNTA($I$2:I706),"")</f>
        <v/>
      </c>
      <c r="B706" s="138" t="str">
        <f t="shared" si="57"/>
        <v/>
      </c>
      <c r="C706" s="93" t="str">
        <f t="array" ref="C706">IF(E706="","",IF(M706&lt;&gt;"",
M706&amp;"/"&amp;SUMPRODUCT((M$2:M706=M706)*1)&amp;" - "&amp;(ROW()-2),
"إداري/"&amp;SUMPRODUCT((M$2:M706="")*1)&amp;" - "&amp;(ROW()-2)))</f>
        <v/>
      </c>
      <c r="D706" s="141" t="str">
        <f>IF(AND(G706="",H706="",I706=""),"",IF(COUNTIFS(LISTS!$A$2:$A$67,G706,LISTS!$B$2:$B$67,H706,LISTS!$C$2:$C$67,I706)=0,"✗ هرم",IF(NOT(OR(Z706="ممتاز 100%",Z706="جيد 80%",Z706="مقبول 60%",Z706="خطر 40%",Z706="")),"✗ قائمة R",IF(NOT(OR(AA706="ممتاز 100%",AA706="جيد 85%",AA706="مقبول 70%",AA706="ضعيف 50%",AA706="")),"✗ قائمة S",IF(NOT(OR(AB706="مكتمل 100%",AB706="جزئي 60%",AB706="معلق 30%",AB706="مفتوح 0%",AB706="")),"✗ قائمة T",IF(NOT(OR(AC706="لا خصم 0",AC706="تأخير −5",AC706="عجز −10",AC706="جودة −15",AC706="امتثال −20",AC706="مخالفة −25",AC706="")),"✗ قائمة U",IF(AND(X706="لا",AC706&lt;&gt;"",AC706&lt;&gt;"لا خصم 0"),"✗ خصم",IF(AND(X706="نعم",AC706="لا خصم 0"),"✗ خصم",IF(AND(Z706="ممتاز 100%",AA706="ممتاز 100%",AB706&lt;&gt;"",AB706&lt;&gt;"مكتمل 100%"),"✗ إغلاق",IFERROR(IF(LEN(_xlfn.TEXTJOIN("، ",TRUE,IF(E706="","التاريخ",""),IF(F706="","الوقت",""),IF(G706="","المركز",""),IF(H706="","الدائرة",""),IF(I706="","القسم",""),IF(J706="","المسؤول",""),IF(K706="","نوع النشاط",""),IF(L706="","المشروع",""),IF(N706="","الممول",""),IF(V706="","الموضوع",""),IF(W706="","الملاحظة",""),IF(X706="","مشكلة",""),IF(Y706="","الإجراء",""),IF(Z706="","التنفيذ",""),IF(AA706="","الجودة",""),IF(AB706="","الإغلاق",""),IF(AC706="","الخصم",""),IF(AND(COUNTA($O706:$U706)&gt;0,O706=""),"مدير المشروع",""),IF(AND(COUNTA($O706:$U706)&gt;0,P706=""),"المستفيدين",""),IF(AND(COUNTA($O706:$U706)&gt;0,Q706=""),"المناطق",""),IF(AND(COUNTA($O706:$U706)&gt;0,R706=""),"الميزانية",""),IF(AND(COUNTA($O706:$U706)&gt;0,S706=""),"نسبة الجاهزية",""),IF(AND(COUNTA($O706:$U706)&gt;0,T706=""),"حالة الجاهزية",""),IF(AND(COUNTA($O706:$U706)&gt;0,U706=""),"التوصيات","")))&gt;0,"✗ ناقص: "&amp;_xlfn.TEXTJOIN("، ",TRUE,IF(E706="","التاريخ",""),IF(F706="","الوقت",""),IF(G706="","المركز",""),IF(H706="","الدائرة",""),IF(I706="","القسم",""),IF(J706="","المسؤول",""),IF(K706="","نوع النشاط",""),IF(L706="","المشروع",""),IF(N706="","الممول",""),IF(V706="","الموضوع",""),IF(W706="","الملاحظة",""),IF(X706="","مشكلة",""),IF(Y706="","الإجراء",""),IF(Z706="","التنفيذ",""),IF(AA706="","الجودة",""),IF(AB706="","الإغلاق",""),IF(AC706="","الخصم",""),IF(AND(COUNTA($O706:$U706)&gt;0,O706=""),"مدير المشروع",""),IF(AND(COUNTA($O706:$U706)&gt;0,P706=""),"المستفيدين",""),IF(AND(COUNTA($O706:$U706)&gt;0,Q706=""),"المناطق",""),IF(AND(COUNTA($O706:$U706)&gt;0,R706=""),"الميزانية",""),IF(AND(COUNTA($O706:$U706)&gt;0,S706=""),"نسبة الجاهزية",""),IF(AND(COUNTA($O706:$U706)&gt;0,T706=""),"حالة الجاهزية",""),IF(AND(COUNTA($O706:$U706)&gt;0,U706=""),"التوصيات","")),"✓"),"✓"))))))))))</f>
        <v/>
      </c>
      <c r="E706" s="235"/>
      <c r="F706" s="236"/>
      <c r="G706" s="90"/>
      <c r="H706" s="239"/>
      <c r="I706" s="89"/>
      <c r="J706" s="142"/>
      <c r="K706" s="90"/>
      <c r="L706" s="90"/>
      <c r="M706" s="90"/>
      <c r="N706" s="89"/>
      <c r="O706" s="200"/>
      <c r="P706" s="201"/>
      <c r="Q706" s="201"/>
      <c r="R706" s="237"/>
      <c r="S706" s="202"/>
      <c r="T706" s="200"/>
      <c r="U706" s="203"/>
      <c r="V706" s="89"/>
      <c r="W706" s="89"/>
      <c r="X706" s="145"/>
      <c r="Y706" s="89"/>
      <c r="Z706" s="90"/>
      <c r="AA706" s="90"/>
      <c r="AB706" s="90"/>
      <c r="AC706" s="90"/>
      <c r="AD706" s="92"/>
      <c r="AE706" s="149" t="str">
        <f>IFERROR(VLOOKUP(Z706,LISTS!$AL$2:$AM$1000,2,FALSE()),"")</f>
        <v/>
      </c>
      <c r="AF706" s="151" t="str">
        <f>IFERROR(VLOOKUP(AA706,LISTS!$AO$2:$AP$1000,2,FALSE()),"")</f>
        <v/>
      </c>
      <c r="AG706" s="152" t="str">
        <f>IFERROR(VLOOKUP(AB706,LISTS!$AR$2:$AS$1000,2,FALSE()),"")</f>
        <v/>
      </c>
      <c r="AH706" s="154" t="str">
        <f>IFERROR(VLOOKUP(AC706,LISTS!$AU$2:$AV$1000,2,FALSE()),"")</f>
        <v/>
      </c>
      <c r="AI706" s="238" t="str">
        <f t="shared" ref="AI706:AI769" si="58">IF(OR(AE706="",AF706="",AG706=""),"—",IFERROR(ROUND(AE706*0.4+AF706*0.3+AG706*0.3-IF(ISNUMBER(AH706),AH706,0),1),"⚠️"))</f>
        <v>—</v>
      </c>
      <c r="AJ706" s="190" t="str">
        <f t="shared" ref="AJ706:AJ769" si="59">IF(AI706="—","—",IF(NOT(ISNUMBER(AI706)),"⚠️",IF(AI706&gt;=98,"🌟 ممتاز جدًا",IF(AI706&gt;=90,"⭐ ممتاز",IF(AI706&gt;=75,"🟢 جيد",IF(AI706&gt;=60,"🟡 مقبول",IF(AI706&gt;=40,"🔴 ضعيف","🚨 خطر شديد")))))))</f>
        <v>—</v>
      </c>
      <c r="AK706" s="157" t="str">
        <f t="shared" si="55"/>
        <v/>
      </c>
      <c r="AL706" s="160" t="str">
        <f t="shared" si="56"/>
        <v/>
      </c>
      <c r="AM706" s="210"/>
      <c r="AN706" s="209"/>
    </row>
    <row r="707" spans="1:40" ht="27.95" customHeight="1">
      <c r="A707" s="134" t="str">
        <f>IF(I707&lt;&gt;"",COUNTA($I$2:I707),"")</f>
        <v/>
      </c>
      <c r="B707" s="138" t="str">
        <f t="shared" si="57"/>
        <v/>
      </c>
      <c r="C707" s="93" t="str">
        <f t="array" ref="C707">IF(E707="","",IF(M707&lt;&gt;"",
M707&amp;"/"&amp;SUMPRODUCT((M$2:M707=M707)*1)&amp;" - "&amp;(ROW()-2),
"إداري/"&amp;SUMPRODUCT((M$2:M707="")*1)&amp;" - "&amp;(ROW()-2)))</f>
        <v/>
      </c>
      <c r="D707" s="141" t="str">
        <f>IF(AND(G707="",H707="",I707=""),"",IF(COUNTIFS(LISTS!$A$2:$A$67,G707,LISTS!$B$2:$B$67,H707,LISTS!$C$2:$C$67,I707)=0,"✗ هرم",IF(NOT(OR(Z707="ممتاز 100%",Z707="جيد 80%",Z707="مقبول 60%",Z707="خطر 40%",Z707="")),"✗ قائمة R",IF(NOT(OR(AA707="ممتاز 100%",AA707="جيد 85%",AA707="مقبول 70%",AA707="ضعيف 50%",AA707="")),"✗ قائمة S",IF(NOT(OR(AB707="مكتمل 100%",AB707="جزئي 60%",AB707="معلق 30%",AB707="مفتوح 0%",AB707="")),"✗ قائمة T",IF(NOT(OR(AC707="لا خصم 0",AC707="تأخير −5",AC707="عجز −10",AC707="جودة −15",AC707="امتثال −20",AC707="مخالفة −25",AC707="")),"✗ قائمة U",IF(AND(X707="لا",AC707&lt;&gt;"",AC707&lt;&gt;"لا خصم 0"),"✗ خصم",IF(AND(X707="نعم",AC707="لا خصم 0"),"✗ خصم",IF(AND(Z707="ممتاز 100%",AA707="ممتاز 100%",AB707&lt;&gt;"",AB707&lt;&gt;"مكتمل 100%"),"✗ إغلاق",IFERROR(IF(LEN(_xlfn.TEXTJOIN("، ",TRUE,IF(E707="","التاريخ",""),IF(F707="","الوقت",""),IF(G707="","المركز",""),IF(H707="","الدائرة",""),IF(I707="","القسم",""),IF(J707="","المسؤول",""),IF(K707="","نوع النشاط",""),IF(L707="","المشروع",""),IF(N707="","الممول",""),IF(V707="","الموضوع",""),IF(W707="","الملاحظة",""),IF(X707="","مشكلة",""),IF(Y707="","الإجراء",""),IF(Z707="","التنفيذ",""),IF(AA707="","الجودة",""),IF(AB707="","الإغلاق",""),IF(AC707="","الخصم",""),IF(AND(COUNTA($O707:$U707)&gt;0,O707=""),"مدير المشروع",""),IF(AND(COUNTA($O707:$U707)&gt;0,P707=""),"المستفيدين",""),IF(AND(COUNTA($O707:$U707)&gt;0,Q707=""),"المناطق",""),IF(AND(COUNTA($O707:$U707)&gt;0,R707=""),"الميزانية",""),IF(AND(COUNTA($O707:$U707)&gt;0,S707=""),"نسبة الجاهزية",""),IF(AND(COUNTA($O707:$U707)&gt;0,T707=""),"حالة الجاهزية",""),IF(AND(COUNTA($O707:$U707)&gt;0,U707=""),"التوصيات","")))&gt;0,"✗ ناقص: "&amp;_xlfn.TEXTJOIN("، ",TRUE,IF(E707="","التاريخ",""),IF(F707="","الوقت",""),IF(G707="","المركز",""),IF(H707="","الدائرة",""),IF(I707="","القسم",""),IF(J707="","المسؤول",""),IF(K707="","نوع النشاط",""),IF(L707="","المشروع",""),IF(N707="","الممول",""),IF(V707="","الموضوع",""),IF(W707="","الملاحظة",""),IF(X707="","مشكلة",""),IF(Y707="","الإجراء",""),IF(Z707="","التنفيذ",""),IF(AA707="","الجودة",""),IF(AB707="","الإغلاق",""),IF(AC707="","الخصم",""),IF(AND(COUNTA($O707:$U707)&gt;0,O707=""),"مدير المشروع",""),IF(AND(COUNTA($O707:$U707)&gt;0,P707=""),"المستفيدين",""),IF(AND(COUNTA($O707:$U707)&gt;0,Q707=""),"المناطق",""),IF(AND(COUNTA($O707:$U707)&gt;0,R707=""),"الميزانية",""),IF(AND(COUNTA($O707:$U707)&gt;0,S707=""),"نسبة الجاهزية",""),IF(AND(COUNTA($O707:$U707)&gt;0,T707=""),"حالة الجاهزية",""),IF(AND(COUNTA($O707:$U707)&gt;0,U707=""),"التوصيات","")),"✓"),"✓"))))))))))</f>
        <v/>
      </c>
      <c r="E707" s="235"/>
      <c r="F707" s="236"/>
      <c r="G707" s="90"/>
      <c r="H707" s="239"/>
      <c r="I707" s="89"/>
      <c r="J707" s="142"/>
      <c r="K707" s="90"/>
      <c r="L707" s="90"/>
      <c r="M707" s="90"/>
      <c r="N707" s="89"/>
      <c r="O707" s="200"/>
      <c r="P707" s="201"/>
      <c r="Q707" s="201"/>
      <c r="R707" s="237"/>
      <c r="S707" s="202"/>
      <c r="T707" s="200"/>
      <c r="U707" s="203"/>
      <c r="V707" s="89"/>
      <c r="W707" s="89"/>
      <c r="X707" s="145"/>
      <c r="Y707" s="89"/>
      <c r="Z707" s="90"/>
      <c r="AA707" s="90"/>
      <c r="AB707" s="90"/>
      <c r="AC707" s="90"/>
      <c r="AD707" s="92"/>
      <c r="AE707" s="149" t="str">
        <f>IFERROR(VLOOKUP(Z707,LISTS!$AL$2:$AM$1000,2,FALSE()),"")</f>
        <v/>
      </c>
      <c r="AF707" s="151" t="str">
        <f>IFERROR(VLOOKUP(AA707,LISTS!$AO$2:$AP$1000,2,FALSE()),"")</f>
        <v/>
      </c>
      <c r="AG707" s="152" t="str">
        <f>IFERROR(VLOOKUP(AB707,LISTS!$AR$2:$AS$1000,2,FALSE()),"")</f>
        <v/>
      </c>
      <c r="AH707" s="154" t="str">
        <f>IFERROR(VLOOKUP(AC707,LISTS!$AU$2:$AV$1000,2,FALSE()),"")</f>
        <v/>
      </c>
      <c r="AI707" s="238" t="str">
        <f t="shared" si="58"/>
        <v>—</v>
      </c>
      <c r="AJ707" s="190" t="str">
        <f t="shared" si="59"/>
        <v>—</v>
      </c>
      <c r="AK707" s="157" t="str">
        <f t="shared" si="55"/>
        <v/>
      </c>
      <c r="AL707" s="160" t="str">
        <f t="shared" si="56"/>
        <v/>
      </c>
      <c r="AM707" s="210"/>
      <c r="AN707" s="209"/>
    </row>
    <row r="708" spans="1:40" ht="27.95" customHeight="1">
      <c r="A708" s="134" t="str">
        <f>IF(I708&lt;&gt;"",COUNTA($I$2:I708),"")</f>
        <v/>
      </c>
      <c r="B708" s="138" t="str">
        <f t="shared" si="57"/>
        <v/>
      </c>
      <c r="C708" s="93" t="str">
        <f t="array" ref="C708">IF(E708="","",IF(M708&lt;&gt;"",
M708&amp;"/"&amp;SUMPRODUCT((M$2:M708=M708)*1)&amp;" - "&amp;(ROW()-2),
"إداري/"&amp;SUMPRODUCT((M$2:M708="")*1)&amp;" - "&amp;(ROW()-2)))</f>
        <v/>
      </c>
      <c r="D708" s="141" t="str">
        <f>IF(AND(G708="",H708="",I708=""),"",IF(COUNTIFS(LISTS!$A$2:$A$67,G708,LISTS!$B$2:$B$67,H708,LISTS!$C$2:$C$67,I708)=0,"✗ هرم",IF(NOT(OR(Z708="ممتاز 100%",Z708="جيد 80%",Z708="مقبول 60%",Z708="خطر 40%",Z708="")),"✗ قائمة R",IF(NOT(OR(AA708="ممتاز 100%",AA708="جيد 85%",AA708="مقبول 70%",AA708="ضعيف 50%",AA708="")),"✗ قائمة S",IF(NOT(OR(AB708="مكتمل 100%",AB708="جزئي 60%",AB708="معلق 30%",AB708="مفتوح 0%",AB708="")),"✗ قائمة T",IF(NOT(OR(AC708="لا خصم 0",AC708="تأخير −5",AC708="عجز −10",AC708="جودة −15",AC708="امتثال −20",AC708="مخالفة −25",AC708="")),"✗ قائمة U",IF(AND(X708="لا",AC708&lt;&gt;"",AC708&lt;&gt;"لا خصم 0"),"✗ خصم",IF(AND(X708="نعم",AC708="لا خصم 0"),"✗ خصم",IF(AND(Z708="ممتاز 100%",AA708="ممتاز 100%",AB708&lt;&gt;"",AB708&lt;&gt;"مكتمل 100%"),"✗ إغلاق",IFERROR(IF(LEN(_xlfn.TEXTJOIN("، ",TRUE,IF(E708="","التاريخ",""),IF(F708="","الوقت",""),IF(G708="","المركز",""),IF(H708="","الدائرة",""),IF(I708="","القسم",""),IF(J708="","المسؤول",""),IF(K708="","نوع النشاط",""),IF(L708="","المشروع",""),IF(N708="","الممول",""),IF(V708="","الموضوع",""),IF(W708="","الملاحظة",""),IF(X708="","مشكلة",""),IF(Y708="","الإجراء",""),IF(Z708="","التنفيذ",""),IF(AA708="","الجودة",""),IF(AB708="","الإغلاق",""),IF(AC708="","الخصم",""),IF(AND(COUNTA($O708:$U708)&gt;0,O708=""),"مدير المشروع",""),IF(AND(COUNTA($O708:$U708)&gt;0,P708=""),"المستفيدين",""),IF(AND(COUNTA($O708:$U708)&gt;0,Q708=""),"المناطق",""),IF(AND(COUNTA($O708:$U708)&gt;0,R708=""),"الميزانية",""),IF(AND(COUNTA($O708:$U708)&gt;0,S708=""),"نسبة الجاهزية",""),IF(AND(COUNTA($O708:$U708)&gt;0,T708=""),"حالة الجاهزية",""),IF(AND(COUNTA($O708:$U708)&gt;0,U708=""),"التوصيات","")))&gt;0,"✗ ناقص: "&amp;_xlfn.TEXTJOIN("، ",TRUE,IF(E708="","التاريخ",""),IF(F708="","الوقت",""),IF(G708="","المركز",""),IF(H708="","الدائرة",""),IF(I708="","القسم",""),IF(J708="","المسؤول",""),IF(K708="","نوع النشاط",""),IF(L708="","المشروع",""),IF(N708="","الممول",""),IF(V708="","الموضوع",""),IF(W708="","الملاحظة",""),IF(X708="","مشكلة",""),IF(Y708="","الإجراء",""),IF(Z708="","التنفيذ",""),IF(AA708="","الجودة",""),IF(AB708="","الإغلاق",""),IF(AC708="","الخصم",""),IF(AND(COUNTA($O708:$U708)&gt;0,O708=""),"مدير المشروع",""),IF(AND(COUNTA($O708:$U708)&gt;0,P708=""),"المستفيدين",""),IF(AND(COUNTA($O708:$U708)&gt;0,Q708=""),"المناطق",""),IF(AND(COUNTA($O708:$U708)&gt;0,R708=""),"الميزانية",""),IF(AND(COUNTA($O708:$U708)&gt;0,S708=""),"نسبة الجاهزية",""),IF(AND(COUNTA($O708:$U708)&gt;0,T708=""),"حالة الجاهزية",""),IF(AND(COUNTA($O708:$U708)&gt;0,U708=""),"التوصيات","")),"✓"),"✓"))))))))))</f>
        <v/>
      </c>
      <c r="E708" s="235"/>
      <c r="F708" s="236"/>
      <c r="G708" s="90"/>
      <c r="H708" s="239"/>
      <c r="I708" s="89"/>
      <c r="J708" s="142"/>
      <c r="K708" s="90"/>
      <c r="L708" s="90"/>
      <c r="M708" s="90"/>
      <c r="N708" s="89"/>
      <c r="O708" s="200"/>
      <c r="P708" s="201"/>
      <c r="Q708" s="201"/>
      <c r="R708" s="237"/>
      <c r="S708" s="202"/>
      <c r="T708" s="200"/>
      <c r="U708" s="203"/>
      <c r="V708" s="89"/>
      <c r="W708" s="89"/>
      <c r="X708" s="145"/>
      <c r="Y708" s="89"/>
      <c r="Z708" s="90"/>
      <c r="AA708" s="90"/>
      <c r="AB708" s="90"/>
      <c r="AC708" s="90"/>
      <c r="AD708" s="92"/>
      <c r="AE708" s="149" t="str">
        <f>IFERROR(VLOOKUP(Z708,LISTS!$AL$2:$AM$1000,2,FALSE()),"")</f>
        <v/>
      </c>
      <c r="AF708" s="151" t="str">
        <f>IFERROR(VLOOKUP(AA708,LISTS!$AO$2:$AP$1000,2,FALSE()),"")</f>
        <v/>
      </c>
      <c r="AG708" s="152" t="str">
        <f>IFERROR(VLOOKUP(AB708,LISTS!$AR$2:$AS$1000,2,FALSE()),"")</f>
        <v/>
      </c>
      <c r="AH708" s="154" t="str">
        <f>IFERROR(VLOOKUP(AC708,LISTS!$AU$2:$AV$1000,2,FALSE()),"")</f>
        <v/>
      </c>
      <c r="AI708" s="238" t="str">
        <f t="shared" si="58"/>
        <v>—</v>
      </c>
      <c r="AJ708" s="190" t="str">
        <f t="shared" si="59"/>
        <v>—</v>
      </c>
      <c r="AK708" s="157" t="str">
        <f t="shared" si="55"/>
        <v/>
      </c>
      <c r="AL708" s="160" t="str">
        <f t="shared" si="56"/>
        <v/>
      </c>
      <c r="AM708" s="210"/>
      <c r="AN708" s="209"/>
    </row>
    <row r="709" spans="1:40" ht="27.95" customHeight="1">
      <c r="A709" s="134" t="str">
        <f>IF(I709&lt;&gt;"",COUNTA($I$2:I709),"")</f>
        <v/>
      </c>
      <c r="B709" s="138" t="str">
        <f t="shared" si="57"/>
        <v/>
      </c>
      <c r="C709" s="93" t="str">
        <f t="array" ref="C709">IF(E709="","",IF(M709&lt;&gt;"",
M709&amp;"/"&amp;SUMPRODUCT((M$2:M709=M709)*1)&amp;" - "&amp;(ROW()-2),
"إداري/"&amp;SUMPRODUCT((M$2:M709="")*1)&amp;" - "&amp;(ROW()-2)))</f>
        <v/>
      </c>
      <c r="D709" s="141" t="str">
        <f>IF(AND(G709="",H709="",I709=""),"",IF(COUNTIFS(LISTS!$A$2:$A$67,G709,LISTS!$B$2:$B$67,H709,LISTS!$C$2:$C$67,I709)=0,"✗ هرم",IF(NOT(OR(Z709="ممتاز 100%",Z709="جيد 80%",Z709="مقبول 60%",Z709="خطر 40%",Z709="")),"✗ قائمة R",IF(NOT(OR(AA709="ممتاز 100%",AA709="جيد 85%",AA709="مقبول 70%",AA709="ضعيف 50%",AA709="")),"✗ قائمة S",IF(NOT(OR(AB709="مكتمل 100%",AB709="جزئي 60%",AB709="معلق 30%",AB709="مفتوح 0%",AB709="")),"✗ قائمة T",IF(NOT(OR(AC709="لا خصم 0",AC709="تأخير −5",AC709="عجز −10",AC709="جودة −15",AC709="امتثال −20",AC709="مخالفة −25",AC709="")),"✗ قائمة U",IF(AND(X709="لا",AC709&lt;&gt;"",AC709&lt;&gt;"لا خصم 0"),"✗ خصم",IF(AND(X709="نعم",AC709="لا خصم 0"),"✗ خصم",IF(AND(Z709="ممتاز 100%",AA709="ممتاز 100%",AB709&lt;&gt;"",AB709&lt;&gt;"مكتمل 100%"),"✗ إغلاق",IFERROR(IF(LEN(_xlfn.TEXTJOIN("، ",TRUE,IF(E709="","التاريخ",""),IF(F709="","الوقت",""),IF(G709="","المركز",""),IF(H709="","الدائرة",""),IF(I709="","القسم",""),IF(J709="","المسؤول",""),IF(K709="","نوع النشاط",""),IF(L709="","المشروع",""),IF(N709="","الممول",""),IF(V709="","الموضوع",""),IF(W709="","الملاحظة",""),IF(X709="","مشكلة",""),IF(Y709="","الإجراء",""),IF(Z709="","التنفيذ",""),IF(AA709="","الجودة",""),IF(AB709="","الإغلاق",""),IF(AC709="","الخصم",""),IF(AND(COUNTA($O709:$U709)&gt;0,O709=""),"مدير المشروع",""),IF(AND(COUNTA($O709:$U709)&gt;0,P709=""),"المستفيدين",""),IF(AND(COUNTA($O709:$U709)&gt;0,Q709=""),"المناطق",""),IF(AND(COUNTA($O709:$U709)&gt;0,R709=""),"الميزانية",""),IF(AND(COUNTA($O709:$U709)&gt;0,S709=""),"نسبة الجاهزية",""),IF(AND(COUNTA($O709:$U709)&gt;0,T709=""),"حالة الجاهزية",""),IF(AND(COUNTA($O709:$U709)&gt;0,U709=""),"التوصيات","")))&gt;0,"✗ ناقص: "&amp;_xlfn.TEXTJOIN("، ",TRUE,IF(E709="","التاريخ",""),IF(F709="","الوقت",""),IF(G709="","المركز",""),IF(H709="","الدائرة",""),IF(I709="","القسم",""),IF(J709="","المسؤول",""),IF(K709="","نوع النشاط",""),IF(L709="","المشروع",""),IF(N709="","الممول",""),IF(V709="","الموضوع",""),IF(W709="","الملاحظة",""),IF(X709="","مشكلة",""),IF(Y709="","الإجراء",""),IF(Z709="","التنفيذ",""),IF(AA709="","الجودة",""),IF(AB709="","الإغلاق",""),IF(AC709="","الخصم",""),IF(AND(COUNTA($O709:$U709)&gt;0,O709=""),"مدير المشروع",""),IF(AND(COUNTA($O709:$U709)&gt;0,P709=""),"المستفيدين",""),IF(AND(COUNTA($O709:$U709)&gt;0,Q709=""),"المناطق",""),IF(AND(COUNTA($O709:$U709)&gt;0,R709=""),"الميزانية",""),IF(AND(COUNTA($O709:$U709)&gt;0,S709=""),"نسبة الجاهزية",""),IF(AND(COUNTA($O709:$U709)&gt;0,T709=""),"حالة الجاهزية",""),IF(AND(COUNTA($O709:$U709)&gt;0,U709=""),"التوصيات","")),"✓"),"✓"))))))))))</f>
        <v/>
      </c>
      <c r="E709" s="235"/>
      <c r="F709" s="236"/>
      <c r="G709" s="90"/>
      <c r="H709" s="239"/>
      <c r="I709" s="89"/>
      <c r="J709" s="142"/>
      <c r="K709" s="90"/>
      <c r="L709" s="90"/>
      <c r="M709" s="90"/>
      <c r="N709" s="89"/>
      <c r="O709" s="200"/>
      <c r="P709" s="201"/>
      <c r="Q709" s="201"/>
      <c r="R709" s="237"/>
      <c r="S709" s="202"/>
      <c r="T709" s="200"/>
      <c r="U709" s="203"/>
      <c r="V709" s="89"/>
      <c r="W709" s="89"/>
      <c r="X709" s="145"/>
      <c r="Y709" s="89"/>
      <c r="Z709" s="90"/>
      <c r="AA709" s="90"/>
      <c r="AB709" s="90"/>
      <c r="AC709" s="90"/>
      <c r="AD709" s="92"/>
      <c r="AE709" s="149" t="str">
        <f>IFERROR(VLOOKUP(Z709,LISTS!$AL$2:$AM$1000,2,FALSE()),"")</f>
        <v/>
      </c>
      <c r="AF709" s="151" t="str">
        <f>IFERROR(VLOOKUP(AA709,LISTS!$AO$2:$AP$1000,2,FALSE()),"")</f>
        <v/>
      </c>
      <c r="AG709" s="152" t="str">
        <f>IFERROR(VLOOKUP(AB709,LISTS!$AR$2:$AS$1000,2,FALSE()),"")</f>
        <v/>
      </c>
      <c r="AH709" s="154" t="str">
        <f>IFERROR(VLOOKUP(AC709,LISTS!$AU$2:$AV$1000,2,FALSE()),"")</f>
        <v/>
      </c>
      <c r="AI709" s="238" t="str">
        <f t="shared" si="58"/>
        <v>—</v>
      </c>
      <c r="AJ709" s="190" t="str">
        <f t="shared" si="59"/>
        <v>—</v>
      </c>
      <c r="AK709" s="157" t="str">
        <f t="shared" si="55"/>
        <v/>
      </c>
      <c r="AL709" s="160" t="str">
        <f t="shared" si="56"/>
        <v/>
      </c>
      <c r="AM709" s="210"/>
      <c r="AN709" s="209"/>
    </row>
    <row r="710" spans="1:40" ht="27.95" customHeight="1">
      <c r="A710" s="134" t="str">
        <f>IF(I710&lt;&gt;"",COUNTA($I$2:I710),"")</f>
        <v/>
      </c>
      <c r="B710" s="138" t="str">
        <f t="shared" si="57"/>
        <v/>
      </c>
      <c r="C710" s="93" t="str">
        <f t="array" ref="C710">IF(E710="","",IF(M710&lt;&gt;"",
M710&amp;"/"&amp;SUMPRODUCT((M$2:M710=M710)*1)&amp;" - "&amp;(ROW()-2),
"إداري/"&amp;SUMPRODUCT((M$2:M710="")*1)&amp;" - "&amp;(ROW()-2)))</f>
        <v/>
      </c>
      <c r="D710" s="141" t="str">
        <f>IF(AND(G710="",H710="",I710=""),"",IF(COUNTIFS(LISTS!$A$2:$A$67,G710,LISTS!$B$2:$B$67,H710,LISTS!$C$2:$C$67,I710)=0,"✗ هرم",IF(NOT(OR(Z710="ممتاز 100%",Z710="جيد 80%",Z710="مقبول 60%",Z710="خطر 40%",Z710="")),"✗ قائمة R",IF(NOT(OR(AA710="ممتاز 100%",AA710="جيد 85%",AA710="مقبول 70%",AA710="ضعيف 50%",AA710="")),"✗ قائمة S",IF(NOT(OR(AB710="مكتمل 100%",AB710="جزئي 60%",AB710="معلق 30%",AB710="مفتوح 0%",AB710="")),"✗ قائمة T",IF(NOT(OR(AC710="لا خصم 0",AC710="تأخير −5",AC710="عجز −10",AC710="جودة −15",AC710="امتثال −20",AC710="مخالفة −25",AC710="")),"✗ قائمة U",IF(AND(X710="لا",AC710&lt;&gt;"",AC710&lt;&gt;"لا خصم 0"),"✗ خصم",IF(AND(X710="نعم",AC710="لا خصم 0"),"✗ خصم",IF(AND(Z710="ممتاز 100%",AA710="ممتاز 100%",AB710&lt;&gt;"",AB710&lt;&gt;"مكتمل 100%"),"✗ إغلاق",IFERROR(IF(LEN(_xlfn.TEXTJOIN("، ",TRUE,IF(E710="","التاريخ",""),IF(F710="","الوقت",""),IF(G710="","المركز",""),IF(H710="","الدائرة",""),IF(I710="","القسم",""),IF(J710="","المسؤول",""),IF(K710="","نوع النشاط",""),IF(L710="","المشروع",""),IF(N710="","الممول",""),IF(V710="","الموضوع",""),IF(W710="","الملاحظة",""),IF(X710="","مشكلة",""),IF(Y710="","الإجراء",""),IF(Z710="","التنفيذ",""),IF(AA710="","الجودة",""),IF(AB710="","الإغلاق",""),IF(AC710="","الخصم",""),IF(AND(COUNTA($O710:$U710)&gt;0,O710=""),"مدير المشروع",""),IF(AND(COUNTA($O710:$U710)&gt;0,P710=""),"المستفيدين",""),IF(AND(COUNTA($O710:$U710)&gt;0,Q710=""),"المناطق",""),IF(AND(COUNTA($O710:$U710)&gt;0,R710=""),"الميزانية",""),IF(AND(COUNTA($O710:$U710)&gt;0,S710=""),"نسبة الجاهزية",""),IF(AND(COUNTA($O710:$U710)&gt;0,T710=""),"حالة الجاهزية",""),IF(AND(COUNTA($O710:$U710)&gt;0,U710=""),"التوصيات","")))&gt;0,"✗ ناقص: "&amp;_xlfn.TEXTJOIN("، ",TRUE,IF(E710="","التاريخ",""),IF(F710="","الوقت",""),IF(G710="","المركز",""),IF(H710="","الدائرة",""),IF(I710="","القسم",""),IF(J710="","المسؤول",""),IF(K710="","نوع النشاط",""),IF(L710="","المشروع",""),IF(N710="","الممول",""),IF(V710="","الموضوع",""),IF(W710="","الملاحظة",""),IF(X710="","مشكلة",""),IF(Y710="","الإجراء",""),IF(Z710="","التنفيذ",""),IF(AA710="","الجودة",""),IF(AB710="","الإغلاق",""),IF(AC710="","الخصم",""),IF(AND(COUNTA($O710:$U710)&gt;0,O710=""),"مدير المشروع",""),IF(AND(COUNTA($O710:$U710)&gt;0,P710=""),"المستفيدين",""),IF(AND(COUNTA($O710:$U710)&gt;0,Q710=""),"المناطق",""),IF(AND(COUNTA($O710:$U710)&gt;0,R710=""),"الميزانية",""),IF(AND(COUNTA($O710:$U710)&gt;0,S710=""),"نسبة الجاهزية",""),IF(AND(COUNTA($O710:$U710)&gt;0,T710=""),"حالة الجاهزية",""),IF(AND(COUNTA($O710:$U710)&gt;0,U710=""),"التوصيات","")),"✓"),"✓"))))))))))</f>
        <v/>
      </c>
      <c r="E710" s="235"/>
      <c r="F710" s="236"/>
      <c r="G710" s="90"/>
      <c r="H710" s="239"/>
      <c r="I710" s="89"/>
      <c r="J710" s="142"/>
      <c r="K710" s="90"/>
      <c r="L710" s="90"/>
      <c r="M710" s="90"/>
      <c r="N710" s="89"/>
      <c r="O710" s="200"/>
      <c r="P710" s="201"/>
      <c r="Q710" s="201"/>
      <c r="R710" s="237"/>
      <c r="S710" s="202"/>
      <c r="T710" s="200"/>
      <c r="U710" s="203"/>
      <c r="V710" s="89"/>
      <c r="W710" s="89"/>
      <c r="X710" s="145"/>
      <c r="Y710" s="89"/>
      <c r="Z710" s="90"/>
      <c r="AA710" s="90"/>
      <c r="AB710" s="90"/>
      <c r="AC710" s="90"/>
      <c r="AD710" s="92"/>
      <c r="AE710" s="149" t="str">
        <f>IFERROR(VLOOKUP(Z710,LISTS!$AL$2:$AM$1000,2,FALSE()),"")</f>
        <v/>
      </c>
      <c r="AF710" s="151" t="str">
        <f>IFERROR(VLOOKUP(AA710,LISTS!$AO$2:$AP$1000,2,FALSE()),"")</f>
        <v/>
      </c>
      <c r="AG710" s="152" t="str">
        <f>IFERROR(VLOOKUP(AB710,LISTS!$AR$2:$AS$1000,2,FALSE()),"")</f>
        <v/>
      </c>
      <c r="AH710" s="154" t="str">
        <f>IFERROR(VLOOKUP(AC710,LISTS!$AU$2:$AV$1000,2,FALSE()),"")</f>
        <v/>
      </c>
      <c r="AI710" s="238" t="str">
        <f t="shared" si="58"/>
        <v>—</v>
      </c>
      <c r="AJ710" s="190" t="str">
        <f t="shared" si="59"/>
        <v>—</v>
      </c>
      <c r="AK710" s="157" t="str">
        <f t="shared" si="55"/>
        <v/>
      </c>
      <c r="AL710" s="160" t="str">
        <f t="shared" si="56"/>
        <v/>
      </c>
      <c r="AM710" s="210"/>
      <c r="AN710" s="209"/>
    </row>
    <row r="711" spans="1:40" ht="27.95" customHeight="1">
      <c r="A711" s="134" t="str">
        <f>IF(I711&lt;&gt;"",COUNTA($I$2:I711),"")</f>
        <v/>
      </c>
      <c r="B711" s="138" t="str">
        <f t="shared" si="57"/>
        <v/>
      </c>
      <c r="C711" s="93" t="str">
        <f t="array" ref="C711">IF(E711="","",IF(M711&lt;&gt;"",
M711&amp;"/"&amp;SUMPRODUCT((M$2:M711=M711)*1)&amp;" - "&amp;(ROW()-2),
"إداري/"&amp;SUMPRODUCT((M$2:M711="")*1)&amp;" - "&amp;(ROW()-2)))</f>
        <v/>
      </c>
      <c r="D711" s="141" t="str">
        <f>IF(AND(G711="",H711="",I711=""),"",IF(COUNTIFS(LISTS!$A$2:$A$67,G711,LISTS!$B$2:$B$67,H711,LISTS!$C$2:$C$67,I711)=0,"✗ هرم",IF(NOT(OR(Z711="ممتاز 100%",Z711="جيد 80%",Z711="مقبول 60%",Z711="خطر 40%",Z711="")),"✗ قائمة R",IF(NOT(OR(AA711="ممتاز 100%",AA711="جيد 85%",AA711="مقبول 70%",AA711="ضعيف 50%",AA711="")),"✗ قائمة S",IF(NOT(OR(AB711="مكتمل 100%",AB711="جزئي 60%",AB711="معلق 30%",AB711="مفتوح 0%",AB711="")),"✗ قائمة T",IF(NOT(OR(AC711="لا خصم 0",AC711="تأخير −5",AC711="عجز −10",AC711="جودة −15",AC711="امتثال −20",AC711="مخالفة −25",AC711="")),"✗ قائمة U",IF(AND(X711="لا",AC711&lt;&gt;"",AC711&lt;&gt;"لا خصم 0"),"✗ خصم",IF(AND(X711="نعم",AC711="لا خصم 0"),"✗ خصم",IF(AND(Z711="ممتاز 100%",AA711="ممتاز 100%",AB711&lt;&gt;"",AB711&lt;&gt;"مكتمل 100%"),"✗ إغلاق",IFERROR(IF(LEN(_xlfn.TEXTJOIN("، ",TRUE,IF(E711="","التاريخ",""),IF(F711="","الوقت",""),IF(G711="","المركز",""),IF(H711="","الدائرة",""),IF(I711="","القسم",""),IF(J711="","المسؤول",""),IF(K711="","نوع النشاط",""),IF(L711="","المشروع",""),IF(N711="","الممول",""),IF(V711="","الموضوع",""),IF(W711="","الملاحظة",""),IF(X711="","مشكلة",""),IF(Y711="","الإجراء",""),IF(Z711="","التنفيذ",""),IF(AA711="","الجودة",""),IF(AB711="","الإغلاق",""),IF(AC711="","الخصم",""),IF(AND(COUNTA($O711:$U711)&gt;0,O711=""),"مدير المشروع",""),IF(AND(COUNTA($O711:$U711)&gt;0,P711=""),"المستفيدين",""),IF(AND(COUNTA($O711:$U711)&gt;0,Q711=""),"المناطق",""),IF(AND(COUNTA($O711:$U711)&gt;0,R711=""),"الميزانية",""),IF(AND(COUNTA($O711:$U711)&gt;0,S711=""),"نسبة الجاهزية",""),IF(AND(COUNTA($O711:$U711)&gt;0,T711=""),"حالة الجاهزية",""),IF(AND(COUNTA($O711:$U711)&gt;0,U711=""),"التوصيات","")))&gt;0,"✗ ناقص: "&amp;_xlfn.TEXTJOIN("، ",TRUE,IF(E711="","التاريخ",""),IF(F711="","الوقت",""),IF(G711="","المركز",""),IF(H711="","الدائرة",""),IF(I711="","القسم",""),IF(J711="","المسؤول",""),IF(K711="","نوع النشاط",""),IF(L711="","المشروع",""),IF(N711="","الممول",""),IF(V711="","الموضوع",""),IF(W711="","الملاحظة",""),IF(X711="","مشكلة",""),IF(Y711="","الإجراء",""),IF(Z711="","التنفيذ",""),IF(AA711="","الجودة",""),IF(AB711="","الإغلاق",""),IF(AC711="","الخصم",""),IF(AND(COUNTA($O711:$U711)&gt;0,O711=""),"مدير المشروع",""),IF(AND(COUNTA($O711:$U711)&gt;0,P711=""),"المستفيدين",""),IF(AND(COUNTA($O711:$U711)&gt;0,Q711=""),"المناطق",""),IF(AND(COUNTA($O711:$U711)&gt;0,R711=""),"الميزانية",""),IF(AND(COUNTA($O711:$U711)&gt;0,S711=""),"نسبة الجاهزية",""),IF(AND(COUNTA($O711:$U711)&gt;0,T711=""),"حالة الجاهزية",""),IF(AND(COUNTA($O711:$U711)&gt;0,U711=""),"التوصيات","")),"✓"),"✓"))))))))))</f>
        <v/>
      </c>
      <c r="E711" s="235"/>
      <c r="F711" s="236"/>
      <c r="G711" s="90"/>
      <c r="H711" s="239"/>
      <c r="I711" s="89"/>
      <c r="J711" s="142"/>
      <c r="K711" s="90"/>
      <c r="L711" s="90"/>
      <c r="M711" s="90"/>
      <c r="N711" s="89"/>
      <c r="O711" s="200"/>
      <c r="P711" s="201"/>
      <c r="Q711" s="201"/>
      <c r="R711" s="237"/>
      <c r="S711" s="202"/>
      <c r="T711" s="200"/>
      <c r="U711" s="203"/>
      <c r="V711" s="89"/>
      <c r="W711" s="89"/>
      <c r="X711" s="145"/>
      <c r="Y711" s="89"/>
      <c r="Z711" s="90"/>
      <c r="AA711" s="90"/>
      <c r="AB711" s="90"/>
      <c r="AC711" s="90"/>
      <c r="AD711" s="92"/>
      <c r="AE711" s="149" t="str">
        <f>IFERROR(VLOOKUP(Z711,LISTS!$AL$2:$AM$1000,2,FALSE()),"")</f>
        <v/>
      </c>
      <c r="AF711" s="151" t="str">
        <f>IFERROR(VLOOKUP(AA711,LISTS!$AO$2:$AP$1000,2,FALSE()),"")</f>
        <v/>
      </c>
      <c r="AG711" s="152" t="str">
        <f>IFERROR(VLOOKUP(AB711,LISTS!$AR$2:$AS$1000,2,FALSE()),"")</f>
        <v/>
      </c>
      <c r="AH711" s="154" t="str">
        <f>IFERROR(VLOOKUP(AC711,LISTS!$AU$2:$AV$1000,2,FALSE()),"")</f>
        <v/>
      </c>
      <c r="AI711" s="238" t="str">
        <f t="shared" si="58"/>
        <v>—</v>
      </c>
      <c r="AJ711" s="190" t="str">
        <f t="shared" si="59"/>
        <v>—</v>
      </c>
      <c r="AK711" s="157" t="str">
        <f t="shared" si="55"/>
        <v/>
      </c>
      <c r="AL711" s="160" t="str">
        <f t="shared" si="56"/>
        <v/>
      </c>
      <c r="AM711" s="210"/>
      <c r="AN711" s="209"/>
    </row>
    <row r="712" spans="1:40" ht="27.95" customHeight="1">
      <c r="A712" s="134" t="str">
        <f>IF(I712&lt;&gt;"",COUNTA($I$2:I712),"")</f>
        <v/>
      </c>
      <c r="B712" s="138" t="str">
        <f t="shared" si="57"/>
        <v/>
      </c>
      <c r="C712" s="93" t="str">
        <f t="array" ref="C712">IF(E712="","",IF(M712&lt;&gt;"",
M712&amp;"/"&amp;SUMPRODUCT((M$2:M712=M712)*1)&amp;" - "&amp;(ROW()-2),
"إداري/"&amp;SUMPRODUCT((M$2:M712="")*1)&amp;" - "&amp;(ROW()-2)))</f>
        <v/>
      </c>
      <c r="D712" s="141" t="str">
        <f>IF(AND(G712="",H712="",I712=""),"",IF(COUNTIFS(LISTS!$A$2:$A$67,G712,LISTS!$B$2:$B$67,H712,LISTS!$C$2:$C$67,I712)=0,"✗ هرم",IF(NOT(OR(Z712="ممتاز 100%",Z712="جيد 80%",Z712="مقبول 60%",Z712="خطر 40%",Z712="")),"✗ قائمة R",IF(NOT(OR(AA712="ممتاز 100%",AA712="جيد 85%",AA712="مقبول 70%",AA712="ضعيف 50%",AA712="")),"✗ قائمة S",IF(NOT(OR(AB712="مكتمل 100%",AB712="جزئي 60%",AB712="معلق 30%",AB712="مفتوح 0%",AB712="")),"✗ قائمة T",IF(NOT(OR(AC712="لا خصم 0",AC712="تأخير −5",AC712="عجز −10",AC712="جودة −15",AC712="امتثال −20",AC712="مخالفة −25",AC712="")),"✗ قائمة U",IF(AND(X712="لا",AC712&lt;&gt;"",AC712&lt;&gt;"لا خصم 0"),"✗ خصم",IF(AND(X712="نعم",AC712="لا خصم 0"),"✗ خصم",IF(AND(Z712="ممتاز 100%",AA712="ممتاز 100%",AB712&lt;&gt;"",AB712&lt;&gt;"مكتمل 100%"),"✗ إغلاق",IFERROR(IF(LEN(_xlfn.TEXTJOIN("، ",TRUE,IF(E712="","التاريخ",""),IF(F712="","الوقت",""),IF(G712="","المركز",""),IF(H712="","الدائرة",""),IF(I712="","القسم",""),IF(J712="","المسؤول",""),IF(K712="","نوع النشاط",""),IF(L712="","المشروع",""),IF(N712="","الممول",""),IF(V712="","الموضوع",""),IF(W712="","الملاحظة",""),IF(X712="","مشكلة",""),IF(Y712="","الإجراء",""),IF(Z712="","التنفيذ",""),IF(AA712="","الجودة",""),IF(AB712="","الإغلاق",""),IF(AC712="","الخصم",""),IF(AND(COUNTA($O712:$U712)&gt;0,O712=""),"مدير المشروع",""),IF(AND(COUNTA($O712:$U712)&gt;0,P712=""),"المستفيدين",""),IF(AND(COUNTA($O712:$U712)&gt;0,Q712=""),"المناطق",""),IF(AND(COUNTA($O712:$U712)&gt;0,R712=""),"الميزانية",""),IF(AND(COUNTA($O712:$U712)&gt;0,S712=""),"نسبة الجاهزية",""),IF(AND(COUNTA($O712:$U712)&gt;0,T712=""),"حالة الجاهزية",""),IF(AND(COUNTA($O712:$U712)&gt;0,U712=""),"التوصيات","")))&gt;0,"✗ ناقص: "&amp;_xlfn.TEXTJOIN("، ",TRUE,IF(E712="","التاريخ",""),IF(F712="","الوقت",""),IF(G712="","المركز",""),IF(H712="","الدائرة",""),IF(I712="","القسم",""),IF(J712="","المسؤول",""),IF(K712="","نوع النشاط",""),IF(L712="","المشروع",""),IF(N712="","الممول",""),IF(V712="","الموضوع",""),IF(W712="","الملاحظة",""),IF(X712="","مشكلة",""),IF(Y712="","الإجراء",""),IF(Z712="","التنفيذ",""),IF(AA712="","الجودة",""),IF(AB712="","الإغلاق",""),IF(AC712="","الخصم",""),IF(AND(COUNTA($O712:$U712)&gt;0,O712=""),"مدير المشروع",""),IF(AND(COUNTA($O712:$U712)&gt;0,P712=""),"المستفيدين",""),IF(AND(COUNTA($O712:$U712)&gt;0,Q712=""),"المناطق",""),IF(AND(COUNTA($O712:$U712)&gt;0,R712=""),"الميزانية",""),IF(AND(COUNTA($O712:$U712)&gt;0,S712=""),"نسبة الجاهزية",""),IF(AND(COUNTA($O712:$U712)&gt;0,T712=""),"حالة الجاهزية",""),IF(AND(COUNTA($O712:$U712)&gt;0,U712=""),"التوصيات","")),"✓"),"✓"))))))))))</f>
        <v/>
      </c>
      <c r="E712" s="235"/>
      <c r="F712" s="236"/>
      <c r="G712" s="90"/>
      <c r="H712" s="239"/>
      <c r="I712" s="89"/>
      <c r="J712" s="142"/>
      <c r="K712" s="90"/>
      <c r="L712" s="90"/>
      <c r="M712" s="90"/>
      <c r="N712" s="89"/>
      <c r="O712" s="200"/>
      <c r="P712" s="201"/>
      <c r="Q712" s="201"/>
      <c r="R712" s="237"/>
      <c r="S712" s="202"/>
      <c r="T712" s="200"/>
      <c r="U712" s="203"/>
      <c r="V712" s="89"/>
      <c r="W712" s="89"/>
      <c r="X712" s="145"/>
      <c r="Y712" s="89"/>
      <c r="Z712" s="90"/>
      <c r="AA712" s="90"/>
      <c r="AB712" s="90"/>
      <c r="AC712" s="90"/>
      <c r="AD712" s="92"/>
      <c r="AE712" s="149" t="str">
        <f>IFERROR(VLOOKUP(Z712,LISTS!$AL$2:$AM$1000,2,FALSE()),"")</f>
        <v/>
      </c>
      <c r="AF712" s="151" t="str">
        <f>IFERROR(VLOOKUP(AA712,LISTS!$AO$2:$AP$1000,2,FALSE()),"")</f>
        <v/>
      </c>
      <c r="AG712" s="152" t="str">
        <f>IFERROR(VLOOKUP(AB712,LISTS!$AR$2:$AS$1000,2,FALSE()),"")</f>
        <v/>
      </c>
      <c r="AH712" s="154" t="str">
        <f>IFERROR(VLOOKUP(AC712,LISTS!$AU$2:$AV$1000,2,FALSE()),"")</f>
        <v/>
      </c>
      <c r="AI712" s="238" t="str">
        <f t="shared" si="58"/>
        <v>—</v>
      </c>
      <c r="AJ712" s="190" t="str">
        <f t="shared" si="59"/>
        <v>—</v>
      </c>
      <c r="AK712" s="157" t="str">
        <f t="shared" si="55"/>
        <v/>
      </c>
      <c r="AL712" s="160" t="str">
        <f t="shared" si="56"/>
        <v/>
      </c>
      <c r="AM712" s="210"/>
      <c r="AN712" s="209"/>
    </row>
    <row r="713" spans="1:40" ht="27.95" customHeight="1">
      <c r="A713" s="134" t="str">
        <f>IF(I713&lt;&gt;"",COUNTA($I$2:I713),"")</f>
        <v/>
      </c>
      <c r="B713" s="138" t="str">
        <f t="shared" si="57"/>
        <v/>
      </c>
      <c r="C713" s="93" t="str">
        <f t="array" ref="C713">IF(E713="","",IF(M713&lt;&gt;"",
M713&amp;"/"&amp;SUMPRODUCT((M$2:M713=M713)*1)&amp;" - "&amp;(ROW()-2),
"إداري/"&amp;SUMPRODUCT((M$2:M713="")*1)&amp;" - "&amp;(ROW()-2)))</f>
        <v/>
      </c>
      <c r="D713" s="141" t="str">
        <f>IF(AND(G713="",H713="",I713=""),"",IF(COUNTIFS(LISTS!$A$2:$A$67,G713,LISTS!$B$2:$B$67,H713,LISTS!$C$2:$C$67,I713)=0,"✗ هرم",IF(NOT(OR(Z713="ممتاز 100%",Z713="جيد 80%",Z713="مقبول 60%",Z713="خطر 40%",Z713="")),"✗ قائمة R",IF(NOT(OR(AA713="ممتاز 100%",AA713="جيد 85%",AA713="مقبول 70%",AA713="ضعيف 50%",AA713="")),"✗ قائمة S",IF(NOT(OR(AB713="مكتمل 100%",AB713="جزئي 60%",AB713="معلق 30%",AB713="مفتوح 0%",AB713="")),"✗ قائمة T",IF(NOT(OR(AC713="لا خصم 0",AC713="تأخير −5",AC713="عجز −10",AC713="جودة −15",AC713="امتثال −20",AC713="مخالفة −25",AC713="")),"✗ قائمة U",IF(AND(X713="لا",AC713&lt;&gt;"",AC713&lt;&gt;"لا خصم 0"),"✗ خصم",IF(AND(X713="نعم",AC713="لا خصم 0"),"✗ خصم",IF(AND(Z713="ممتاز 100%",AA713="ممتاز 100%",AB713&lt;&gt;"",AB713&lt;&gt;"مكتمل 100%"),"✗ إغلاق",IFERROR(IF(LEN(_xlfn.TEXTJOIN("، ",TRUE,IF(E713="","التاريخ",""),IF(F713="","الوقت",""),IF(G713="","المركز",""),IF(H713="","الدائرة",""),IF(I713="","القسم",""),IF(J713="","المسؤول",""),IF(K713="","نوع النشاط",""),IF(L713="","المشروع",""),IF(N713="","الممول",""),IF(V713="","الموضوع",""),IF(W713="","الملاحظة",""),IF(X713="","مشكلة",""),IF(Y713="","الإجراء",""),IF(Z713="","التنفيذ",""),IF(AA713="","الجودة",""),IF(AB713="","الإغلاق",""),IF(AC713="","الخصم",""),IF(AND(COUNTA($O713:$U713)&gt;0,O713=""),"مدير المشروع",""),IF(AND(COUNTA($O713:$U713)&gt;0,P713=""),"المستفيدين",""),IF(AND(COUNTA($O713:$U713)&gt;0,Q713=""),"المناطق",""),IF(AND(COUNTA($O713:$U713)&gt;0,R713=""),"الميزانية",""),IF(AND(COUNTA($O713:$U713)&gt;0,S713=""),"نسبة الجاهزية",""),IF(AND(COUNTA($O713:$U713)&gt;0,T713=""),"حالة الجاهزية",""),IF(AND(COUNTA($O713:$U713)&gt;0,U713=""),"التوصيات","")))&gt;0,"✗ ناقص: "&amp;_xlfn.TEXTJOIN("، ",TRUE,IF(E713="","التاريخ",""),IF(F713="","الوقت",""),IF(G713="","المركز",""),IF(H713="","الدائرة",""),IF(I713="","القسم",""),IF(J713="","المسؤول",""),IF(K713="","نوع النشاط",""),IF(L713="","المشروع",""),IF(N713="","الممول",""),IF(V713="","الموضوع",""),IF(W713="","الملاحظة",""),IF(X713="","مشكلة",""),IF(Y713="","الإجراء",""),IF(Z713="","التنفيذ",""),IF(AA713="","الجودة",""),IF(AB713="","الإغلاق",""),IF(AC713="","الخصم",""),IF(AND(COUNTA($O713:$U713)&gt;0,O713=""),"مدير المشروع",""),IF(AND(COUNTA($O713:$U713)&gt;0,P713=""),"المستفيدين",""),IF(AND(COUNTA($O713:$U713)&gt;0,Q713=""),"المناطق",""),IF(AND(COUNTA($O713:$U713)&gt;0,R713=""),"الميزانية",""),IF(AND(COUNTA($O713:$U713)&gt;0,S713=""),"نسبة الجاهزية",""),IF(AND(COUNTA($O713:$U713)&gt;0,T713=""),"حالة الجاهزية",""),IF(AND(COUNTA($O713:$U713)&gt;0,U713=""),"التوصيات","")),"✓"),"✓"))))))))))</f>
        <v/>
      </c>
      <c r="E713" s="235"/>
      <c r="F713" s="236"/>
      <c r="G713" s="90"/>
      <c r="H713" s="239"/>
      <c r="I713" s="89"/>
      <c r="J713" s="142"/>
      <c r="K713" s="90"/>
      <c r="L713" s="90"/>
      <c r="M713" s="90"/>
      <c r="N713" s="89"/>
      <c r="O713" s="200"/>
      <c r="P713" s="201"/>
      <c r="Q713" s="201"/>
      <c r="R713" s="237"/>
      <c r="S713" s="202"/>
      <c r="T713" s="200"/>
      <c r="U713" s="203"/>
      <c r="V713" s="89"/>
      <c r="W713" s="89"/>
      <c r="X713" s="145"/>
      <c r="Y713" s="89"/>
      <c r="Z713" s="90"/>
      <c r="AA713" s="90"/>
      <c r="AB713" s="90"/>
      <c r="AC713" s="90"/>
      <c r="AD713" s="92"/>
      <c r="AE713" s="149" t="str">
        <f>IFERROR(VLOOKUP(Z713,LISTS!$AL$2:$AM$1000,2,FALSE()),"")</f>
        <v/>
      </c>
      <c r="AF713" s="151" t="str">
        <f>IFERROR(VLOOKUP(AA713,LISTS!$AO$2:$AP$1000,2,FALSE()),"")</f>
        <v/>
      </c>
      <c r="AG713" s="152" t="str">
        <f>IFERROR(VLOOKUP(AB713,LISTS!$AR$2:$AS$1000,2,FALSE()),"")</f>
        <v/>
      </c>
      <c r="AH713" s="154" t="str">
        <f>IFERROR(VLOOKUP(AC713,LISTS!$AU$2:$AV$1000,2,FALSE()),"")</f>
        <v/>
      </c>
      <c r="AI713" s="238" t="str">
        <f t="shared" si="58"/>
        <v>—</v>
      </c>
      <c r="AJ713" s="190" t="str">
        <f t="shared" si="59"/>
        <v>—</v>
      </c>
      <c r="AK713" s="157" t="str">
        <f t="shared" si="55"/>
        <v/>
      </c>
      <c r="AL713" s="160" t="str">
        <f t="shared" si="56"/>
        <v/>
      </c>
      <c r="AM713" s="210"/>
      <c r="AN713" s="209"/>
    </row>
    <row r="714" spans="1:40" ht="27.95" customHeight="1">
      <c r="A714" s="134" t="str">
        <f>IF(I714&lt;&gt;"",COUNTA($I$2:I714),"")</f>
        <v/>
      </c>
      <c r="B714" s="138" t="str">
        <f t="shared" si="57"/>
        <v/>
      </c>
      <c r="C714" s="93" t="str">
        <f t="array" ref="C714">IF(E714="","",IF(M714&lt;&gt;"",
M714&amp;"/"&amp;SUMPRODUCT((M$2:M714=M714)*1)&amp;" - "&amp;(ROW()-2),
"إداري/"&amp;SUMPRODUCT((M$2:M714="")*1)&amp;" - "&amp;(ROW()-2)))</f>
        <v/>
      </c>
      <c r="D714" s="141" t="str">
        <f>IF(AND(G714="",H714="",I714=""),"",IF(COUNTIFS(LISTS!$A$2:$A$67,G714,LISTS!$B$2:$B$67,H714,LISTS!$C$2:$C$67,I714)=0,"✗ هرم",IF(NOT(OR(Z714="ممتاز 100%",Z714="جيد 80%",Z714="مقبول 60%",Z714="خطر 40%",Z714="")),"✗ قائمة R",IF(NOT(OR(AA714="ممتاز 100%",AA714="جيد 85%",AA714="مقبول 70%",AA714="ضعيف 50%",AA714="")),"✗ قائمة S",IF(NOT(OR(AB714="مكتمل 100%",AB714="جزئي 60%",AB714="معلق 30%",AB714="مفتوح 0%",AB714="")),"✗ قائمة T",IF(NOT(OR(AC714="لا خصم 0",AC714="تأخير −5",AC714="عجز −10",AC714="جودة −15",AC714="امتثال −20",AC714="مخالفة −25",AC714="")),"✗ قائمة U",IF(AND(X714="لا",AC714&lt;&gt;"",AC714&lt;&gt;"لا خصم 0"),"✗ خصم",IF(AND(X714="نعم",AC714="لا خصم 0"),"✗ خصم",IF(AND(Z714="ممتاز 100%",AA714="ممتاز 100%",AB714&lt;&gt;"",AB714&lt;&gt;"مكتمل 100%"),"✗ إغلاق",IFERROR(IF(LEN(_xlfn.TEXTJOIN("، ",TRUE,IF(E714="","التاريخ",""),IF(F714="","الوقت",""),IF(G714="","المركز",""),IF(H714="","الدائرة",""),IF(I714="","القسم",""),IF(J714="","المسؤول",""),IF(K714="","نوع النشاط",""),IF(L714="","المشروع",""),IF(N714="","الممول",""),IF(V714="","الموضوع",""),IF(W714="","الملاحظة",""),IF(X714="","مشكلة",""),IF(Y714="","الإجراء",""),IF(Z714="","التنفيذ",""),IF(AA714="","الجودة",""),IF(AB714="","الإغلاق",""),IF(AC714="","الخصم",""),IF(AND(COUNTA($O714:$U714)&gt;0,O714=""),"مدير المشروع",""),IF(AND(COUNTA($O714:$U714)&gt;0,P714=""),"المستفيدين",""),IF(AND(COUNTA($O714:$U714)&gt;0,Q714=""),"المناطق",""),IF(AND(COUNTA($O714:$U714)&gt;0,R714=""),"الميزانية",""),IF(AND(COUNTA($O714:$U714)&gt;0,S714=""),"نسبة الجاهزية",""),IF(AND(COUNTA($O714:$U714)&gt;0,T714=""),"حالة الجاهزية",""),IF(AND(COUNTA($O714:$U714)&gt;0,U714=""),"التوصيات","")))&gt;0,"✗ ناقص: "&amp;_xlfn.TEXTJOIN("، ",TRUE,IF(E714="","التاريخ",""),IF(F714="","الوقت",""),IF(G714="","المركز",""),IF(H714="","الدائرة",""),IF(I714="","القسم",""),IF(J714="","المسؤول",""),IF(K714="","نوع النشاط",""),IF(L714="","المشروع",""),IF(N714="","الممول",""),IF(V714="","الموضوع",""),IF(W714="","الملاحظة",""),IF(X714="","مشكلة",""),IF(Y714="","الإجراء",""),IF(Z714="","التنفيذ",""),IF(AA714="","الجودة",""),IF(AB714="","الإغلاق",""),IF(AC714="","الخصم",""),IF(AND(COUNTA($O714:$U714)&gt;0,O714=""),"مدير المشروع",""),IF(AND(COUNTA($O714:$U714)&gt;0,P714=""),"المستفيدين",""),IF(AND(COUNTA($O714:$U714)&gt;0,Q714=""),"المناطق",""),IF(AND(COUNTA($O714:$U714)&gt;0,R714=""),"الميزانية",""),IF(AND(COUNTA($O714:$U714)&gt;0,S714=""),"نسبة الجاهزية",""),IF(AND(COUNTA($O714:$U714)&gt;0,T714=""),"حالة الجاهزية",""),IF(AND(COUNTA($O714:$U714)&gt;0,U714=""),"التوصيات","")),"✓"),"✓"))))))))))</f>
        <v/>
      </c>
      <c r="E714" s="235"/>
      <c r="F714" s="236"/>
      <c r="G714" s="90"/>
      <c r="H714" s="239"/>
      <c r="I714" s="89"/>
      <c r="J714" s="142"/>
      <c r="K714" s="90"/>
      <c r="L714" s="90"/>
      <c r="M714" s="90"/>
      <c r="N714" s="89"/>
      <c r="O714" s="200"/>
      <c r="P714" s="201"/>
      <c r="Q714" s="201"/>
      <c r="R714" s="237"/>
      <c r="S714" s="202"/>
      <c r="T714" s="200"/>
      <c r="U714" s="203"/>
      <c r="V714" s="89"/>
      <c r="W714" s="89"/>
      <c r="X714" s="145"/>
      <c r="Y714" s="89"/>
      <c r="Z714" s="90"/>
      <c r="AA714" s="90"/>
      <c r="AB714" s="90"/>
      <c r="AC714" s="90"/>
      <c r="AD714" s="92"/>
      <c r="AE714" s="149" t="str">
        <f>IFERROR(VLOOKUP(Z714,LISTS!$AL$2:$AM$1000,2,FALSE()),"")</f>
        <v/>
      </c>
      <c r="AF714" s="151" t="str">
        <f>IFERROR(VLOOKUP(AA714,LISTS!$AO$2:$AP$1000,2,FALSE()),"")</f>
        <v/>
      </c>
      <c r="AG714" s="152" t="str">
        <f>IFERROR(VLOOKUP(AB714,LISTS!$AR$2:$AS$1000,2,FALSE()),"")</f>
        <v/>
      </c>
      <c r="AH714" s="154" t="str">
        <f>IFERROR(VLOOKUP(AC714,LISTS!$AU$2:$AV$1000,2,FALSE()),"")</f>
        <v/>
      </c>
      <c r="AI714" s="238" t="str">
        <f t="shared" si="58"/>
        <v>—</v>
      </c>
      <c r="AJ714" s="190" t="str">
        <f t="shared" si="59"/>
        <v>—</v>
      </c>
      <c r="AK714" s="157" t="str">
        <f t="shared" si="55"/>
        <v/>
      </c>
      <c r="AL714" s="160" t="str">
        <f t="shared" si="56"/>
        <v/>
      </c>
      <c r="AM714" s="210"/>
      <c r="AN714" s="209"/>
    </row>
    <row r="715" spans="1:40" ht="27.95" customHeight="1">
      <c r="A715" s="134" t="str">
        <f>IF(I715&lt;&gt;"",COUNTA($I$2:I715),"")</f>
        <v/>
      </c>
      <c r="B715" s="138" t="str">
        <f t="shared" si="57"/>
        <v/>
      </c>
      <c r="C715" s="93" t="str">
        <f t="array" ref="C715">IF(E715="","",IF(M715&lt;&gt;"",
M715&amp;"/"&amp;SUMPRODUCT((M$2:M715=M715)*1)&amp;" - "&amp;(ROW()-2),
"إداري/"&amp;SUMPRODUCT((M$2:M715="")*1)&amp;" - "&amp;(ROW()-2)))</f>
        <v/>
      </c>
      <c r="D715" s="141" t="str">
        <f>IF(AND(G715="",H715="",I715=""),"",IF(COUNTIFS(LISTS!$A$2:$A$67,G715,LISTS!$B$2:$B$67,H715,LISTS!$C$2:$C$67,I715)=0,"✗ هرم",IF(NOT(OR(Z715="ممتاز 100%",Z715="جيد 80%",Z715="مقبول 60%",Z715="خطر 40%",Z715="")),"✗ قائمة R",IF(NOT(OR(AA715="ممتاز 100%",AA715="جيد 85%",AA715="مقبول 70%",AA715="ضعيف 50%",AA715="")),"✗ قائمة S",IF(NOT(OR(AB715="مكتمل 100%",AB715="جزئي 60%",AB715="معلق 30%",AB715="مفتوح 0%",AB715="")),"✗ قائمة T",IF(NOT(OR(AC715="لا خصم 0",AC715="تأخير −5",AC715="عجز −10",AC715="جودة −15",AC715="امتثال −20",AC715="مخالفة −25",AC715="")),"✗ قائمة U",IF(AND(X715="لا",AC715&lt;&gt;"",AC715&lt;&gt;"لا خصم 0"),"✗ خصم",IF(AND(X715="نعم",AC715="لا خصم 0"),"✗ خصم",IF(AND(Z715="ممتاز 100%",AA715="ممتاز 100%",AB715&lt;&gt;"",AB715&lt;&gt;"مكتمل 100%"),"✗ إغلاق",IFERROR(IF(LEN(_xlfn.TEXTJOIN("، ",TRUE,IF(E715="","التاريخ",""),IF(F715="","الوقت",""),IF(G715="","المركز",""),IF(H715="","الدائرة",""),IF(I715="","القسم",""),IF(J715="","المسؤول",""),IF(K715="","نوع النشاط",""),IF(L715="","المشروع",""),IF(N715="","الممول",""),IF(V715="","الموضوع",""),IF(W715="","الملاحظة",""),IF(X715="","مشكلة",""),IF(Y715="","الإجراء",""),IF(Z715="","التنفيذ",""),IF(AA715="","الجودة",""),IF(AB715="","الإغلاق",""),IF(AC715="","الخصم",""),IF(AND(COUNTA($O715:$U715)&gt;0,O715=""),"مدير المشروع",""),IF(AND(COUNTA($O715:$U715)&gt;0,P715=""),"المستفيدين",""),IF(AND(COUNTA($O715:$U715)&gt;0,Q715=""),"المناطق",""),IF(AND(COUNTA($O715:$U715)&gt;0,R715=""),"الميزانية",""),IF(AND(COUNTA($O715:$U715)&gt;0,S715=""),"نسبة الجاهزية",""),IF(AND(COUNTA($O715:$U715)&gt;0,T715=""),"حالة الجاهزية",""),IF(AND(COUNTA($O715:$U715)&gt;0,U715=""),"التوصيات","")))&gt;0,"✗ ناقص: "&amp;_xlfn.TEXTJOIN("، ",TRUE,IF(E715="","التاريخ",""),IF(F715="","الوقت",""),IF(G715="","المركز",""),IF(H715="","الدائرة",""),IF(I715="","القسم",""),IF(J715="","المسؤول",""),IF(K715="","نوع النشاط",""),IF(L715="","المشروع",""),IF(N715="","الممول",""),IF(V715="","الموضوع",""),IF(W715="","الملاحظة",""),IF(X715="","مشكلة",""),IF(Y715="","الإجراء",""),IF(Z715="","التنفيذ",""),IF(AA715="","الجودة",""),IF(AB715="","الإغلاق",""),IF(AC715="","الخصم",""),IF(AND(COUNTA($O715:$U715)&gt;0,O715=""),"مدير المشروع",""),IF(AND(COUNTA($O715:$U715)&gt;0,P715=""),"المستفيدين",""),IF(AND(COUNTA($O715:$U715)&gt;0,Q715=""),"المناطق",""),IF(AND(COUNTA($O715:$U715)&gt;0,R715=""),"الميزانية",""),IF(AND(COUNTA($O715:$U715)&gt;0,S715=""),"نسبة الجاهزية",""),IF(AND(COUNTA($O715:$U715)&gt;0,T715=""),"حالة الجاهزية",""),IF(AND(COUNTA($O715:$U715)&gt;0,U715=""),"التوصيات","")),"✓"),"✓"))))))))))</f>
        <v/>
      </c>
      <c r="E715" s="235"/>
      <c r="F715" s="236"/>
      <c r="G715" s="90"/>
      <c r="H715" s="239"/>
      <c r="I715" s="89"/>
      <c r="J715" s="142"/>
      <c r="K715" s="90"/>
      <c r="L715" s="90"/>
      <c r="M715" s="90"/>
      <c r="N715" s="89"/>
      <c r="O715" s="200"/>
      <c r="P715" s="201"/>
      <c r="Q715" s="201"/>
      <c r="R715" s="237"/>
      <c r="S715" s="202"/>
      <c r="T715" s="200"/>
      <c r="U715" s="203"/>
      <c r="V715" s="89"/>
      <c r="W715" s="89"/>
      <c r="X715" s="145"/>
      <c r="Y715" s="89"/>
      <c r="Z715" s="90"/>
      <c r="AA715" s="90"/>
      <c r="AB715" s="90"/>
      <c r="AC715" s="90"/>
      <c r="AD715" s="92"/>
      <c r="AE715" s="149" t="str">
        <f>IFERROR(VLOOKUP(Z715,LISTS!$AL$2:$AM$1000,2,FALSE()),"")</f>
        <v/>
      </c>
      <c r="AF715" s="151" t="str">
        <f>IFERROR(VLOOKUP(AA715,LISTS!$AO$2:$AP$1000,2,FALSE()),"")</f>
        <v/>
      </c>
      <c r="AG715" s="152" t="str">
        <f>IFERROR(VLOOKUP(AB715,LISTS!$AR$2:$AS$1000,2,FALSE()),"")</f>
        <v/>
      </c>
      <c r="AH715" s="154" t="str">
        <f>IFERROR(VLOOKUP(AC715,LISTS!$AU$2:$AV$1000,2,FALSE()),"")</f>
        <v/>
      </c>
      <c r="AI715" s="238" t="str">
        <f t="shared" si="58"/>
        <v>—</v>
      </c>
      <c r="AJ715" s="190" t="str">
        <f t="shared" si="59"/>
        <v>—</v>
      </c>
      <c r="AK715" s="157" t="str">
        <f t="shared" si="55"/>
        <v/>
      </c>
      <c r="AL715" s="160" t="str">
        <f t="shared" si="56"/>
        <v/>
      </c>
      <c r="AM715" s="210"/>
      <c r="AN715" s="209"/>
    </row>
    <row r="716" spans="1:40" ht="27.95" customHeight="1">
      <c r="A716" s="134" t="str">
        <f>IF(I716&lt;&gt;"",COUNTA($I$2:I716),"")</f>
        <v/>
      </c>
      <c r="B716" s="138" t="str">
        <f t="shared" si="57"/>
        <v/>
      </c>
      <c r="C716" s="93" t="str">
        <f t="array" ref="C716">IF(E716="","",IF(M716&lt;&gt;"",
M716&amp;"/"&amp;SUMPRODUCT((M$2:M716=M716)*1)&amp;" - "&amp;(ROW()-2),
"إداري/"&amp;SUMPRODUCT((M$2:M716="")*1)&amp;" - "&amp;(ROW()-2)))</f>
        <v/>
      </c>
      <c r="D716" s="141" t="str">
        <f>IF(AND(G716="",H716="",I716=""),"",IF(COUNTIFS(LISTS!$A$2:$A$67,G716,LISTS!$B$2:$B$67,H716,LISTS!$C$2:$C$67,I716)=0,"✗ هرم",IF(NOT(OR(Z716="ممتاز 100%",Z716="جيد 80%",Z716="مقبول 60%",Z716="خطر 40%",Z716="")),"✗ قائمة R",IF(NOT(OR(AA716="ممتاز 100%",AA716="جيد 85%",AA716="مقبول 70%",AA716="ضعيف 50%",AA716="")),"✗ قائمة S",IF(NOT(OR(AB716="مكتمل 100%",AB716="جزئي 60%",AB716="معلق 30%",AB716="مفتوح 0%",AB716="")),"✗ قائمة T",IF(NOT(OR(AC716="لا خصم 0",AC716="تأخير −5",AC716="عجز −10",AC716="جودة −15",AC716="امتثال −20",AC716="مخالفة −25",AC716="")),"✗ قائمة U",IF(AND(X716="لا",AC716&lt;&gt;"",AC716&lt;&gt;"لا خصم 0"),"✗ خصم",IF(AND(X716="نعم",AC716="لا خصم 0"),"✗ خصم",IF(AND(Z716="ممتاز 100%",AA716="ممتاز 100%",AB716&lt;&gt;"",AB716&lt;&gt;"مكتمل 100%"),"✗ إغلاق",IFERROR(IF(LEN(_xlfn.TEXTJOIN("، ",TRUE,IF(E716="","التاريخ",""),IF(F716="","الوقت",""),IF(G716="","المركز",""),IF(H716="","الدائرة",""),IF(I716="","القسم",""),IF(J716="","المسؤول",""),IF(K716="","نوع النشاط",""),IF(L716="","المشروع",""),IF(N716="","الممول",""),IF(V716="","الموضوع",""),IF(W716="","الملاحظة",""),IF(X716="","مشكلة",""),IF(Y716="","الإجراء",""),IF(Z716="","التنفيذ",""),IF(AA716="","الجودة",""),IF(AB716="","الإغلاق",""),IF(AC716="","الخصم",""),IF(AND(COUNTA($O716:$U716)&gt;0,O716=""),"مدير المشروع",""),IF(AND(COUNTA($O716:$U716)&gt;0,P716=""),"المستفيدين",""),IF(AND(COUNTA($O716:$U716)&gt;0,Q716=""),"المناطق",""),IF(AND(COUNTA($O716:$U716)&gt;0,R716=""),"الميزانية",""),IF(AND(COUNTA($O716:$U716)&gt;0,S716=""),"نسبة الجاهزية",""),IF(AND(COUNTA($O716:$U716)&gt;0,T716=""),"حالة الجاهزية",""),IF(AND(COUNTA($O716:$U716)&gt;0,U716=""),"التوصيات","")))&gt;0,"✗ ناقص: "&amp;_xlfn.TEXTJOIN("، ",TRUE,IF(E716="","التاريخ",""),IF(F716="","الوقت",""),IF(G716="","المركز",""),IF(H716="","الدائرة",""),IF(I716="","القسم",""),IF(J716="","المسؤول",""),IF(K716="","نوع النشاط",""),IF(L716="","المشروع",""),IF(N716="","الممول",""),IF(V716="","الموضوع",""),IF(W716="","الملاحظة",""),IF(X716="","مشكلة",""),IF(Y716="","الإجراء",""),IF(Z716="","التنفيذ",""),IF(AA716="","الجودة",""),IF(AB716="","الإغلاق",""),IF(AC716="","الخصم",""),IF(AND(COUNTA($O716:$U716)&gt;0,O716=""),"مدير المشروع",""),IF(AND(COUNTA($O716:$U716)&gt;0,P716=""),"المستفيدين",""),IF(AND(COUNTA($O716:$U716)&gt;0,Q716=""),"المناطق",""),IF(AND(COUNTA($O716:$U716)&gt;0,R716=""),"الميزانية",""),IF(AND(COUNTA($O716:$U716)&gt;0,S716=""),"نسبة الجاهزية",""),IF(AND(COUNTA($O716:$U716)&gt;0,T716=""),"حالة الجاهزية",""),IF(AND(COUNTA($O716:$U716)&gt;0,U716=""),"التوصيات","")),"✓"),"✓"))))))))))</f>
        <v/>
      </c>
      <c r="E716" s="235"/>
      <c r="F716" s="236"/>
      <c r="G716" s="90"/>
      <c r="H716" s="239"/>
      <c r="I716" s="89"/>
      <c r="J716" s="142"/>
      <c r="K716" s="90"/>
      <c r="L716" s="90"/>
      <c r="M716" s="90"/>
      <c r="N716" s="89"/>
      <c r="O716" s="200"/>
      <c r="P716" s="201"/>
      <c r="Q716" s="201"/>
      <c r="R716" s="237"/>
      <c r="S716" s="202"/>
      <c r="T716" s="200"/>
      <c r="U716" s="203"/>
      <c r="V716" s="89"/>
      <c r="W716" s="89"/>
      <c r="X716" s="145"/>
      <c r="Y716" s="89"/>
      <c r="Z716" s="90"/>
      <c r="AA716" s="90"/>
      <c r="AB716" s="90"/>
      <c r="AC716" s="90"/>
      <c r="AD716" s="92"/>
      <c r="AE716" s="149" t="str">
        <f>IFERROR(VLOOKUP(Z716,LISTS!$AL$2:$AM$1000,2,FALSE()),"")</f>
        <v/>
      </c>
      <c r="AF716" s="151" t="str">
        <f>IFERROR(VLOOKUP(AA716,LISTS!$AO$2:$AP$1000,2,FALSE()),"")</f>
        <v/>
      </c>
      <c r="AG716" s="152" t="str">
        <f>IFERROR(VLOOKUP(AB716,LISTS!$AR$2:$AS$1000,2,FALSE()),"")</f>
        <v/>
      </c>
      <c r="AH716" s="154" t="str">
        <f>IFERROR(VLOOKUP(AC716,LISTS!$AU$2:$AV$1000,2,FALSE()),"")</f>
        <v/>
      </c>
      <c r="AI716" s="238" t="str">
        <f t="shared" si="58"/>
        <v>—</v>
      </c>
      <c r="AJ716" s="190" t="str">
        <f t="shared" si="59"/>
        <v>—</v>
      </c>
      <c r="AK716" s="157" t="str">
        <f t="shared" si="55"/>
        <v/>
      </c>
      <c r="AL716" s="160" t="str">
        <f t="shared" si="56"/>
        <v/>
      </c>
      <c r="AM716" s="210"/>
      <c r="AN716" s="209"/>
    </row>
    <row r="717" spans="1:40" ht="27.95" customHeight="1">
      <c r="A717" s="134" t="str">
        <f>IF(I717&lt;&gt;"",COUNTA($I$2:I717),"")</f>
        <v/>
      </c>
      <c r="B717" s="138" t="str">
        <f t="shared" si="57"/>
        <v/>
      </c>
      <c r="C717" s="93" t="str">
        <f t="array" ref="C717">IF(E717="","",IF(M717&lt;&gt;"",
M717&amp;"/"&amp;SUMPRODUCT((M$2:M717=M717)*1)&amp;" - "&amp;(ROW()-2),
"إداري/"&amp;SUMPRODUCT((M$2:M717="")*1)&amp;" - "&amp;(ROW()-2)))</f>
        <v/>
      </c>
      <c r="D717" s="141" t="str">
        <f>IF(AND(G717="",H717="",I717=""),"",IF(COUNTIFS(LISTS!$A$2:$A$67,G717,LISTS!$B$2:$B$67,H717,LISTS!$C$2:$C$67,I717)=0,"✗ هرم",IF(NOT(OR(Z717="ممتاز 100%",Z717="جيد 80%",Z717="مقبول 60%",Z717="خطر 40%",Z717="")),"✗ قائمة R",IF(NOT(OR(AA717="ممتاز 100%",AA717="جيد 85%",AA717="مقبول 70%",AA717="ضعيف 50%",AA717="")),"✗ قائمة S",IF(NOT(OR(AB717="مكتمل 100%",AB717="جزئي 60%",AB717="معلق 30%",AB717="مفتوح 0%",AB717="")),"✗ قائمة T",IF(NOT(OR(AC717="لا خصم 0",AC717="تأخير −5",AC717="عجز −10",AC717="جودة −15",AC717="امتثال −20",AC717="مخالفة −25",AC717="")),"✗ قائمة U",IF(AND(X717="لا",AC717&lt;&gt;"",AC717&lt;&gt;"لا خصم 0"),"✗ خصم",IF(AND(X717="نعم",AC717="لا خصم 0"),"✗ خصم",IF(AND(Z717="ممتاز 100%",AA717="ممتاز 100%",AB717&lt;&gt;"",AB717&lt;&gt;"مكتمل 100%"),"✗ إغلاق",IFERROR(IF(LEN(_xlfn.TEXTJOIN("، ",TRUE,IF(E717="","التاريخ",""),IF(F717="","الوقت",""),IF(G717="","المركز",""),IF(H717="","الدائرة",""),IF(I717="","القسم",""),IF(J717="","المسؤول",""),IF(K717="","نوع النشاط",""),IF(L717="","المشروع",""),IF(N717="","الممول",""),IF(V717="","الموضوع",""),IF(W717="","الملاحظة",""),IF(X717="","مشكلة",""),IF(Y717="","الإجراء",""),IF(Z717="","التنفيذ",""),IF(AA717="","الجودة",""),IF(AB717="","الإغلاق",""),IF(AC717="","الخصم",""),IF(AND(COUNTA($O717:$U717)&gt;0,O717=""),"مدير المشروع",""),IF(AND(COUNTA($O717:$U717)&gt;0,P717=""),"المستفيدين",""),IF(AND(COUNTA($O717:$U717)&gt;0,Q717=""),"المناطق",""),IF(AND(COUNTA($O717:$U717)&gt;0,R717=""),"الميزانية",""),IF(AND(COUNTA($O717:$U717)&gt;0,S717=""),"نسبة الجاهزية",""),IF(AND(COUNTA($O717:$U717)&gt;0,T717=""),"حالة الجاهزية",""),IF(AND(COUNTA($O717:$U717)&gt;0,U717=""),"التوصيات","")))&gt;0,"✗ ناقص: "&amp;_xlfn.TEXTJOIN("، ",TRUE,IF(E717="","التاريخ",""),IF(F717="","الوقت",""),IF(G717="","المركز",""),IF(H717="","الدائرة",""),IF(I717="","القسم",""),IF(J717="","المسؤول",""),IF(K717="","نوع النشاط",""),IF(L717="","المشروع",""),IF(N717="","الممول",""),IF(V717="","الموضوع",""),IF(W717="","الملاحظة",""),IF(X717="","مشكلة",""),IF(Y717="","الإجراء",""),IF(Z717="","التنفيذ",""),IF(AA717="","الجودة",""),IF(AB717="","الإغلاق",""),IF(AC717="","الخصم",""),IF(AND(COUNTA($O717:$U717)&gt;0,O717=""),"مدير المشروع",""),IF(AND(COUNTA($O717:$U717)&gt;0,P717=""),"المستفيدين",""),IF(AND(COUNTA($O717:$U717)&gt;0,Q717=""),"المناطق",""),IF(AND(COUNTA($O717:$U717)&gt;0,R717=""),"الميزانية",""),IF(AND(COUNTA($O717:$U717)&gt;0,S717=""),"نسبة الجاهزية",""),IF(AND(COUNTA($O717:$U717)&gt;0,T717=""),"حالة الجاهزية",""),IF(AND(COUNTA($O717:$U717)&gt;0,U717=""),"التوصيات","")),"✓"),"✓"))))))))))</f>
        <v/>
      </c>
      <c r="E717" s="235"/>
      <c r="F717" s="236"/>
      <c r="G717" s="90"/>
      <c r="H717" s="239"/>
      <c r="I717" s="89"/>
      <c r="J717" s="142"/>
      <c r="K717" s="90"/>
      <c r="L717" s="90"/>
      <c r="M717" s="90"/>
      <c r="N717" s="89"/>
      <c r="O717" s="200"/>
      <c r="P717" s="201"/>
      <c r="Q717" s="201"/>
      <c r="R717" s="237"/>
      <c r="S717" s="202"/>
      <c r="T717" s="200"/>
      <c r="U717" s="203"/>
      <c r="V717" s="89"/>
      <c r="W717" s="89"/>
      <c r="X717" s="145"/>
      <c r="Y717" s="89"/>
      <c r="Z717" s="90"/>
      <c r="AA717" s="90"/>
      <c r="AB717" s="90"/>
      <c r="AC717" s="90"/>
      <c r="AD717" s="92"/>
      <c r="AE717" s="149" t="str">
        <f>IFERROR(VLOOKUP(Z717,LISTS!$AL$2:$AM$1000,2,FALSE()),"")</f>
        <v/>
      </c>
      <c r="AF717" s="151" t="str">
        <f>IFERROR(VLOOKUP(AA717,LISTS!$AO$2:$AP$1000,2,FALSE()),"")</f>
        <v/>
      </c>
      <c r="AG717" s="152" t="str">
        <f>IFERROR(VLOOKUP(AB717,LISTS!$AR$2:$AS$1000,2,FALSE()),"")</f>
        <v/>
      </c>
      <c r="AH717" s="154" t="str">
        <f>IFERROR(VLOOKUP(AC717,LISTS!$AU$2:$AV$1000,2,FALSE()),"")</f>
        <v/>
      </c>
      <c r="AI717" s="238" t="str">
        <f t="shared" si="58"/>
        <v>—</v>
      </c>
      <c r="AJ717" s="190" t="str">
        <f t="shared" si="59"/>
        <v>—</v>
      </c>
      <c r="AK717" s="157" t="str">
        <f t="shared" si="55"/>
        <v/>
      </c>
      <c r="AL717" s="160" t="str">
        <f t="shared" si="56"/>
        <v/>
      </c>
      <c r="AM717" s="210"/>
      <c r="AN717" s="209"/>
    </row>
    <row r="718" spans="1:40" ht="27.95" customHeight="1">
      <c r="A718" s="134" t="str">
        <f>IF(I718&lt;&gt;"",COUNTA($I$2:I718),"")</f>
        <v/>
      </c>
      <c r="B718" s="138" t="str">
        <f t="shared" si="57"/>
        <v/>
      </c>
      <c r="C718" s="93" t="str">
        <f t="array" ref="C718">IF(E718="","",IF(M718&lt;&gt;"",
M718&amp;"/"&amp;SUMPRODUCT((M$2:M718=M718)*1)&amp;" - "&amp;(ROW()-2),
"إداري/"&amp;SUMPRODUCT((M$2:M718="")*1)&amp;" - "&amp;(ROW()-2)))</f>
        <v/>
      </c>
      <c r="D718" s="141" t="str">
        <f>IF(AND(G718="",H718="",I718=""),"",IF(COUNTIFS(LISTS!$A$2:$A$67,G718,LISTS!$B$2:$B$67,H718,LISTS!$C$2:$C$67,I718)=0,"✗ هرم",IF(NOT(OR(Z718="ممتاز 100%",Z718="جيد 80%",Z718="مقبول 60%",Z718="خطر 40%",Z718="")),"✗ قائمة R",IF(NOT(OR(AA718="ممتاز 100%",AA718="جيد 85%",AA718="مقبول 70%",AA718="ضعيف 50%",AA718="")),"✗ قائمة S",IF(NOT(OR(AB718="مكتمل 100%",AB718="جزئي 60%",AB718="معلق 30%",AB718="مفتوح 0%",AB718="")),"✗ قائمة T",IF(NOT(OR(AC718="لا خصم 0",AC718="تأخير −5",AC718="عجز −10",AC718="جودة −15",AC718="امتثال −20",AC718="مخالفة −25",AC718="")),"✗ قائمة U",IF(AND(X718="لا",AC718&lt;&gt;"",AC718&lt;&gt;"لا خصم 0"),"✗ خصم",IF(AND(X718="نعم",AC718="لا خصم 0"),"✗ خصم",IF(AND(Z718="ممتاز 100%",AA718="ممتاز 100%",AB718&lt;&gt;"",AB718&lt;&gt;"مكتمل 100%"),"✗ إغلاق",IFERROR(IF(LEN(_xlfn.TEXTJOIN("، ",TRUE,IF(E718="","التاريخ",""),IF(F718="","الوقت",""),IF(G718="","المركز",""),IF(H718="","الدائرة",""),IF(I718="","القسم",""),IF(J718="","المسؤول",""),IF(K718="","نوع النشاط",""),IF(L718="","المشروع",""),IF(N718="","الممول",""),IF(V718="","الموضوع",""),IF(W718="","الملاحظة",""),IF(X718="","مشكلة",""),IF(Y718="","الإجراء",""),IF(Z718="","التنفيذ",""),IF(AA718="","الجودة",""),IF(AB718="","الإغلاق",""),IF(AC718="","الخصم",""),IF(AND(COUNTA($O718:$U718)&gt;0,O718=""),"مدير المشروع",""),IF(AND(COUNTA($O718:$U718)&gt;0,P718=""),"المستفيدين",""),IF(AND(COUNTA($O718:$U718)&gt;0,Q718=""),"المناطق",""),IF(AND(COUNTA($O718:$U718)&gt;0,R718=""),"الميزانية",""),IF(AND(COUNTA($O718:$U718)&gt;0,S718=""),"نسبة الجاهزية",""),IF(AND(COUNTA($O718:$U718)&gt;0,T718=""),"حالة الجاهزية",""),IF(AND(COUNTA($O718:$U718)&gt;0,U718=""),"التوصيات","")))&gt;0,"✗ ناقص: "&amp;_xlfn.TEXTJOIN("، ",TRUE,IF(E718="","التاريخ",""),IF(F718="","الوقت",""),IF(G718="","المركز",""),IF(H718="","الدائرة",""),IF(I718="","القسم",""),IF(J718="","المسؤول",""),IF(K718="","نوع النشاط",""),IF(L718="","المشروع",""),IF(N718="","الممول",""),IF(V718="","الموضوع",""),IF(W718="","الملاحظة",""),IF(X718="","مشكلة",""),IF(Y718="","الإجراء",""),IF(Z718="","التنفيذ",""),IF(AA718="","الجودة",""),IF(AB718="","الإغلاق",""),IF(AC718="","الخصم",""),IF(AND(COUNTA($O718:$U718)&gt;0,O718=""),"مدير المشروع",""),IF(AND(COUNTA($O718:$U718)&gt;0,P718=""),"المستفيدين",""),IF(AND(COUNTA($O718:$U718)&gt;0,Q718=""),"المناطق",""),IF(AND(COUNTA($O718:$U718)&gt;0,R718=""),"الميزانية",""),IF(AND(COUNTA($O718:$U718)&gt;0,S718=""),"نسبة الجاهزية",""),IF(AND(COUNTA($O718:$U718)&gt;0,T718=""),"حالة الجاهزية",""),IF(AND(COUNTA($O718:$U718)&gt;0,U718=""),"التوصيات","")),"✓"),"✓"))))))))))</f>
        <v/>
      </c>
      <c r="E718" s="235"/>
      <c r="F718" s="236"/>
      <c r="G718" s="90"/>
      <c r="H718" s="239"/>
      <c r="I718" s="89"/>
      <c r="J718" s="142"/>
      <c r="K718" s="90"/>
      <c r="L718" s="90"/>
      <c r="M718" s="90"/>
      <c r="N718" s="89"/>
      <c r="O718" s="200"/>
      <c r="P718" s="201"/>
      <c r="Q718" s="201"/>
      <c r="R718" s="237"/>
      <c r="S718" s="202"/>
      <c r="T718" s="200"/>
      <c r="U718" s="203"/>
      <c r="V718" s="89"/>
      <c r="W718" s="89"/>
      <c r="X718" s="145"/>
      <c r="Y718" s="89"/>
      <c r="Z718" s="90"/>
      <c r="AA718" s="90"/>
      <c r="AB718" s="90"/>
      <c r="AC718" s="90"/>
      <c r="AD718" s="92"/>
      <c r="AE718" s="149" t="str">
        <f>IFERROR(VLOOKUP(Z718,LISTS!$AL$2:$AM$1000,2,FALSE()),"")</f>
        <v/>
      </c>
      <c r="AF718" s="151" t="str">
        <f>IFERROR(VLOOKUP(AA718,LISTS!$AO$2:$AP$1000,2,FALSE()),"")</f>
        <v/>
      </c>
      <c r="AG718" s="152" t="str">
        <f>IFERROR(VLOOKUP(AB718,LISTS!$AR$2:$AS$1000,2,FALSE()),"")</f>
        <v/>
      </c>
      <c r="AH718" s="154" t="str">
        <f>IFERROR(VLOOKUP(AC718,LISTS!$AU$2:$AV$1000,2,FALSE()),"")</f>
        <v/>
      </c>
      <c r="AI718" s="238" t="str">
        <f t="shared" si="58"/>
        <v>—</v>
      </c>
      <c r="AJ718" s="190" t="str">
        <f t="shared" si="59"/>
        <v>—</v>
      </c>
      <c r="AK718" s="157" t="str">
        <f t="shared" si="55"/>
        <v/>
      </c>
      <c r="AL718" s="160" t="str">
        <f t="shared" si="56"/>
        <v/>
      </c>
      <c r="AM718" s="210"/>
      <c r="AN718" s="209"/>
    </row>
    <row r="719" spans="1:40" ht="27.95" customHeight="1">
      <c r="A719" s="134" t="str">
        <f>IF(I719&lt;&gt;"",COUNTA($I$2:I719),"")</f>
        <v/>
      </c>
      <c r="B719" s="138" t="str">
        <f t="shared" si="57"/>
        <v/>
      </c>
      <c r="C719" s="93" t="str">
        <f t="array" ref="C719">IF(E719="","",IF(M719&lt;&gt;"",
M719&amp;"/"&amp;SUMPRODUCT((M$2:M719=M719)*1)&amp;" - "&amp;(ROW()-2),
"إداري/"&amp;SUMPRODUCT((M$2:M719="")*1)&amp;" - "&amp;(ROW()-2)))</f>
        <v/>
      </c>
      <c r="D719" s="141" t="str">
        <f>IF(AND(G719="",H719="",I719=""),"",IF(COUNTIFS(LISTS!$A$2:$A$67,G719,LISTS!$B$2:$B$67,H719,LISTS!$C$2:$C$67,I719)=0,"✗ هرم",IF(NOT(OR(Z719="ممتاز 100%",Z719="جيد 80%",Z719="مقبول 60%",Z719="خطر 40%",Z719="")),"✗ قائمة R",IF(NOT(OR(AA719="ممتاز 100%",AA719="جيد 85%",AA719="مقبول 70%",AA719="ضعيف 50%",AA719="")),"✗ قائمة S",IF(NOT(OR(AB719="مكتمل 100%",AB719="جزئي 60%",AB719="معلق 30%",AB719="مفتوح 0%",AB719="")),"✗ قائمة T",IF(NOT(OR(AC719="لا خصم 0",AC719="تأخير −5",AC719="عجز −10",AC719="جودة −15",AC719="امتثال −20",AC719="مخالفة −25",AC719="")),"✗ قائمة U",IF(AND(X719="لا",AC719&lt;&gt;"",AC719&lt;&gt;"لا خصم 0"),"✗ خصم",IF(AND(X719="نعم",AC719="لا خصم 0"),"✗ خصم",IF(AND(Z719="ممتاز 100%",AA719="ممتاز 100%",AB719&lt;&gt;"",AB719&lt;&gt;"مكتمل 100%"),"✗ إغلاق",IFERROR(IF(LEN(_xlfn.TEXTJOIN("، ",TRUE,IF(E719="","التاريخ",""),IF(F719="","الوقت",""),IF(G719="","المركز",""),IF(H719="","الدائرة",""),IF(I719="","القسم",""),IF(J719="","المسؤول",""),IF(K719="","نوع النشاط",""),IF(L719="","المشروع",""),IF(N719="","الممول",""),IF(V719="","الموضوع",""),IF(W719="","الملاحظة",""),IF(X719="","مشكلة",""),IF(Y719="","الإجراء",""),IF(Z719="","التنفيذ",""),IF(AA719="","الجودة",""),IF(AB719="","الإغلاق",""),IF(AC719="","الخصم",""),IF(AND(COUNTA($O719:$U719)&gt;0,O719=""),"مدير المشروع",""),IF(AND(COUNTA($O719:$U719)&gt;0,P719=""),"المستفيدين",""),IF(AND(COUNTA($O719:$U719)&gt;0,Q719=""),"المناطق",""),IF(AND(COUNTA($O719:$U719)&gt;0,R719=""),"الميزانية",""),IF(AND(COUNTA($O719:$U719)&gt;0,S719=""),"نسبة الجاهزية",""),IF(AND(COUNTA($O719:$U719)&gt;0,T719=""),"حالة الجاهزية",""),IF(AND(COUNTA($O719:$U719)&gt;0,U719=""),"التوصيات","")))&gt;0,"✗ ناقص: "&amp;_xlfn.TEXTJOIN("، ",TRUE,IF(E719="","التاريخ",""),IF(F719="","الوقت",""),IF(G719="","المركز",""),IF(H719="","الدائرة",""),IF(I719="","القسم",""),IF(J719="","المسؤول",""),IF(K719="","نوع النشاط",""),IF(L719="","المشروع",""),IF(N719="","الممول",""),IF(V719="","الموضوع",""),IF(W719="","الملاحظة",""),IF(X719="","مشكلة",""),IF(Y719="","الإجراء",""),IF(Z719="","التنفيذ",""),IF(AA719="","الجودة",""),IF(AB719="","الإغلاق",""),IF(AC719="","الخصم",""),IF(AND(COUNTA($O719:$U719)&gt;0,O719=""),"مدير المشروع",""),IF(AND(COUNTA($O719:$U719)&gt;0,P719=""),"المستفيدين",""),IF(AND(COUNTA($O719:$U719)&gt;0,Q719=""),"المناطق",""),IF(AND(COUNTA($O719:$U719)&gt;0,R719=""),"الميزانية",""),IF(AND(COUNTA($O719:$U719)&gt;0,S719=""),"نسبة الجاهزية",""),IF(AND(COUNTA($O719:$U719)&gt;0,T719=""),"حالة الجاهزية",""),IF(AND(COUNTA($O719:$U719)&gt;0,U719=""),"التوصيات","")),"✓"),"✓"))))))))))</f>
        <v/>
      </c>
      <c r="E719" s="235"/>
      <c r="F719" s="236"/>
      <c r="G719" s="90"/>
      <c r="H719" s="239"/>
      <c r="I719" s="89"/>
      <c r="J719" s="142"/>
      <c r="K719" s="90"/>
      <c r="L719" s="90"/>
      <c r="M719" s="90"/>
      <c r="N719" s="89"/>
      <c r="O719" s="200"/>
      <c r="P719" s="201"/>
      <c r="Q719" s="201"/>
      <c r="R719" s="237"/>
      <c r="S719" s="202"/>
      <c r="T719" s="200"/>
      <c r="U719" s="203"/>
      <c r="V719" s="89"/>
      <c r="W719" s="89"/>
      <c r="X719" s="145"/>
      <c r="Y719" s="89"/>
      <c r="Z719" s="90"/>
      <c r="AA719" s="90"/>
      <c r="AB719" s="90"/>
      <c r="AC719" s="90"/>
      <c r="AD719" s="92"/>
      <c r="AE719" s="149" t="str">
        <f>IFERROR(VLOOKUP(Z719,LISTS!$AL$2:$AM$1000,2,FALSE()),"")</f>
        <v/>
      </c>
      <c r="AF719" s="151" t="str">
        <f>IFERROR(VLOOKUP(AA719,LISTS!$AO$2:$AP$1000,2,FALSE()),"")</f>
        <v/>
      </c>
      <c r="AG719" s="152" t="str">
        <f>IFERROR(VLOOKUP(AB719,LISTS!$AR$2:$AS$1000,2,FALSE()),"")</f>
        <v/>
      </c>
      <c r="AH719" s="154" t="str">
        <f>IFERROR(VLOOKUP(AC719,LISTS!$AU$2:$AV$1000,2,FALSE()),"")</f>
        <v/>
      </c>
      <c r="AI719" s="238" t="str">
        <f t="shared" si="58"/>
        <v>—</v>
      </c>
      <c r="AJ719" s="190" t="str">
        <f t="shared" si="59"/>
        <v>—</v>
      </c>
      <c r="AK719" s="157" t="str">
        <f t="shared" si="55"/>
        <v/>
      </c>
      <c r="AL719" s="160" t="str">
        <f t="shared" si="56"/>
        <v/>
      </c>
      <c r="AM719" s="210"/>
      <c r="AN719" s="209"/>
    </row>
    <row r="720" spans="1:40" ht="27.95" customHeight="1">
      <c r="A720" s="134" t="str">
        <f>IF(I720&lt;&gt;"",COUNTA($I$2:I720),"")</f>
        <v/>
      </c>
      <c r="B720" s="138" t="str">
        <f t="shared" si="57"/>
        <v/>
      </c>
      <c r="C720" s="93" t="str">
        <f t="array" ref="C720">IF(E720="","",IF(M720&lt;&gt;"",
M720&amp;"/"&amp;SUMPRODUCT((M$2:M720=M720)*1)&amp;" - "&amp;(ROW()-2),
"إداري/"&amp;SUMPRODUCT((M$2:M720="")*1)&amp;" - "&amp;(ROW()-2)))</f>
        <v/>
      </c>
      <c r="D720" s="141" t="str">
        <f>IF(AND(G720="",H720="",I720=""),"",IF(COUNTIFS(LISTS!$A$2:$A$67,G720,LISTS!$B$2:$B$67,H720,LISTS!$C$2:$C$67,I720)=0,"✗ هرم",IF(NOT(OR(Z720="ممتاز 100%",Z720="جيد 80%",Z720="مقبول 60%",Z720="خطر 40%",Z720="")),"✗ قائمة R",IF(NOT(OR(AA720="ممتاز 100%",AA720="جيد 85%",AA720="مقبول 70%",AA720="ضعيف 50%",AA720="")),"✗ قائمة S",IF(NOT(OR(AB720="مكتمل 100%",AB720="جزئي 60%",AB720="معلق 30%",AB720="مفتوح 0%",AB720="")),"✗ قائمة T",IF(NOT(OR(AC720="لا خصم 0",AC720="تأخير −5",AC720="عجز −10",AC720="جودة −15",AC720="امتثال −20",AC720="مخالفة −25",AC720="")),"✗ قائمة U",IF(AND(X720="لا",AC720&lt;&gt;"",AC720&lt;&gt;"لا خصم 0"),"✗ خصم",IF(AND(X720="نعم",AC720="لا خصم 0"),"✗ خصم",IF(AND(Z720="ممتاز 100%",AA720="ممتاز 100%",AB720&lt;&gt;"",AB720&lt;&gt;"مكتمل 100%"),"✗ إغلاق",IFERROR(IF(LEN(_xlfn.TEXTJOIN("، ",TRUE,IF(E720="","التاريخ",""),IF(F720="","الوقت",""),IF(G720="","المركز",""),IF(H720="","الدائرة",""),IF(I720="","القسم",""),IF(J720="","المسؤول",""),IF(K720="","نوع النشاط",""),IF(L720="","المشروع",""),IF(N720="","الممول",""),IF(V720="","الموضوع",""),IF(W720="","الملاحظة",""),IF(X720="","مشكلة",""),IF(Y720="","الإجراء",""),IF(Z720="","التنفيذ",""),IF(AA720="","الجودة",""),IF(AB720="","الإغلاق",""),IF(AC720="","الخصم",""),IF(AND(COUNTA($O720:$U720)&gt;0,O720=""),"مدير المشروع",""),IF(AND(COUNTA($O720:$U720)&gt;0,P720=""),"المستفيدين",""),IF(AND(COUNTA($O720:$U720)&gt;0,Q720=""),"المناطق",""),IF(AND(COUNTA($O720:$U720)&gt;0,R720=""),"الميزانية",""),IF(AND(COUNTA($O720:$U720)&gt;0,S720=""),"نسبة الجاهزية",""),IF(AND(COUNTA($O720:$U720)&gt;0,T720=""),"حالة الجاهزية",""),IF(AND(COUNTA($O720:$U720)&gt;0,U720=""),"التوصيات","")))&gt;0,"✗ ناقص: "&amp;_xlfn.TEXTJOIN("، ",TRUE,IF(E720="","التاريخ",""),IF(F720="","الوقت",""),IF(G720="","المركز",""),IF(H720="","الدائرة",""),IF(I720="","القسم",""),IF(J720="","المسؤول",""),IF(K720="","نوع النشاط",""),IF(L720="","المشروع",""),IF(N720="","الممول",""),IF(V720="","الموضوع",""),IF(W720="","الملاحظة",""),IF(X720="","مشكلة",""),IF(Y720="","الإجراء",""),IF(Z720="","التنفيذ",""),IF(AA720="","الجودة",""),IF(AB720="","الإغلاق",""),IF(AC720="","الخصم",""),IF(AND(COUNTA($O720:$U720)&gt;0,O720=""),"مدير المشروع",""),IF(AND(COUNTA($O720:$U720)&gt;0,P720=""),"المستفيدين",""),IF(AND(COUNTA($O720:$U720)&gt;0,Q720=""),"المناطق",""),IF(AND(COUNTA($O720:$U720)&gt;0,R720=""),"الميزانية",""),IF(AND(COUNTA($O720:$U720)&gt;0,S720=""),"نسبة الجاهزية",""),IF(AND(COUNTA($O720:$U720)&gt;0,T720=""),"حالة الجاهزية",""),IF(AND(COUNTA($O720:$U720)&gt;0,U720=""),"التوصيات","")),"✓"),"✓"))))))))))</f>
        <v/>
      </c>
      <c r="E720" s="235"/>
      <c r="F720" s="236"/>
      <c r="G720" s="90"/>
      <c r="H720" s="239"/>
      <c r="I720" s="89"/>
      <c r="J720" s="142"/>
      <c r="K720" s="90"/>
      <c r="L720" s="90"/>
      <c r="M720" s="90"/>
      <c r="N720" s="89"/>
      <c r="O720" s="200"/>
      <c r="P720" s="201"/>
      <c r="Q720" s="201"/>
      <c r="R720" s="237"/>
      <c r="S720" s="202"/>
      <c r="T720" s="200"/>
      <c r="U720" s="203"/>
      <c r="V720" s="89"/>
      <c r="W720" s="89"/>
      <c r="X720" s="145"/>
      <c r="Y720" s="89"/>
      <c r="Z720" s="90"/>
      <c r="AA720" s="90"/>
      <c r="AB720" s="90"/>
      <c r="AC720" s="90"/>
      <c r="AD720" s="92"/>
      <c r="AE720" s="149" t="str">
        <f>IFERROR(VLOOKUP(Z720,LISTS!$AL$2:$AM$1000,2,FALSE()),"")</f>
        <v/>
      </c>
      <c r="AF720" s="151" t="str">
        <f>IFERROR(VLOOKUP(AA720,LISTS!$AO$2:$AP$1000,2,FALSE()),"")</f>
        <v/>
      </c>
      <c r="AG720" s="152" t="str">
        <f>IFERROR(VLOOKUP(AB720,LISTS!$AR$2:$AS$1000,2,FALSE()),"")</f>
        <v/>
      </c>
      <c r="AH720" s="154" t="str">
        <f>IFERROR(VLOOKUP(AC720,LISTS!$AU$2:$AV$1000,2,FALSE()),"")</f>
        <v/>
      </c>
      <c r="AI720" s="238" t="str">
        <f t="shared" si="58"/>
        <v>—</v>
      </c>
      <c r="AJ720" s="190" t="str">
        <f t="shared" si="59"/>
        <v>—</v>
      </c>
      <c r="AK720" s="157" t="str">
        <f t="shared" si="55"/>
        <v/>
      </c>
      <c r="AL720" s="160" t="str">
        <f t="shared" si="56"/>
        <v/>
      </c>
      <c r="AM720" s="210"/>
      <c r="AN720" s="209"/>
    </row>
    <row r="721" spans="1:40" ht="27.95" customHeight="1">
      <c r="A721" s="134" t="str">
        <f>IF(I721&lt;&gt;"",COUNTA($I$2:I721),"")</f>
        <v/>
      </c>
      <c r="B721" s="138" t="str">
        <f t="shared" si="57"/>
        <v/>
      </c>
      <c r="C721" s="93" t="str">
        <f t="array" ref="C721">IF(E721="","",IF(M721&lt;&gt;"",
M721&amp;"/"&amp;SUMPRODUCT((M$2:M721=M721)*1)&amp;" - "&amp;(ROW()-2),
"إداري/"&amp;SUMPRODUCT((M$2:M721="")*1)&amp;" - "&amp;(ROW()-2)))</f>
        <v/>
      </c>
      <c r="D721" s="141" t="str">
        <f>IF(AND(G721="",H721="",I721=""),"",IF(COUNTIFS(LISTS!$A$2:$A$67,G721,LISTS!$B$2:$B$67,H721,LISTS!$C$2:$C$67,I721)=0,"✗ هرم",IF(NOT(OR(Z721="ممتاز 100%",Z721="جيد 80%",Z721="مقبول 60%",Z721="خطر 40%",Z721="")),"✗ قائمة R",IF(NOT(OR(AA721="ممتاز 100%",AA721="جيد 85%",AA721="مقبول 70%",AA721="ضعيف 50%",AA721="")),"✗ قائمة S",IF(NOT(OR(AB721="مكتمل 100%",AB721="جزئي 60%",AB721="معلق 30%",AB721="مفتوح 0%",AB721="")),"✗ قائمة T",IF(NOT(OR(AC721="لا خصم 0",AC721="تأخير −5",AC721="عجز −10",AC721="جودة −15",AC721="امتثال −20",AC721="مخالفة −25",AC721="")),"✗ قائمة U",IF(AND(X721="لا",AC721&lt;&gt;"",AC721&lt;&gt;"لا خصم 0"),"✗ خصم",IF(AND(X721="نعم",AC721="لا خصم 0"),"✗ خصم",IF(AND(Z721="ممتاز 100%",AA721="ممتاز 100%",AB721&lt;&gt;"",AB721&lt;&gt;"مكتمل 100%"),"✗ إغلاق",IFERROR(IF(LEN(_xlfn.TEXTJOIN("، ",TRUE,IF(E721="","التاريخ",""),IF(F721="","الوقت",""),IF(G721="","المركز",""),IF(H721="","الدائرة",""),IF(I721="","القسم",""),IF(J721="","المسؤول",""),IF(K721="","نوع النشاط",""),IF(L721="","المشروع",""),IF(N721="","الممول",""),IF(V721="","الموضوع",""),IF(W721="","الملاحظة",""),IF(X721="","مشكلة",""),IF(Y721="","الإجراء",""),IF(Z721="","التنفيذ",""),IF(AA721="","الجودة",""),IF(AB721="","الإغلاق",""),IF(AC721="","الخصم",""),IF(AND(COUNTA($O721:$U721)&gt;0,O721=""),"مدير المشروع",""),IF(AND(COUNTA($O721:$U721)&gt;0,P721=""),"المستفيدين",""),IF(AND(COUNTA($O721:$U721)&gt;0,Q721=""),"المناطق",""),IF(AND(COUNTA($O721:$U721)&gt;0,R721=""),"الميزانية",""),IF(AND(COUNTA($O721:$U721)&gt;0,S721=""),"نسبة الجاهزية",""),IF(AND(COUNTA($O721:$U721)&gt;0,T721=""),"حالة الجاهزية",""),IF(AND(COUNTA($O721:$U721)&gt;0,U721=""),"التوصيات","")))&gt;0,"✗ ناقص: "&amp;_xlfn.TEXTJOIN("، ",TRUE,IF(E721="","التاريخ",""),IF(F721="","الوقت",""),IF(G721="","المركز",""),IF(H721="","الدائرة",""),IF(I721="","القسم",""),IF(J721="","المسؤول",""),IF(K721="","نوع النشاط",""),IF(L721="","المشروع",""),IF(N721="","الممول",""),IF(V721="","الموضوع",""),IF(W721="","الملاحظة",""),IF(X721="","مشكلة",""),IF(Y721="","الإجراء",""),IF(Z721="","التنفيذ",""),IF(AA721="","الجودة",""),IF(AB721="","الإغلاق",""),IF(AC721="","الخصم",""),IF(AND(COUNTA($O721:$U721)&gt;0,O721=""),"مدير المشروع",""),IF(AND(COUNTA($O721:$U721)&gt;0,P721=""),"المستفيدين",""),IF(AND(COUNTA($O721:$U721)&gt;0,Q721=""),"المناطق",""),IF(AND(COUNTA($O721:$U721)&gt;0,R721=""),"الميزانية",""),IF(AND(COUNTA($O721:$U721)&gt;0,S721=""),"نسبة الجاهزية",""),IF(AND(COUNTA($O721:$U721)&gt;0,T721=""),"حالة الجاهزية",""),IF(AND(COUNTA($O721:$U721)&gt;0,U721=""),"التوصيات","")),"✓"),"✓"))))))))))</f>
        <v/>
      </c>
      <c r="E721" s="235"/>
      <c r="F721" s="236"/>
      <c r="G721" s="90"/>
      <c r="H721" s="239"/>
      <c r="I721" s="89"/>
      <c r="J721" s="142"/>
      <c r="K721" s="90"/>
      <c r="L721" s="90"/>
      <c r="M721" s="90"/>
      <c r="N721" s="89"/>
      <c r="O721" s="200"/>
      <c r="P721" s="201"/>
      <c r="Q721" s="201"/>
      <c r="R721" s="237"/>
      <c r="S721" s="202"/>
      <c r="T721" s="200"/>
      <c r="U721" s="203"/>
      <c r="V721" s="89"/>
      <c r="W721" s="89"/>
      <c r="X721" s="145"/>
      <c r="Y721" s="89"/>
      <c r="Z721" s="90"/>
      <c r="AA721" s="90"/>
      <c r="AB721" s="90"/>
      <c r="AC721" s="90"/>
      <c r="AD721" s="92"/>
      <c r="AE721" s="149" t="str">
        <f>IFERROR(VLOOKUP(Z721,LISTS!$AL$2:$AM$1000,2,FALSE()),"")</f>
        <v/>
      </c>
      <c r="AF721" s="151" t="str">
        <f>IFERROR(VLOOKUP(AA721,LISTS!$AO$2:$AP$1000,2,FALSE()),"")</f>
        <v/>
      </c>
      <c r="AG721" s="152" t="str">
        <f>IFERROR(VLOOKUP(AB721,LISTS!$AR$2:$AS$1000,2,FALSE()),"")</f>
        <v/>
      </c>
      <c r="AH721" s="154" t="str">
        <f>IFERROR(VLOOKUP(AC721,LISTS!$AU$2:$AV$1000,2,FALSE()),"")</f>
        <v/>
      </c>
      <c r="AI721" s="238" t="str">
        <f t="shared" si="58"/>
        <v>—</v>
      </c>
      <c r="AJ721" s="190" t="str">
        <f t="shared" si="59"/>
        <v>—</v>
      </c>
      <c r="AK721" s="157" t="str">
        <f t="shared" si="55"/>
        <v/>
      </c>
      <c r="AL721" s="160" t="str">
        <f t="shared" si="56"/>
        <v/>
      </c>
      <c r="AM721" s="210"/>
      <c r="AN721" s="209"/>
    </row>
    <row r="722" spans="1:40" ht="27.95" customHeight="1">
      <c r="A722" s="134" t="str">
        <f>IF(I722&lt;&gt;"",COUNTA($I$2:I722),"")</f>
        <v/>
      </c>
      <c r="B722" s="138" t="str">
        <f t="shared" si="57"/>
        <v/>
      </c>
      <c r="C722" s="93" t="str">
        <f t="array" ref="C722">IF(E722="","",IF(M722&lt;&gt;"",
M722&amp;"/"&amp;SUMPRODUCT((M$2:M722=M722)*1)&amp;" - "&amp;(ROW()-2),
"إداري/"&amp;SUMPRODUCT((M$2:M722="")*1)&amp;" - "&amp;(ROW()-2)))</f>
        <v/>
      </c>
      <c r="D722" s="141" t="str">
        <f>IF(AND(G722="",H722="",I722=""),"",IF(COUNTIFS(LISTS!$A$2:$A$67,G722,LISTS!$B$2:$B$67,H722,LISTS!$C$2:$C$67,I722)=0,"✗ هرم",IF(NOT(OR(Z722="ممتاز 100%",Z722="جيد 80%",Z722="مقبول 60%",Z722="خطر 40%",Z722="")),"✗ قائمة R",IF(NOT(OR(AA722="ممتاز 100%",AA722="جيد 85%",AA722="مقبول 70%",AA722="ضعيف 50%",AA722="")),"✗ قائمة S",IF(NOT(OR(AB722="مكتمل 100%",AB722="جزئي 60%",AB722="معلق 30%",AB722="مفتوح 0%",AB722="")),"✗ قائمة T",IF(NOT(OR(AC722="لا خصم 0",AC722="تأخير −5",AC722="عجز −10",AC722="جودة −15",AC722="امتثال −20",AC722="مخالفة −25",AC722="")),"✗ قائمة U",IF(AND(X722="لا",AC722&lt;&gt;"",AC722&lt;&gt;"لا خصم 0"),"✗ خصم",IF(AND(X722="نعم",AC722="لا خصم 0"),"✗ خصم",IF(AND(Z722="ممتاز 100%",AA722="ممتاز 100%",AB722&lt;&gt;"",AB722&lt;&gt;"مكتمل 100%"),"✗ إغلاق",IFERROR(IF(LEN(_xlfn.TEXTJOIN("، ",TRUE,IF(E722="","التاريخ",""),IF(F722="","الوقت",""),IF(G722="","المركز",""),IF(H722="","الدائرة",""),IF(I722="","القسم",""),IF(J722="","المسؤول",""),IF(K722="","نوع النشاط",""),IF(L722="","المشروع",""),IF(N722="","الممول",""),IF(V722="","الموضوع",""),IF(W722="","الملاحظة",""),IF(X722="","مشكلة",""),IF(Y722="","الإجراء",""),IF(Z722="","التنفيذ",""),IF(AA722="","الجودة",""),IF(AB722="","الإغلاق",""),IF(AC722="","الخصم",""),IF(AND(COUNTA($O722:$U722)&gt;0,O722=""),"مدير المشروع",""),IF(AND(COUNTA($O722:$U722)&gt;0,P722=""),"المستفيدين",""),IF(AND(COUNTA($O722:$U722)&gt;0,Q722=""),"المناطق",""),IF(AND(COUNTA($O722:$U722)&gt;0,R722=""),"الميزانية",""),IF(AND(COUNTA($O722:$U722)&gt;0,S722=""),"نسبة الجاهزية",""),IF(AND(COUNTA($O722:$U722)&gt;0,T722=""),"حالة الجاهزية",""),IF(AND(COUNTA($O722:$U722)&gt;0,U722=""),"التوصيات","")))&gt;0,"✗ ناقص: "&amp;_xlfn.TEXTJOIN("، ",TRUE,IF(E722="","التاريخ",""),IF(F722="","الوقت",""),IF(G722="","المركز",""),IF(H722="","الدائرة",""),IF(I722="","القسم",""),IF(J722="","المسؤول",""),IF(K722="","نوع النشاط",""),IF(L722="","المشروع",""),IF(N722="","الممول",""),IF(V722="","الموضوع",""),IF(W722="","الملاحظة",""),IF(X722="","مشكلة",""),IF(Y722="","الإجراء",""),IF(Z722="","التنفيذ",""),IF(AA722="","الجودة",""),IF(AB722="","الإغلاق",""),IF(AC722="","الخصم",""),IF(AND(COUNTA($O722:$U722)&gt;0,O722=""),"مدير المشروع",""),IF(AND(COUNTA($O722:$U722)&gt;0,P722=""),"المستفيدين",""),IF(AND(COUNTA($O722:$U722)&gt;0,Q722=""),"المناطق",""),IF(AND(COUNTA($O722:$U722)&gt;0,R722=""),"الميزانية",""),IF(AND(COUNTA($O722:$U722)&gt;0,S722=""),"نسبة الجاهزية",""),IF(AND(COUNTA($O722:$U722)&gt;0,T722=""),"حالة الجاهزية",""),IF(AND(COUNTA($O722:$U722)&gt;0,U722=""),"التوصيات","")),"✓"),"✓"))))))))))</f>
        <v/>
      </c>
      <c r="E722" s="235"/>
      <c r="F722" s="236"/>
      <c r="G722" s="90"/>
      <c r="H722" s="239"/>
      <c r="I722" s="89"/>
      <c r="J722" s="142"/>
      <c r="K722" s="90"/>
      <c r="L722" s="90"/>
      <c r="M722" s="90"/>
      <c r="N722" s="89"/>
      <c r="O722" s="200"/>
      <c r="P722" s="201"/>
      <c r="Q722" s="201"/>
      <c r="R722" s="237"/>
      <c r="S722" s="202"/>
      <c r="T722" s="200"/>
      <c r="U722" s="203"/>
      <c r="V722" s="89"/>
      <c r="W722" s="89"/>
      <c r="X722" s="145"/>
      <c r="Y722" s="89"/>
      <c r="Z722" s="90"/>
      <c r="AA722" s="90"/>
      <c r="AB722" s="90"/>
      <c r="AC722" s="90"/>
      <c r="AD722" s="92"/>
      <c r="AE722" s="149" t="str">
        <f>IFERROR(VLOOKUP(Z722,LISTS!$AL$2:$AM$1000,2,FALSE()),"")</f>
        <v/>
      </c>
      <c r="AF722" s="151" t="str">
        <f>IFERROR(VLOOKUP(AA722,LISTS!$AO$2:$AP$1000,2,FALSE()),"")</f>
        <v/>
      </c>
      <c r="AG722" s="152" t="str">
        <f>IFERROR(VLOOKUP(AB722,LISTS!$AR$2:$AS$1000,2,FALSE()),"")</f>
        <v/>
      </c>
      <c r="AH722" s="154" t="str">
        <f>IFERROR(VLOOKUP(AC722,LISTS!$AU$2:$AV$1000,2,FALSE()),"")</f>
        <v/>
      </c>
      <c r="AI722" s="238" t="str">
        <f t="shared" si="58"/>
        <v>—</v>
      </c>
      <c r="AJ722" s="190" t="str">
        <f t="shared" si="59"/>
        <v>—</v>
      </c>
      <c r="AK722" s="157" t="str">
        <f t="shared" si="55"/>
        <v/>
      </c>
      <c r="AL722" s="160" t="str">
        <f t="shared" si="56"/>
        <v/>
      </c>
      <c r="AM722" s="210"/>
      <c r="AN722" s="209"/>
    </row>
    <row r="723" spans="1:40" ht="27.95" customHeight="1">
      <c r="A723" s="134" t="str">
        <f>IF(I723&lt;&gt;"",COUNTA($I$2:I723),"")</f>
        <v/>
      </c>
      <c r="B723" s="138" t="str">
        <f t="shared" si="57"/>
        <v/>
      </c>
      <c r="C723" s="93" t="str">
        <f t="array" ref="C723">IF(E723="","",IF(M723&lt;&gt;"",
M723&amp;"/"&amp;SUMPRODUCT((M$2:M723=M723)*1)&amp;" - "&amp;(ROW()-2),
"إداري/"&amp;SUMPRODUCT((M$2:M723="")*1)&amp;" - "&amp;(ROW()-2)))</f>
        <v/>
      </c>
      <c r="D723" s="141" t="str">
        <f>IF(AND(G723="",H723="",I723=""),"",IF(COUNTIFS(LISTS!$A$2:$A$67,G723,LISTS!$B$2:$B$67,H723,LISTS!$C$2:$C$67,I723)=0,"✗ هرم",IF(NOT(OR(Z723="ممتاز 100%",Z723="جيد 80%",Z723="مقبول 60%",Z723="خطر 40%",Z723="")),"✗ قائمة R",IF(NOT(OR(AA723="ممتاز 100%",AA723="جيد 85%",AA723="مقبول 70%",AA723="ضعيف 50%",AA723="")),"✗ قائمة S",IF(NOT(OR(AB723="مكتمل 100%",AB723="جزئي 60%",AB723="معلق 30%",AB723="مفتوح 0%",AB723="")),"✗ قائمة T",IF(NOT(OR(AC723="لا خصم 0",AC723="تأخير −5",AC723="عجز −10",AC723="جودة −15",AC723="امتثال −20",AC723="مخالفة −25",AC723="")),"✗ قائمة U",IF(AND(X723="لا",AC723&lt;&gt;"",AC723&lt;&gt;"لا خصم 0"),"✗ خصم",IF(AND(X723="نعم",AC723="لا خصم 0"),"✗ خصم",IF(AND(Z723="ممتاز 100%",AA723="ممتاز 100%",AB723&lt;&gt;"",AB723&lt;&gt;"مكتمل 100%"),"✗ إغلاق",IFERROR(IF(LEN(_xlfn.TEXTJOIN("، ",TRUE,IF(E723="","التاريخ",""),IF(F723="","الوقت",""),IF(G723="","المركز",""),IF(H723="","الدائرة",""),IF(I723="","القسم",""),IF(J723="","المسؤول",""),IF(K723="","نوع النشاط",""),IF(L723="","المشروع",""),IF(N723="","الممول",""),IF(V723="","الموضوع",""),IF(W723="","الملاحظة",""),IF(X723="","مشكلة",""),IF(Y723="","الإجراء",""),IF(Z723="","التنفيذ",""),IF(AA723="","الجودة",""),IF(AB723="","الإغلاق",""),IF(AC723="","الخصم",""),IF(AND(COUNTA($O723:$U723)&gt;0,O723=""),"مدير المشروع",""),IF(AND(COUNTA($O723:$U723)&gt;0,P723=""),"المستفيدين",""),IF(AND(COUNTA($O723:$U723)&gt;0,Q723=""),"المناطق",""),IF(AND(COUNTA($O723:$U723)&gt;0,R723=""),"الميزانية",""),IF(AND(COUNTA($O723:$U723)&gt;0,S723=""),"نسبة الجاهزية",""),IF(AND(COUNTA($O723:$U723)&gt;0,T723=""),"حالة الجاهزية",""),IF(AND(COUNTA($O723:$U723)&gt;0,U723=""),"التوصيات","")))&gt;0,"✗ ناقص: "&amp;_xlfn.TEXTJOIN("، ",TRUE,IF(E723="","التاريخ",""),IF(F723="","الوقت",""),IF(G723="","المركز",""),IF(H723="","الدائرة",""),IF(I723="","القسم",""),IF(J723="","المسؤول",""),IF(K723="","نوع النشاط",""),IF(L723="","المشروع",""),IF(N723="","الممول",""),IF(V723="","الموضوع",""),IF(W723="","الملاحظة",""),IF(X723="","مشكلة",""),IF(Y723="","الإجراء",""),IF(Z723="","التنفيذ",""),IF(AA723="","الجودة",""),IF(AB723="","الإغلاق",""),IF(AC723="","الخصم",""),IF(AND(COUNTA($O723:$U723)&gt;0,O723=""),"مدير المشروع",""),IF(AND(COUNTA($O723:$U723)&gt;0,P723=""),"المستفيدين",""),IF(AND(COUNTA($O723:$U723)&gt;0,Q723=""),"المناطق",""),IF(AND(COUNTA($O723:$U723)&gt;0,R723=""),"الميزانية",""),IF(AND(COUNTA($O723:$U723)&gt;0,S723=""),"نسبة الجاهزية",""),IF(AND(COUNTA($O723:$U723)&gt;0,T723=""),"حالة الجاهزية",""),IF(AND(COUNTA($O723:$U723)&gt;0,U723=""),"التوصيات","")),"✓"),"✓"))))))))))</f>
        <v/>
      </c>
      <c r="E723" s="235"/>
      <c r="F723" s="236"/>
      <c r="G723" s="90"/>
      <c r="H723" s="239"/>
      <c r="I723" s="89"/>
      <c r="J723" s="142"/>
      <c r="K723" s="90"/>
      <c r="L723" s="90"/>
      <c r="M723" s="90"/>
      <c r="N723" s="89"/>
      <c r="O723" s="200"/>
      <c r="P723" s="201"/>
      <c r="Q723" s="201"/>
      <c r="R723" s="237"/>
      <c r="S723" s="202"/>
      <c r="T723" s="200"/>
      <c r="U723" s="203"/>
      <c r="V723" s="89"/>
      <c r="W723" s="89"/>
      <c r="X723" s="145"/>
      <c r="Y723" s="89"/>
      <c r="Z723" s="90"/>
      <c r="AA723" s="90"/>
      <c r="AB723" s="90"/>
      <c r="AC723" s="90"/>
      <c r="AD723" s="92"/>
      <c r="AE723" s="149" t="str">
        <f>IFERROR(VLOOKUP(Z723,LISTS!$AL$2:$AM$1000,2,FALSE()),"")</f>
        <v/>
      </c>
      <c r="AF723" s="151" t="str">
        <f>IFERROR(VLOOKUP(AA723,LISTS!$AO$2:$AP$1000,2,FALSE()),"")</f>
        <v/>
      </c>
      <c r="AG723" s="152" t="str">
        <f>IFERROR(VLOOKUP(AB723,LISTS!$AR$2:$AS$1000,2,FALSE()),"")</f>
        <v/>
      </c>
      <c r="AH723" s="154" t="str">
        <f>IFERROR(VLOOKUP(AC723,LISTS!$AU$2:$AV$1000,2,FALSE()),"")</f>
        <v/>
      </c>
      <c r="AI723" s="238" t="str">
        <f t="shared" si="58"/>
        <v>—</v>
      </c>
      <c r="AJ723" s="190" t="str">
        <f t="shared" si="59"/>
        <v>—</v>
      </c>
      <c r="AK723" s="157" t="str">
        <f t="shared" si="55"/>
        <v/>
      </c>
      <c r="AL723" s="160" t="str">
        <f t="shared" si="56"/>
        <v/>
      </c>
      <c r="AM723" s="210"/>
      <c r="AN723" s="209"/>
    </row>
    <row r="724" spans="1:40" ht="27.95" customHeight="1">
      <c r="A724" s="134" t="str">
        <f>IF(I724&lt;&gt;"",COUNTA($I$2:I724),"")</f>
        <v/>
      </c>
      <c r="B724" s="138" t="str">
        <f t="shared" si="57"/>
        <v/>
      </c>
      <c r="C724" s="93" t="str">
        <f t="array" ref="C724">IF(E724="","",IF(M724&lt;&gt;"",
M724&amp;"/"&amp;SUMPRODUCT((M$2:M724=M724)*1)&amp;" - "&amp;(ROW()-2),
"إداري/"&amp;SUMPRODUCT((M$2:M724="")*1)&amp;" - "&amp;(ROW()-2)))</f>
        <v/>
      </c>
      <c r="D724" s="141" t="str">
        <f>IF(AND(G724="",H724="",I724=""),"",IF(COUNTIFS(LISTS!$A$2:$A$67,G724,LISTS!$B$2:$B$67,H724,LISTS!$C$2:$C$67,I724)=0,"✗ هرم",IF(NOT(OR(Z724="ممتاز 100%",Z724="جيد 80%",Z724="مقبول 60%",Z724="خطر 40%",Z724="")),"✗ قائمة R",IF(NOT(OR(AA724="ممتاز 100%",AA724="جيد 85%",AA724="مقبول 70%",AA724="ضعيف 50%",AA724="")),"✗ قائمة S",IF(NOT(OR(AB724="مكتمل 100%",AB724="جزئي 60%",AB724="معلق 30%",AB724="مفتوح 0%",AB724="")),"✗ قائمة T",IF(NOT(OR(AC724="لا خصم 0",AC724="تأخير −5",AC724="عجز −10",AC724="جودة −15",AC724="امتثال −20",AC724="مخالفة −25",AC724="")),"✗ قائمة U",IF(AND(X724="لا",AC724&lt;&gt;"",AC724&lt;&gt;"لا خصم 0"),"✗ خصم",IF(AND(X724="نعم",AC724="لا خصم 0"),"✗ خصم",IF(AND(Z724="ممتاز 100%",AA724="ممتاز 100%",AB724&lt;&gt;"",AB724&lt;&gt;"مكتمل 100%"),"✗ إغلاق",IFERROR(IF(LEN(_xlfn.TEXTJOIN("، ",TRUE,IF(E724="","التاريخ",""),IF(F724="","الوقت",""),IF(G724="","المركز",""),IF(H724="","الدائرة",""),IF(I724="","القسم",""),IF(J724="","المسؤول",""),IF(K724="","نوع النشاط",""),IF(L724="","المشروع",""),IF(N724="","الممول",""),IF(V724="","الموضوع",""),IF(W724="","الملاحظة",""),IF(X724="","مشكلة",""),IF(Y724="","الإجراء",""),IF(Z724="","التنفيذ",""),IF(AA724="","الجودة",""),IF(AB724="","الإغلاق",""),IF(AC724="","الخصم",""),IF(AND(COUNTA($O724:$U724)&gt;0,O724=""),"مدير المشروع",""),IF(AND(COUNTA($O724:$U724)&gt;0,P724=""),"المستفيدين",""),IF(AND(COUNTA($O724:$U724)&gt;0,Q724=""),"المناطق",""),IF(AND(COUNTA($O724:$U724)&gt;0,R724=""),"الميزانية",""),IF(AND(COUNTA($O724:$U724)&gt;0,S724=""),"نسبة الجاهزية",""),IF(AND(COUNTA($O724:$U724)&gt;0,T724=""),"حالة الجاهزية",""),IF(AND(COUNTA($O724:$U724)&gt;0,U724=""),"التوصيات","")))&gt;0,"✗ ناقص: "&amp;_xlfn.TEXTJOIN("، ",TRUE,IF(E724="","التاريخ",""),IF(F724="","الوقت",""),IF(G724="","المركز",""),IF(H724="","الدائرة",""),IF(I724="","القسم",""),IF(J724="","المسؤول",""),IF(K724="","نوع النشاط",""),IF(L724="","المشروع",""),IF(N724="","الممول",""),IF(V724="","الموضوع",""),IF(W724="","الملاحظة",""),IF(X724="","مشكلة",""),IF(Y724="","الإجراء",""),IF(Z724="","التنفيذ",""),IF(AA724="","الجودة",""),IF(AB724="","الإغلاق",""),IF(AC724="","الخصم",""),IF(AND(COUNTA($O724:$U724)&gt;0,O724=""),"مدير المشروع",""),IF(AND(COUNTA($O724:$U724)&gt;0,P724=""),"المستفيدين",""),IF(AND(COUNTA($O724:$U724)&gt;0,Q724=""),"المناطق",""),IF(AND(COUNTA($O724:$U724)&gt;0,R724=""),"الميزانية",""),IF(AND(COUNTA($O724:$U724)&gt;0,S724=""),"نسبة الجاهزية",""),IF(AND(COUNTA($O724:$U724)&gt;0,T724=""),"حالة الجاهزية",""),IF(AND(COUNTA($O724:$U724)&gt;0,U724=""),"التوصيات","")),"✓"),"✓"))))))))))</f>
        <v/>
      </c>
      <c r="E724" s="235"/>
      <c r="F724" s="236"/>
      <c r="G724" s="90"/>
      <c r="H724" s="239"/>
      <c r="I724" s="89"/>
      <c r="J724" s="142"/>
      <c r="K724" s="90"/>
      <c r="L724" s="90"/>
      <c r="M724" s="90"/>
      <c r="N724" s="89"/>
      <c r="O724" s="200"/>
      <c r="P724" s="201"/>
      <c r="Q724" s="201"/>
      <c r="R724" s="237"/>
      <c r="S724" s="202"/>
      <c r="T724" s="200"/>
      <c r="U724" s="203"/>
      <c r="V724" s="89"/>
      <c r="W724" s="89"/>
      <c r="X724" s="145"/>
      <c r="Y724" s="89"/>
      <c r="Z724" s="90"/>
      <c r="AA724" s="90"/>
      <c r="AB724" s="90"/>
      <c r="AC724" s="90"/>
      <c r="AD724" s="92"/>
      <c r="AE724" s="149" t="str">
        <f>IFERROR(VLOOKUP(Z724,LISTS!$AL$2:$AM$1000,2,FALSE()),"")</f>
        <v/>
      </c>
      <c r="AF724" s="151" t="str">
        <f>IFERROR(VLOOKUP(AA724,LISTS!$AO$2:$AP$1000,2,FALSE()),"")</f>
        <v/>
      </c>
      <c r="AG724" s="152" t="str">
        <f>IFERROR(VLOOKUP(AB724,LISTS!$AR$2:$AS$1000,2,FALSE()),"")</f>
        <v/>
      </c>
      <c r="AH724" s="154" t="str">
        <f>IFERROR(VLOOKUP(AC724,LISTS!$AU$2:$AV$1000,2,FALSE()),"")</f>
        <v/>
      </c>
      <c r="AI724" s="238" t="str">
        <f t="shared" si="58"/>
        <v>—</v>
      </c>
      <c r="AJ724" s="190" t="str">
        <f t="shared" si="59"/>
        <v>—</v>
      </c>
      <c r="AK724" s="157" t="str">
        <f t="shared" si="55"/>
        <v/>
      </c>
      <c r="AL724" s="160" t="str">
        <f t="shared" si="56"/>
        <v/>
      </c>
      <c r="AM724" s="210"/>
      <c r="AN724" s="209"/>
    </row>
    <row r="725" spans="1:40" ht="27.95" customHeight="1">
      <c r="A725" s="134" t="str">
        <f>IF(I725&lt;&gt;"",COUNTA($I$2:I725),"")</f>
        <v/>
      </c>
      <c r="B725" s="138" t="str">
        <f t="shared" si="57"/>
        <v/>
      </c>
      <c r="C725" s="93" t="str">
        <f t="array" ref="C725">IF(E725="","",IF(M725&lt;&gt;"",
M725&amp;"/"&amp;SUMPRODUCT((M$2:M725=M725)*1)&amp;" - "&amp;(ROW()-2),
"إداري/"&amp;SUMPRODUCT((M$2:M725="")*1)&amp;" - "&amp;(ROW()-2)))</f>
        <v/>
      </c>
      <c r="D725" s="141" t="str">
        <f>IF(AND(G725="",H725="",I725=""),"",IF(COUNTIFS(LISTS!$A$2:$A$67,G725,LISTS!$B$2:$B$67,H725,LISTS!$C$2:$C$67,I725)=0,"✗ هرم",IF(NOT(OR(Z725="ممتاز 100%",Z725="جيد 80%",Z725="مقبول 60%",Z725="خطر 40%",Z725="")),"✗ قائمة R",IF(NOT(OR(AA725="ممتاز 100%",AA725="جيد 85%",AA725="مقبول 70%",AA725="ضعيف 50%",AA725="")),"✗ قائمة S",IF(NOT(OR(AB725="مكتمل 100%",AB725="جزئي 60%",AB725="معلق 30%",AB725="مفتوح 0%",AB725="")),"✗ قائمة T",IF(NOT(OR(AC725="لا خصم 0",AC725="تأخير −5",AC725="عجز −10",AC725="جودة −15",AC725="امتثال −20",AC725="مخالفة −25",AC725="")),"✗ قائمة U",IF(AND(X725="لا",AC725&lt;&gt;"",AC725&lt;&gt;"لا خصم 0"),"✗ خصم",IF(AND(X725="نعم",AC725="لا خصم 0"),"✗ خصم",IF(AND(Z725="ممتاز 100%",AA725="ممتاز 100%",AB725&lt;&gt;"",AB725&lt;&gt;"مكتمل 100%"),"✗ إغلاق",IFERROR(IF(LEN(_xlfn.TEXTJOIN("، ",TRUE,IF(E725="","التاريخ",""),IF(F725="","الوقت",""),IF(G725="","المركز",""),IF(H725="","الدائرة",""),IF(I725="","القسم",""),IF(J725="","المسؤول",""),IF(K725="","نوع النشاط",""),IF(L725="","المشروع",""),IF(N725="","الممول",""),IF(V725="","الموضوع",""),IF(W725="","الملاحظة",""),IF(X725="","مشكلة",""),IF(Y725="","الإجراء",""),IF(Z725="","التنفيذ",""),IF(AA725="","الجودة",""),IF(AB725="","الإغلاق",""),IF(AC725="","الخصم",""),IF(AND(COUNTA($O725:$U725)&gt;0,O725=""),"مدير المشروع",""),IF(AND(COUNTA($O725:$U725)&gt;0,P725=""),"المستفيدين",""),IF(AND(COUNTA($O725:$U725)&gt;0,Q725=""),"المناطق",""),IF(AND(COUNTA($O725:$U725)&gt;0,R725=""),"الميزانية",""),IF(AND(COUNTA($O725:$U725)&gt;0,S725=""),"نسبة الجاهزية",""),IF(AND(COUNTA($O725:$U725)&gt;0,T725=""),"حالة الجاهزية",""),IF(AND(COUNTA($O725:$U725)&gt;0,U725=""),"التوصيات","")))&gt;0,"✗ ناقص: "&amp;_xlfn.TEXTJOIN("، ",TRUE,IF(E725="","التاريخ",""),IF(F725="","الوقت",""),IF(G725="","المركز",""),IF(H725="","الدائرة",""),IF(I725="","القسم",""),IF(J725="","المسؤول",""),IF(K725="","نوع النشاط",""),IF(L725="","المشروع",""),IF(N725="","الممول",""),IF(V725="","الموضوع",""),IF(W725="","الملاحظة",""),IF(X725="","مشكلة",""),IF(Y725="","الإجراء",""),IF(Z725="","التنفيذ",""),IF(AA725="","الجودة",""),IF(AB725="","الإغلاق",""),IF(AC725="","الخصم",""),IF(AND(COUNTA($O725:$U725)&gt;0,O725=""),"مدير المشروع",""),IF(AND(COUNTA($O725:$U725)&gt;0,P725=""),"المستفيدين",""),IF(AND(COUNTA($O725:$U725)&gt;0,Q725=""),"المناطق",""),IF(AND(COUNTA($O725:$U725)&gt;0,R725=""),"الميزانية",""),IF(AND(COUNTA($O725:$U725)&gt;0,S725=""),"نسبة الجاهزية",""),IF(AND(COUNTA($O725:$U725)&gt;0,T725=""),"حالة الجاهزية",""),IF(AND(COUNTA($O725:$U725)&gt;0,U725=""),"التوصيات","")),"✓"),"✓"))))))))))</f>
        <v/>
      </c>
      <c r="E725" s="235"/>
      <c r="F725" s="236"/>
      <c r="G725" s="90"/>
      <c r="H725" s="239"/>
      <c r="I725" s="89"/>
      <c r="J725" s="142"/>
      <c r="K725" s="90"/>
      <c r="L725" s="90"/>
      <c r="M725" s="90"/>
      <c r="N725" s="89"/>
      <c r="O725" s="200"/>
      <c r="P725" s="201"/>
      <c r="Q725" s="201"/>
      <c r="R725" s="237"/>
      <c r="S725" s="202"/>
      <c r="T725" s="200"/>
      <c r="U725" s="203"/>
      <c r="V725" s="89"/>
      <c r="W725" s="89"/>
      <c r="X725" s="145"/>
      <c r="Y725" s="89"/>
      <c r="Z725" s="90"/>
      <c r="AA725" s="90"/>
      <c r="AB725" s="90"/>
      <c r="AC725" s="90"/>
      <c r="AD725" s="92"/>
      <c r="AE725" s="149" t="str">
        <f>IFERROR(VLOOKUP(Z725,LISTS!$AL$2:$AM$1000,2,FALSE()),"")</f>
        <v/>
      </c>
      <c r="AF725" s="151" t="str">
        <f>IFERROR(VLOOKUP(AA725,LISTS!$AO$2:$AP$1000,2,FALSE()),"")</f>
        <v/>
      </c>
      <c r="AG725" s="152" t="str">
        <f>IFERROR(VLOOKUP(AB725,LISTS!$AR$2:$AS$1000,2,FALSE()),"")</f>
        <v/>
      </c>
      <c r="AH725" s="154" t="str">
        <f>IFERROR(VLOOKUP(AC725,LISTS!$AU$2:$AV$1000,2,FALSE()),"")</f>
        <v/>
      </c>
      <c r="AI725" s="238" t="str">
        <f t="shared" si="58"/>
        <v>—</v>
      </c>
      <c r="AJ725" s="190" t="str">
        <f t="shared" si="59"/>
        <v>—</v>
      </c>
      <c r="AK725" s="157" t="str">
        <f t="shared" si="55"/>
        <v/>
      </c>
      <c r="AL725" s="160" t="str">
        <f t="shared" si="56"/>
        <v/>
      </c>
      <c r="AM725" s="210"/>
      <c r="AN725" s="209"/>
    </row>
    <row r="726" spans="1:40" ht="27.95" customHeight="1">
      <c r="A726" s="134" t="str">
        <f>IF(I726&lt;&gt;"",COUNTA($I$2:I726),"")</f>
        <v/>
      </c>
      <c r="B726" s="138" t="str">
        <f t="shared" si="57"/>
        <v/>
      </c>
      <c r="C726" s="93" t="str">
        <f t="array" ref="C726">IF(E726="","",IF(M726&lt;&gt;"",
M726&amp;"/"&amp;SUMPRODUCT((M$2:M726=M726)*1)&amp;" - "&amp;(ROW()-2),
"إداري/"&amp;SUMPRODUCT((M$2:M726="")*1)&amp;" - "&amp;(ROW()-2)))</f>
        <v/>
      </c>
      <c r="D726" s="141" t="str">
        <f>IF(AND(G726="",H726="",I726=""),"",IF(COUNTIFS(LISTS!$A$2:$A$67,G726,LISTS!$B$2:$B$67,H726,LISTS!$C$2:$C$67,I726)=0,"✗ هرم",IF(NOT(OR(Z726="ممتاز 100%",Z726="جيد 80%",Z726="مقبول 60%",Z726="خطر 40%",Z726="")),"✗ قائمة R",IF(NOT(OR(AA726="ممتاز 100%",AA726="جيد 85%",AA726="مقبول 70%",AA726="ضعيف 50%",AA726="")),"✗ قائمة S",IF(NOT(OR(AB726="مكتمل 100%",AB726="جزئي 60%",AB726="معلق 30%",AB726="مفتوح 0%",AB726="")),"✗ قائمة T",IF(NOT(OR(AC726="لا خصم 0",AC726="تأخير −5",AC726="عجز −10",AC726="جودة −15",AC726="امتثال −20",AC726="مخالفة −25",AC726="")),"✗ قائمة U",IF(AND(X726="لا",AC726&lt;&gt;"",AC726&lt;&gt;"لا خصم 0"),"✗ خصم",IF(AND(X726="نعم",AC726="لا خصم 0"),"✗ خصم",IF(AND(Z726="ممتاز 100%",AA726="ممتاز 100%",AB726&lt;&gt;"",AB726&lt;&gt;"مكتمل 100%"),"✗ إغلاق",IFERROR(IF(LEN(_xlfn.TEXTJOIN("، ",TRUE,IF(E726="","التاريخ",""),IF(F726="","الوقت",""),IF(G726="","المركز",""),IF(H726="","الدائرة",""),IF(I726="","القسم",""),IF(J726="","المسؤول",""),IF(K726="","نوع النشاط",""),IF(L726="","المشروع",""),IF(N726="","الممول",""),IF(V726="","الموضوع",""),IF(W726="","الملاحظة",""),IF(X726="","مشكلة",""),IF(Y726="","الإجراء",""),IF(Z726="","التنفيذ",""),IF(AA726="","الجودة",""),IF(AB726="","الإغلاق",""),IF(AC726="","الخصم",""),IF(AND(COUNTA($O726:$U726)&gt;0,O726=""),"مدير المشروع",""),IF(AND(COUNTA($O726:$U726)&gt;0,P726=""),"المستفيدين",""),IF(AND(COUNTA($O726:$U726)&gt;0,Q726=""),"المناطق",""),IF(AND(COUNTA($O726:$U726)&gt;0,R726=""),"الميزانية",""),IF(AND(COUNTA($O726:$U726)&gt;0,S726=""),"نسبة الجاهزية",""),IF(AND(COUNTA($O726:$U726)&gt;0,T726=""),"حالة الجاهزية",""),IF(AND(COUNTA($O726:$U726)&gt;0,U726=""),"التوصيات","")))&gt;0,"✗ ناقص: "&amp;_xlfn.TEXTJOIN("، ",TRUE,IF(E726="","التاريخ",""),IF(F726="","الوقت",""),IF(G726="","المركز",""),IF(H726="","الدائرة",""),IF(I726="","القسم",""),IF(J726="","المسؤول",""),IF(K726="","نوع النشاط",""),IF(L726="","المشروع",""),IF(N726="","الممول",""),IF(V726="","الموضوع",""),IF(W726="","الملاحظة",""),IF(X726="","مشكلة",""),IF(Y726="","الإجراء",""),IF(Z726="","التنفيذ",""),IF(AA726="","الجودة",""),IF(AB726="","الإغلاق",""),IF(AC726="","الخصم",""),IF(AND(COUNTA($O726:$U726)&gt;0,O726=""),"مدير المشروع",""),IF(AND(COUNTA($O726:$U726)&gt;0,P726=""),"المستفيدين",""),IF(AND(COUNTA($O726:$U726)&gt;0,Q726=""),"المناطق",""),IF(AND(COUNTA($O726:$U726)&gt;0,R726=""),"الميزانية",""),IF(AND(COUNTA($O726:$U726)&gt;0,S726=""),"نسبة الجاهزية",""),IF(AND(COUNTA($O726:$U726)&gt;0,T726=""),"حالة الجاهزية",""),IF(AND(COUNTA($O726:$U726)&gt;0,U726=""),"التوصيات","")),"✓"),"✓"))))))))))</f>
        <v/>
      </c>
      <c r="E726" s="235"/>
      <c r="F726" s="236"/>
      <c r="G726" s="90"/>
      <c r="H726" s="239"/>
      <c r="I726" s="89"/>
      <c r="J726" s="142"/>
      <c r="K726" s="90"/>
      <c r="L726" s="90"/>
      <c r="M726" s="90"/>
      <c r="N726" s="89"/>
      <c r="O726" s="200"/>
      <c r="P726" s="201"/>
      <c r="Q726" s="201"/>
      <c r="R726" s="237"/>
      <c r="S726" s="202"/>
      <c r="T726" s="200"/>
      <c r="U726" s="203"/>
      <c r="V726" s="89"/>
      <c r="W726" s="89"/>
      <c r="X726" s="145"/>
      <c r="Y726" s="89"/>
      <c r="Z726" s="90"/>
      <c r="AA726" s="90"/>
      <c r="AB726" s="90"/>
      <c r="AC726" s="90"/>
      <c r="AD726" s="92"/>
      <c r="AE726" s="149" t="str">
        <f>IFERROR(VLOOKUP(Z726,LISTS!$AL$2:$AM$1000,2,FALSE()),"")</f>
        <v/>
      </c>
      <c r="AF726" s="151" t="str">
        <f>IFERROR(VLOOKUP(AA726,LISTS!$AO$2:$AP$1000,2,FALSE()),"")</f>
        <v/>
      </c>
      <c r="AG726" s="152" t="str">
        <f>IFERROR(VLOOKUP(AB726,LISTS!$AR$2:$AS$1000,2,FALSE()),"")</f>
        <v/>
      </c>
      <c r="AH726" s="154" t="str">
        <f>IFERROR(VLOOKUP(AC726,LISTS!$AU$2:$AV$1000,2,FALSE()),"")</f>
        <v/>
      </c>
      <c r="AI726" s="238" t="str">
        <f t="shared" si="58"/>
        <v>—</v>
      </c>
      <c r="AJ726" s="190" t="str">
        <f t="shared" si="59"/>
        <v>—</v>
      </c>
      <c r="AK726" s="157" t="str">
        <f t="shared" si="55"/>
        <v/>
      </c>
      <c r="AL726" s="160" t="str">
        <f t="shared" si="56"/>
        <v/>
      </c>
      <c r="AM726" s="210"/>
      <c r="AN726" s="209"/>
    </row>
    <row r="727" spans="1:40" ht="27.95" customHeight="1">
      <c r="A727" s="134" t="str">
        <f>IF(I727&lt;&gt;"",COUNTA($I$2:I727),"")</f>
        <v/>
      </c>
      <c r="B727" s="138" t="str">
        <f t="shared" si="57"/>
        <v/>
      </c>
      <c r="C727" s="93" t="str">
        <f t="array" ref="C727">IF(E727="","",IF(M727&lt;&gt;"",
M727&amp;"/"&amp;SUMPRODUCT((M$2:M727=M727)*1)&amp;" - "&amp;(ROW()-2),
"إداري/"&amp;SUMPRODUCT((M$2:M727="")*1)&amp;" - "&amp;(ROW()-2)))</f>
        <v/>
      </c>
      <c r="D727" s="141" t="str">
        <f>IF(AND(G727="",H727="",I727=""),"",IF(COUNTIFS(LISTS!$A$2:$A$67,G727,LISTS!$B$2:$B$67,H727,LISTS!$C$2:$C$67,I727)=0,"✗ هرم",IF(NOT(OR(Z727="ممتاز 100%",Z727="جيد 80%",Z727="مقبول 60%",Z727="خطر 40%",Z727="")),"✗ قائمة R",IF(NOT(OR(AA727="ممتاز 100%",AA727="جيد 85%",AA727="مقبول 70%",AA727="ضعيف 50%",AA727="")),"✗ قائمة S",IF(NOT(OR(AB727="مكتمل 100%",AB727="جزئي 60%",AB727="معلق 30%",AB727="مفتوح 0%",AB727="")),"✗ قائمة T",IF(NOT(OR(AC727="لا خصم 0",AC727="تأخير −5",AC727="عجز −10",AC727="جودة −15",AC727="امتثال −20",AC727="مخالفة −25",AC727="")),"✗ قائمة U",IF(AND(X727="لا",AC727&lt;&gt;"",AC727&lt;&gt;"لا خصم 0"),"✗ خصم",IF(AND(X727="نعم",AC727="لا خصم 0"),"✗ خصم",IF(AND(Z727="ممتاز 100%",AA727="ممتاز 100%",AB727&lt;&gt;"",AB727&lt;&gt;"مكتمل 100%"),"✗ إغلاق",IFERROR(IF(LEN(_xlfn.TEXTJOIN("، ",TRUE,IF(E727="","التاريخ",""),IF(F727="","الوقت",""),IF(G727="","المركز",""),IF(H727="","الدائرة",""),IF(I727="","القسم",""),IF(J727="","المسؤول",""),IF(K727="","نوع النشاط",""),IF(L727="","المشروع",""),IF(N727="","الممول",""),IF(V727="","الموضوع",""),IF(W727="","الملاحظة",""),IF(X727="","مشكلة",""),IF(Y727="","الإجراء",""),IF(Z727="","التنفيذ",""),IF(AA727="","الجودة",""),IF(AB727="","الإغلاق",""),IF(AC727="","الخصم",""),IF(AND(COUNTA($O727:$U727)&gt;0,O727=""),"مدير المشروع",""),IF(AND(COUNTA($O727:$U727)&gt;0,P727=""),"المستفيدين",""),IF(AND(COUNTA($O727:$U727)&gt;0,Q727=""),"المناطق",""),IF(AND(COUNTA($O727:$U727)&gt;0,R727=""),"الميزانية",""),IF(AND(COUNTA($O727:$U727)&gt;0,S727=""),"نسبة الجاهزية",""),IF(AND(COUNTA($O727:$U727)&gt;0,T727=""),"حالة الجاهزية",""),IF(AND(COUNTA($O727:$U727)&gt;0,U727=""),"التوصيات","")))&gt;0,"✗ ناقص: "&amp;_xlfn.TEXTJOIN("، ",TRUE,IF(E727="","التاريخ",""),IF(F727="","الوقت",""),IF(G727="","المركز",""),IF(H727="","الدائرة",""),IF(I727="","القسم",""),IF(J727="","المسؤول",""),IF(K727="","نوع النشاط",""),IF(L727="","المشروع",""),IF(N727="","الممول",""),IF(V727="","الموضوع",""),IF(W727="","الملاحظة",""),IF(X727="","مشكلة",""),IF(Y727="","الإجراء",""),IF(Z727="","التنفيذ",""),IF(AA727="","الجودة",""),IF(AB727="","الإغلاق",""),IF(AC727="","الخصم",""),IF(AND(COUNTA($O727:$U727)&gt;0,O727=""),"مدير المشروع",""),IF(AND(COUNTA($O727:$U727)&gt;0,P727=""),"المستفيدين",""),IF(AND(COUNTA($O727:$U727)&gt;0,Q727=""),"المناطق",""),IF(AND(COUNTA($O727:$U727)&gt;0,R727=""),"الميزانية",""),IF(AND(COUNTA($O727:$U727)&gt;0,S727=""),"نسبة الجاهزية",""),IF(AND(COUNTA($O727:$U727)&gt;0,T727=""),"حالة الجاهزية",""),IF(AND(COUNTA($O727:$U727)&gt;0,U727=""),"التوصيات","")),"✓"),"✓"))))))))))</f>
        <v/>
      </c>
      <c r="E727" s="235"/>
      <c r="F727" s="236"/>
      <c r="G727" s="90"/>
      <c r="H727" s="239"/>
      <c r="I727" s="89"/>
      <c r="J727" s="142"/>
      <c r="K727" s="90"/>
      <c r="L727" s="90"/>
      <c r="M727" s="90"/>
      <c r="N727" s="89"/>
      <c r="O727" s="200"/>
      <c r="P727" s="201"/>
      <c r="Q727" s="201"/>
      <c r="R727" s="237"/>
      <c r="S727" s="202"/>
      <c r="T727" s="200"/>
      <c r="U727" s="203"/>
      <c r="V727" s="89"/>
      <c r="W727" s="89"/>
      <c r="X727" s="145"/>
      <c r="Y727" s="89"/>
      <c r="Z727" s="90"/>
      <c r="AA727" s="90"/>
      <c r="AB727" s="90"/>
      <c r="AC727" s="90"/>
      <c r="AD727" s="92"/>
      <c r="AE727" s="149" t="str">
        <f>IFERROR(VLOOKUP(Z727,LISTS!$AL$2:$AM$1000,2,FALSE()),"")</f>
        <v/>
      </c>
      <c r="AF727" s="151" t="str">
        <f>IFERROR(VLOOKUP(AA727,LISTS!$AO$2:$AP$1000,2,FALSE()),"")</f>
        <v/>
      </c>
      <c r="AG727" s="152" t="str">
        <f>IFERROR(VLOOKUP(AB727,LISTS!$AR$2:$AS$1000,2,FALSE()),"")</f>
        <v/>
      </c>
      <c r="AH727" s="154" t="str">
        <f>IFERROR(VLOOKUP(AC727,LISTS!$AU$2:$AV$1000,2,FALSE()),"")</f>
        <v/>
      </c>
      <c r="AI727" s="238" t="str">
        <f t="shared" si="58"/>
        <v>—</v>
      </c>
      <c r="AJ727" s="190" t="str">
        <f t="shared" si="59"/>
        <v>—</v>
      </c>
      <c r="AK727" s="157" t="str">
        <f t="shared" si="55"/>
        <v/>
      </c>
      <c r="AL727" s="160" t="str">
        <f t="shared" si="56"/>
        <v/>
      </c>
      <c r="AM727" s="210"/>
      <c r="AN727" s="209"/>
    </row>
    <row r="728" spans="1:40" ht="27.95" customHeight="1">
      <c r="A728" s="134" t="str">
        <f>IF(I728&lt;&gt;"",COUNTA($I$2:I728),"")</f>
        <v/>
      </c>
      <c r="B728" s="138" t="str">
        <f t="shared" si="57"/>
        <v/>
      </c>
      <c r="C728" s="93" t="str">
        <f t="array" ref="C728">IF(E728="","",IF(M728&lt;&gt;"",
M728&amp;"/"&amp;SUMPRODUCT((M$2:M728=M728)*1)&amp;" - "&amp;(ROW()-2),
"إداري/"&amp;SUMPRODUCT((M$2:M728="")*1)&amp;" - "&amp;(ROW()-2)))</f>
        <v/>
      </c>
      <c r="D728" s="141" t="str">
        <f>IF(AND(G728="",H728="",I728=""),"",IF(COUNTIFS(LISTS!$A$2:$A$67,G728,LISTS!$B$2:$B$67,H728,LISTS!$C$2:$C$67,I728)=0,"✗ هرم",IF(NOT(OR(Z728="ممتاز 100%",Z728="جيد 80%",Z728="مقبول 60%",Z728="خطر 40%",Z728="")),"✗ قائمة R",IF(NOT(OR(AA728="ممتاز 100%",AA728="جيد 85%",AA728="مقبول 70%",AA728="ضعيف 50%",AA728="")),"✗ قائمة S",IF(NOT(OR(AB728="مكتمل 100%",AB728="جزئي 60%",AB728="معلق 30%",AB728="مفتوح 0%",AB728="")),"✗ قائمة T",IF(NOT(OR(AC728="لا خصم 0",AC728="تأخير −5",AC728="عجز −10",AC728="جودة −15",AC728="امتثال −20",AC728="مخالفة −25",AC728="")),"✗ قائمة U",IF(AND(X728="لا",AC728&lt;&gt;"",AC728&lt;&gt;"لا خصم 0"),"✗ خصم",IF(AND(X728="نعم",AC728="لا خصم 0"),"✗ خصم",IF(AND(Z728="ممتاز 100%",AA728="ممتاز 100%",AB728&lt;&gt;"",AB728&lt;&gt;"مكتمل 100%"),"✗ إغلاق",IFERROR(IF(LEN(_xlfn.TEXTJOIN("، ",TRUE,IF(E728="","التاريخ",""),IF(F728="","الوقت",""),IF(G728="","المركز",""),IF(H728="","الدائرة",""),IF(I728="","القسم",""),IF(J728="","المسؤول",""),IF(K728="","نوع النشاط",""),IF(L728="","المشروع",""),IF(N728="","الممول",""),IF(V728="","الموضوع",""),IF(W728="","الملاحظة",""),IF(X728="","مشكلة",""),IF(Y728="","الإجراء",""),IF(Z728="","التنفيذ",""),IF(AA728="","الجودة",""),IF(AB728="","الإغلاق",""),IF(AC728="","الخصم",""),IF(AND(COUNTA($O728:$U728)&gt;0,O728=""),"مدير المشروع",""),IF(AND(COUNTA($O728:$U728)&gt;0,P728=""),"المستفيدين",""),IF(AND(COUNTA($O728:$U728)&gt;0,Q728=""),"المناطق",""),IF(AND(COUNTA($O728:$U728)&gt;0,R728=""),"الميزانية",""),IF(AND(COUNTA($O728:$U728)&gt;0,S728=""),"نسبة الجاهزية",""),IF(AND(COUNTA($O728:$U728)&gt;0,T728=""),"حالة الجاهزية",""),IF(AND(COUNTA($O728:$U728)&gt;0,U728=""),"التوصيات","")))&gt;0,"✗ ناقص: "&amp;_xlfn.TEXTJOIN("، ",TRUE,IF(E728="","التاريخ",""),IF(F728="","الوقت",""),IF(G728="","المركز",""),IF(H728="","الدائرة",""),IF(I728="","القسم",""),IF(J728="","المسؤول",""),IF(K728="","نوع النشاط",""),IF(L728="","المشروع",""),IF(N728="","الممول",""),IF(V728="","الموضوع",""),IF(W728="","الملاحظة",""),IF(X728="","مشكلة",""),IF(Y728="","الإجراء",""),IF(Z728="","التنفيذ",""),IF(AA728="","الجودة",""),IF(AB728="","الإغلاق",""),IF(AC728="","الخصم",""),IF(AND(COUNTA($O728:$U728)&gt;0,O728=""),"مدير المشروع",""),IF(AND(COUNTA($O728:$U728)&gt;0,P728=""),"المستفيدين",""),IF(AND(COUNTA($O728:$U728)&gt;0,Q728=""),"المناطق",""),IF(AND(COUNTA($O728:$U728)&gt;0,R728=""),"الميزانية",""),IF(AND(COUNTA($O728:$U728)&gt;0,S728=""),"نسبة الجاهزية",""),IF(AND(COUNTA($O728:$U728)&gt;0,T728=""),"حالة الجاهزية",""),IF(AND(COUNTA($O728:$U728)&gt;0,U728=""),"التوصيات","")),"✓"),"✓"))))))))))</f>
        <v/>
      </c>
      <c r="E728" s="235"/>
      <c r="F728" s="236"/>
      <c r="G728" s="90"/>
      <c r="H728" s="239"/>
      <c r="I728" s="89"/>
      <c r="J728" s="142"/>
      <c r="K728" s="90"/>
      <c r="L728" s="90"/>
      <c r="M728" s="90"/>
      <c r="N728" s="89"/>
      <c r="O728" s="200"/>
      <c r="P728" s="201"/>
      <c r="Q728" s="201"/>
      <c r="R728" s="237"/>
      <c r="S728" s="202"/>
      <c r="T728" s="200"/>
      <c r="U728" s="203"/>
      <c r="V728" s="89"/>
      <c r="W728" s="89"/>
      <c r="X728" s="145"/>
      <c r="Y728" s="89"/>
      <c r="Z728" s="90"/>
      <c r="AA728" s="90"/>
      <c r="AB728" s="90"/>
      <c r="AC728" s="90"/>
      <c r="AD728" s="92"/>
      <c r="AE728" s="149" t="str">
        <f>IFERROR(VLOOKUP(Z728,LISTS!$AL$2:$AM$1000,2,FALSE()),"")</f>
        <v/>
      </c>
      <c r="AF728" s="151" t="str">
        <f>IFERROR(VLOOKUP(AA728,LISTS!$AO$2:$AP$1000,2,FALSE()),"")</f>
        <v/>
      </c>
      <c r="AG728" s="152" t="str">
        <f>IFERROR(VLOOKUP(AB728,LISTS!$AR$2:$AS$1000,2,FALSE()),"")</f>
        <v/>
      </c>
      <c r="AH728" s="154" t="str">
        <f>IFERROR(VLOOKUP(AC728,LISTS!$AU$2:$AV$1000,2,FALSE()),"")</f>
        <v/>
      </c>
      <c r="AI728" s="238" t="str">
        <f t="shared" si="58"/>
        <v>—</v>
      </c>
      <c r="AJ728" s="190" t="str">
        <f t="shared" si="59"/>
        <v>—</v>
      </c>
      <c r="AK728" s="157" t="str">
        <f t="shared" si="55"/>
        <v/>
      </c>
      <c r="AL728" s="160" t="str">
        <f t="shared" si="56"/>
        <v/>
      </c>
      <c r="AM728" s="210"/>
      <c r="AN728" s="209"/>
    </row>
    <row r="729" spans="1:40" ht="27.95" customHeight="1">
      <c r="A729" s="134" t="str">
        <f>IF(I729&lt;&gt;"",COUNTA($I$2:I729),"")</f>
        <v/>
      </c>
      <c r="B729" s="138" t="str">
        <f t="shared" si="57"/>
        <v/>
      </c>
      <c r="C729" s="93" t="str">
        <f t="array" ref="C729">IF(E729="","",IF(M729&lt;&gt;"",
M729&amp;"/"&amp;SUMPRODUCT((M$2:M729=M729)*1)&amp;" - "&amp;(ROW()-2),
"إداري/"&amp;SUMPRODUCT((M$2:M729="")*1)&amp;" - "&amp;(ROW()-2)))</f>
        <v/>
      </c>
      <c r="D729" s="141" t="str">
        <f>IF(AND(G729="",H729="",I729=""),"",IF(COUNTIFS(LISTS!$A$2:$A$67,G729,LISTS!$B$2:$B$67,H729,LISTS!$C$2:$C$67,I729)=0,"✗ هرم",IF(NOT(OR(Z729="ممتاز 100%",Z729="جيد 80%",Z729="مقبول 60%",Z729="خطر 40%",Z729="")),"✗ قائمة R",IF(NOT(OR(AA729="ممتاز 100%",AA729="جيد 85%",AA729="مقبول 70%",AA729="ضعيف 50%",AA729="")),"✗ قائمة S",IF(NOT(OR(AB729="مكتمل 100%",AB729="جزئي 60%",AB729="معلق 30%",AB729="مفتوح 0%",AB729="")),"✗ قائمة T",IF(NOT(OR(AC729="لا خصم 0",AC729="تأخير −5",AC729="عجز −10",AC729="جودة −15",AC729="امتثال −20",AC729="مخالفة −25",AC729="")),"✗ قائمة U",IF(AND(X729="لا",AC729&lt;&gt;"",AC729&lt;&gt;"لا خصم 0"),"✗ خصم",IF(AND(X729="نعم",AC729="لا خصم 0"),"✗ خصم",IF(AND(Z729="ممتاز 100%",AA729="ممتاز 100%",AB729&lt;&gt;"",AB729&lt;&gt;"مكتمل 100%"),"✗ إغلاق",IFERROR(IF(LEN(_xlfn.TEXTJOIN("، ",TRUE,IF(E729="","التاريخ",""),IF(F729="","الوقت",""),IF(G729="","المركز",""),IF(H729="","الدائرة",""),IF(I729="","القسم",""),IF(J729="","المسؤول",""),IF(K729="","نوع النشاط",""),IF(L729="","المشروع",""),IF(N729="","الممول",""),IF(V729="","الموضوع",""),IF(W729="","الملاحظة",""),IF(X729="","مشكلة",""),IF(Y729="","الإجراء",""),IF(Z729="","التنفيذ",""),IF(AA729="","الجودة",""),IF(AB729="","الإغلاق",""),IF(AC729="","الخصم",""),IF(AND(COUNTA($O729:$U729)&gt;0,O729=""),"مدير المشروع",""),IF(AND(COUNTA($O729:$U729)&gt;0,P729=""),"المستفيدين",""),IF(AND(COUNTA($O729:$U729)&gt;0,Q729=""),"المناطق",""),IF(AND(COUNTA($O729:$U729)&gt;0,R729=""),"الميزانية",""),IF(AND(COUNTA($O729:$U729)&gt;0,S729=""),"نسبة الجاهزية",""),IF(AND(COUNTA($O729:$U729)&gt;0,T729=""),"حالة الجاهزية",""),IF(AND(COUNTA($O729:$U729)&gt;0,U729=""),"التوصيات","")))&gt;0,"✗ ناقص: "&amp;_xlfn.TEXTJOIN("، ",TRUE,IF(E729="","التاريخ",""),IF(F729="","الوقت",""),IF(G729="","المركز",""),IF(H729="","الدائرة",""),IF(I729="","القسم",""),IF(J729="","المسؤول",""),IF(K729="","نوع النشاط",""),IF(L729="","المشروع",""),IF(N729="","الممول",""),IF(V729="","الموضوع",""),IF(W729="","الملاحظة",""),IF(X729="","مشكلة",""),IF(Y729="","الإجراء",""),IF(Z729="","التنفيذ",""),IF(AA729="","الجودة",""),IF(AB729="","الإغلاق",""),IF(AC729="","الخصم",""),IF(AND(COUNTA($O729:$U729)&gt;0,O729=""),"مدير المشروع",""),IF(AND(COUNTA($O729:$U729)&gt;0,P729=""),"المستفيدين",""),IF(AND(COUNTA($O729:$U729)&gt;0,Q729=""),"المناطق",""),IF(AND(COUNTA($O729:$U729)&gt;0,R729=""),"الميزانية",""),IF(AND(COUNTA($O729:$U729)&gt;0,S729=""),"نسبة الجاهزية",""),IF(AND(COUNTA($O729:$U729)&gt;0,T729=""),"حالة الجاهزية",""),IF(AND(COUNTA($O729:$U729)&gt;0,U729=""),"التوصيات","")),"✓"),"✓"))))))))))</f>
        <v/>
      </c>
      <c r="E729" s="235"/>
      <c r="F729" s="236"/>
      <c r="G729" s="90"/>
      <c r="H729" s="239"/>
      <c r="I729" s="89"/>
      <c r="J729" s="142"/>
      <c r="K729" s="90"/>
      <c r="L729" s="90"/>
      <c r="M729" s="90"/>
      <c r="N729" s="89"/>
      <c r="O729" s="200"/>
      <c r="P729" s="201"/>
      <c r="Q729" s="201"/>
      <c r="R729" s="237"/>
      <c r="S729" s="202"/>
      <c r="T729" s="200"/>
      <c r="U729" s="203"/>
      <c r="V729" s="89"/>
      <c r="W729" s="89"/>
      <c r="X729" s="145"/>
      <c r="Y729" s="89"/>
      <c r="Z729" s="90"/>
      <c r="AA729" s="90"/>
      <c r="AB729" s="90"/>
      <c r="AC729" s="90"/>
      <c r="AD729" s="92"/>
      <c r="AE729" s="149" t="str">
        <f>IFERROR(VLOOKUP(Z729,LISTS!$AL$2:$AM$1000,2,FALSE()),"")</f>
        <v/>
      </c>
      <c r="AF729" s="151" t="str">
        <f>IFERROR(VLOOKUP(AA729,LISTS!$AO$2:$AP$1000,2,FALSE()),"")</f>
        <v/>
      </c>
      <c r="AG729" s="152" t="str">
        <f>IFERROR(VLOOKUP(AB729,LISTS!$AR$2:$AS$1000,2,FALSE()),"")</f>
        <v/>
      </c>
      <c r="AH729" s="154" t="str">
        <f>IFERROR(VLOOKUP(AC729,LISTS!$AU$2:$AV$1000,2,FALSE()),"")</f>
        <v/>
      </c>
      <c r="AI729" s="238" t="str">
        <f t="shared" si="58"/>
        <v>—</v>
      </c>
      <c r="AJ729" s="190" t="str">
        <f t="shared" si="59"/>
        <v>—</v>
      </c>
      <c r="AK729" s="157" t="str">
        <f t="shared" si="55"/>
        <v/>
      </c>
      <c r="AL729" s="160" t="str">
        <f t="shared" si="56"/>
        <v/>
      </c>
      <c r="AM729" s="210"/>
      <c r="AN729" s="209"/>
    </row>
    <row r="730" spans="1:40" ht="27.95" customHeight="1">
      <c r="A730" s="134" t="str">
        <f>IF(I730&lt;&gt;"",COUNTA($I$2:I730),"")</f>
        <v/>
      </c>
      <c r="B730" s="138" t="str">
        <f t="shared" si="57"/>
        <v/>
      </c>
      <c r="C730" s="93" t="str">
        <f t="array" ref="C730">IF(E730="","",IF(M730&lt;&gt;"",
M730&amp;"/"&amp;SUMPRODUCT((M$2:M730=M730)*1)&amp;" - "&amp;(ROW()-2),
"إداري/"&amp;SUMPRODUCT((M$2:M730="")*1)&amp;" - "&amp;(ROW()-2)))</f>
        <v/>
      </c>
      <c r="D730" s="141" t="str">
        <f>IF(AND(G730="",H730="",I730=""),"",IF(COUNTIFS(LISTS!$A$2:$A$67,G730,LISTS!$B$2:$B$67,H730,LISTS!$C$2:$C$67,I730)=0,"✗ هرم",IF(NOT(OR(Z730="ممتاز 100%",Z730="جيد 80%",Z730="مقبول 60%",Z730="خطر 40%",Z730="")),"✗ قائمة R",IF(NOT(OR(AA730="ممتاز 100%",AA730="جيد 85%",AA730="مقبول 70%",AA730="ضعيف 50%",AA730="")),"✗ قائمة S",IF(NOT(OR(AB730="مكتمل 100%",AB730="جزئي 60%",AB730="معلق 30%",AB730="مفتوح 0%",AB730="")),"✗ قائمة T",IF(NOT(OR(AC730="لا خصم 0",AC730="تأخير −5",AC730="عجز −10",AC730="جودة −15",AC730="امتثال −20",AC730="مخالفة −25",AC730="")),"✗ قائمة U",IF(AND(X730="لا",AC730&lt;&gt;"",AC730&lt;&gt;"لا خصم 0"),"✗ خصم",IF(AND(X730="نعم",AC730="لا خصم 0"),"✗ خصم",IF(AND(Z730="ممتاز 100%",AA730="ممتاز 100%",AB730&lt;&gt;"",AB730&lt;&gt;"مكتمل 100%"),"✗ إغلاق",IFERROR(IF(LEN(_xlfn.TEXTJOIN("، ",TRUE,IF(E730="","التاريخ",""),IF(F730="","الوقت",""),IF(G730="","المركز",""),IF(H730="","الدائرة",""),IF(I730="","القسم",""),IF(J730="","المسؤول",""),IF(K730="","نوع النشاط",""),IF(L730="","المشروع",""),IF(N730="","الممول",""),IF(V730="","الموضوع",""),IF(W730="","الملاحظة",""),IF(X730="","مشكلة",""),IF(Y730="","الإجراء",""),IF(Z730="","التنفيذ",""),IF(AA730="","الجودة",""),IF(AB730="","الإغلاق",""),IF(AC730="","الخصم",""),IF(AND(COUNTA($O730:$U730)&gt;0,O730=""),"مدير المشروع",""),IF(AND(COUNTA($O730:$U730)&gt;0,P730=""),"المستفيدين",""),IF(AND(COUNTA($O730:$U730)&gt;0,Q730=""),"المناطق",""),IF(AND(COUNTA($O730:$U730)&gt;0,R730=""),"الميزانية",""),IF(AND(COUNTA($O730:$U730)&gt;0,S730=""),"نسبة الجاهزية",""),IF(AND(COUNTA($O730:$U730)&gt;0,T730=""),"حالة الجاهزية",""),IF(AND(COUNTA($O730:$U730)&gt;0,U730=""),"التوصيات","")))&gt;0,"✗ ناقص: "&amp;_xlfn.TEXTJOIN("، ",TRUE,IF(E730="","التاريخ",""),IF(F730="","الوقت",""),IF(G730="","المركز",""),IF(H730="","الدائرة",""),IF(I730="","القسم",""),IF(J730="","المسؤول",""),IF(K730="","نوع النشاط",""),IF(L730="","المشروع",""),IF(N730="","الممول",""),IF(V730="","الموضوع",""),IF(W730="","الملاحظة",""),IF(X730="","مشكلة",""),IF(Y730="","الإجراء",""),IF(Z730="","التنفيذ",""),IF(AA730="","الجودة",""),IF(AB730="","الإغلاق",""),IF(AC730="","الخصم",""),IF(AND(COUNTA($O730:$U730)&gt;0,O730=""),"مدير المشروع",""),IF(AND(COUNTA($O730:$U730)&gt;0,P730=""),"المستفيدين",""),IF(AND(COUNTA($O730:$U730)&gt;0,Q730=""),"المناطق",""),IF(AND(COUNTA($O730:$U730)&gt;0,R730=""),"الميزانية",""),IF(AND(COUNTA($O730:$U730)&gt;0,S730=""),"نسبة الجاهزية",""),IF(AND(COUNTA($O730:$U730)&gt;0,T730=""),"حالة الجاهزية",""),IF(AND(COUNTA($O730:$U730)&gt;0,U730=""),"التوصيات","")),"✓"),"✓"))))))))))</f>
        <v/>
      </c>
      <c r="E730" s="235"/>
      <c r="F730" s="236"/>
      <c r="G730" s="90"/>
      <c r="H730" s="239"/>
      <c r="I730" s="89"/>
      <c r="J730" s="142"/>
      <c r="K730" s="90"/>
      <c r="L730" s="90"/>
      <c r="M730" s="90"/>
      <c r="N730" s="89"/>
      <c r="O730" s="200"/>
      <c r="P730" s="201"/>
      <c r="Q730" s="201"/>
      <c r="R730" s="237"/>
      <c r="S730" s="202"/>
      <c r="T730" s="200"/>
      <c r="U730" s="203"/>
      <c r="V730" s="89"/>
      <c r="W730" s="89"/>
      <c r="X730" s="145"/>
      <c r="Y730" s="89"/>
      <c r="Z730" s="90"/>
      <c r="AA730" s="90"/>
      <c r="AB730" s="90"/>
      <c r="AC730" s="90"/>
      <c r="AD730" s="92"/>
      <c r="AE730" s="149" t="str">
        <f>IFERROR(VLOOKUP(Z730,LISTS!$AL$2:$AM$1000,2,FALSE()),"")</f>
        <v/>
      </c>
      <c r="AF730" s="151" t="str">
        <f>IFERROR(VLOOKUP(AA730,LISTS!$AO$2:$AP$1000,2,FALSE()),"")</f>
        <v/>
      </c>
      <c r="AG730" s="152" t="str">
        <f>IFERROR(VLOOKUP(AB730,LISTS!$AR$2:$AS$1000,2,FALSE()),"")</f>
        <v/>
      </c>
      <c r="AH730" s="154" t="str">
        <f>IFERROR(VLOOKUP(AC730,LISTS!$AU$2:$AV$1000,2,FALSE()),"")</f>
        <v/>
      </c>
      <c r="AI730" s="238" t="str">
        <f t="shared" si="58"/>
        <v>—</v>
      </c>
      <c r="AJ730" s="190" t="str">
        <f t="shared" si="59"/>
        <v>—</v>
      </c>
      <c r="AK730" s="157" t="str">
        <f t="shared" si="55"/>
        <v/>
      </c>
      <c r="AL730" s="160" t="str">
        <f t="shared" si="56"/>
        <v/>
      </c>
      <c r="AM730" s="210"/>
      <c r="AN730" s="209"/>
    </row>
    <row r="731" spans="1:40" ht="27.95" customHeight="1">
      <c r="A731" s="134" t="str">
        <f>IF(I731&lt;&gt;"",COUNTA($I$2:I731),"")</f>
        <v/>
      </c>
      <c r="B731" s="138" t="str">
        <f t="shared" si="57"/>
        <v/>
      </c>
      <c r="C731" s="93" t="str">
        <f t="array" ref="C731">IF(E731="","",IF(M731&lt;&gt;"",
M731&amp;"/"&amp;SUMPRODUCT((M$2:M731=M731)*1)&amp;" - "&amp;(ROW()-2),
"إداري/"&amp;SUMPRODUCT((M$2:M731="")*1)&amp;" - "&amp;(ROW()-2)))</f>
        <v/>
      </c>
      <c r="D731" s="141" t="str">
        <f>IF(AND(G731="",H731="",I731=""),"",IF(COUNTIFS(LISTS!$A$2:$A$67,G731,LISTS!$B$2:$B$67,H731,LISTS!$C$2:$C$67,I731)=0,"✗ هرم",IF(NOT(OR(Z731="ممتاز 100%",Z731="جيد 80%",Z731="مقبول 60%",Z731="خطر 40%",Z731="")),"✗ قائمة R",IF(NOT(OR(AA731="ممتاز 100%",AA731="جيد 85%",AA731="مقبول 70%",AA731="ضعيف 50%",AA731="")),"✗ قائمة S",IF(NOT(OR(AB731="مكتمل 100%",AB731="جزئي 60%",AB731="معلق 30%",AB731="مفتوح 0%",AB731="")),"✗ قائمة T",IF(NOT(OR(AC731="لا خصم 0",AC731="تأخير −5",AC731="عجز −10",AC731="جودة −15",AC731="امتثال −20",AC731="مخالفة −25",AC731="")),"✗ قائمة U",IF(AND(X731="لا",AC731&lt;&gt;"",AC731&lt;&gt;"لا خصم 0"),"✗ خصم",IF(AND(X731="نعم",AC731="لا خصم 0"),"✗ خصم",IF(AND(Z731="ممتاز 100%",AA731="ممتاز 100%",AB731&lt;&gt;"",AB731&lt;&gt;"مكتمل 100%"),"✗ إغلاق",IFERROR(IF(LEN(_xlfn.TEXTJOIN("، ",TRUE,IF(E731="","التاريخ",""),IF(F731="","الوقت",""),IF(G731="","المركز",""),IF(H731="","الدائرة",""),IF(I731="","القسم",""),IF(J731="","المسؤول",""),IF(K731="","نوع النشاط",""),IF(L731="","المشروع",""),IF(N731="","الممول",""),IF(V731="","الموضوع",""),IF(W731="","الملاحظة",""),IF(X731="","مشكلة",""),IF(Y731="","الإجراء",""),IF(Z731="","التنفيذ",""),IF(AA731="","الجودة",""),IF(AB731="","الإغلاق",""),IF(AC731="","الخصم",""),IF(AND(COUNTA($O731:$U731)&gt;0,O731=""),"مدير المشروع",""),IF(AND(COUNTA($O731:$U731)&gt;0,P731=""),"المستفيدين",""),IF(AND(COUNTA($O731:$U731)&gt;0,Q731=""),"المناطق",""),IF(AND(COUNTA($O731:$U731)&gt;0,R731=""),"الميزانية",""),IF(AND(COUNTA($O731:$U731)&gt;0,S731=""),"نسبة الجاهزية",""),IF(AND(COUNTA($O731:$U731)&gt;0,T731=""),"حالة الجاهزية",""),IF(AND(COUNTA($O731:$U731)&gt;0,U731=""),"التوصيات","")))&gt;0,"✗ ناقص: "&amp;_xlfn.TEXTJOIN("، ",TRUE,IF(E731="","التاريخ",""),IF(F731="","الوقت",""),IF(G731="","المركز",""),IF(H731="","الدائرة",""),IF(I731="","القسم",""),IF(J731="","المسؤول",""),IF(K731="","نوع النشاط",""),IF(L731="","المشروع",""),IF(N731="","الممول",""),IF(V731="","الموضوع",""),IF(W731="","الملاحظة",""),IF(X731="","مشكلة",""),IF(Y731="","الإجراء",""),IF(Z731="","التنفيذ",""),IF(AA731="","الجودة",""),IF(AB731="","الإغلاق",""),IF(AC731="","الخصم",""),IF(AND(COUNTA($O731:$U731)&gt;0,O731=""),"مدير المشروع",""),IF(AND(COUNTA($O731:$U731)&gt;0,P731=""),"المستفيدين",""),IF(AND(COUNTA($O731:$U731)&gt;0,Q731=""),"المناطق",""),IF(AND(COUNTA($O731:$U731)&gt;0,R731=""),"الميزانية",""),IF(AND(COUNTA($O731:$U731)&gt;0,S731=""),"نسبة الجاهزية",""),IF(AND(COUNTA($O731:$U731)&gt;0,T731=""),"حالة الجاهزية",""),IF(AND(COUNTA($O731:$U731)&gt;0,U731=""),"التوصيات","")),"✓"),"✓"))))))))))</f>
        <v/>
      </c>
      <c r="E731" s="235"/>
      <c r="F731" s="236"/>
      <c r="G731" s="90"/>
      <c r="H731" s="239"/>
      <c r="I731" s="89"/>
      <c r="J731" s="142"/>
      <c r="K731" s="90"/>
      <c r="L731" s="90"/>
      <c r="M731" s="90"/>
      <c r="N731" s="89"/>
      <c r="O731" s="200"/>
      <c r="P731" s="201"/>
      <c r="Q731" s="201"/>
      <c r="R731" s="237"/>
      <c r="S731" s="202"/>
      <c r="T731" s="200"/>
      <c r="U731" s="203"/>
      <c r="V731" s="89"/>
      <c r="W731" s="89"/>
      <c r="X731" s="145"/>
      <c r="Y731" s="89"/>
      <c r="Z731" s="90"/>
      <c r="AA731" s="90"/>
      <c r="AB731" s="90"/>
      <c r="AC731" s="90"/>
      <c r="AD731" s="92"/>
      <c r="AE731" s="149" t="str">
        <f>IFERROR(VLOOKUP(Z731,LISTS!$AL$2:$AM$1000,2,FALSE()),"")</f>
        <v/>
      </c>
      <c r="AF731" s="151" t="str">
        <f>IFERROR(VLOOKUP(AA731,LISTS!$AO$2:$AP$1000,2,FALSE()),"")</f>
        <v/>
      </c>
      <c r="AG731" s="152" t="str">
        <f>IFERROR(VLOOKUP(AB731,LISTS!$AR$2:$AS$1000,2,FALSE()),"")</f>
        <v/>
      </c>
      <c r="AH731" s="154" t="str">
        <f>IFERROR(VLOOKUP(AC731,LISTS!$AU$2:$AV$1000,2,FALSE()),"")</f>
        <v/>
      </c>
      <c r="AI731" s="238" t="str">
        <f t="shared" si="58"/>
        <v>—</v>
      </c>
      <c r="AJ731" s="190" t="str">
        <f t="shared" si="59"/>
        <v>—</v>
      </c>
      <c r="AK731" s="157" t="str">
        <f t="shared" si="55"/>
        <v/>
      </c>
      <c r="AL731" s="160" t="str">
        <f t="shared" si="56"/>
        <v/>
      </c>
      <c r="AM731" s="210"/>
      <c r="AN731" s="209"/>
    </row>
    <row r="732" spans="1:40" ht="27.95" customHeight="1">
      <c r="A732" s="134" t="str">
        <f>IF(I732&lt;&gt;"",COUNTA($I$2:I732),"")</f>
        <v/>
      </c>
      <c r="B732" s="138" t="str">
        <f t="shared" si="57"/>
        <v/>
      </c>
      <c r="C732" s="93" t="str">
        <f t="array" ref="C732">IF(E732="","",IF(M732&lt;&gt;"",
M732&amp;"/"&amp;SUMPRODUCT((M$2:M732=M732)*1)&amp;" - "&amp;(ROW()-2),
"إداري/"&amp;SUMPRODUCT((M$2:M732="")*1)&amp;" - "&amp;(ROW()-2)))</f>
        <v/>
      </c>
      <c r="D732" s="141" t="str">
        <f>IF(AND(G732="",H732="",I732=""),"",IF(COUNTIFS(LISTS!$A$2:$A$67,G732,LISTS!$B$2:$B$67,H732,LISTS!$C$2:$C$67,I732)=0,"✗ هرم",IF(NOT(OR(Z732="ممتاز 100%",Z732="جيد 80%",Z732="مقبول 60%",Z732="خطر 40%",Z732="")),"✗ قائمة R",IF(NOT(OR(AA732="ممتاز 100%",AA732="جيد 85%",AA732="مقبول 70%",AA732="ضعيف 50%",AA732="")),"✗ قائمة S",IF(NOT(OR(AB732="مكتمل 100%",AB732="جزئي 60%",AB732="معلق 30%",AB732="مفتوح 0%",AB732="")),"✗ قائمة T",IF(NOT(OR(AC732="لا خصم 0",AC732="تأخير −5",AC732="عجز −10",AC732="جودة −15",AC732="امتثال −20",AC732="مخالفة −25",AC732="")),"✗ قائمة U",IF(AND(X732="لا",AC732&lt;&gt;"",AC732&lt;&gt;"لا خصم 0"),"✗ خصم",IF(AND(X732="نعم",AC732="لا خصم 0"),"✗ خصم",IF(AND(Z732="ممتاز 100%",AA732="ممتاز 100%",AB732&lt;&gt;"",AB732&lt;&gt;"مكتمل 100%"),"✗ إغلاق",IFERROR(IF(LEN(_xlfn.TEXTJOIN("، ",TRUE,IF(E732="","التاريخ",""),IF(F732="","الوقت",""),IF(G732="","المركز",""),IF(H732="","الدائرة",""),IF(I732="","القسم",""),IF(J732="","المسؤول",""),IF(K732="","نوع النشاط",""),IF(L732="","المشروع",""),IF(N732="","الممول",""),IF(V732="","الموضوع",""),IF(W732="","الملاحظة",""),IF(X732="","مشكلة",""),IF(Y732="","الإجراء",""),IF(Z732="","التنفيذ",""),IF(AA732="","الجودة",""),IF(AB732="","الإغلاق",""),IF(AC732="","الخصم",""),IF(AND(COUNTA($O732:$U732)&gt;0,O732=""),"مدير المشروع",""),IF(AND(COUNTA($O732:$U732)&gt;0,P732=""),"المستفيدين",""),IF(AND(COUNTA($O732:$U732)&gt;0,Q732=""),"المناطق",""),IF(AND(COUNTA($O732:$U732)&gt;0,R732=""),"الميزانية",""),IF(AND(COUNTA($O732:$U732)&gt;0,S732=""),"نسبة الجاهزية",""),IF(AND(COUNTA($O732:$U732)&gt;0,T732=""),"حالة الجاهزية",""),IF(AND(COUNTA($O732:$U732)&gt;0,U732=""),"التوصيات","")))&gt;0,"✗ ناقص: "&amp;_xlfn.TEXTJOIN("، ",TRUE,IF(E732="","التاريخ",""),IF(F732="","الوقت",""),IF(G732="","المركز",""),IF(H732="","الدائرة",""),IF(I732="","القسم",""),IF(J732="","المسؤول",""),IF(K732="","نوع النشاط",""),IF(L732="","المشروع",""),IF(N732="","الممول",""),IF(V732="","الموضوع",""),IF(W732="","الملاحظة",""),IF(X732="","مشكلة",""),IF(Y732="","الإجراء",""),IF(Z732="","التنفيذ",""),IF(AA732="","الجودة",""),IF(AB732="","الإغلاق",""),IF(AC732="","الخصم",""),IF(AND(COUNTA($O732:$U732)&gt;0,O732=""),"مدير المشروع",""),IF(AND(COUNTA($O732:$U732)&gt;0,P732=""),"المستفيدين",""),IF(AND(COUNTA($O732:$U732)&gt;0,Q732=""),"المناطق",""),IF(AND(COUNTA($O732:$U732)&gt;0,R732=""),"الميزانية",""),IF(AND(COUNTA($O732:$U732)&gt;0,S732=""),"نسبة الجاهزية",""),IF(AND(COUNTA($O732:$U732)&gt;0,T732=""),"حالة الجاهزية",""),IF(AND(COUNTA($O732:$U732)&gt;0,U732=""),"التوصيات","")),"✓"),"✓"))))))))))</f>
        <v/>
      </c>
      <c r="E732" s="235"/>
      <c r="F732" s="236"/>
      <c r="G732" s="90"/>
      <c r="H732" s="239"/>
      <c r="I732" s="89"/>
      <c r="J732" s="142"/>
      <c r="K732" s="90"/>
      <c r="L732" s="90"/>
      <c r="M732" s="90"/>
      <c r="N732" s="89"/>
      <c r="O732" s="200"/>
      <c r="P732" s="201"/>
      <c r="Q732" s="201"/>
      <c r="R732" s="237"/>
      <c r="S732" s="202"/>
      <c r="T732" s="200"/>
      <c r="U732" s="203"/>
      <c r="V732" s="89"/>
      <c r="W732" s="89"/>
      <c r="X732" s="145"/>
      <c r="Y732" s="89"/>
      <c r="Z732" s="90"/>
      <c r="AA732" s="90"/>
      <c r="AB732" s="90"/>
      <c r="AC732" s="90"/>
      <c r="AD732" s="92"/>
      <c r="AE732" s="149" t="str">
        <f>IFERROR(VLOOKUP(Z732,LISTS!$AL$2:$AM$1000,2,FALSE()),"")</f>
        <v/>
      </c>
      <c r="AF732" s="151" t="str">
        <f>IFERROR(VLOOKUP(AA732,LISTS!$AO$2:$AP$1000,2,FALSE()),"")</f>
        <v/>
      </c>
      <c r="AG732" s="152" t="str">
        <f>IFERROR(VLOOKUP(AB732,LISTS!$AR$2:$AS$1000,2,FALSE()),"")</f>
        <v/>
      </c>
      <c r="AH732" s="154" t="str">
        <f>IFERROR(VLOOKUP(AC732,LISTS!$AU$2:$AV$1000,2,FALSE()),"")</f>
        <v/>
      </c>
      <c r="AI732" s="238" t="str">
        <f t="shared" si="58"/>
        <v>—</v>
      </c>
      <c r="AJ732" s="190" t="str">
        <f t="shared" si="59"/>
        <v>—</v>
      </c>
      <c r="AK732" s="157" t="str">
        <f t="shared" si="55"/>
        <v/>
      </c>
      <c r="AL732" s="160" t="str">
        <f t="shared" si="56"/>
        <v/>
      </c>
      <c r="AM732" s="210"/>
      <c r="AN732" s="209"/>
    </row>
    <row r="733" spans="1:40" ht="27.95" customHeight="1">
      <c r="A733" s="134" t="str">
        <f>IF(I733&lt;&gt;"",COUNTA($I$2:I733),"")</f>
        <v/>
      </c>
      <c r="B733" s="138" t="str">
        <f t="shared" si="57"/>
        <v/>
      </c>
      <c r="C733" s="93" t="str">
        <f t="array" ref="C733">IF(E733="","",IF(M733&lt;&gt;"",
M733&amp;"/"&amp;SUMPRODUCT((M$2:M733=M733)*1)&amp;" - "&amp;(ROW()-2),
"إداري/"&amp;SUMPRODUCT((M$2:M733="")*1)&amp;" - "&amp;(ROW()-2)))</f>
        <v/>
      </c>
      <c r="D733" s="141" t="str">
        <f>IF(AND(G733="",H733="",I733=""),"",IF(COUNTIFS(LISTS!$A$2:$A$67,G733,LISTS!$B$2:$B$67,H733,LISTS!$C$2:$C$67,I733)=0,"✗ هرم",IF(NOT(OR(Z733="ممتاز 100%",Z733="جيد 80%",Z733="مقبول 60%",Z733="خطر 40%",Z733="")),"✗ قائمة R",IF(NOT(OR(AA733="ممتاز 100%",AA733="جيد 85%",AA733="مقبول 70%",AA733="ضعيف 50%",AA733="")),"✗ قائمة S",IF(NOT(OR(AB733="مكتمل 100%",AB733="جزئي 60%",AB733="معلق 30%",AB733="مفتوح 0%",AB733="")),"✗ قائمة T",IF(NOT(OR(AC733="لا خصم 0",AC733="تأخير −5",AC733="عجز −10",AC733="جودة −15",AC733="امتثال −20",AC733="مخالفة −25",AC733="")),"✗ قائمة U",IF(AND(X733="لا",AC733&lt;&gt;"",AC733&lt;&gt;"لا خصم 0"),"✗ خصم",IF(AND(X733="نعم",AC733="لا خصم 0"),"✗ خصم",IF(AND(Z733="ممتاز 100%",AA733="ممتاز 100%",AB733&lt;&gt;"",AB733&lt;&gt;"مكتمل 100%"),"✗ إغلاق",IFERROR(IF(LEN(_xlfn.TEXTJOIN("، ",TRUE,IF(E733="","التاريخ",""),IF(F733="","الوقت",""),IF(G733="","المركز",""),IF(H733="","الدائرة",""),IF(I733="","القسم",""),IF(J733="","المسؤول",""),IF(K733="","نوع النشاط",""),IF(L733="","المشروع",""),IF(N733="","الممول",""),IF(V733="","الموضوع",""),IF(W733="","الملاحظة",""),IF(X733="","مشكلة",""),IF(Y733="","الإجراء",""),IF(Z733="","التنفيذ",""),IF(AA733="","الجودة",""),IF(AB733="","الإغلاق",""),IF(AC733="","الخصم",""),IF(AND(COUNTA($O733:$U733)&gt;0,O733=""),"مدير المشروع",""),IF(AND(COUNTA($O733:$U733)&gt;0,P733=""),"المستفيدين",""),IF(AND(COUNTA($O733:$U733)&gt;0,Q733=""),"المناطق",""),IF(AND(COUNTA($O733:$U733)&gt;0,R733=""),"الميزانية",""),IF(AND(COUNTA($O733:$U733)&gt;0,S733=""),"نسبة الجاهزية",""),IF(AND(COUNTA($O733:$U733)&gt;0,T733=""),"حالة الجاهزية",""),IF(AND(COUNTA($O733:$U733)&gt;0,U733=""),"التوصيات","")))&gt;0,"✗ ناقص: "&amp;_xlfn.TEXTJOIN("، ",TRUE,IF(E733="","التاريخ",""),IF(F733="","الوقت",""),IF(G733="","المركز",""),IF(H733="","الدائرة",""),IF(I733="","القسم",""),IF(J733="","المسؤول",""),IF(K733="","نوع النشاط",""),IF(L733="","المشروع",""),IF(N733="","الممول",""),IF(V733="","الموضوع",""),IF(W733="","الملاحظة",""),IF(X733="","مشكلة",""),IF(Y733="","الإجراء",""),IF(Z733="","التنفيذ",""),IF(AA733="","الجودة",""),IF(AB733="","الإغلاق",""),IF(AC733="","الخصم",""),IF(AND(COUNTA($O733:$U733)&gt;0,O733=""),"مدير المشروع",""),IF(AND(COUNTA($O733:$U733)&gt;0,P733=""),"المستفيدين",""),IF(AND(COUNTA($O733:$U733)&gt;0,Q733=""),"المناطق",""),IF(AND(COUNTA($O733:$U733)&gt;0,R733=""),"الميزانية",""),IF(AND(COUNTA($O733:$U733)&gt;0,S733=""),"نسبة الجاهزية",""),IF(AND(COUNTA($O733:$U733)&gt;0,T733=""),"حالة الجاهزية",""),IF(AND(COUNTA($O733:$U733)&gt;0,U733=""),"التوصيات","")),"✓"),"✓"))))))))))</f>
        <v/>
      </c>
      <c r="E733" s="235"/>
      <c r="F733" s="236"/>
      <c r="G733" s="90"/>
      <c r="H733" s="239"/>
      <c r="I733" s="89"/>
      <c r="J733" s="142"/>
      <c r="K733" s="90"/>
      <c r="L733" s="90"/>
      <c r="M733" s="90"/>
      <c r="N733" s="89"/>
      <c r="O733" s="200"/>
      <c r="P733" s="201"/>
      <c r="Q733" s="201"/>
      <c r="R733" s="237"/>
      <c r="S733" s="202"/>
      <c r="T733" s="200"/>
      <c r="U733" s="203"/>
      <c r="V733" s="89"/>
      <c r="W733" s="89"/>
      <c r="X733" s="145"/>
      <c r="Y733" s="89"/>
      <c r="Z733" s="90"/>
      <c r="AA733" s="90"/>
      <c r="AB733" s="90"/>
      <c r="AC733" s="90"/>
      <c r="AD733" s="92"/>
      <c r="AE733" s="149" t="str">
        <f>IFERROR(VLOOKUP(Z733,LISTS!$AL$2:$AM$1000,2,FALSE()),"")</f>
        <v/>
      </c>
      <c r="AF733" s="151" t="str">
        <f>IFERROR(VLOOKUP(AA733,LISTS!$AO$2:$AP$1000,2,FALSE()),"")</f>
        <v/>
      </c>
      <c r="AG733" s="152" t="str">
        <f>IFERROR(VLOOKUP(AB733,LISTS!$AR$2:$AS$1000,2,FALSE()),"")</f>
        <v/>
      </c>
      <c r="AH733" s="154" t="str">
        <f>IFERROR(VLOOKUP(AC733,LISTS!$AU$2:$AV$1000,2,FALSE()),"")</f>
        <v/>
      </c>
      <c r="AI733" s="238" t="str">
        <f t="shared" si="58"/>
        <v>—</v>
      </c>
      <c r="AJ733" s="190" t="str">
        <f t="shared" si="59"/>
        <v>—</v>
      </c>
      <c r="AK733" s="157" t="str">
        <f t="shared" si="55"/>
        <v/>
      </c>
      <c r="AL733" s="160" t="str">
        <f t="shared" si="56"/>
        <v/>
      </c>
      <c r="AM733" s="210"/>
      <c r="AN733" s="209"/>
    </row>
    <row r="734" spans="1:40" ht="27.95" customHeight="1">
      <c r="A734" s="134" t="str">
        <f>IF(I734&lt;&gt;"",COUNTA($I$2:I734),"")</f>
        <v/>
      </c>
      <c r="B734" s="138" t="str">
        <f t="shared" si="57"/>
        <v/>
      </c>
      <c r="C734" s="93" t="str">
        <f t="array" ref="C734">IF(E734="","",IF(M734&lt;&gt;"",
M734&amp;"/"&amp;SUMPRODUCT((M$2:M734=M734)*1)&amp;" - "&amp;(ROW()-2),
"إداري/"&amp;SUMPRODUCT((M$2:M734="")*1)&amp;" - "&amp;(ROW()-2)))</f>
        <v/>
      </c>
      <c r="D734" s="141" t="str">
        <f>IF(AND(G734="",H734="",I734=""),"",IF(COUNTIFS(LISTS!$A$2:$A$67,G734,LISTS!$B$2:$B$67,H734,LISTS!$C$2:$C$67,I734)=0,"✗ هرم",IF(NOT(OR(Z734="ممتاز 100%",Z734="جيد 80%",Z734="مقبول 60%",Z734="خطر 40%",Z734="")),"✗ قائمة R",IF(NOT(OR(AA734="ممتاز 100%",AA734="جيد 85%",AA734="مقبول 70%",AA734="ضعيف 50%",AA734="")),"✗ قائمة S",IF(NOT(OR(AB734="مكتمل 100%",AB734="جزئي 60%",AB734="معلق 30%",AB734="مفتوح 0%",AB734="")),"✗ قائمة T",IF(NOT(OR(AC734="لا خصم 0",AC734="تأخير −5",AC734="عجز −10",AC734="جودة −15",AC734="امتثال −20",AC734="مخالفة −25",AC734="")),"✗ قائمة U",IF(AND(X734="لا",AC734&lt;&gt;"",AC734&lt;&gt;"لا خصم 0"),"✗ خصم",IF(AND(X734="نعم",AC734="لا خصم 0"),"✗ خصم",IF(AND(Z734="ممتاز 100%",AA734="ممتاز 100%",AB734&lt;&gt;"",AB734&lt;&gt;"مكتمل 100%"),"✗ إغلاق",IFERROR(IF(LEN(_xlfn.TEXTJOIN("، ",TRUE,IF(E734="","التاريخ",""),IF(F734="","الوقت",""),IF(G734="","المركز",""),IF(H734="","الدائرة",""),IF(I734="","القسم",""),IF(J734="","المسؤول",""),IF(K734="","نوع النشاط",""),IF(L734="","المشروع",""),IF(N734="","الممول",""),IF(V734="","الموضوع",""),IF(W734="","الملاحظة",""),IF(X734="","مشكلة",""),IF(Y734="","الإجراء",""),IF(Z734="","التنفيذ",""),IF(AA734="","الجودة",""),IF(AB734="","الإغلاق",""),IF(AC734="","الخصم",""),IF(AND(COUNTA($O734:$U734)&gt;0,O734=""),"مدير المشروع",""),IF(AND(COUNTA($O734:$U734)&gt;0,P734=""),"المستفيدين",""),IF(AND(COUNTA($O734:$U734)&gt;0,Q734=""),"المناطق",""),IF(AND(COUNTA($O734:$U734)&gt;0,R734=""),"الميزانية",""),IF(AND(COUNTA($O734:$U734)&gt;0,S734=""),"نسبة الجاهزية",""),IF(AND(COUNTA($O734:$U734)&gt;0,T734=""),"حالة الجاهزية",""),IF(AND(COUNTA($O734:$U734)&gt;0,U734=""),"التوصيات","")))&gt;0,"✗ ناقص: "&amp;_xlfn.TEXTJOIN("، ",TRUE,IF(E734="","التاريخ",""),IF(F734="","الوقت",""),IF(G734="","المركز",""),IF(H734="","الدائرة",""),IF(I734="","القسم",""),IF(J734="","المسؤول",""),IF(K734="","نوع النشاط",""),IF(L734="","المشروع",""),IF(N734="","الممول",""),IF(V734="","الموضوع",""),IF(W734="","الملاحظة",""),IF(X734="","مشكلة",""),IF(Y734="","الإجراء",""),IF(Z734="","التنفيذ",""),IF(AA734="","الجودة",""),IF(AB734="","الإغلاق",""),IF(AC734="","الخصم",""),IF(AND(COUNTA($O734:$U734)&gt;0,O734=""),"مدير المشروع",""),IF(AND(COUNTA($O734:$U734)&gt;0,P734=""),"المستفيدين",""),IF(AND(COUNTA($O734:$U734)&gt;0,Q734=""),"المناطق",""),IF(AND(COUNTA($O734:$U734)&gt;0,R734=""),"الميزانية",""),IF(AND(COUNTA($O734:$U734)&gt;0,S734=""),"نسبة الجاهزية",""),IF(AND(COUNTA($O734:$U734)&gt;0,T734=""),"حالة الجاهزية",""),IF(AND(COUNTA($O734:$U734)&gt;0,U734=""),"التوصيات","")),"✓"),"✓"))))))))))</f>
        <v/>
      </c>
      <c r="E734" s="235"/>
      <c r="F734" s="236"/>
      <c r="G734" s="90"/>
      <c r="H734" s="239"/>
      <c r="I734" s="89"/>
      <c r="J734" s="142"/>
      <c r="K734" s="90"/>
      <c r="L734" s="90"/>
      <c r="M734" s="90"/>
      <c r="N734" s="89"/>
      <c r="O734" s="200"/>
      <c r="P734" s="201"/>
      <c r="Q734" s="201"/>
      <c r="R734" s="237"/>
      <c r="S734" s="202"/>
      <c r="T734" s="200"/>
      <c r="U734" s="203"/>
      <c r="V734" s="89"/>
      <c r="W734" s="89"/>
      <c r="X734" s="145"/>
      <c r="Y734" s="89"/>
      <c r="Z734" s="90"/>
      <c r="AA734" s="90"/>
      <c r="AB734" s="90"/>
      <c r="AC734" s="90"/>
      <c r="AD734" s="92"/>
      <c r="AE734" s="149" t="str">
        <f>IFERROR(VLOOKUP(Z734,LISTS!$AL$2:$AM$1000,2,FALSE()),"")</f>
        <v/>
      </c>
      <c r="AF734" s="151" t="str">
        <f>IFERROR(VLOOKUP(AA734,LISTS!$AO$2:$AP$1000,2,FALSE()),"")</f>
        <v/>
      </c>
      <c r="AG734" s="152" t="str">
        <f>IFERROR(VLOOKUP(AB734,LISTS!$AR$2:$AS$1000,2,FALSE()),"")</f>
        <v/>
      </c>
      <c r="AH734" s="154" t="str">
        <f>IFERROR(VLOOKUP(AC734,LISTS!$AU$2:$AV$1000,2,FALSE()),"")</f>
        <v/>
      </c>
      <c r="AI734" s="238" t="str">
        <f t="shared" si="58"/>
        <v>—</v>
      </c>
      <c r="AJ734" s="190" t="str">
        <f t="shared" si="59"/>
        <v>—</v>
      </c>
      <c r="AK734" s="157" t="str">
        <f t="shared" ref="AK734:AK797" si="60">IF(E734="","",MONTH(E734))</f>
        <v/>
      </c>
      <c r="AL734" s="160" t="str">
        <f t="shared" ref="AL734:AL797" si="61">IF(E734="","",YEAR(E734))</f>
        <v/>
      </c>
      <c r="AM734" s="210"/>
      <c r="AN734" s="209"/>
    </row>
    <row r="735" spans="1:40" ht="27.95" customHeight="1">
      <c r="A735" s="134" t="str">
        <f>IF(I735&lt;&gt;"",COUNTA($I$2:I735),"")</f>
        <v/>
      </c>
      <c r="B735" s="138" t="str">
        <f t="shared" ref="B735:B798" si="62">IF(E735="","",CHOOSE(WEEKDAY(E735,2),"الاثنين","الثلاثاء","الأربعاء","الخميس","الجمعة","السبت","الأحد"))</f>
        <v/>
      </c>
      <c r="C735" s="93" t="str">
        <f t="array" ref="C735">IF(E735="","",IF(M735&lt;&gt;"",
M735&amp;"/"&amp;SUMPRODUCT((M$2:M735=M735)*1)&amp;" - "&amp;(ROW()-2),
"إداري/"&amp;SUMPRODUCT((M$2:M735="")*1)&amp;" - "&amp;(ROW()-2)))</f>
        <v/>
      </c>
      <c r="D735" s="141" t="str">
        <f>IF(AND(G735="",H735="",I735=""),"",IF(COUNTIFS(LISTS!$A$2:$A$67,G735,LISTS!$B$2:$B$67,H735,LISTS!$C$2:$C$67,I735)=0,"✗ هرم",IF(NOT(OR(Z735="ممتاز 100%",Z735="جيد 80%",Z735="مقبول 60%",Z735="خطر 40%",Z735="")),"✗ قائمة R",IF(NOT(OR(AA735="ممتاز 100%",AA735="جيد 85%",AA735="مقبول 70%",AA735="ضعيف 50%",AA735="")),"✗ قائمة S",IF(NOT(OR(AB735="مكتمل 100%",AB735="جزئي 60%",AB735="معلق 30%",AB735="مفتوح 0%",AB735="")),"✗ قائمة T",IF(NOT(OR(AC735="لا خصم 0",AC735="تأخير −5",AC735="عجز −10",AC735="جودة −15",AC735="امتثال −20",AC735="مخالفة −25",AC735="")),"✗ قائمة U",IF(AND(X735="لا",AC735&lt;&gt;"",AC735&lt;&gt;"لا خصم 0"),"✗ خصم",IF(AND(X735="نعم",AC735="لا خصم 0"),"✗ خصم",IF(AND(Z735="ممتاز 100%",AA735="ممتاز 100%",AB735&lt;&gt;"",AB735&lt;&gt;"مكتمل 100%"),"✗ إغلاق",IFERROR(IF(LEN(_xlfn.TEXTJOIN("، ",TRUE,IF(E735="","التاريخ",""),IF(F735="","الوقت",""),IF(G735="","المركز",""),IF(H735="","الدائرة",""),IF(I735="","القسم",""),IF(J735="","المسؤول",""),IF(K735="","نوع النشاط",""),IF(L735="","المشروع",""),IF(N735="","الممول",""),IF(V735="","الموضوع",""),IF(W735="","الملاحظة",""),IF(X735="","مشكلة",""),IF(Y735="","الإجراء",""),IF(Z735="","التنفيذ",""),IF(AA735="","الجودة",""),IF(AB735="","الإغلاق",""),IF(AC735="","الخصم",""),IF(AND(COUNTA($O735:$U735)&gt;0,O735=""),"مدير المشروع",""),IF(AND(COUNTA($O735:$U735)&gt;0,P735=""),"المستفيدين",""),IF(AND(COUNTA($O735:$U735)&gt;0,Q735=""),"المناطق",""),IF(AND(COUNTA($O735:$U735)&gt;0,R735=""),"الميزانية",""),IF(AND(COUNTA($O735:$U735)&gt;0,S735=""),"نسبة الجاهزية",""),IF(AND(COUNTA($O735:$U735)&gt;0,T735=""),"حالة الجاهزية",""),IF(AND(COUNTA($O735:$U735)&gt;0,U735=""),"التوصيات","")))&gt;0,"✗ ناقص: "&amp;_xlfn.TEXTJOIN("، ",TRUE,IF(E735="","التاريخ",""),IF(F735="","الوقت",""),IF(G735="","المركز",""),IF(H735="","الدائرة",""),IF(I735="","القسم",""),IF(J735="","المسؤول",""),IF(K735="","نوع النشاط",""),IF(L735="","المشروع",""),IF(N735="","الممول",""),IF(V735="","الموضوع",""),IF(W735="","الملاحظة",""),IF(X735="","مشكلة",""),IF(Y735="","الإجراء",""),IF(Z735="","التنفيذ",""),IF(AA735="","الجودة",""),IF(AB735="","الإغلاق",""),IF(AC735="","الخصم",""),IF(AND(COUNTA($O735:$U735)&gt;0,O735=""),"مدير المشروع",""),IF(AND(COUNTA($O735:$U735)&gt;0,P735=""),"المستفيدين",""),IF(AND(COUNTA($O735:$U735)&gt;0,Q735=""),"المناطق",""),IF(AND(COUNTA($O735:$U735)&gt;0,R735=""),"الميزانية",""),IF(AND(COUNTA($O735:$U735)&gt;0,S735=""),"نسبة الجاهزية",""),IF(AND(COUNTA($O735:$U735)&gt;0,T735=""),"حالة الجاهزية",""),IF(AND(COUNTA($O735:$U735)&gt;0,U735=""),"التوصيات","")),"✓"),"✓"))))))))))</f>
        <v/>
      </c>
      <c r="E735" s="235"/>
      <c r="F735" s="236"/>
      <c r="G735" s="90"/>
      <c r="H735" s="239"/>
      <c r="I735" s="89"/>
      <c r="J735" s="142"/>
      <c r="K735" s="90"/>
      <c r="L735" s="90"/>
      <c r="M735" s="90"/>
      <c r="N735" s="89"/>
      <c r="O735" s="200"/>
      <c r="P735" s="201"/>
      <c r="Q735" s="201"/>
      <c r="R735" s="237"/>
      <c r="S735" s="202"/>
      <c r="T735" s="200"/>
      <c r="U735" s="203"/>
      <c r="V735" s="89"/>
      <c r="W735" s="89"/>
      <c r="X735" s="145"/>
      <c r="Y735" s="89"/>
      <c r="Z735" s="90"/>
      <c r="AA735" s="90"/>
      <c r="AB735" s="90"/>
      <c r="AC735" s="90"/>
      <c r="AD735" s="92"/>
      <c r="AE735" s="149" t="str">
        <f>IFERROR(VLOOKUP(Z735,LISTS!$AL$2:$AM$1000,2,FALSE()),"")</f>
        <v/>
      </c>
      <c r="AF735" s="151" t="str">
        <f>IFERROR(VLOOKUP(AA735,LISTS!$AO$2:$AP$1000,2,FALSE()),"")</f>
        <v/>
      </c>
      <c r="AG735" s="152" t="str">
        <f>IFERROR(VLOOKUP(AB735,LISTS!$AR$2:$AS$1000,2,FALSE()),"")</f>
        <v/>
      </c>
      <c r="AH735" s="154" t="str">
        <f>IFERROR(VLOOKUP(AC735,LISTS!$AU$2:$AV$1000,2,FALSE()),"")</f>
        <v/>
      </c>
      <c r="AI735" s="238" t="str">
        <f t="shared" si="58"/>
        <v>—</v>
      </c>
      <c r="AJ735" s="190" t="str">
        <f t="shared" si="59"/>
        <v>—</v>
      </c>
      <c r="AK735" s="157" t="str">
        <f t="shared" si="60"/>
        <v/>
      </c>
      <c r="AL735" s="160" t="str">
        <f t="shared" si="61"/>
        <v/>
      </c>
      <c r="AM735" s="210"/>
      <c r="AN735" s="209"/>
    </row>
    <row r="736" spans="1:40" ht="27.95" customHeight="1">
      <c r="A736" s="134" t="str">
        <f>IF(I736&lt;&gt;"",COUNTA($I$2:I736),"")</f>
        <v/>
      </c>
      <c r="B736" s="138" t="str">
        <f t="shared" si="62"/>
        <v/>
      </c>
      <c r="C736" s="93" t="str">
        <f t="array" ref="C736">IF(E736="","",IF(M736&lt;&gt;"",
M736&amp;"/"&amp;SUMPRODUCT((M$2:M736=M736)*1)&amp;" - "&amp;(ROW()-2),
"إداري/"&amp;SUMPRODUCT((M$2:M736="")*1)&amp;" - "&amp;(ROW()-2)))</f>
        <v/>
      </c>
      <c r="D736" s="141" t="str">
        <f>IF(AND(G736="",H736="",I736=""),"",IF(COUNTIFS(LISTS!$A$2:$A$67,G736,LISTS!$B$2:$B$67,H736,LISTS!$C$2:$C$67,I736)=0,"✗ هرم",IF(NOT(OR(Z736="ممتاز 100%",Z736="جيد 80%",Z736="مقبول 60%",Z736="خطر 40%",Z736="")),"✗ قائمة R",IF(NOT(OR(AA736="ممتاز 100%",AA736="جيد 85%",AA736="مقبول 70%",AA736="ضعيف 50%",AA736="")),"✗ قائمة S",IF(NOT(OR(AB736="مكتمل 100%",AB736="جزئي 60%",AB736="معلق 30%",AB736="مفتوح 0%",AB736="")),"✗ قائمة T",IF(NOT(OR(AC736="لا خصم 0",AC736="تأخير −5",AC736="عجز −10",AC736="جودة −15",AC736="امتثال −20",AC736="مخالفة −25",AC736="")),"✗ قائمة U",IF(AND(X736="لا",AC736&lt;&gt;"",AC736&lt;&gt;"لا خصم 0"),"✗ خصم",IF(AND(X736="نعم",AC736="لا خصم 0"),"✗ خصم",IF(AND(Z736="ممتاز 100%",AA736="ممتاز 100%",AB736&lt;&gt;"",AB736&lt;&gt;"مكتمل 100%"),"✗ إغلاق",IFERROR(IF(LEN(_xlfn.TEXTJOIN("، ",TRUE,IF(E736="","التاريخ",""),IF(F736="","الوقت",""),IF(G736="","المركز",""),IF(H736="","الدائرة",""),IF(I736="","القسم",""),IF(J736="","المسؤول",""),IF(K736="","نوع النشاط",""),IF(L736="","المشروع",""),IF(N736="","الممول",""),IF(V736="","الموضوع",""),IF(W736="","الملاحظة",""),IF(X736="","مشكلة",""),IF(Y736="","الإجراء",""),IF(Z736="","التنفيذ",""),IF(AA736="","الجودة",""),IF(AB736="","الإغلاق",""),IF(AC736="","الخصم",""),IF(AND(COUNTA($O736:$U736)&gt;0,O736=""),"مدير المشروع",""),IF(AND(COUNTA($O736:$U736)&gt;0,P736=""),"المستفيدين",""),IF(AND(COUNTA($O736:$U736)&gt;0,Q736=""),"المناطق",""),IF(AND(COUNTA($O736:$U736)&gt;0,R736=""),"الميزانية",""),IF(AND(COUNTA($O736:$U736)&gt;0,S736=""),"نسبة الجاهزية",""),IF(AND(COUNTA($O736:$U736)&gt;0,T736=""),"حالة الجاهزية",""),IF(AND(COUNTA($O736:$U736)&gt;0,U736=""),"التوصيات","")))&gt;0,"✗ ناقص: "&amp;_xlfn.TEXTJOIN("، ",TRUE,IF(E736="","التاريخ",""),IF(F736="","الوقت",""),IF(G736="","المركز",""),IF(H736="","الدائرة",""),IF(I736="","القسم",""),IF(J736="","المسؤول",""),IF(K736="","نوع النشاط",""),IF(L736="","المشروع",""),IF(N736="","الممول",""),IF(V736="","الموضوع",""),IF(W736="","الملاحظة",""),IF(X736="","مشكلة",""),IF(Y736="","الإجراء",""),IF(Z736="","التنفيذ",""),IF(AA736="","الجودة",""),IF(AB736="","الإغلاق",""),IF(AC736="","الخصم",""),IF(AND(COUNTA($O736:$U736)&gt;0,O736=""),"مدير المشروع",""),IF(AND(COUNTA($O736:$U736)&gt;0,P736=""),"المستفيدين",""),IF(AND(COUNTA($O736:$U736)&gt;0,Q736=""),"المناطق",""),IF(AND(COUNTA($O736:$U736)&gt;0,R736=""),"الميزانية",""),IF(AND(COUNTA($O736:$U736)&gt;0,S736=""),"نسبة الجاهزية",""),IF(AND(COUNTA($O736:$U736)&gt;0,T736=""),"حالة الجاهزية",""),IF(AND(COUNTA($O736:$U736)&gt;0,U736=""),"التوصيات","")),"✓"),"✓"))))))))))</f>
        <v/>
      </c>
      <c r="E736" s="235"/>
      <c r="F736" s="236"/>
      <c r="G736" s="90"/>
      <c r="H736" s="239"/>
      <c r="I736" s="89"/>
      <c r="J736" s="142"/>
      <c r="K736" s="90"/>
      <c r="L736" s="90"/>
      <c r="M736" s="90"/>
      <c r="N736" s="89"/>
      <c r="O736" s="200"/>
      <c r="P736" s="201"/>
      <c r="Q736" s="201"/>
      <c r="R736" s="237"/>
      <c r="S736" s="202"/>
      <c r="T736" s="200"/>
      <c r="U736" s="203"/>
      <c r="V736" s="89"/>
      <c r="W736" s="89"/>
      <c r="X736" s="145"/>
      <c r="Y736" s="89"/>
      <c r="Z736" s="90"/>
      <c r="AA736" s="90"/>
      <c r="AB736" s="90"/>
      <c r="AC736" s="90"/>
      <c r="AD736" s="92"/>
      <c r="AE736" s="149" t="str">
        <f>IFERROR(VLOOKUP(Z736,LISTS!$AL$2:$AM$1000,2,FALSE()),"")</f>
        <v/>
      </c>
      <c r="AF736" s="151" t="str">
        <f>IFERROR(VLOOKUP(AA736,LISTS!$AO$2:$AP$1000,2,FALSE()),"")</f>
        <v/>
      </c>
      <c r="AG736" s="152" t="str">
        <f>IFERROR(VLOOKUP(AB736,LISTS!$AR$2:$AS$1000,2,FALSE()),"")</f>
        <v/>
      </c>
      <c r="AH736" s="154" t="str">
        <f>IFERROR(VLOOKUP(AC736,LISTS!$AU$2:$AV$1000,2,FALSE()),"")</f>
        <v/>
      </c>
      <c r="AI736" s="238" t="str">
        <f t="shared" si="58"/>
        <v>—</v>
      </c>
      <c r="AJ736" s="190" t="str">
        <f t="shared" si="59"/>
        <v>—</v>
      </c>
      <c r="AK736" s="157" t="str">
        <f t="shared" si="60"/>
        <v/>
      </c>
      <c r="AL736" s="160" t="str">
        <f t="shared" si="61"/>
        <v/>
      </c>
      <c r="AM736" s="210"/>
      <c r="AN736" s="209"/>
    </row>
    <row r="737" spans="1:40" ht="27.95" customHeight="1">
      <c r="A737" s="134" t="str">
        <f>IF(I737&lt;&gt;"",COUNTA($I$2:I737),"")</f>
        <v/>
      </c>
      <c r="B737" s="138" t="str">
        <f t="shared" si="62"/>
        <v/>
      </c>
      <c r="C737" s="93" t="str">
        <f t="array" ref="C737">IF(E737="","",IF(M737&lt;&gt;"",
M737&amp;"/"&amp;SUMPRODUCT((M$2:M737=M737)*1)&amp;" - "&amp;(ROW()-2),
"إداري/"&amp;SUMPRODUCT((M$2:M737="")*1)&amp;" - "&amp;(ROW()-2)))</f>
        <v/>
      </c>
      <c r="D737" s="141" t="str">
        <f>IF(AND(G737="",H737="",I737=""),"",IF(COUNTIFS(LISTS!$A$2:$A$67,G737,LISTS!$B$2:$B$67,H737,LISTS!$C$2:$C$67,I737)=0,"✗ هرم",IF(NOT(OR(Z737="ممتاز 100%",Z737="جيد 80%",Z737="مقبول 60%",Z737="خطر 40%",Z737="")),"✗ قائمة R",IF(NOT(OR(AA737="ممتاز 100%",AA737="جيد 85%",AA737="مقبول 70%",AA737="ضعيف 50%",AA737="")),"✗ قائمة S",IF(NOT(OR(AB737="مكتمل 100%",AB737="جزئي 60%",AB737="معلق 30%",AB737="مفتوح 0%",AB737="")),"✗ قائمة T",IF(NOT(OR(AC737="لا خصم 0",AC737="تأخير −5",AC737="عجز −10",AC737="جودة −15",AC737="امتثال −20",AC737="مخالفة −25",AC737="")),"✗ قائمة U",IF(AND(X737="لا",AC737&lt;&gt;"",AC737&lt;&gt;"لا خصم 0"),"✗ خصم",IF(AND(X737="نعم",AC737="لا خصم 0"),"✗ خصم",IF(AND(Z737="ممتاز 100%",AA737="ممتاز 100%",AB737&lt;&gt;"",AB737&lt;&gt;"مكتمل 100%"),"✗ إغلاق",IFERROR(IF(LEN(_xlfn.TEXTJOIN("، ",TRUE,IF(E737="","التاريخ",""),IF(F737="","الوقت",""),IF(G737="","المركز",""),IF(H737="","الدائرة",""),IF(I737="","القسم",""),IF(J737="","المسؤول",""),IF(K737="","نوع النشاط",""),IF(L737="","المشروع",""),IF(N737="","الممول",""),IF(V737="","الموضوع",""),IF(W737="","الملاحظة",""),IF(X737="","مشكلة",""),IF(Y737="","الإجراء",""),IF(Z737="","التنفيذ",""),IF(AA737="","الجودة",""),IF(AB737="","الإغلاق",""),IF(AC737="","الخصم",""),IF(AND(COUNTA($O737:$U737)&gt;0,O737=""),"مدير المشروع",""),IF(AND(COUNTA($O737:$U737)&gt;0,P737=""),"المستفيدين",""),IF(AND(COUNTA($O737:$U737)&gt;0,Q737=""),"المناطق",""),IF(AND(COUNTA($O737:$U737)&gt;0,R737=""),"الميزانية",""),IF(AND(COUNTA($O737:$U737)&gt;0,S737=""),"نسبة الجاهزية",""),IF(AND(COUNTA($O737:$U737)&gt;0,T737=""),"حالة الجاهزية",""),IF(AND(COUNTA($O737:$U737)&gt;0,U737=""),"التوصيات","")))&gt;0,"✗ ناقص: "&amp;_xlfn.TEXTJOIN("، ",TRUE,IF(E737="","التاريخ",""),IF(F737="","الوقت",""),IF(G737="","المركز",""),IF(H737="","الدائرة",""),IF(I737="","القسم",""),IF(J737="","المسؤول",""),IF(K737="","نوع النشاط",""),IF(L737="","المشروع",""),IF(N737="","الممول",""),IF(V737="","الموضوع",""),IF(W737="","الملاحظة",""),IF(X737="","مشكلة",""),IF(Y737="","الإجراء",""),IF(Z737="","التنفيذ",""),IF(AA737="","الجودة",""),IF(AB737="","الإغلاق",""),IF(AC737="","الخصم",""),IF(AND(COUNTA($O737:$U737)&gt;0,O737=""),"مدير المشروع",""),IF(AND(COUNTA($O737:$U737)&gt;0,P737=""),"المستفيدين",""),IF(AND(COUNTA($O737:$U737)&gt;0,Q737=""),"المناطق",""),IF(AND(COUNTA($O737:$U737)&gt;0,R737=""),"الميزانية",""),IF(AND(COUNTA($O737:$U737)&gt;0,S737=""),"نسبة الجاهزية",""),IF(AND(COUNTA($O737:$U737)&gt;0,T737=""),"حالة الجاهزية",""),IF(AND(COUNTA($O737:$U737)&gt;0,U737=""),"التوصيات","")),"✓"),"✓"))))))))))</f>
        <v/>
      </c>
      <c r="E737" s="235"/>
      <c r="F737" s="236"/>
      <c r="G737" s="90"/>
      <c r="H737" s="239"/>
      <c r="I737" s="89"/>
      <c r="J737" s="142"/>
      <c r="K737" s="90"/>
      <c r="L737" s="90"/>
      <c r="M737" s="90"/>
      <c r="N737" s="89"/>
      <c r="O737" s="200"/>
      <c r="P737" s="201"/>
      <c r="Q737" s="201"/>
      <c r="R737" s="237"/>
      <c r="S737" s="202"/>
      <c r="T737" s="200"/>
      <c r="U737" s="203"/>
      <c r="V737" s="89"/>
      <c r="W737" s="89"/>
      <c r="X737" s="145"/>
      <c r="Y737" s="89"/>
      <c r="Z737" s="90"/>
      <c r="AA737" s="90"/>
      <c r="AB737" s="90"/>
      <c r="AC737" s="90"/>
      <c r="AD737" s="92"/>
      <c r="AE737" s="149" t="str">
        <f>IFERROR(VLOOKUP(Z737,LISTS!$AL$2:$AM$1000,2,FALSE()),"")</f>
        <v/>
      </c>
      <c r="AF737" s="151" t="str">
        <f>IFERROR(VLOOKUP(AA737,LISTS!$AO$2:$AP$1000,2,FALSE()),"")</f>
        <v/>
      </c>
      <c r="AG737" s="152" t="str">
        <f>IFERROR(VLOOKUP(AB737,LISTS!$AR$2:$AS$1000,2,FALSE()),"")</f>
        <v/>
      </c>
      <c r="AH737" s="154" t="str">
        <f>IFERROR(VLOOKUP(AC737,LISTS!$AU$2:$AV$1000,2,FALSE()),"")</f>
        <v/>
      </c>
      <c r="AI737" s="238" t="str">
        <f t="shared" si="58"/>
        <v>—</v>
      </c>
      <c r="AJ737" s="190" t="str">
        <f t="shared" si="59"/>
        <v>—</v>
      </c>
      <c r="AK737" s="157" t="str">
        <f t="shared" si="60"/>
        <v/>
      </c>
      <c r="AL737" s="160" t="str">
        <f t="shared" si="61"/>
        <v/>
      </c>
      <c r="AM737" s="210"/>
      <c r="AN737" s="209"/>
    </row>
    <row r="738" spans="1:40" ht="27.95" customHeight="1">
      <c r="A738" s="134" t="str">
        <f>IF(I738&lt;&gt;"",COUNTA($I$2:I738),"")</f>
        <v/>
      </c>
      <c r="B738" s="138" t="str">
        <f t="shared" si="62"/>
        <v/>
      </c>
      <c r="C738" s="93" t="str">
        <f t="array" ref="C738">IF(E738="","",IF(M738&lt;&gt;"",
M738&amp;"/"&amp;SUMPRODUCT((M$2:M738=M738)*1)&amp;" - "&amp;(ROW()-2),
"إداري/"&amp;SUMPRODUCT((M$2:M738="")*1)&amp;" - "&amp;(ROW()-2)))</f>
        <v/>
      </c>
      <c r="D738" s="141" t="str">
        <f>IF(AND(G738="",H738="",I738=""),"",IF(COUNTIFS(LISTS!$A$2:$A$67,G738,LISTS!$B$2:$B$67,H738,LISTS!$C$2:$C$67,I738)=0,"✗ هرم",IF(NOT(OR(Z738="ممتاز 100%",Z738="جيد 80%",Z738="مقبول 60%",Z738="خطر 40%",Z738="")),"✗ قائمة R",IF(NOT(OR(AA738="ممتاز 100%",AA738="جيد 85%",AA738="مقبول 70%",AA738="ضعيف 50%",AA738="")),"✗ قائمة S",IF(NOT(OR(AB738="مكتمل 100%",AB738="جزئي 60%",AB738="معلق 30%",AB738="مفتوح 0%",AB738="")),"✗ قائمة T",IF(NOT(OR(AC738="لا خصم 0",AC738="تأخير −5",AC738="عجز −10",AC738="جودة −15",AC738="امتثال −20",AC738="مخالفة −25",AC738="")),"✗ قائمة U",IF(AND(X738="لا",AC738&lt;&gt;"",AC738&lt;&gt;"لا خصم 0"),"✗ خصم",IF(AND(X738="نعم",AC738="لا خصم 0"),"✗ خصم",IF(AND(Z738="ممتاز 100%",AA738="ممتاز 100%",AB738&lt;&gt;"",AB738&lt;&gt;"مكتمل 100%"),"✗ إغلاق",IFERROR(IF(LEN(_xlfn.TEXTJOIN("، ",TRUE,IF(E738="","التاريخ",""),IF(F738="","الوقت",""),IF(G738="","المركز",""),IF(H738="","الدائرة",""),IF(I738="","القسم",""),IF(J738="","المسؤول",""),IF(K738="","نوع النشاط",""),IF(L738="","المشروع",""),IF(N738="","الممول",""),IF(V738="","الموضوع",""),IF(W738="","الملاحظة",""),IF(X738="","مشكلة",""),IF(Y738="","الإجراء",""),IF(Z738="","التنفيذ",""),IF(AA738="","الجودة",""),IF(AB738="","الإغلاق",""),IF(AC738="","الخصم",""),IF(AND(COUNTA($O738:$U738)&gt;0,O738=""),"مدير المشروع",""),IF(AND(COUNTA($O738:$U738)&gt;0,P738=""),"المستفيدين",""),IF(AND(COUNTA($O738:$U738)&gt;0,Q738=""),"المناطق",""),IF(AND(COUNTA($O738:$U738)&gt;0,R738=""),"الميزانية",""),IF(AND(COUNTA($O738:$U738)&gt;0,S738=""),"نسبة الجاهزية",""),IF(AND(COUNTA($O738:$U738)&gt;0,T738=""),"حالة الجاهزية",""),IF(AND(COUNTA($O738:$U738)&gt;0,U738=""),"التوصيات","")))&gt;0,"✗ ناقص: "&amp;_xlfn.TEXTJOIN("، ",TRUE,IF(E738="","التاريخ",""),IF(F738="","الوقت",""),IF(G738="","المركز",""),IF(H738="","الدائرة",""),IF(I738="","القسم",""),IF(J738="","المسؤول",""),IF(K738="","نوع النشاط",""),IF(L738="","المشروع",""),IF(N738="","الممول",""),IF(V738="","الموضوع",""),IF(W738="","الملاحظة",""),IF(X738="","مشكلة",""),IF(Y738="","الإجراء",""),IF(Z738="","التنفيذ",""),IF(AA738="","الجودة",""),IF(AB738="","الإغلاق",""),IF(AC738="","الخصم",""),IF(AND(COUNTA($O738:$U738)&gt;0,O738=""),"مدير المشروع",""),IF(AND(COUNTA($O738:$U738)&gt;0,P738=""),"المستفيدين",""),IF(AND(COUNTA($O738:$U738)&gt;0,Q738=""),"المناطق",""),IF(AND(COUNTA($O738:$U738)&gt;0,R738=""),"الميزانية",""),IF(AND(COUNTA($O738:$U738)&gt;0,S738=""),"نسبة الجاهزية",""),IF(AND(COUNTA($O738:$U738)&gt;0,T738=""),"حالة الجاهزية",""),IF(AND(COUNTA($O738:$U738)&gt;0,U738=""),"التوصيات","")),"✓"),"✓"))))))))))</f>
        <v/>
      </c>
      <c r="E738" s="235"/>
      <c r="F738" s="236"/>
      <c r="G738" s="90"/>
      <c r="H738" s="239"/>
      <c r="I738" s="89"/>
      <c r="J738" s="142"/>
      <c r="K738" s="90"/>
      <c r="L738" s="90"/>
      <c r="M738" s="90"/>
      <c r="N738" s="89"/>
      <c r="O738" s="200"/>
      <c r="P738" s="201"/>
      <c r="Q738" s="201"/>
      <c r="R738" s="237"/>
      <c r="S738" s="202"/>
      <c r="T738" s="200"/>
      <c r="U738" s="203"/>
      <c r="V738" s="89"/>
      <c r="W738" s="89"/>
      <c r="X738" s="145"/>
      <c r="Y738" s="89"/>
      <c r="Z738" s="90"/>
      <c r="AA738" s="90"/>
      <c r="AB738" s="90"/>
      <c r="AC738" s="90"/>
      <c r="AD738" s="92"/>
      <c r="AE738" s="149" t="str">
        <f>IFERROR(VLOOKUP(Z738,LISTS!$AL$2:$AM$1000,2,FALSE()),"")</f>
        <v/>
      </c>
      <c r="AF738" s="151" t="str">
        <f>IFERROR(VLOOKUP(AA738,LISTS!$AO$2:$AP$1000,2,FALSE()),"")</f>
        <v/>
      </c>
      <c r="AG738" s="152" t="str">
        <f>IFERROR(VLOOKUP(AB738,LISTS!$AR$2:$AS$1000,2,FALSE()),"")</f>
        <v/>
      </c>
      <c r="AH738" s="154" t="str">
        <f>IFERROR(VLOOKUP(AC738,LISTS!$AU$2:$AV$1000,2,FALSE()),"")</f>
        <v/>
      </c>
      <c r="AI738" s="238" t="str">
        <f t="shared" si="58"/>
        <v>—</v>
      </c>
      <c r="AJ738" s="190" t="str">
        <f t="shared" si="59"/>
        <v>—</v>
      </c>
      <c r="AK738" s="157" t="str">
        <f t="shared" si="60"/>
        <v/>
      </c>
      <c r="AL738" s="160" t="str">
        <f t="shared" si="61"/>
        <v/>
      </c>
      <c r="AM738" s="210"/>
      <c r="AN738" s="209"/>
    </row>
    <row r="739" spans="1:40" ht="27.95" customHeight="1">
      <c r="A739" s="134" t="str">
        <f>IF(I739&lt;&gt;"",COUNTA($I$2:I739),"")</f>
        <v/>
      </c>
      <c r="B739" s="138" t="str">
        <f t="shared" si="62"/>
        <v/>
      </c>
      <c r="C739" s="93" t="str">
        <f t="array" ref="C739">IF(E739="","",IF(M739&lt;&gt;"",
M739&amp;"/"&amp;SUMPRODUCT((M$2:M739=M739)*1)&amp;" - "&amp;(ROW()-2),
"إداري/"&amp;SUMPRODUCT((M$2:M739="")*1)&amp;" - "&amp;(ROW()-2)))</f>
        <v/>
      </c>
      <c r="D739" s="141" t="str">
        <f>IF(AND(G739="",H739="",I739=""),"",IF(COUNTIFS(LISTS!$A$2:$A$67,G739,LISTS!$B$2:$B$67,H739,LISTS!$C$2:$C$67,I739)=0,"✗ هرم",IF(NOT(OR(Z739="ممتاز 100%",Z739="جيد 80%",Z739="مقبول 60%",Z739="خطر 40%",Z739="")),"✗ قائمة R",IF(NOT(OR(AA739="ممتاز 100%",AA739="جيد 85%",AA739="مقبول 70%",AA739="ضعيف 50%",AA739="")),"✗ قائمة S",IF(NOT(OR(AB739="مكتمل 100%",AB739="جزئي 60%",AB739="معلق 30%",AB739="مفتوح 0%",AB739="")),"✗ قائمة T",IF(NOT(OR(AC739="لا خصم 0",AC739="تأخير −5",AC739="عجز −10",AC739="جودة −15",AC739="امتثال −20",AC739="مخالفة −25",AC739="")),"✗ قائمة U",IF(AND(X739="لا",AC739&lt;&gt;"",AC739&lt;&gt;"لا خصم 0"),"✗ خصم",IF(AND(X739="نعم",AC739="لا خصم 0"),"✗ خصم",IF(AND(Z739="ممتاز 100%",AA739="ممتاز 100%",AB739&lt;&gt;"",AB739&lt;&gt;"مكتمل 100%"),"✗ إغلاق",IFERROR(IF(LEN(_xlfn.TEXTJOIN("، ",TRUE,IF(E739="","التاريخ",""),IF(F739="","الوقت",""),IF(G739="","المركز",""),IF(H739="","الدائرة",""),IF(I739="","القسم",""),IF(J739="","المسؤول",""),IF(K739="","نوع النشاط",""),IF(L739="","المشروع",""),IF(N739="","الممول",""),IF(V739="","الموضوع",""),IF(W739="","الملاحظة",""),IF(X739="","مشكلة",""),IF(Y739="","الإجراء",""),IF(Z739="","التنفيذ",""),IF(AA739="","الجودة",""),IF(AB739="","الإغلاق",""),IF(AC739="","الخصم",""),IF(AND(COUNTA($O739:$U739)&gt;0,O739=""),"مدير المشروع",""),IF(AND(COUNTA($O739:$U739)&gt;0,P739=""),"المستفيدين",""),IF(AND(COUNTA($O739:$U739)&gt;0,Q739=""),"المناطق",""),IF(AND(COUNTA($O739:$U739)&gt;0,R739=""),"الميزانية",""),IF(AND(COUNTA($O739:$U739)&gt;0,S739=""),"نسبة الجاهزية",""),IF(AND(COUNTA($O739:$U739)&gt;0,T739=""),"حالة الجاهزية",""),IF(AND(COUNTA($O739:$U739)&gt;0,U739=""),"التوصيات","")))&gt;0,"✗ ناقص: "&amp;_xlfn.TEXTJOIN("، ",TRUE,IF(E739="","التاريخ",""),IF(F739="","الوقت",""),IF(G739="","المركز",""),IF(H739="","الدائرة",""),IF(I739="","القسم",""),IF(J739="","المسؤول",""),IF(K739="","نوع النشاط",""),IF(L739="","المشروع",""),IF(N739="","الممول",""),IF(V739="","الموضوع",""),IF(W739="","الملاحظة",""),IF(X739="","مشكلة",""),IF(Y739="","الإجراء",""),IF(Z739="","التنفيذ",""),IF(AA739="","الجودة",""),IF(AB739="","الإغلاق",""),IF(AC739="","الخصم",""),IF(AND(COUNTA($O739:$U739)&gt;0,O739=""),"مدير المشروع",""),IF(AND(COUNTA($O739:$U739)&gt;0,P739=""),"المستفيدين",""),IF(AND(COUNTA($O739:$U739)&gt;0,Q739=""),"المناطق",""),IF(AND(COUNTA($O739:$U739)&gt;0,R739=""),"الميزانية",""),IF(AND(COUNTA($O739:$U739)&gt;0,S739=""),"نسبة الجاهزية",""),IF(AND(COUNTA($O739:$U739)&gt;0,T739=""),"حالة الجاهزية",""),IF(AND(COUNTA($O739:$U739)&gt;0,U739=""),"التوصيات","")),"✓"),"✓"))))))))))</f>
        <v/>
      </c>
      <c r="E739" s="235"/>
      <c r="F739" s="236"/>
      <c r="G739" s="90"/>
      <c r="H739" s="239"/>
      <c r="I739" s="89"/>
      <c r="J739" s="142"/>
      <c r="K739" s="90"/>
      <c r="L739" s="90"/>
      <c r="M739" s="90"/>
      <c r="N739" s="89"/>
      <c r="O739" s="200"/>
      <c r="P739" s="201"/>
      <c r="Q739" s="201"/>
      <c r="R739" s="237"/>
      <c r="S739" s="202"/>
      <c r="T739" s="200"/>
      <c r="U739" s="203"/>
      <c r="V739" s="89"/>
      <c r="W739" s="89"/>
      <c r="X739" s="145"/>
      <c r="Y739" s="89"/>
      <c r="Z739" s="90"/>
      <c r="AA739" s="90"/>
      <c r="AB739" s="90"/>
      <c r="AC739" s="90"/>
      <c r="AD739" s="92"/>
      <c r="AE739" s="149" t="str">
        <f>IFERROR(VLOOKUP(Z739,LISTS!$AL$2:$AM$1000,2,FALSE()),"")</f>
        <v/>
      </c>
      <c r="AF739" s="151" t="str">
        <f>IFERROR(VLOOKUP(AA739,LISTS!$AO$2:$AP$1000,2,FALSE()),"")</f>
        <v/>
      </c>
      <c r="AG739" s="152" t="str">
        <f>IFERROR(VLOOKUP(AB739,LISTS!$AR$2:$AS$1000,2,FALSE()),"")</f>
        <v/>
      </c>
      <c r="AH739" s="154" t="str">
        <f>IFERROR(VLOOKUP(AC739,LISTS!$AU$2:$AV$1000,2,FALSE()),"")</f>
        <v/>
      </c>
      <c r="AI739" s="238" t="str">
        <f t="shared" si="58"/>
        <v>—</v>
      </c>
      <c r="AJ739" s="190" t="str">
        <f t="shared" si="59"/>
        <v>—</v>
      </c>
      <c r="AK739" s="157" t="str">
        <f t="shared" si="60"/>
        <v/>
      </c>
      <c r="AL739" s="160" t="str">
        <f t="shared" si="61"/>
        <v/>
      </c>
      <c r="AM739" s="210"/>
      <c r="AN739" s="209"/>
    </row>
    <row r="740" spans="1:40" ht="27.95" customHeight="1">
      <c r="A740" s="134" t="str">
        <f>IF(I740&lt;&gt;"",COUNTA($I$2:I740),"")</f>
        <v/>
      </c>
      <c r="B740" s="138" t="str">
        <f t="shared" si="62"/>
        <v/>
      </c>
      <c r="C740" s="93" t="str">
        <f t="array" ref="C740">IF(E740="","",IF(M740&lt;&gt;"",
M740&amp;"/"&amp;SUMPRODUCT((M$2:M740=M740)*1)&amp;" - "&amp;(ROW()-2),
"إداري/"&amp;SUMPRODUCT((M$2:M740="")*1)&amp;" - "&amp;(ROW()-2)))</f>
        <v/>
      </c>
      <c r="D740" s="141" t="str">
        <f>IF(AND(G740="",H740="",I740=""),"",IF(COUNTIFS(LISTS!$A$2:$A$67,G740,LISTS!$B$2:$B$67,H740,LISTS!$C$2:$C$67,I740)=0,"✗ هرم",IF(NOT(OR(Z740="ممتاز 100%",Z740="جيد 80%",Z740="مقبول 60%",Z740="خطر 40%",Z740="")),"✗ قائمة R",IF(NOT(OR(AA740="ممتاز 100%",AA740="جيد 85%",AA740="مقبول 70%",AA740="ضعيف 50%",AA740="")),"✗ قائمة S",IF(NOT(OR(AB740="مكتمل 100%",AB740="جزئي 60%",AB740="معلق 30%",AB740="مفتوح 0%",AB740="")),"✗ قائمة T",IF(NOT(OR(AC740="لا خصم 0",AC740="تأخير −5",AC740="عجز −10",AC740="جودة −15",AC740="امتثال −20",AC740="مخالفة −25",AC740="")),"✗ قائمة U",IF(AND(X740="لا",AC740&lt;&gt;"",AC740&lt;&gt;"لا خصم 0"),"✗ خصم",IF(AND(X740="نعم",AC740="لا خصم 0"),"✗ خصم",IF(AND(Z740="ممتاز 100%",AA740="ممتاز 100%",AB740&lt;&gt;"",AB740&lt;&gt;"مكتمل 100%"),"✗ إغلاق",IFERROR(IF(LEN(_xlfn.TEXTJOIN("، ",TRUE,IF(E740="","التاريخ",""),IF(F740="","الوقت",""),IF(G740="","المركز",""),IF(H740="","الدائرة",""),IF(I740="","القسم",""),IF(J740="","المسؤول",""),IF(K740="","نوع النشاط",""),IF(L740="","المشروع",""),IF(N740="","الممول",""),IF(V740="","الموضوع",""),IF(W740="","الملاحظة",""),IF(X740="","مشكلة",""),IF(Y740="","الإجراء",""),IF(Z740="","التنفيذ",""),IF(AA740="","الجودة",""),IF(AB740="","الإغلاق",""),IF(AC740="","الخصم",""),IF(AND(COUNTA($O740:$U740)&gt;0,O740=""),"مدير المشروع",""),IF(AND(COUNTA($O740:$U740)&gt;0,P740=""),"المستفيدين",""),IF(AND(COUNTA($O740:$U740)&gt;0,Q740=""),"المناطق",""),IF(AND(COUNTA($O740:$U740)&gt;0,R740=""),"الميزانية",""),IF(AND(COUNTA($O740:$U740)&gt;0,S740=""),"نسبة الجاهزية",""),IF(AND(COUNTA($O740:$U740)&gt;0,T740=""),"حالة الجاهزية",""),IF(AND(COUNTA($O740:$U740)&gt;0,U740=""),"التوصيات","")))&gt;0,"✗ ناقص: "&amp;_xlfn.TEXTJOIN("، ",TRUE,IF(E740="","التاريخ",""),IF(F740="","الوقت",""),IF(G740="","المركز",""),IF(H740="","الدائرة",""),IF(I740="","القسم",""),IF(J740="","المسؤول",""),IF(K740="","نوع النشاط",""),IF(L740="","المشروع",""),IF(N740="","الممول",""),IF(V740="","الموضوع",""),IF(W740="","الملاحظة",""),IF(X740="","مشكلة",""),IF(Y740="","الإجراء",""),IF(Z740="","التنفيذ",""),IF(AA740="","الجودة",""),IF(AB740="","الإغلاق",""),IF(AC740="","الخصم",""),IF(AND(COUNTA($O740:$U740)&gt;0,O740=""),"مدير المشروع",""),IF(AND(COUNTA($O740:$U740)&gt;0,P740=""),"المستفيدين",""),IF(AND(COUNTA($O740:$U740)&gt;0,Q740=""),"المناطق",""),IF(AND(COUNTA($O740:$U740)&gt;0,R740=""),"الميزانية",""),IF(AND(COUNTA($O740:$U740)&gt;0,S740=""),"نسبة الجاهزية",""),IF(AND(COUNTA($O740:$U740)&gt;0,T740=""),"حالة الجاهزية",""),IF(AND(COUNTA($O740:$U740)&gt;0,U740=""),"التوصيات","")),"✓"),"✓"))))))))))</f>
        <v/>
      </c>
      <c r="E740" s="235"/>
      <c r="F740" s="236"/>
      <c r="G740" s="90"/>
      <c r="H740" s="239"/>
      <c r="I740" s="89"/>
      <c r="J740" s="142"/>
      <c r="K740" s="90"/>
      <c r="L740" s="90"/>
      <c r="M740" s="90"/>
      <c r="N740" s="89"/>
      <c r="O740" s="200"/>
      <c r="P740" s="201"/>
      <c r="Q740" s="201"/>
      <c r="R740" s="237"/>
      <c r="S740" s="202"/>
      <c r="T740" s="200"/>
      <c r="U740" s="203"/>
      <c r="V740" s="89"/>
      <c r="W740" s="89"/>
      <c r="X740" s="145"/>
      <c r="Y740" s="89"/>
      <c r="Z740" s="90"/>
      <c r="AA740" s="90"/>
      <c r="AB740" s="90"/>
      <c r="AC740" s="90"/>
      <c r="AD740" s="92"/>
      <c r="AE740" s="149" t="str">
        <f>IFERROR(VLOOKUP(Z740,LISTS!$AL$2:$AM$1000,2,FALSE()),"")</f>
        <v/>
      </c>
      <c r="AF740" s="151" t="str">
        <f>IFERROR(VLOOKUP(AA740,LISTS!$AO$2:$AP$1000,2,FALSE()),"")</f>
        <v/>
      </c>
      <c r="AG740" s="152" t="str">
        <f>IFERROR(VLOOKUP(AB740,LISTS!$AR$2:$AS$1000,2,FALSE()),"")</f>
        <v/>
      </c>
      <c r="AH740" s="154" t="str">
        <f>IFERROR(VLOOKUP(AC740,LISTS!$AU$2:$AV$1000,2,FALSE()),"")</f>
        <v/>
      </c>
      <c r="AI740" s="238" t="str">
        <f t="shared" si="58"/>
        <v>—</v>
      </c>
      <c r="AJ740" s="190" t="str">
        <f t="shared" si="59"/>
        <v>—</v>
      </c>
      <c r="AK740" s="157" t="str">
        <f t="shared" si="60"/>
        <v/>
      </c>
      <c r="AL740" s="160" t="str">
        <f t="shared" si="61"/>
        <v/>
      </c>
      <c r="AM740" s="210"/>
      <c r="AN740" s="209"/>
    </row>
    <row r="741" spans="1:40" ht="27.95" customHeight="1">
      <c r="A741" s="134" t="str">
        <f>IF(I741&lt;&gt;"",COUNTA($I$2:I741),"")</f>
        <v/>
      </c>
      <c r="B741" s="138" t="str">
        <f t="shared" si="62"/>
        <v/>
      </c>
      <c r="C741" s="93" t="str">
        <f t="array" ref="C741">IF(E741="","",IF(M741&lt;&gt;"",
M741&amp;"/"&amp;SUMPRODUCT((M$2:M741=M741)*1)&amp;" - "&amp;(ROW()-2),
"إداري/"&amp;SUMPRODUCT((M$2:M741="")*1)&amp;" - "&amp;(ROW()-2)))</f>
        <v/>
      </c>
      <c r="D741" s="141" t="str">
        <f>IF(AND(G741="",H741="",I741=""),"",IF(COUNTIFS(LISTS!$A$2:$A$67,G741,LISTS!$B$2:$B$67,H741,LISTS!$C$2:$C$67,I741)=0,"✗ هرم",IF(NOT(OR(Z741="ممتاز 100%",Z741="جيد 80%",Z741="مقبول 60%",Z741="خطر 40%",Z741="")),"✗ قائمة R",IF(NOT(OR(AA741="ممتاز 100%",AA741="جيد 85%",AA741="مقبول 70%",AA741="ضعيف 50%",AA741="")),"✗ قائمة S",IF(NOT(OR(AB741="مكتمل 100%",AB741="جزئي 60%",AB741="معلق 30%",AB741="مفتوح 0%",AB741="")),"✗ قائمة T",IF(NOT(OR(AC741="لا خصم 0",AC741="تأخير −5",AC741="عجز −10",AC741="جودة −15",AC741="امتثال −20",AC741="مخالفة −25",AC741="")),"✗ قائمة U",IF(AND(X741="لا",AC741&lt;&gt;"",AC741&lt;&gt;"لا خصم 0"),"✗ خصم",IF(AND(X741="نعم",AC741="لا خصم 0"),"✗ خصم",IF(AND(Z741="ممتاز 100%",AA741="ممتاز 100%",AB741&lt;&gt;"",AB741&lt;&gt;"مكتمل 100%"),"✗ إغلاق",IFERROR(IF(LEN(_xlfn.TEXTJOIN("، ",TRUE,IF(E741="","التاريخ",""),IF(F741="","الوقت",""),IF(G741="","المركز",""),IF(H741="","الدائرة",""),IF(I741="","القسم",""),IF(J741="","المسؤول",""),IF(K741="","نوع النشاط",""),IF(L741="","المشروع",""),IF(N741="","الممول",""),IF(V741="","الموضوع",""),IF(W741="","الملاحظة",""),IF(X741="","مشكلة",""),IF(Y741="","الإجراء",""),IF(Z741="","التنفيذ",""),IF(AA741="","الجودة",""),IF(AB741="","الإغلاق",""),IF(AC741="","الخصم",""),IF(AND(COUNTA($O741:$U741)&gt;0,O741=""),"مدير المشروع",""),IF(AND(COUNTA($O741:$U741)&gt;0,P741=""),"المستفيدين",""),IF(AND(COUNTA($O741:$U741)&gt;0,Q741=""),"المناطق",""),IF(AND(COUNTA($O741:$U741)&gt;0,R741=""),"الميزانية",""),IF(AND(COUNTA($O741:$U741)&gt;0,S741=""),"نسبة الجاهزية",""),IF(AND(COUNTA($O741:$U741)&gt;0,T741=""),"حالة الجاهزية",""),IF(AND(COUNTA($O741:$U741)&gt;0,U741=""),"التوصيات","")))&gt;0,"✗ ناقص: "&amp;_xlfn.TEXTJOIN("، ",TRUE,IF(E741="","التاريخ",""),IF(F741="","الوقت",""),IF(G741="","المركز",""),IF(H741="","الدائرة",""),IF(I741="","القسم",""),IF(J741="","المسؤول",""),IF(K741="","نوع النشاط",""),IF(L741="","المشروع",""),IF(N741="","الممول",""),IF(V741="","الموضوع",""),IF(W741="","الملاحظة",""),IF(X741="","مشكلة",""),IF(Y741="","الإجراء",""),IF(Z741="","التنفيذ",""),IF(AA741="","الجودة",""),IF(AB741="","الإغلاق",""),IF(AC741="","الخصم",""),IF(AND(COUNTA($O741:$U741)&gt;0,O741=""),"مدير المشروع",""),IF(AND(COUNTA($O741:$U741)&gt;0,P741=""),"المستفيدين",""),IF(AND(COUNTA($O741:$U741)&gt;0,Q741=""),"المناطق",""),IF(AND(COUNTA($O741:$U741)&gt;0,R741=""),"الميزانية",""),IF(AND(COUNTA($O741:$U741)&gt;0,S741=""),"نسبة الجاهزية",""),IF(AND(COUNTA($O741:$U741)&gt;0,T741=""),"حالة الجاهزية",""),IF(AND(COUNTA($O741:$U741)&gt;0,U741=""),"التوصيات","")),"✓"),"✓"))))))))))</f>
        <v/>
      </c>
      <c r="E741" s="235"/>
      <c r="F741" s="236"/>
      <c r="G741" s="90"/>
      <c r="H741" s="239"/>
      <c r="I741" s="89"/>
      <c r="J741" s="142"/>
      <c r="K741" s="90"/>
      <c r="L741" s="90"/>
      <c r="M741" s="90"/>
      <c r="N741" s="89"/>
      <c r="O741" s="200"/>
      <c r="P741" s="201"/>
      <c r="Q741" s="201"/>
      <c r="R741" s="237"/>
      <c r="S741" s="202"/>
      <c r="T741" s="200"/>
      <c r="U741" s="203"/>
      <c r="V741" s="89"/>
      <c r="W741" s="89"/>
      <c r="X741" s="145"/>
      <c r="Y741" s="89"/>
      <c r="Z741" s="90"/>
      <c r="AA741" s="90"/>
      <c r="AB741" s="90"/>
      <c r="AC741" s="90"/>
      <c r="AD741" s="92"/>
      <c r="AE741" s="149" t="str">
        <f>IFERROR(VLOOKUP(Z741,LISTS!$AL$2:$AM$1000,2,FALSE()),"")</f>
        <v/>
      </c>
      <c r="AF741" s="151" t="str">
        <f>IFERROR(VLOOKUP(AA741,LISTS!$AO$2:$AP$1000,2,FALSE()),"")</f>
        <v/>
      </c>
      <c r="AG741" s="152" t="str">
        <f>IFERROR(VLOOKUP(AB741,LISTS!$AR$2:$AS$1000,2,FALSE()),"")</f>
        <v/>
      </c>
      <c r="AH741" s="154" t="str">
        <f>IFERROR(VLOOKUP(AC741,LISTS!$AU$2:$AV$1000,2,FALSE()),"")</f>
        <v/>
      </c>
      <c r="AI741" s="238" t="str">
        <f t="shared" si="58"/>
        <v>—</v>
      </c>
      <c r="AJ741" s="190" t="str">
        <f t="shared" si="59"/>
        <v>—</v>
      </c>
      <c r="AK741" s="157" t="str">
        <f t="shared" si="60"/>
        <v/>
      </c>
      <c r="AL741" s="160" t="str">
        <f t="shared" si="61"/>
        <v/>
      </c>
      <c r="AM741" s="210"/>
      <c r="AN741" s="209"/>
    </row>
    <row r="742" spans="1:40" ht="27.95" customHeight="1">
      <c r="A742" s="134" t="str">
        <f>IF(I742&lt;&gt;"",COUNTA($I$2:I742),"")</f>
        <v/>
      </c>
      <c r="B742" s="138" t="str">
        <f t="shared" si="62"/>
        <v/>
      </c>
      <c r="C742" s="93" t="str">
        <f t="array" ref="C742">IF(E742="","",IF(M742&lt;&gt;"",
M742&amp;"/"&amp;SUMPRODUCT((M$2:M742=M742)*1)&amp;" - "&amp;(ROW()-2),
"إداري/"&amp;SUMPRODUCT((M$2:M742="")*1)&amp;" - "&amp;(ROW()-2)))</f>
        <v/>
      </c>
      <c r="D742" s="141" t="str">
        <f>IF(AND(G742="",H742="",I742=""),"",IF(COUNTIFS(LISTS!$A$2:$A$67,G742,LISTS!$B$2:$B$67,H742,LISTS!$C$2:$C$67,I742)=0,"✗ هرم",IF(NOT(OR(Z742="ممتاز 100%",Z742="جيد 80%",Z742="مقبول 60%",Z742="خطر 40%",Z742="")),"✗ قائمة R",IF(NOT(OR(AA742="ممتاز 100%",AA742="جيد 85%",AA742="مقبول 70%",AA742="ضعيف 50%",AA742="")),"✗ قائمة S",IF(NOT(OR(AB742="مكتمل 100%",AB742="جزئي 60%",AB742="معلق 30%",AB742="مفتوح 0%",AB742="")),"✗ قائمة T",IF(NOT(OR(AC742="لا خصم 0",AC742="تأخير −5",AC742="عجز −10",AC742="جودة −15",AC742="امتثال −20",AC742="مخالفة −25",AC742="")),"✗ قائمة U",IF(AND(X742="لا",AC742&lt;&gt;"",AC742&lt;&gt;"لا خصم 0"),"✗ خصم",IF(AND(X742="نعم",AC742="لا خصم 0"),"✗ خصم",IF(AND(Z742="ممتاز 100%",AA742="ممتاز 100%",AB742&lt;&gt;"",AB742&lt;&gt;"مكتمل 100%"),"✗ إغلاق",IFERROR(IF(LEN(_xlfn.TEXTJOIN("، ",TRUE,IF(E742="","التاريخ",""),IF(F742="","الوقت",""),IF(G742="","المركز",""),IF(H742="","الدائرة",""),IF(I742="","القسم",""),IF(J742="","المسؤول",""),IF(K742="","نوع النشاط",""),IF(L742="","المشروع",""),IF(N742="","الممول",""),IF(V742="","الموضوع",""),IF(W742="","الملاحظة",""),IF(X742="","مشكلة",""),IF(Y742="","الإجراء",""),IF(Z742="","التنفيذ",""),IF(AA742="","الجودة",""),IF(AB742="","الإغلاق",""),IF(AC742="","الخصم",""),IF(AND(COUNTA($O742:$U742)&gt;0,O742=""),"مدير المشروع",""),IF(AND(COUNTA($O742:$U742)&gt;0,P742=""),"المستفيدين",""),IF(AND(COUNTA($O742:$U742)&gt;0,Q742=""),"المناطق",""),IF(AND(COUNTA($O742:$U742)&gt;0,R742=""),"الميزانية",""),IF(AND(COUNTA($O742:$U742)&gt;0,S742=""),"نسبة الجاهزية",""),IF(AND(COUNTA($O742:$U742)&gt;0,T742=""),"حالة الجاهزية",""),IF(AND(COUNTA($O742:$U742)&gt;0,U742=""),"التوصيات","")))&gt;0,"✗ ناقص: "&amp;_xlfn.TEXTJOIN("، ",TRUE,IF(E742="","التاريخ",""),IF(F742="","الوقت",""),IF(G742="","المركز",""),IF(H742="","الدائرة",""),IF(I742="","القسم",""),IF(J742="","المسؤول",""),IF(K742="","نوع النشاط",""),IF(L742="","المشروع",""),IF(N742="","الممول",""),IF(V742="","الموضوع",""),IF(W742="","الملاحظة",""),IF(X742="","مشكلة",""),IF(Y742="","الإجراء",""),IF(Z742="","التنفيذ",""),IF(AA742="","الجودة",""),IF(AB742="","الإغلاق",""),IF(AC742="","الخصم",""),IF(AND(COUNTA($O742:$U742)&gt;0,O742=""),"مدير المشروع",""),IF(AND(COUNTA($O742:$U742)&gt;0,P742=""),"المستفيدين",""),IF(AND(COUNTA($O742:$U742)&gt;0,Q742=""),"المناطق",""),IF(AND(COUNTA($O742:$U742)&gt;0,R742=""),"الميزانية",""),IF(AND(COUNTA($O742:$U742)&gt;0,S742=""),"نسبة الجاهزية",""),IF(AND(COUNTA($O742:$U742)&gt;0,T742=""),"حالة الجاهزية",""),IF(AND(COUNTA($O742:$U742)&gt;0,U742=""),"التوصيات","")),"✓"),"✓"))))))))))</f>
        <v/>
      </c>
      <c r="E742" s="235"/>
      <c r="F742" s="236"/>
      <c r="G742" s="90"/>
      <c r="H742" s="239"/>
      <c r="I742" s="89"/>
      <c r="J742" s="142"/>
      <c r="K742" s="90"/>
      <c r="L742" s="90"/>
      <c r="M742" s="90"/>
      <c r="N742" s="89"/>
      <c r="O742" s="200"/>
      <c r="P742" s="201"/>
      <c r="Q742" s="201"/>
      <c r="R742" s="237"/>
      <c r="S742" s="202"/>
      <c r="T742" s="200"/>
      <c r="U742" s="203"/>
      <c r="V742" s="89"/>
      <c r="W742" s="89"/>
      <c r="X742" s="145"/>
      <c r="Y742" s="89"/>
      <c r="Z742" s="90"/>
      <c r="AA742" s="90"/>
      <c r="AB742" s="90"/>
      <c r="AC742" s="90"/>
      <c r="AD742" s="92"/>
      <c r="AE742" s="149" t="str">
        <f>IFERROR(VLOOKUP(Z742,LISTS!$AL$2:$AM$1000,2,FALSE()),"")</f>
        <v/>
      </c>
      <c r="AF742" s="151" t="str">
        <f>IFERROR(VLOOKUP(AA742,LISTS!$AO$2:$AP$1000,2,FALSE()),"")</f>
        <v/>
      </c>
      <c r="AG742" s="152" t="str">
        <f>IFERROR(VLOOKUP(AB742,LISTS!$AR$2:$AS$1000,2,FALSE()),"")</f>
        <v/>
      </c>
      <c r="AH742" s="154" t="str">
        <f>IFERROR(VLOOKUP(AC742,LISTS!$AU$2:$AV$1000,2,FALSE()),"")</f>
        <v/>
      </c>
      <c r="AI742" s="238" t="str">
        <f t="shared" si="58"/>
        <v>—</v>
      </c>
      <c r="AJ742" s="190" t="str">
        <f t="shared" si="59"/>
        <v>—</v>
      </c>
      <c r="AK742" s="157" t="str">
        <f t="shared" si="60"/>
        <v/>
      </c>
      <c r="AL742" s="160" t="str">
        <f t="shared" si="61"/>
        <v/>
      </c>
      <c r="AM742" s="210"/>
      <c r="AN742" s="209"/>
    </row>
    <row r="743" spans="1:40" ht="27.95" customHeight="1">
      <c r="A743" s="134" t="str">
        <f>IF(I743&lt;&gt;"",COUNTA($I$2:I743),"")</f>
        <v/>
      </c>
      <c r="B743" s="138" t="str">
        <f t="shared" si="62"/>
        <v/>
      </c>
      <c r="C743" s="93" t="str">
        <f t="array" ref="C743">IF(E743="","",IF(M743&lt;&gt;"",
M743&amp;"/"&amp;SUMPRODUCT((M$2:M743=M743)*1)&amp;" - "&amp;(ROW()-2),
"إداري/"&amp;SUMPRODUCT((M$2:M743="")*1)&amp;" - "&amp;(ROW()-2)))</f>
        <v/>
      </c>
      <c r="D743" s="141" t="str">
        <f>IF(AND(G743="",H743="",I743=""),"",IF(COUNTIFS(LISTS!$A$2:$A$67,G743,LISTS!$B$2:$B$67,H743,LISTS!$C$2:$C$67,I743)=0,"✗ هرم",IF(NOT(OR(Z743="ممتاز 100%",Z743="جيد 80%",Z743="مقبول 60%",Z743="خطر 40%",Z743="")),"✗ قائمة R",IF(NOT(OR(AA743="ممتاز 100%",AA743="جيد 85%",AA743="مقبول 70%",AA743="ضعيف 50%",AA743="")),"✗ قائمة S",IF(NOT(OR(AB743="مكتمل 100%",AB743="جزئي 60%",AB743="معلق 30%",AB743="مفتوح 0%",AB743="")),"✗ قائمة T",IF(NOT(OR(AC743="لا خصم 0",AC743="تأخير −5",AC743="عجز −10",AC743="جودة −15",AC743="امتثال −20",AC743="مخالفة −25",AC743="")),"✗ قائمة U",IF(AND(X743="لا",AC743&lt;&gt;"",AC743&lt;&gt;"لا خصم 0"),"✗ خصم",IF(AND(X743="نعم",AC743="لا خصم 0"),"✗ خصم",IF(AND(Z743="ممتاز 100%",AA743="ممتاز 100%",AB743&lt;&gt;"",AB743&lt;&gt;"مكتمل 100%"),"✗ إغلاق",IFERROR(IF(LEN(_xlfn.TEXTJOIN("، ",TRUE,IF(E743="","التاريخ",""),IF(F743="","الوقت",""),IF(G743="","المركز",""),IF(H743="","الدائرة",""),IF(I743="","القسم",""),IF(J743="","المسؤول",""),IF(K743="","نوع النشاط",""),IF(L743="","المشروع",""),IF(N743="","الممول",""),IF(V743="","الموضوع",""),IF(W743="","الملاحظة",""),IF(X743="","مشكلة",""),IF(Y743="","الإجراء",""),IF(Z743="","التنفيذ",""),IF(AA743="","الجودة",""),IF(AB743="","الإغلاق",""),IF(AC743="","الخصم",""),IF(AND(COUNTA($O743:$U743)&gt;0,O743=""),"مدير المشروع",""),IF(AND(COUNTA($O743:$U743)&gt;0,P743=""),"المستفيدين",""),IF(AND(COUNTA($O743:$U743)&gt;0,Q743=""),"المناطق",""),IF(AND(COUNTA($O743:$U743)&gt;0,R743=""),"الميزانية",""),IF(AND(COUNTA($O743:$U743)&gt;0,S743=""),"نسبة الجاهزية",""),IF(AND(COUNTA($O743:$U743)&gt;0,T743=""),"حالة الجاهزية",""),IF(AND(COUNTA($O743:$U743)&gt;0,U743=""),"التوصيات","")))&gt;0,"✗ ناقص: "&amp;_xlfn.TEXTJOIN("، ",TRUE,IF(E743="","التاريخ",""),IF(F743="","الوقت",""),IF(G743="","المركز",""),IF(H743="","الدائرة",""),IF(I743="","القسم",""),IF(J743="","المسؤول",""),IF(K743="","نوع النشاط",""),IF(L743="","المشروع",""),IF(N743="","الممول",""),IF(V743="","الموضوع",""),IF(W743="","الملاحظة",""),IF(X743="","مشكلة",""),IF(Y743="","الإجراء",""),IF(Z743="","التنفيذ",""),IF(AA743="","الجودة",""),IF(AB743="","الإغلاق",""),IF(AC743="","الخصم",""),IF(AND(COUNTA($O743:$U743)&gt;0,O743=""),"مدير المشروع",""),IF(AND(COUNTA($O743:$U743)&gt;0,P743=""),"المستفيدين",""),IF(AND(COUNTA($O743:$U743)&gt;0,Q743=""),"المناطق",""),IF(AND(COUNTA($O743:$U743)&gt;0,R743=""),"الميزانية",""),IF(AND(COUNTA($O743:$U743)&gt;0,S743=""),"نسبة الجاهزية",""),IF(AND(COUNTA($O743:$U743)&gt;0,T743=""),"حالة الجاهزية",""),IF(AND(COUNTA($O743:$U743)&gt;0,U743=""),"التوصيات","")),"✓"),"✓"))))))))))</f>
        <v/>
      </c>
      <c r="E743" s="235"/>
      <c r="F743" s="236"/>
      <c r="G743" s="90"/>
      <c r="H743" s="239"/>
      <c r="I743" s="89"/>
      <c r="J743" s="142"/>
      <c r="K743" s="90"/>
      <c r="L743" s="90"/>
      <c r="M743" s="90"/>
      <c r="N743" s="89"/>
      <c r="O743" s="200"/>
      <c r="P743" s="201"/>
      <c r="Q743" s="201"/>
      <c r="R743" s="237"/>
      <c r="S743" s="202"/>
      <c r="T743" s="200"/>
      <c r="U743" s="203"/>
      <c r="V743" s="89"/>
      <c r="W743" s="89"/>
      <c r="X743" s="145"/>
      <c r="Y743" s="89"/>
      <c r="Z743" s="90"/>
      <c r="AA743" s="90"/>
      <c r="AB743" s="90"/>
      <c r="AC743" s="90"/>
      <c r="AD743" s="92"/>
      <c r="AE743" s="149" t="str">
        <f>IFERROR(VLOOKUP(Z743,LISTS!$AL$2:$AM$1000,2,FALSE()),"")</f>
        <v/>
      </c>
      <c r="AF743" s="151" t="str">
        <f>IFERROR(VLOOKUP(AA743,LISTS!$AO$2:$AP$1000,2,FALSE()),"")</f>
        <v/>
      </c>
      <c r="AG743" s="152" t="str">
        <f>IFERROR(VLOOKUP(AB743,LISTS!$AR$2:$AS$1000,2,FALSE()),"")</f>
        <v/>
      </c>
      <c r="AH743" s="154" t="str">
        <f>IFERROR(VLOOKUP(AC743,LISTS!$AU$2:$AV$1000,2,FALSE()),"")</f>
        <v/>
      </c>
      <c r="AI743" s="238" t="str">
        <f t="shared" si="58"/>
        <v>—</v>
      </c>
      <c r="AJ743" s="190" t="str">
        <f t="shared" si="59"/>
        <v>—</v>
      </c>
      <c r="AK743" s="157" t="str">
        <f t="shared" si="60"/>
        <v/>
      </c>
      <c r="AL743" s="160" t="str">
        <f t="shared" si="61"/>
        <v/>
      </c>
      <c r="AM743" s="210"/>
      <c r="AN743" s="209"/>
    </row>
    <row r="744" spans="1:40" ht="27.95" customHeight="1">
      <c r="A744" s="134" t="str">
        <f>IF(I744&lt;&gt;"",COUNTA($I$2:I744),"")</f>
        <v/>
      </c>
      <c r="B744" s="138" t="str">
        <f t="shared" si="62"/>
        <v/>
      </c>
      <c r="C744" s="93" t="str">
        <f t="array" ref="C744">IF(E744="","",IF(M744&lt;&gt;"",
M744&amp;"/"&amp;SUMPRODUCT((M$2:M744=M744)*1)&amp;" - "&amp;(ROW()-2),
"إداري/"&amp;SUMPRODUCT((M$2:M744="")*1)&amp;" - "&amp;(ROW()-2)))</f>
        <v/>
      </c>
      <c r="D744" s="141" t="str">
        <f>IF(AND(G744="",H744="",I744=""),"",IF(COUNTIFS(LISTS!$A$2:$A$67,G744,LISTS!$B$2:$B$67,H744,LISTS!$C$2:$C$67,I744)=0,"✗ هرم",IF(NOT(OR(Z744="ممتاز 100%",Z744="جيد 80%",Z744="مقبول 60%",Z744="خطر 40%",Z744="")),"✗ قائمة R",IF(NOT(OR(AA744="ممتاز 100%",AA744="جيد 85%",AA744="مقبول 70%",AA744="ضعيف 50%",AA744="")),"✗ قائمة S",IF(NOT(OR(AB744="مكتمل 100%",AB744="جزئي 60%",AB744="معلق 30%",AB744="مفتوح 0%",AB744="")),"✗ قائمة T",IF(NOT(OR(AC744="لا خصم 0",AC744="تأخير −5",AC744="عجز −10",AC744="جودة −15",AC744="امتثال −20",AC744="مخالفة −25",AC744="")),"✗ قائمة U",IF(AND(X744="لا",AC744&lt;&gt;"",AC744&lt;&gt;"لا خصم 0"),"✗ خصم",IF(AND(X744="نعم",AC744="لا خصم 0"),"✗ خصم",IF(AND(Z744="ممتاز 100%",AA744="ممتاز 100%",AB744&lt;&gt;"",AB744&lt;&gt;"مكتمل 100%"),"✗ إغلاق",IFERROR(IF(LEN(_xlfn.TEXTJOIN("، ",TRUE,IF(E744="","التاريخ",""),IF(F744="","الوقت",""),IF(G744="","المركز",""),IF(H744="","الدائرة",""),IF(I744="","القسم",""),IF(J744="","المسؤول",""),IF(K744="","نوع النشاط",""),IF(L744="","المشروع",""),IF(N744="","الممول",""),IF(V744="","الموضوع",""),IF(W744="","الملاحظة",""),IF(X744="","مشكلة",""),IF(Y744="","الإجراء",""),IF(Z744="","التنفيذ",""),IF(AA744="","الجودة",""),IF(AB744="","الإغلاق",""),IF(AC744="","الخصم",""),IF(AND(COUNTA($O744:$U744)&gt;0,O744=""),"مدير المشروع",""),IF(AND(COUNTA($O744:$U744)&gt;0,P744=""),"المستفيدين",""),IF(AND(COUNTA($O744:$U744)&gt;0,Q744=""),"المناطق",""),IF(AND(COUNTA($O744:$U744)&gt;0,R744=""),"الميزانية",""),IF(AND(COUNTA($O744:$U744)&gt;0,S744=""),"نسبة الجاهزية",""),IF(AND(COUNTA($O744:$U744)&gt;0,T744=""),"حالة الجاهزية",""),IF(AND(COUNTA($O744:$U744)&gt;0,U744=""),"التوصيات","")))&gt;0,"✗ ناقص: "&amp;_xlfn.TEXTJOIN("، ",TRUE,IF(E744="","التاريخ",""),IF(F744="","الوقت",""),IF(G744="","المركز",""),IF(H744="","الدائرة",""),IF(I744="","القسم",""),IF(J744="","المسؤول",""),IF(K744="","نوع النشاط",""),IF(L744="","المشروع",""),IF(N744="","الممول",""),IF(V744="","الموضوع",""),IF(W744="","الملاحظة",""),IF(X744="","مشكلة",""),IF(Y744="","الإجراء",""),IF(Z744="","التنفيذ",""),IF(AA744="","الجودة",""),IF(AB744="","الإغلاق",""),IF(AC744="","الخصم",""),IF(AND(COUNTA($O744:$U744)&gt;0,O744=""),"مدير المشروع",""),IF(AND(COUNTA($O744:$U744)&gt;0,P744=""),"المستفيدين",""),IF(AND(COUNTA($O744:$U744)&gt;0,Q744=""),"المناطق",""),IF(AND(COUNTA($O744:$U744)&gt;0,R744=""),"الميزانية",""),IF(AND(COUNTA($O744:$U744)&gt;0,S744=""),"نسبة الجاهزية",""),IF(AND(COUNTA($O744:$U744)&gt;0,T744=""),"حالة الجاهزية",""),IF(AND(COUNTA($O744:$U744)&gt;0,U744=""),"التوصيات","")),"✓"),"✓"))))))))))</f>
        <v/>
      </c>
      <c r="E744" s="235"/>
      <c r="F744" s="236"/>
      <c r="G744" s="90"/>
      <c r="H744" s="239"/>
      <c r="I744" s="89"/>
      <c r="J744" s="142"/>
      <c r="K744" s="90"/>
      <c r="L744" s="90"/>
      <c r="M744" s="90"/>
      <c r="N744" s="89"/>
      <c r="O744" s="200"/>
      <c r="P744" s="201"/>
      <c r="Q744" s="201"/>
      <c r="R744" s="237"/>
      <c r="S744" s="202"/>
      <c r="T744" s="200"/>
      <c r="U744" s="203"/>
      <c r="V744" s="89"/>
      <c r="W744" s="89"/>
      <c r="X744" s="145"/>
      <c r="Y744" s="89"/>
      <c r="Z744" s="90"/>
      <c r="AA744" s="90"/>
      <c r="AB744" s="90"/>
      <c r="AC744" s="90"/>
      <c r="AD744" s="92"/>
      <c r="AE744" s="149" t="str">
        <f>IFERROR(VLOOKUP(Z744,LISTS!$AL$2:$AM$1000,2,FALSE()),"")</f>
        <v/>
      </c>
      <c r="AF744" s="151" t="str">
        <f>IFERROR(VLOOKUP(AA744,LISTS!$AO$2:$AP$1000,2,FALSE()),"")</f>
        <v/>
      </c>
      <c r="AG744" s="152" t="str">
        <f>IFERROR(VLOOKUP(AB744,LISTS!$AR$2:$AS$1000,2,FALSE()),"")</f>
        <v/>
      </c>
      <c r="AH744" s="154" t="str">
        <f>IFERROR(VLOOKUP(AC744,LISTS!$AU$2:$AV$1000,2,FALSE()),"")</f>
        <v/>
      </c>
      <c r="AI744" s="238" t="str">
        <f t="shared" si="58"/>
        <v>—</v>
      </c>
      <c r="AJ744" s="190" t="str">
        <f t="shared" si="59"/>
        <v>—</v>
      </c>
      <c r="AK744" s="157" t="str">
        <f t="shared" si="60"/>
        <v/>
      </c>
      <c r="AL744" s="160" t="str">
        <f t="shared" si="61"/>
        <v/>
      </c>
      <c r="AM744" s="210"/>
      <c r="AN744" s="209"/>
    </row>
    <row r="745" spans="1:40" ht="27.95" customHeight="1">
      <c r="A745" s="134" t="str">
        <f>IF(I745&lt;&gt;"",COUNTA($I$2:I745),"")</f>
        <v/>
      </c>
      <c r="B745" s="138" t="str">
        <f t="shared" si="62"/>
        <v/>
      </c>
      <c r="C745" s="93" t="str">
        <f t="array" ref="C745">IF(E745="","",IF(M745&lt;&gt;"",
M745&amp;"/"&amp;SUMPRODUCT((M$2:M745=M745)*1)&amp;" - "&amp;(ROW()-2),
"إداري/"&amp;SUMPRODUCT((M$2:M745="")*1)&amp;" - "&amp;(ROW()-2)))</f>
        <v/>
      </c>
      <c r="D745" s="141" t="str">
        <f>IF(AND(G745="",H745="",I745=""),"",IF(COUNTIFS(LISTS!$A$2:$A$67,G745,LISTS!$B$2:$B$67,H745,LISTS!$C$2:$C$67,I745)=0,"✗ هرم",IF(NOT(OR(Z745="ممتاز 100%",Z745="جيد 80%",Z745="مقبول 60%",Z745="خطر 40%",Z745="")),"✗ قائمة R",IF(NOT(OR(AA745="ممتاز 100%",AA745="جيد 85%",AA745="مقبول 70%",AA745="ضعيف 50%",AA745="")),"✗ قائمة S",IF(NOT(OR(AB745="مكتمل 100%",AB745="جزئي 60%",AB745="معلق 30%",AB745="مفتوح 0%",AB745="")),"✗ قائمة T",IF(NOT(OR(AC745="لا خصم 0",AC745="تأخير −5",AC745="عجز −10",AC745="جودة −15",AC745="امتثال −20",AC745="مخالفة −25",AC745="")),"✗ قائمة U",IF(AND(X745="لا",AC745&lt;&gt;"",AC745&lt;&gt;"لا خصم 0"),"✗ خصم",IF(AND(X745="نعم",AC745="لا خصم 0"),"✗ خصم",IF(AND(Z745="ممتاز 100%",AA745="ممتاز 100%",AB745&lt;&gt;"",AB745&lt;&gt;"مكتمل 100%"),"✗ إغلاق",IFERROR(IF(LEN(_xlfn.TEXTJOIN("، ",TRUE,IF(E745="","التاريخ",""),IF(F745="","الوقت",""),IF(G745="","المركز",""),IF(H745="","الدائرة",""),IF(I745="","القسم",""),IF(J745="","المسؤول",""),IF(K745="","نوع النشاط",""),IF(L745="","المشروع",""),IF(N745="","الممول",""),IF(V745="","الموضوع",""),IF(W745="","الملاحظة",""),IF(X745="","مشكلة",""),IF(Y745="","الإجراء",""),IF(Z745="","التنفيذ",""),IF(AA745="","الجودة",""),IF(AB745="","الإغلاق",""),IF(AC745="","الخصم",""),IF(AND(COUNTA($O745:$U745)&gt;0,O745=""),"مدير المشروع",""),IF(AND(COUNTA($O745:$U745)&gt;0,P745=""),"المستفيدين",""),IF(AND(COUNTA($O745:$U745)&gt;0,Q745=""),"المناطق",""),IF(AND(COUNTA($O745:$U745)&gt;0,R745=""),"الميزانية",""),IF(AND(COUNTA($O745:$U745)&gt;0,S745=""),"نسبة الجاهزية",""),IF(AND(COUNTA($O745:$U745)&gt;0,T745=""),"حالة الجاهزية",""),IF(AND(COUNTA($O745:$U745)&gt;0,U745=""),"التوصيات","")))&gt;0,"✗ ناقص: "&amp;_xlfn.TEXTJOIN("، ",TRUE,IF(E745="","التاريخ",""),IF(F745="","الوقت",""),IF(G745="","المركز",""),IF(H745="","الدائرة",""),IF(I745="","القسم",""),IF(J745="","المسؤول",""),IF(K745="","نوع النشاط",""),IF(L745="","المشروع",""),IF(N745="","الممول",""),IF(V745="","الموضوع",""),IF(W745="","الملاحظة",""),IF(X745="","مشكلة",""),IF(Y745="","الإجراء",""),IF(Z745="","التنفيذ",""),IF(AA745="","الجودة",""),IF(AB745="","الإغلاق",""),IF(AC745="","الخصم",""),IF(AND(COUNTA($O745:$U745)&gt;0,O745=""),"مدير المشروع",""),IF(AND(COUNTA($O745:$U745)&gt;0,P745=""),"المستفيدين",""),IF(AND(COUNTA($O745:$U745)&gt;0,Q745=""),"المناطق",""),IF(AND(COUNTA($O745:$U745)&gt;0,R745=""),"الميزانية",""),IF(AND(COUNTA($O745:$U745)&gt;0,S745=""),"نسبة الجاهزية",""),IF(AND(COUNTA($O745:$U745)&gt;0,T745=""),"حالة الجاهزية",""),IF(AND(COUNTA($O745:$U745)&gt;0,U745=""),"التوصيات","")),"✓"),"✓"))))))))))</f>
        <v/>
      </c>
      <c r="E745" s="235"/>
      <c r="F745" s="236"/>
      <c r="G745" s="90"/>
      <c r="H745" s="239"/>
      <c r="I745" s="89"/>
      <c r="J745" s="142"/>
      <c r="K745" s="90"/>
      <c r="L745" s="90"/>
      <c r="M745" s="90"/>
      <c r="N745" s="89"/>
      <c r="O745" s="200"/>
      <c r="P745" s="201"/>
      <c r="Q745" s="201"/>
      <c r="R745" s="237"/>
      <c r="S745" s="202"/>
      <c r="T745" s="200"/>
      <c r="U745" s="203"/>
      <c r="V745" s="89"/>
      <c r="W745" s="89"/>
      <c r="X745" s="145"/>
      <c r="Y745" s="89"/>
      <c r="Z745" s="90"/>
      <c r="AA745" s="90"/>
      <c r="AB745" s="90"/>
      <c r="AC745" s="90"/>
      <c r="AD745" s="92"/>
      <c r="AE745" s="149" t="str">
        <f>IFERROR(VLOOKUP(Z745,LISTS!$AL$2:$AM$1000,2,FALSE()),"")</f>
        <v/>
      </c>
      <c r="AF745" s="151" t="str">
        <f>IFERROR(VLOOKUP(AA745,LISTS!$AO$2:$AP$1000,2,FALSE()),"")</f>
        <v/>
      </c>
      <c r="AG745" s="152" t="str">
        <f>IFERROR(VLOOKUP(AB745,LISTS!$AR$2:$AS$1000,2,FALSE()),"")</f>
        <v/>
      </c>
      <c r="AH745" s="154" t="str">
        <f>IFERROR(VLOOKUP(AC745,LISTS!$AU$2:$AV$1000,2,FALSE()),"")</f>
        <v/>
      </c>
      <c r="AI745" s="238" t="str">
        <f t="shared" si="58"/>
        <v>—</v>
      </c>
      <c r="AJ745" s="190" t="str">
        <f t="shared" si="59"/>
        <v>—</v>
      </c>
      <c r="AK745" s="157" t="str">
        <f t="shared" si="60"/>
        <v/>
      </c>
      <c r="AL745" s="160" t="str">
        <f t="shared" si="61"/>
        <v/>
      </c>
      <c r="AM745" s="210"/>
      <c r="AN745" s="209"/>
    </row>
    <row r="746" spans="1:40" ht="27.95" customHeight="1">
      <c r="A746" s="134" t="str">
        <f>IF(I746&lt;&gt;"",COUNTA($I$2:I746),"")</f>
        <v/>
      </c>
      <c r="B746" s="138" t="str">
        <f t="shared" si="62"/>
        <v/>
      </c>
      <c r="C746" s="93" t="str">
        <f t="array" ref="C746">IF(E746="","",IF(M746&lt;&gt;"",
M746&amp;"/"&amp;SUMPRODUCT((M$2:M746=M746)*1)&amp;" - "&amp;(ROW()-2),
"إداري/"&amp;SUMPRODUCT((M$2:M746="")*1)&amp;" - "&amp;(ROW()-2)))</f>
        <v/>
      </c>
      <c r="D746" s="141" t="str">
        <f>IF(AND(G746="",H746="",I746=""),"",IF(COUNTIFS(LISTS!$A$2:$A$67,G746,LISTS!$B$2:$B$67,H746,LISTS!$C$2:$C$67,I746)=0,"✗ هرم",IF(NOT(OR(Z746="ممتاز 100%",Z746="جيد 80%",Z746="مقبول 60%",Z746="خطر 40%",Z746="")),"✗ قائمة R",IF(NOT(OR(AA746="ممتاز 100%",AA746="جيد 85%",AA746="مقبول 70%",AA746="ضعيف 50%",AA746="")),"✗ قائمة S",IF(NOT(OR(AB746="مكتمل 100%",AB746="جزئي 60%",AB746="معلق 30%",AB746="مفتوح 0%",AB746="")),"✗ قائمة T",IF(NOT(OR(AC746="لا خصم 0",AC746="تأخير −5",AC746="عجز −10",AC746="جودة −15",AC746="امتثال −20",AC746="مخالفة −25",AC746="")),"✗ قائمة U",IF(AND(X746="لا",AC746&lt;&gt;"",AC746&lt;&gt;"لا خصم 0"),"✗ خصم",IF(AND(X746="نعم",AC746="لا خصم 0"),"✗ خصم",IF(AND(Z746="ممتاز 100%",AA746="ممتاز 100%",AB746&lt;&gt;"",AB746&lt;&gt;"مكتمل 100%"),"✗ إغلاق",IFERROR(IF(LEN(_xlfn.TEXTJOIN("، ",TRUE,IF(E746="","التاريخ",""),IF(F746="","الوقت",""),IF(G746="","المركز",""),IF(H746="","الدائرة",""),IF(I746="","القسم",""),IF(J746="","المسؤول",""),IF(K746="","نوع النشاط",""),IF(L746="","المشروع",""),IF(N746="","الممول",""),IF(V746="","الموضوع",""),IF(W746="","الملاحظة",""),IF(X746="","مشكلة",""),IF(Y746="","الإجراء",""),IF(Z746="","التنفيذ",""),IF(AA746="","الجودة",""),IF(AB746="","الإغلاق",""),IF(AC746="","الخصم",""),IF(AND(COUNTA($O746:$U746)&gt;0,O746=""),"مدير المشروع",""),IF(AND(COUNTA($O746:$U746)&gt;0,P746=""),"المستفيدين",""),IF(AND(COUNTA($O746:$U746)&gt;0,Q746=""),"المناطق",""),IF(AND(COUNTA($O746:$U746)&gt;0,R746=""),"الميزانية",""),IF(AND(COUNTA($O746:$U746)&gt;0,S746=""),"نسبة الجاهزية",""),IF(AND(COUNTA($O746:$U746)&gt;0,T746=""),"حالة الجاهزية",""),IF(AND(COUNTA($O746:$U746)&gt;0,U746=""),"التوصيات","")))&gt;0,"✗ ناقص: "&amp;_xlfn.TEXTJOIN("، ",TRUE,IF(E746="","التاريخ",""),IF(F746="","الوقت",""),IF(G746="","المركز",""),IF(H746="","الدائرة",""),IF(I746="","القسم",""),IF(J746="","المسؤول",""),IF(K746="","نوع النشاط",""),IF(L746="","المشروع",""),IF(N746="","الممول",""),IF(V746="","الموضوع",""),IF(W746="","الملاحظة",""),IF(X746="","مشكلة",""),IF(Y746="","الإجراء",""),IF(Z746="","التنفيذ",""),IF(AA746="","الجودة",""),IF(AB746="","الإغلاق",""),IF(AC746="","الخصم",""),IF(AND(COUNTA($O746:$U746)&gt;0,O746=""),"مدير المشروع",""),IF(AND(COUNTA($O746:$U746)&gt;0,P746=""),"المستفيدين",""),IF(AND(COUNTA($O746:$U746)&gt;0,Q746=""),"المناطق",""),IF(AND(COUNTA($O746:$U746)&gt;0,R746=""),"الميزانية",""),IF(AND(COUNTA($O746:$U746)&gt;0,S746=""),"نسبة الجاهزية",""),IF(AND(COUNTA($O746:$U746)&gt;0,T746=""),"حالة الجاهزية",""),IF(AND(COUNTA($O746:$U746)&gt;0,U746=""),"التوصيات","")),"✓"),"✓"))))))))))</f>
        <v/>
      </c>
      <c r="E746" s="235"/>
      <c r="F746" s="236"/>
      <c r="G746" s="90"/>
      <c r="H746" s="239"/>
      <c r="I746" s="89"/>
      <c r="J746" s="142"/>
      <c r="K746" s="90"/>
      <c r="L746" s="90"/>
      <c r="M746" s="90"/>
      <c r="N746" s="89"/>
      <c r="O746" s="200"/>
      <c r="P746" s="201"/>
      <c r="Q746" s="201"/>
      <c r="R746" s="237"/>
      <c r="S746" s="202"/>
      <c r="T746" s="200"/>
      <c r="U746" s="203"/>
      <c r="V746" s="89"/>
      <c r="W746" s="89"/>
      <c r="X746" s="145"/>
      <c r="Y746" s="89"/>
      <c r="Z746" s="90"/>
      <c r="AA746" s="90"/>
      <c r="AB746" s="90"/>
      <c r="AC746" s="90"/>
      <c r="AD746" s="92"/>
      <c r="AE746" s="149" t="str">
        <f>IFERROR(VLOOKUP(Z746,LISTS!$AL$2:$AM$1000,2,FALSE()),"")</f>
        <v/>
      </c>
      <c r="AF746" s="151" t="str">
        <f>IFERROR(VLOOKUP(AA746,LISTS!$AO$2:$AP$1000,2,FALSE()),"")</f>
        <v/>
      </c>
      <c r="AG746" s="152" t="str">
        <f>IFERROR(VLOOKUP(AB746,LISTS!$AR$2:$AS$1000,2,FALSE()),"")</f>
        <v/>
      </c>
      <c r="AH746" s="154" t="str">
        <f>IFERROR(VLOOKUP(AC746,LISTS!$AU$2:$AV$1000,2,FALSE()),"")</f>
        <v/>
      </c>
      <c r="AI746" s="238" t="str">
        <f t="shared" si="58"/>
        <v>—</v>
      </c>
      <c r="AJ746" s="190" t="str">
        <f t="shared" si="59"/>
        <v>—</v>
      </c>
      <c r="AK746" s="157" t="str">
        <f t="shared" si="60"/>
        <v/>
      </c>
      <c r="AL746" s="160" t="str">
        <f t="shared" si="61"/>
        <v/>
      </c>
      <c r="AM746" s="210"/>
      <c r="AN746" s="209"/>
    </row>
    <row r="747" spans="1:40" ht="27.95" customHeight="1">
      <c r="A747" s="134" t="str">
        <f>IF(I747&lt;&gt;"",COUNTA($I$2:I747),"")</f>
        <v/>
      </c>
      <c r="B747" s="138" t="str">
        <f t="shared" si="62"/>
        <v/>
      </c>
      <c r="C747" s="93" t="str">
        <f t="array" ref="C747">IF(E747="","",IF(M747&lt;&gt;"",
M747&amp;"/"&amp;SUMPRODUCT((M$2:M747=M747)*1)&amp;" - "&amp;(ROW()-2),
"إداري/"&amp;SUMPRODUCT((M$2:M747="")*1)&amp;" - "&amp;(ROW()-2)))</f>
        <v/>
      </c>
      <c r="D747" s="141" t="str">
        <f>IF(AND(G747="",H747="",I747=""),"",IF(COUNTIFS(LISTS!$A$2:$A$67,G747,LISTS!$B$2:$B$67,H747,LISTS!$C$2:$C$67,I747)=0,"✗ هرم",IF(NOT(OR(Z747="ممتاز 100%",Z747="جيد 80%",Z747="مقبول 60%",Z747="خطر 40%",Z747="")),"✗ قائمة R",IF(NOT(OR(AA747="ممتاز 100%",AA747="جيد 85%",AA747="مقبول 70%",AA747="ضعيف 50%",AA747="")),"✗ قائمة S",IF(NOT(OR(AB747="مكتمل 100%",AB747="جزئي 60%",AB747="معلق 30%",AB747="مفتوح 0%",AB747="")),"✗ قائمة T",IF(NOT(OR(AC747="لا خصم 0",AC747="تأخير −5",AC747="عجز −10",AC747="جودة −15",AC747="امتثال −20",AC747="مخالفة −25",AC747="")),"✗ قائمة U",IF(AND(X747="لا",AC747&lt;&gt;"",AC747&lt;&gt;"لا خصم 0"),"✗ خصم",IF(AND(X747="نعم",AC747="لا خصم 0"),"✗ خصم",IF(AND(Z747="ممتاز 100%",AA747="ممتاز 100%",AB747&lt;&gt;"",AB747&lt;&gt;"مكتمل 100%"),"✗ إغلاق",IFERROR(IF(LEN(_xlfn.TEXTJOIN("، ",TRUE,IF(E747="","التاريخ",""),IF(F747="","الوقت",""),IF(G747="","المركز",""),IF(H747="","الدائرة",""),IF(I747="","القسم",""),IF(J747="","المسؤول",""),IF(K747="","نوع النشاط",""),IF(L747="","المشروع",""),IF(N747="","الممول",""),IF(V747="","الموضوع",""),IF(W747="","الملاحظة",""),IF(X747="","مشكلة",""),IF(Y747="","الإجراء",""),IF(Z747="","التنفيذ",""),IF(AA747="","الجودة",""),IF(AB747="","الإغلاق",""),IF(AC747="","الخصم",""),IF(AND(COUNTA($O747:$U747)&gt;0,O747=""),"مدير المشروع",""),IF(AND(COUNTA($O747:$U747)&gt;0,P747=""),"المستفيدين",""),IF(AND(COUNTA($O747:$U747)&gt;0,Q747=""),"المناطق",""),IF(AND(COUNTA($O747:$U747)&gt;0,R747=""),"الميزانية",""),IF(AND(COUNTA($O747:$U747)&gt;0,S747=""),"نسبة الجاهزية",""),IF(AND(COUNTA($O747:$U747)&gt;0,T747=""),"حالة الجاهزية",""),IF(AND(COUNTA($O747:$U747)&gt;0,U747=""),"التوصيات","")))&gt;0,"✗ ناقص: "&amp;_xlfn.TEXTJOIN("، ",TRUE,IF(E747="","التاريخ",""),IF(F747="","الوقت",""),IF(G747="","المركز",""),IF(H747="","الدائرة",""),IF(I747="","القسم",""),IF(J747="","المسؤول",""),IF(K747="","نوع النشاط",""),IF(L747="","المشروع",""),IF(N747="","الممول",""),IF(V747="","الموضوع",""),IF(W747="","الملاحظة",""),IF(X747="","مشكلة",""),IF(Y747="","الإجراء",""),IF(Z747="","التنفيذ",""),IF(AA747="","الجودة",""),IF(AB747="","الإغلاق",""),IF(AC747="","الخصم",""),IF(AND(COUNTA($O747:$U747)&gt;0,O747=""),"مدير المشروع",""),IF(AND(COUNTA($O747:$U747)&gt;0,P747=""),"المستفيدين",""),IF(AND(COUNTA($O747:$U747)&gt;0,Q747=""),"المناطق",""),IF(AND(COUNTA($O747:$U747)&gt;0,R747=""),"الميزانية",""),IF(AND(COUNTA($O747:$U747)&gt;0,S747=""),"نسبة الجاهزية",""),IF(AND(COUNTA($O747:$U747)&gt;0,T747=""),"حالة الجاهزية",""),IF(AND(COUNTA($O747:$U747)&gt;0,U747=""),"التوصيات","")),"✓"),"✓"))))))))))</f>
        <v/>
      </c>
      <c r="E747" s="235"/>
      <c r="F747" s="236"/>
      <c r="G747" s="90"/>
      <c r="H747" s="239"/>
      <c r="I747" s="89"/>
      <c r="J747" s="142"/>
      <c r="K747" s="90"/>
      <c r="L747" s="90"/>
      <c r="M747" s="90"/>
      <c r="N747" s="89"/>
      <c r="O747" s="200"/>
      <c r="P747" s="201"/>
      <c r="Q747" s="201"/>
      <c r="R747" s="237"/>
      <c r="S747" s="202"/>
      <c r="T747" s="200"/>
      <c r="U747" s="203"/>
      <c r="V747" s="89"/>
      <c r="W747" s="89"/>
      <c r="X747" s="145"/>
      <c r="Y747" s="89"/>
      <c r="Z747" s="90"/>
      <c r="AA747" s="90"/>
      <c r="AB747" s="90"/>
      <c r="AC747" s="90"/>
      <c r="AD747" s="92"/>
      <c r="AE747" s="149" t="str">
        <f>IFERROR(VLOOKUP(Z747,LISTS!$AL$2:$AM$1000,2,FALSE()),"")</f>
        <v/>
      </c>
      <c r="AF747" s="151" t="str">
        <f>IFERROR(VLOOKUP(AA747,LISTS!$AO$2:$AP$1000,2,FALSE()),"")</f>
        <v/>
      </c>
      <c r="AG747" s="152" t="str">
        <f>IFERROR(VLOOKUP(AB747,LISTS!$AR$2:$AS$1000,2,FALSE()),"")</f>
        <v/>
      </c>
      <c r="AH747" s="154" t="str">
        <f>IFERROR(VLOOKUP(AC747,LISTS!$AU$2:$AV$1000,2,FALSE()),"")</f>
        <v/>
      </c>
      <c r="AI747" s="238" t="str">
        <f t="shared" si="58"/>
        <v>—</v>
      </c>
      <c r="AJ747" s="190" t="str">
        <f t="shared" si="59"/>
        <v>—</v>
      </c>
      <c r="AK747" s="157" t="str">
        <f t="shared" si="60"/>
        <v/>
      </c>
      <c r="AL747" s="160" t="str">
        <f t="shared" si="61"/>
        <v/>
      </c>
      <c r="AM747" s="210"/>
      <c r="AN747" s="209"/>
    </row>
    <row r="748" spans="1:40" ht="27.95" customHeight="1">
      <c r="A748" s="134" t="str">
        <f>IF(I748&lt;&gt;"",COUNTA($I$2:I748),"")</f>
        <v/>
      </c>
      <c r="B748" s="138" t="str">
        <f t="shared" si="62"/>
        <v/>
      </c>
      <c r="C748" s="93" t="str">
        <f t="array" ref="C748">IF(E748="","",IF(M748&lt;&gt;"",
M748&amp;"/"&amp;SUMPRODUCT((M$2:M748=M748)*1)&amp;" - "&amp;(ROW()-2),
"إداري/"&amp;SUMPRODUCT((M$2:M748="")*1)&amp;" - "&amp;(ROW()-2)))</f>
        <v/>
      </c>
      <c r="D748" s="141" t="str">
        <f>IF(AND(G748="",H748="",I748=""),"",IF(COUNTIFS(LISTS!$A$2:$A$67,G748,LISTS!$B$2:$B$67,H748,LISTS!$C$2:$C$67,I748)=0,"✗ هرم",IF(NOT(OR(Z748="ممتاز 100%",Z748="جيد 80%",Z748="مقبول 60%",Z748="خطر 40%",Z748="")),"✗ قائمة R",IF(NOT(OR(AA748="ممتاز 100%",AA748="جيد 85%",AA748="مقبول 70%",AA748="ضعيف 50%",AA748="")),"✗ قائمة S",IF(NOT(OR(AB748="مكتمل 100%",AB748="جزئي 60%",AB748="معلق 30%",AB748="مفتوح 0%",AB748="")),"✗ قائمة T",IF(NOT(OR(AC748="لا خصم 0",AC748="تأخير −5",AC748="عجز −10",AC748="جودة −15",AC748="امتثال −20",AC748="مخالفة −25",AC748="")),"✗ قائمة U",IF(AND(X748="لا",AC748&lt;&gt;"",AC748&lt;&gt;"لا خصم 0"),"✗ خصم",IF(AND(X748="نعم",AC748="لا خصم 0"),"✗ خصم",IF(AND(Z748="ممتاز 100%",AA748="ممتاز 100%",AB748&lt;&gt;"",AB748&lt;&gt;"مكتمل 100%"),"✗ إغلاق",IFERROR(IF(LEN(_xlfn.TEXTJOIN("، ",TRUE,IF(E748="","التاريخ",""),IF(F748="","الوقت",""),IF(G748="","المركز",""),IF(H748="","الدائرة",""),IF(I748="","القسم",""),IF(J748="","المسؤول",""),IF(K748="","نوع النشاط",""),IF(L748="","المشروع",""),IF(N748="","الممول",""),IF(V748="","الموضوع",""),IF(W748="","الملاحظة",""),IF(X748="","مشكلة",""),IF(Y748="","الإجراء",""),IF(Z748="","التنفيذ",""),IF(AA748="","الجودة",""),IF(AB748="","الإغلاق",""),IF(AC748="","الخصم",""),IF(AND(COUNTA($O748:$U748)&gt;0,O748=""),"مدير المشروع",""),IF(AND(COUNTA($O748:$U748)&gt;0,P748=""),"المستفيدين",""),IF(AND(COUNTA($O748:$U748)&gt;0,Q748=""),"المناطق",""),IF(AND(COUNTA($O748:$U748)&gt;0,R748=""),"الميزانية",""),IF(AND(COUNTA($O748:$U748)&gt;0,S748=""),"نسبة الجاهزية",""),IF(AND(COUNTA($O748:$U748)&gt;0,T748=""),"حالة الجاهزية",""),IF(AND(COUNTA($O748:$U748)&gt;0,U748=""),"التوصيات","")))&gt;0,"✗ ناقص: "&amp;_xlfn.TEXTJOIN("، ",TRUE,IF(E748="","التاريخ",""),IF(F748="","الوقت",""),IF(G748="","المركز",""),IF(H748="","الدائرة",""),IF(I748="","القسم",""),IF(J748="","المسؤول",""),IF(K748="","نوع النشاط",""),IF(L748="","المشروع",""),IF(N748="","الممول",""),IF(V748="","الموضوع",""),IF(W748="","الملاحظة",""),IF(X748="","مشكلة",""),IF(Y748="","الإجراء",""),IF(Z748="","التنفيذ",""),IF(AA748="","الجودة",""),IF(AB748="","الإغلاق",""),IF(AC748="","الخصم",""),IF(AND(COUNTA($O748:$U748)&gt;0,O748=""),"مدير المشروع",""),IF(AND(COUNTA($O748:$U748)&gt;0,P748=""),"المستفيدين",""),IF(AND(COUNTA($O748:$U748)&gt;0,Q748=""),"المناطق",""),IF(AND(COUNTA($O748:$U748)&gt;0,R748=""),"الميزانية",""),IF(AND(COUNTA($O748:$U748)&gt;0,S748=""),"نسبة الجاهزية",""),IF(AND(COUNTA($O748:$U748)&gt;0,T748=""),"حالة الجاهزية",""),IF(AND(COUNTA($O748:$U748)&gt;0,U748=""),"التوصيات","")),"✓"),"✓"))))))))))</f>
        <v/>
      </c>
      <c r="E748" s="235"/>
      <c r="F748" s="236"/>
      <c r="G748" s="90"/>
      <c r="H748" s="239"/>
      <c r="I748" s="89"/>
      <c r="J748" s="142"/>
      <c r="K748" s="90"/>
      <c r="L748" s="90"/>
      <c r="M748" s="90"/>
      <c r="N748" s="89"/>
      <c r="O748" s="200"/>
      <c r="P748" s="201"/>
      <c r="Q748" s="201"/>
      <c r="R748" s="237"/>
      <c r="S748" s="202"/>
      <c r="T748" s="200"/>
      <c r="U748" s="203"/>
      <c r="V748" s="89"/>
      <c r="W748" s="89"/>
      <c r="X748" s="145"/>
      <c r="Y748" s="89"/>
      <c r="Z748" s="90"/>
      <c r="AA748" s="90"/>
      <c r="AB748" s="90"/>
      <c r="AC748" s="90"/>
      <c r="AD748" s="92"/>
      <c r="AE748" s="149" t="str">
        <f>IFERROR(VLOOKUP(Z748,LISTS!$AL$2:$AM$1000,2,FALSE()),"")</f>
        <v/>
      </c>
      <c r="AF748" s="151" t="str">
        <f>IFERROR(VLOOKUP(AA748,LISTS!$AO$2:$AP$1000,2,FALSE()),"")</f>
        <v/>
      </c>
      <c r="AG748" s="152" t="str">
        <f>IFERROR(VLOOKUP(AB748,LISTS!$AR$2:$AS$1000,2,FALSE()),"")</f>
        <v/>
      </c>
      <c r="AH748" s="154" t="str">
        <f>IFERROR(VLOOKUP(AC748,LISTS!$AU$2:$AV$1000,2,FALSE()),"")</f>
        <v/>
      </c>
      <c r="AI748" s="238" t="str">
        <f t="shared" si="58"/>
        <v>—</v>
      </c>
      <c r="AJ748" s="190" t="str">
        <f t="shared" si="59"/>
        <v>—</v>
      </c>
      <c r="AK748" s="157" t="str">
        <f t="shared" si="60"/>
        <v/>
      </c>
      <c r="AL748" s="160" t="str">
        <f t="shared" si="61"/>
        <v/>
      </c>
      <c r="AM748" s="210"/>
      <c r="AN748" s="209"/>
    </row>
    <row r="749" spans="1:40" ht="27.95" customHeight="1">
      <c r="A749" s="134" t="str">
        <f>IF(I749&lt;&gt;"",COUNTA($I$2:I749),"")</f>
        <v/>
      </c>
      <c r="B749" s="138" t="str">
        <f t="shared" si="62"/>
        <v/>
      </c>
      <c r="C749" s="93" t="str">
        <f t="array" ref="C749">IF(E749="","",IF(M749&lt;&gt;"",
M749&amp;"/"&amp;SUMPRODUCT((M$2:M749=M749)*1)&amp;" - "&amp;(ROW()-2),
"إداري/"&amp;SUMPRODUCT((M$2:M749="")*1)&amp;" - "&amp;(ROW()-2)))</f>
        <v/>
      </c>
      <c r="D749" s="141" t="str">
        <f>IF(AND(G749="",H749="",I749=""),"",IF(COUNTIFS(LISTS!$A$2:$A$67,G749,LISTS!$B$2:$B$67,H749,LISTS!$C$2:$C$67,I749)=0,"✗ هرم",IF(NOT(OR(Z749="ممتاز 100%",Z749="جيد 80%",Z749="مقبول 60%",Z749="خطر 40%",Z749="")),"✗ قائمة R",IF(NOT(OR(AA749="ممتاز 100%",AA749="جيد 85%",AA749="مقبول 70%",AA749="ضعيف 50%",AA749="")),"✗ قائمة S",IF(NOT(OR(AB749="مكتمل 100%",AB749="جزئي 60%",AB749="معلق 30%",AB749="مفتوح 0%",AB749="")),"✗ قائمة T",IF(NOT(OR(AC749="لا خصم 0",AC749="تأخير −5",AC749="عجز −10",AC749="جودة −15",AC749="امتثال −20",AC749="مخالفة −25",AC749="")),"✗ قائمة U",IF(AND(X749="لا",AC749&lt;&gt;"",AC749&lt;&gt;"لا خصم 0"),"✗ خصم",IF(AND(X749="نعم",AC749="لا خصم 0"),"✗ خصم",IF(AND(Z749="ممتاز 100%",AA749="ممتاز 100%",AB749&lt;&gt;"",AB749&lt;&gt;"مكتمل 100%"),"✗ إغلاق",IFERROR(IF(LEN(_xlfn.TEXTJOIN("، ",TRUE,IF(E749="","التاريخ",""),IF(F749="","الوقت",""),IF(G749="","المركز",""),IF(H749="","الدائرة",""),IF(I749="","القسم",""),IF(J749="","المسؤول",""),IF(K749="","نوع النشاط",""),IF(L749="","المشروع",""),IF(N749="","الممول",""),IF(V749="","الموضوع",""),IF(W749="","الملاحظة",""),IF(X749="","مشكلة",""),IF(Y749="","الإجراء",""),IF(Z749="","التنفيذ",""),IF(AA749="","الجودة",""),IF(AB749="","الإغلاق",""),IF(AC749="","الخصم",""),IF(AND(COUNTA($O749:$U749)&gt;0,O749=""),"مدير المشروع",""),IF(AND(COUNTA($O749:$U749)&gt;0,P749=""),"المستفيدين",""),IF(AND(COUNTA($O749:$U749)&gt;0,Q749=""),"المناطق",""),IF(AND(COUNTA($O749:$U749)&gt;0,R749=""),"الميزانية",""),IF(AND(COUNTA($O749:$U749)&gt;0,S749=""),"نسبة الجاهزية",""),IF(AND(COUNTA($O749:$U749)&gt;0,T749=""),"حالة الجاهزية",""),IF(AND(COUNTA($O749:$U749)&gt;0,U749=""),"التوصيات","")))&gt;0,"✗ ناقص: "&amp;_xlfn.TEXTJOIN("، ",TRUE,IF(E749="","التاريخ",""),IF(F749="","الوقت",""),IF(G749="","المركز",""),IF(H749="","الدائرة",""),IF(I749="","القسم",""),IF(J749="","المسؤول",""),IF(K749="","نوع النشاط",""),IF(L749="","المشروع",""),IF(N749="","الممول",""),IF(V749="","الموضوع",""),IF(W749="","الملاحظة",""),IF(X749="","مشكلة",""),IF(Y749="","الإجراء",""),IF(Z749="","التنفيذ",""),IF(AA749="","الجودة",""),IF(AB749="","الإغلاق",""),IF(AC749="","الخصم",""),IF(AND(COUNTA($O749:$U749)&gt;0,O749=""),"مدير المشروع",""),IF(AND(COUNTA($O749:$U749)&gt;0,P749=""),"المستفيدين",""),IF(AND(COUNTA($O749:$U749)&gt;0,Q749=""),"المناطق",""),IF(AND(COUNTA($O749:$U749)&gt;0,R749=""),"الميزانية",""),IF(AND(COUNTA($O749:$U749)&gt;0,S749=""),"نسبة الجاهزية",""),IF(AND(COUNTA($O749:$U749)&gt;0,T749=""),"حالة الجاهزية",""),IF(AND(COUNTA($O749:$U749)&gt;0,U749=""),"التوصيات","")),"✓"),"✓"))))))))))</f>
        <v/>
      </c>
      <c r="E749" s="235"/>
      <c r="F749" s="236"/>
      <c r="G749" s="90"/>
      <c r="H749" s="239"/>
      <c r="I749" s="89"/>
      <c r="J749" s="142"/>
      <c r="K749" s="90"/>
      <c r="L749" s="90"/>
      <c r="M749" s="90"/>
      <c r="N749" s="89"/>
      <c r="O749" s="200"/>
      <c r="P749" s="201"/>
      <c r="Q749" s="201"/>
      <c r="R749" s="237"/>
      <c r="S749" s="202"/>
      <c r="T749" s="200"/>
      <c r="U749" s="203"/>
      <c r="V749" s="89"/>
      <c r="W749" s="89"/>
      <c r="X749" s="145"/>
      <c r="Y749" s="89"/>
      <c r="Z749" s="90"/>
      <c r="AA749" s="90"/>
      <c r="AB749" s="90"/>
      <c r="AC749" s="90"/>
      <c r="AD749" s="92"/>
      <c r="AE749" s="149" t="str">
        <f>IFERROR(VLOOKUP(Z749,LISTS!$AL$2:$AM$1000,2,FALSE()),"")</f>
        <v/>
      </c>
      <c r="AF749" s="151" t="str">
        <f>IFERROR(VLOOKUP(AA749,LISTS!$AO$2:$AP$1000,2,FALSE()),"")</f>
        <v/>
      </c>
      <c r="AG749" s="152" t="str">
        <f>IFERROR(VLOOKUP(AB749,LISTS!$AR$2:$AS$1000,2,FALSE()),"")</f>
        <v/>
      </c>
      <c r="AH749" s="154" t="str">
        <f>IFERROR(VLOOKUP(AC749,LISTS!$AU$2:$AV$1000,2,FALSE()),"")</f>
        <v/>
      </c>
      <c r="AI749" s="238" t="str">
        <f t="shared" si="58"/>
        <v>—</v>
      </c>
      <c r="AJ749" s="190" t="str">
        <f t="shared" si="59"/>
        <v>—</v>
      </c>
      <c r="AK749" s="157" t="str">
        <f t="shared" si="60"/>
        <v/>
      </c>
      <c r="AL749" s="160" t="str">
        <f t="shared" si="61"/>
        <v/>
      </c>
      <c r="AM749" s="210"/>
      <c r="AN749" s="209"/>
    </row>
    <row r="750" spans="1:40" ht="27.95" customHeight="1">
      <c r="A750" s="134" t="str">
        <f>IF(I750&lt;&gt;"",COUNTA($I$2:I750),"")</f>
        <v/>
      </c>
      <c r="B750" s="138" t="str">
        <f t="shared" si="62"/>
        <v/>
      </c>
      <c r="C750" s="93" t="str">
        <f t="array" ref="C750">IF(E750="","",IF(M750&lt;&gt;"",
M750&amp;"/"&amp;SUMPRODUCT((M$2:M750=M750)*1)&amp;" - "&amp;(ROW()-2),
"إداري/"&amp;SUMPRODUCT((M$2:M750="")*1)&amp;" - "&amp;(ROW()-2)))</f>
        <v/>
      </c>
      <c r="D750" s="141" t="str">
        <f>IF(AND(G750="",H750="",I750=""),"",IF(COUNTIFS(LISTS!$A$2:$A$67,G750,LISTS!$B$2:$B$67,H750,LISTS!$C$2:$C$67,I750)=0,"✗ هرم",IF(NOT(OR(Z750="ممتاز 100%",Z750="جيد 80%",Z750="مقبول 60%",Z750="خطر 40%",Z750="")),"✗ قائمة R",IF(NOT(OR(AA750="ممتاز 100%",AA750="جيد 85%",AA750="مقبول 70%",AA750="ضعيف 50%",AA750="")),"✗ قائمة S",IF(NOT(OR(AB750="مكتمل 100%",AB750="جزئي 60%",AB750="معلق 30%",AB750="مفتوح 0%",AB750="")),"✗ قائمة T",IF(NOT(OR(AC750="لا خصم 0",AC750="تأخير −5",AC750="عجز −10",AC750="جودة −15",AC750="امتثال −20",AC750="مخالفة −25",AC750="")),"✗ قائمة U",IF(AND(X750="لا",AC750&lt;&gt;"",AC750&lt;&gt;"لا خصم 0"),"✗ خصم",IF(AND(X750="نعم",AC750="لا خصم 0"),"✗ خصم",IF(AND(Z750="ممتاز 100%",AA750="ممتاز 100%",AB750&lt;&gt;"",AB750&lt;&gt;"مكتمل 100%"),"✗ إغلاق",IFERROR(IF(LEN(_xlfn.TEXTJOIN("، ",TRUE,IF(E750="","التاريخ",""),IF(F750="","الوقت",""),IF(G750="","المركز",""),IF(H750="","الدائرة",""),IF(I750="","القسم",""),IF(J750="","المسؤول",""),IF(K750="","نوع النشاط",""),IF(L750="","المشروع",""),IF(N750="","الممول",""),IF(V750="","الموضوع",""),IF(W750="","الملاحظة",""),IF(X750="","مشكلة",""),IF(Y750="","الإجراء",""),IF(Z750="","التنفيذ",""),IF(AA750="","الجودة",""),IF(AB750="","الإغلاق",""),IF(AC750="","الخصم",""),IF(AND(COUNTA($O750:$U750)&gt;0,O750=""),"مدير المشروع",""),IF(AND(COUNTA($O750:$U750)&gt;0,P750=""),"المستفيدين",""),IF(AND(COUNTA($O750:$U750)&gt;0,Q750=""),"المناطق",""),IF(AND(COUNTA($O750:$U750)&gt;0,R750=""),"الميزانية",""),IF(AND(COUNTA($O750:$U750)&gt;0,S750=""),"نسبة الجاهزية",""),IF(AND(COUNTA($O750:$U750)&gt;0,T750=""),"حالة الجاهزية",""),IF(AND(COUNTA($O750:$U750)&gt;0,U750=""),"التوصيات","")))&gt;0,"✗ ناقص: "&amp;_xlfn.TEXTJOIN("، ",TRUE,IF(E750="","التاريخ",""),IF(F750="","الوقت",""),IF(G750="","المركز",""),IF(H750="","الدائرة",""),IF(I750="","القسم",""),IF(J750="","المسؤول",""),IF(K750="","نوع النشاط",""),IF(L750="","المشروع",""),IF(N750="","الممول",""),IF(V750="","الموضوع",""),IF(W750="","الملاحظة",""),IF(X750="","مشكلة",""),IF(Y750="","الإجراء",""),IF(Z750="","التنفيذ",""),IF(AA750="","الجودة",""),IF(AB750="","الإغلاق",""),IF(AC750="","الخصم",""),IF(AND(COUNTA($O750:$U750)&gt;0,O750=""),"مدير المشروع",""),IF(AND(COUNTA($O750:$U750)&gt;0,P750=""),"المستفيدين",""),IF(AND(COUNTA($O750:$U750)&gt;0,Q750=""),"المناطق",""),IF(AND(COUNTA($O750:$U750)&gt;0,R750=""),"الميزانية",""),IF(AND(COUNTA($O750:$U750)&gt;0,S750=""),"نسبة الجاهزية",""),IF(AND(COUNTA($O750:$U750)&gt;0,T750=""),"حالة الجاهزية",""),IF(AND(COUNTA($O750:$U750)&gt;0,U750=""),"التوصيات","")),"✓"),"✓"))))))))))</f>
        <v/>
      </c>
      <c r="E750" s="235"/>
      <c r="F750" s="236"/>
      <c r="G750" s="90"/>
      <c r="H750" s="239"/>
      <c r="I750" s="89"/>
      <c r="J750" s="142"/>
      <c r="K750" s="90"/>
      <c r="L750" s="90"/>
      <c r="M750" s="90"/>
      <c r="N750" s="89"/>
      <c r="O750" s="200"/>
      <c r="P750" s="201"/>
      <c r="Q750" s="201"/>
      <c r="R750" s="237"/>
      <c r="S750" s="202"/>
      <c r="T750" s="200"/>
      <c r="U750" s="203"/>
      <c r="V750" s="89"/>
      <c r="W750" s="89"/>
      <c r="X750" s="145"/>
      <c r="Y750" s="89"/>
      <c r="Z750" s="90"/>
      <c r="AA750" s="90"/>
      <c r="AB750" s="90"/>
      <c r="AC750" s="90"/>
      <c r="AD750" s="92"/>
      <c r="AE750" s="149" t="str">
        <f>IFERROR(VLOOKUP(Z750,LISTS!$AL$2:$AM$1000,2,FALSE()),"")</f>
        <v/>
      </c>
      <c r="AF750" s="151" t="str">
        <f>IFERROR(VLOOKUP(AA750,LISTS!$AO$2:$AP$1000,2,FALSE()),"")</f>
        <v/>
      </c>
      <c r="AG750" s="152" t="str">
        <f>IFERROR(VLOOKUP(AB750,LISTS!$AR$2:$AS$1000,2,FALSE()),"")</f>
        <v/>
      </c>
      <c r="AH750" s="154" t="str">
        <f>IFERROR(VLOOKUP(AC750,LISTS!$AU$2:$AV$1000,2,FALSE()),"")</f>
        <v/>
      </c>
      <c r="AI750" s="238" t="str">
        <f t="shared" si="58"/>
        <v>—</v>
      </c>
      <c r="AJ750" s="190" t="str">
        <f t="shared" si="59"/>
        <v>—</v>
      </c>
      <c r="AK750" s="157" t="str">
        <f t="shared" si="60"/>
        <v/>
      </c>
      <c r="AL750" s="160" t="str">
        <f t="shared" si="61"/>
        <v/>
      </c>
      <c r="AM750" s="210"/>
      <c r="AN750" s="209"/>
    </row>
    <row r="751" spans="1:40" ht="27.95" customHeight="1">
      <c r="A751" s="134" t="str">
        <f>IF(I751&lt;&gt;"",COUNTA($I$2:I751),"")</f>
        <v/>
      </c>
      <c r="B751" s="138" t="str">
        <f t="shared" si="62"/>
        <v/>
      </c>
      <c r="C751" s="93" t="str">
        <f t="array" ref="C751">IF(E751="","",IF(M751&lt;&gt;"",
M751&amp;"/"&amp;SUMPRODUCT((M$2:M751=M751)*1)&amp;" - "&amp;(ROW()-2),
"إداري/"&amp;SUMPRODUCT((M$2:M751="")*1)&amp;" - "&amp;(ROW()-2)))</f>
        <v/>
      </c>
      <c r="D751" s="141" t="str">
        <f>IF(AND(G751="",H751="",I751=""),"",IF(COUNTIFS(LISTS!$A$2:$A$67,G751,LISTS!$B$2:$B$67,H751,LISTS!$C$2:$C$67,I751)=0,"✗ هرم",IF(NOT(OR(Z751="ممتاز 100%",Z751="جيد 80%",Z751="مقبول 60%",Z751="خطر 40%",Z751="")),"✗ قائمة R",IF(NOT(OR(AA751="ممتاز 100%",AA751="جيد 85%",AA751="مقبول 70%",AA751="ضعيف 50%",AA751="")),"✗ قائمة S",IF(NOT(OR(AB751="مكتمل 100%",AB751="جزئي 60%",AB751="معلق 30%",AB751="مفتوح 0%",AB751="")),"✗ قائمة T",IF(NOT(OR(AC751="لا خصم 0",AC751="تأخير −5",AC751="عجز −10",AC751="جودة −15",AC751="امتثال −20",AC751="مخالفة −25",AC751="")),"✗ قائمة U",IF(AND(X751="لا",AC751&lt;&gt;"",AC751&lt;&gt;"لا خصم 0"),"✗ خصم",IF(AND(X751="نعم",AC751="لا خصم 0"),"✗ خصم",IF(AND(Z751="ممتاز 100%",AA751="ممتاز 100%",AB751&lt;&gt;"",AB751&lt;&gt;"مكتمل 100%"),"✗ إغلاق",IFERROR(IF(LEN(_xlfn.TEXTJOIN("، ",TRUE,IF(E751="","التاريخ",""),IF(F751="","الوقت",""),IF(G751="","المركز",""),IF(H751="","الدائرة",""),IF(I751="","القسم",""),IF(J751="","المسؤول",""),IF(K751="","نوع النشاط",""),IF(L751="","المشروع",""),IF(N751="","الممول",""),IF(V751="","الموضوع",""),IF(W751="","الملاحظة",""),IF(X751="","مشكلة",""),IF(Y751="","الإجراء",""),IF(Z751="","التنفيذ",""),IF(AA751="","الجودة",""),IF(AB751="","الإغلاق",""),IF(AC751="","الخصم",""),IF(AND(COUNTA($O751:$U751)&gt;0,O751=""),"مدير المشروع",""),IF(AND(COUNTA($O751:$U751)&gt;0,P751=""),"المستفيدين",""),IF(AND(COUNTA($O751:$U751)&gt;0,Q751=""),"المناطق",""),IF(AND(COUNTA($O751:$U751)&gt;0,R751=""),"الميزانية",""),IF(AND(COUNTA($O751:$U751)&gt;0,S751=""),"نسبة الجاهزية",""),IF(AND(COUNTA($O751:$U751)&gt;0,T751=""),"حالة الجاهزية",""),IF(AND(COUNTA($O751:$U751)&gt;0,U751=""),"التوصيات","")))&gt;0,"✗ ناقص: "&amp;_xlfn.TEXTJOIN("، ",TRUE,IF(E751="","التاريخ",""),IF(F751="","الوقت",""),IF(G751="","المركز",""),IF(H751="","الدائرة",""),IF(I751="","القسم",""),IF(J751="","المسؤول",""),IF(K751="","نوع النشاط",""),IF(L751="","المشروع",""),IF(N751="","الممول",""),IF(V751="","الموضوع",""),IF(W751="","الملاحظة",""),IF(X751="","مشكلة",""),IF(Y751="","الإجراء",""),IF(Z751="","التنفيذ",""),IF(AA751="","الجودة",""),IF(AB751="","الإغلاق",""),IF(AC751="","الخصم",""),IF(AND(COUNTA($O751:$U751)&gt;0,O751=""),"مدير المشروع",""),IF(AND(COUNTA($O751:$U751)&gt;0,P751=""),"المستفيدين",""),IF(AND(COUNTA($O751:$U751)&gt;0,Q751=""),"المناطق",""),IF(AND(COUNTA($O751:$U751)&gt;0,R751=""),"الميزانية",""),IF(AND(COUNTA($O751:$U751)&gt;0,S751=""),"نسبة الجاهزية",""),IF(AND(COUNTA($O751:$U751)&gt;0,T751=""),"حالة الجاهزية",""),IF(AND(COUNTA($O751:$U751)&gt;0,U751=""),"التوصيات","")),"✓"),"✓"))))))))))</f>
        <v/>
      </c>
      <c r="E751" s="235"/>
      <c r="F751" s="236"/>
      <c r="G751" s="90"/>
      <c r="H751" s="239"/>
      <c r="I751" s="89"/>
      <c r="J751" s="142"/>
      <c r="K751" s="90"/>
      <c r="L751" s="90"/>
      <c r="M751" s="90"/>
      <c r="N751" s="89"/>
      <c r="O751" s="200"/>
      <c r="P751" s="201"/>
      <c r="Q751" s="201"/>
      <c r="R751" s="237"/>
      <c r="S751" s="202"/>
      <c r="T751" s="200"/>
      <c r="U751" s="203"/>
      <c r="V751" s="89"/>
      <c r="W751" s="89"/>
      <c r="X751" s="145"/>
      <c r="Y751" s="89"/>
      <c r="Z751" s="90"/>
      <c r="AA751" s="90"/>
      <c r="AB751" s="90"/>
      <c r="AC751" s="90"/>
      <c r="AD751" s="92"/>
      <c r="AE751" s="149" t="str">
        <f>IFERROR(VLOOKUP(Z751,LISTS!$AL$2:$AM$1000,2,FALSE()),"")</f>
        <v/>
      </c>
      <c r="AF751" s="151" t="str">
        <f>IFERROR(VLOOKUP(AA751,LISTS!$AO$2:$AP$1000,2,FALSE()),"")</f>
        <v/>
      </c>
      <c r="AG751" s="152" t="str">
        <f>IFERROR(VLOOKUP(AB751,LISTS!$AR$2:$AS$1000,2,FALSE()),"")</f>
        <v/>
      </c>
      <c r="AH751" s="154" t="str">
        <f>IFERROR(VLOOKUP(AC751,LISTS!$AU$2:$AV$1000,2,FALSE()),"")</f>
        <v/>
      </c>
      <c r="AI751" s="238" t="str">
        <f t="shared" si="58"/>
        <v>—</v>
      </c>
      <c r="AJ751" s="190" t="str">
        <f t="shared" si="59"/>
        <v>—</v>
      </c>
      <c r="AK751" s="157" t="str">
        <f t="shared" si="60"/>
        <v/>
      </c>
      <c r="AL751" s="160" t="str">
        <f t="shared" si="61"/>
        <v/>
      </c>
      <c r="AM751" s="210"/>
      <c r="AN751" s="209"/>
    </row>
    <row r="752" spans="1:40" ht="27.95" customHeight="1">
      <c r="A752" s="134" t="str">
        <f>IF(I752&lt;&gt;"",COUNTA($I$2:I752),"")</f>
        <v/>
      </c>
      <c r="B752" s="138" t="str">
        <f t="shared" si="62"/>
        <v/>
      </c>
      <c r="C752" s="93" t="str">
        <f t="array" ref="C752">IF(E752="","",IF(M752&lt;&gt;"",
M752&amp;"/"&amp;SUMPRODUCT((M$2:M752=M752)*1)&amp;" - "&amp;(ROW()-2),
"إداري/"&amp;SUMPRODUCT((M$2:M752="")*1)&amp;" - "&amp;(ROW()-2)))</f>
        <v/>
      </c>
      <c r="D752" s="141" t="str">
        <f>IF(AND(G752="",H752="",I752=""),"",IF(COUNTIFS(LISTS!$A$2:$A$67,G752,LISTS!$B$2:$B$67,H752,LISTS!$C$2:$C$67,I752)=0,"✗ هرم",IF(NOT(OR(Z752="ممتاز 100%",Z752="جيد 80%",Z752="مقبول 60%",Z752="خطر 40%",Z752="")),"✗ قائمة R",IF(NOT(OR(AA752="ممتاز 100%",AA752="جيد 85%",AA752="مقبول 70%",AA752="ضعيف 50%",AA752="")),"✗ قائمة S",IF(NOT(OR(AB752="مكتمل 100%",AB752="جزئي 60%",AB752="معلق 30%",AB752="مفتوح 0%",AB752="")),"✗ قائمة T",IF(NOT(OR(AC752="لا خصم 0",AC752="تأخير −5",AC752="عجز −10",AC752="جودة −15",AC752="امتثال −20",AC752="مخالفة −25",AC752="")),"✗ قائمة U",IF(AND(X752="لا",AC752&lt;&gt;"",AC752&lt;&gt;"لا خصم 0"),"✗ خصم",IF(AND(X752="نعم",AC752="لا خصم 0"),"✗ خصم",IF(AND(Z752="ممتاز 100%",AA752="ممتاز 100%",AB752&lt;&gt;"",AB752&lt;&gt;"مكتمل 100%"),"✗ إغلاق",IFERROR(IF(LEN(_xlfn.TEXTJOIN("، ",TRUE,IF(E752="","التاريخ",""),IF(F752="","الوقت",""),IF(G752="","المركز",""),IF(H752="","الدائرة",""),IF(I752="","القسم",""),IF(J752="","المسؤول",""),IF(K752="","نوع النشاط",""),IF(L752="","المشروع",""),IF(N752="","الممول",""),IF(V752="","الموضوع",""),IF(W752="","الملاحظة",""),IF(X752="","مشكلة",""),IF(Y752="","الإجراء",""),IF(Z752="","التنفيذ",""),IF(AA752="","الجودة",""),IF(AB752="","الإغلاق",""),IF(AC752="","الخصم",""),IF(AND(COUNTA($O752:$U752)&gt;0,O752=""),"مدير المشروع",""),IF(AND(COUNTA($O752:$U752)&gt;0,P752=""),"المستفيدين",""),IF(AND(COUNTA($O752:$U752)&gt;0,Q752=""),"المناطق",""),IF(AND(COUNTA($O752:$U752)&gt;0,R752=""),"الميزانية",""),IF(AND(COUNTA($O752:$U752)&gt;0,S752=""),"نسبة الجاهزية",""),IF(AND(COUNTA($O752:$U752)&gt;0,T752=""),"حالة الجاهزية",""),IF(AND(COUNTA($O752:$U752)&gt;0,U752=""),"التوصيات","")))&gt;0,"✗ ناقص: "&amp;_xlfn.TEXTJOIN("، ",TRUE,IF(E752="","التاريخ",""),IF(F752="","الوقت",""),IF(G752="","المركز",""),IF(H752="","الدائرة",""),IF(I752="","القسم",""),IF(J752="","المسؤول",""),IF(K752="","نوع النشاط",""),IF(L752="","المشروع",""),IF(N752="","الممول",""),IF(V752="","الموضوع",""),IF(W752="","الملاحظة",""),IF(X752="","مشكلة",""),IF(Y752="","الإجراء",""),IF(Z752="","التنفيذ",""),IF(AA752="","الجودة",""),IF(AB752="","الإغلاق",""),IF(AC752="","الخصم",""),IF(AND(COUNTA($O752:$U752)&gt;0,O752=""),"مدير المشروع",""),IF(AND(COUNTA($O752:$U752)&gt;0,P752=""),"المستفيدين",""),IF(AND(COUNTA($O752:$U752)&gt;0,Q752=""),"المناطق",""),IF(AND(COUNTA($O752:$U752)&gt;0,R752=""),"الميزانية",""),IF(AND(COUNTA($O752:$U752)&gt;0,S752=""),"نسبة الجاهزية",""),IF(AND(COUNTA($O752:$U752)&gt;0,T752=""),"حالة الجاهزية",""),IF(AND(COUNTA($O752:$U752)&gt;0,U752=""),"التوصيات","")),"✓"),"✓"))))))))))</f>
        <v/>
      </c>
      <c r="E752" s="235"/>
      <c r="F752" s="236"/>
      <c r="G752" s="90"/>
      <c r="H752" s="239"/>
      <c r="I752" s="89"/>
      <c r="J752" s="142"/>
      <c r="K752" s="90"/>
      <c r="L752" s="90"/>
      <c r="M752" s="90"/>
      <c r="N752" s="89"/>
      <c r="O752" s="200"/>
      <c r="P752" s="201"/>
      <c r="Q752" s="201"/>
      <c r="R752" s="237"/>
      <c r="S752" s="202"/>
      <c r="T752" s="200"/>
      <c r="U752" s="203"/>
      <c r="V752" s="89"/>
      <c r="W752" s="89"/>
      <c r="X752" s="145"/>
      <c r="Y752" s="89"/>
      <c r="Z752" s="90"/>
      <c r="AA752" s="90"/>
      <c r="AB752" s="90"/>
      <c r="AC752" s="90"/>
      <c r="AD752" s="92"/>
      <c r="AE752" s="149" t="str">
        <f>IFERROR(VLOOKUP(Z752,LISTS!$AL$2:$AM$1000,2,FALSE()),"")</f>
        <v/>
      </c>
      <c r="AF752" s="151" t="str">
        <f>IFERROR(VLOOKUP(AA752,LISTS!$AO$2:$AP$1000,2,FALSE()),"")</f>
        <v/>
      </c>
      <c r="AG752" s="152" t="str">
        <f>IFERROR(VLOOKUP(AB752,LISTS!$AR$2:$AS$1000,2,FALSE()),"")</f>
        <v/>
      </c>
      <c r="AH752" s="154" t="str">
        <f>IFERROR(VLOOKUP(AC752,LISTS!$AU$2:$AV$1000,2,FALSE()),"")</f>
        <v/>
      </c>
      <c r="AI752" s="238" t="str">
        <f t="shared" si="58"/>
        <v>—</v>
      </c>
      <c r="AJ752" s="190" t="str">
        <f t="shared" si="59"/>
        <v>—</v>
      </c>
      <c r="AK752" s="157" t="str">
        <f t="shared" si="60"/>
        <v/>
      </c>
      <c r="AL752" s="160" t="str">
        <f t="shared" si="61"/>
        <v/>
      </c>
      <c r="AM752" s="210"/>
      <c r="AN752" s="209"/>
    </row>
    <row r="753" spans="1:40" ht="27.95" customHeight="1">
      <c r="A753" s="134" t="str">
        <f>IF(I753&lt;&gt;"",COUNTA($I$2:I753),"")</f>
        <v/>
      </c>
      <c r="B753" s="138" t="str">
        <f t="shared" si="62"/>
        <v/>
      </c>
      <c r="C753" s="93" t="str">
        <f t="array" ref="C753">IF(E753="","",IF(M753&lt;&gt;"",
M753&amp;"/"&amp;SUMPRODUCT((M$2:M753=M753)*1)&amp;" - "&amp;(ROW()-2),
"إداري/"&amp;SUMPRODUCT((M$2:M753="")*1)&amp;" - "&amp;(ROW()-2)))</f>
        <v/>
      </c>
      <c r="D753" s="141" t="str">
        <f>IF(AND(G753="",H753="",I753=""),"",IF(COUNTIFS(LISTS!$A$2:$A$67,G753,LISTS!$B$2:$B$67,H753,LISTS!$C$2:$C$67,I753)=0,"✗ هرم",IF(NOT(OR(Z753="ممتاز 100%",Z753="جيد 80%",Z753="مقبول 60%",Z753="خطر 40%",Z753="")),"✗ قائمة R",IF(NOT(OR(AA753="ممتاز 100%",AA753="جيد 85%",AA753="مقبول 70%",AA753="ضعيف 50%",AA753="")),"✗ قائمة S",IF(NOT(OR(AB753="مكتمل 100%",AB753="جزئي 60%",AB753="معلق 30%",AB753="مفتوح 0%",AB753="")),"✗ قائمة T",IF(NOT(OR(AC753="لا خصم 0",AC753="تأخير −5",AC753="عجز −10",AC753="جودة −15",AC753="امتثال −20",AC753="مخالفة −25",AC753="")),"✗ قائمة U",IF(AND(X753="لا",AC753&lt;&gt;"",AC753&lt;&gt;"لا خصم 0"),"✗ خصم",IF(AND(X753="نعم",AC753="لا خصم 0"),"✗ خصم",IF(AND(Z753="ممتاز 100%",AA753="ممتاز 100%",AB753&lt;&gt;"",AB753&lt;&gt;"مكتمل 100%"),"✗ إغلاق",IFERROR(IF(LEN(_xlfn.TEXTJOIN("، ",TRUE,IF(E753="","التاريخ",""),IF(F753="","الوقت",""),IF(G753="","المركز",""),IF(H753="","الدائرة",""),IF(I753="","القسم",""),IF(J753="","المسؤول",""),IF(K753="","نوع النشاط",""),IF(L753="","المشروع",""),IF(N753="","الممول",""),IF(V753="","الموضوع",""),IF(W753="","الملاحظة",""),IF(X753="","مشكلة",""),IF(Y753="","الإجراء",""),IF(Z753="","التنفيذ",""),IF(AA753="","الجودة",""),IF(AB753="","الإغلاق",""),IF(AC753="","الخصم",""),IF(AND(COUNTA($O753:$U753)&gt;0,O753=""),"مدير المشروع",""),IF(AND(COUNTA($O753:$U753)&gt;0,P753=""),"المستفيدين",""),IF(AND(COUNTA($O753:$U753)&gt;0,Q753=""),"المناطق",""),IF(AND(COUNTA($O753:$U753)&gt;0,R753=""),"الميزانية",""),IF(AND(COUNTA($O753:$U753)&gt;0,S753=""),"نسبة الجاهزية",""),IF(AND(COUNTA($O753:$U753)&gt;0,T753=""),"حالة الجاهزية",""),IF(AND(COUNTA($O753:$U753)&gt;0,U753=""),"التوصيات","")))&gt;0,"✗ ناقص: "&amp;_xlfn.TEXTJOIN("، ",TRUE,IF(E753="","التاريخ",""),IF(F753="","الوقت",""),IF(G753="","المركز",""),IF(H753="","الدائرة",""),IF(I753="","القسم",""),IF(J753="","المسؤول",""),IF(K753="","نوع النشاط",""),IF(L753="","المشروع",""),IF(N753="","الممول",""),IF(V753="","الموضوع",""),IF(W753="","الملاحظة",""),IF(X753="","مشكلة",""),IF(Y753="","الإجراء",""),IF(Z753="","التنفيذ",""),IF(AA753="","الجودة",""),IF(AB753="","الإغلاق",""),IF(AC753="","الخصم",""),IF(AND(COUNTA($O753:$U753)&gt;0,O753=""),"مدير المشروع",""),IF(AND(COUNTA($O753:$U753)&gt;0,P753=""),"المستفيدين",""),IF(AND(COUNTA($O753:$U753)&gt;0,Q753=""),"المناطق",""),IF(AND(COUNTA($O753:$U753)&gt;0,R753=""),"الميزانية",""),IF(AND(COUNTA($O753:$U753)&gt;0,S753=""),"نسبة الجاهزية",""),IF(AND(COUNTA($O753:$U753)&gt;0,T753=""),"حالة الجاهزية",""),IF(AND(COUNTA($O753:$U753)&gt;0,U753=""),"التوصيات","")),"✓"),"✓"))))))))))</f>
        <v/>
      </c>
      <c r="E753" s="235"/>
      <c r="F753" s="236"/>
      <c r="G753" s="90"/>
      <c r="H753" s="239"/>
      <c r="I753" s="89"/>
      <c r="J753" s="142"/>
      <c r="K753" s="90"/>
      <c r="L753" s="90"/>
      <c r="M753" s="90"/>
      <c r="N753" s="89"/>
      <c r="O753" s="200"/>
      <c r="P753" s="201"/>
      <c r="Q753" s="201"/>
      <c r="R753" s="237"/>
      <c r="S753" s="202"/>
      <c r="T753" s="200"/>
      <c r="U753" s="203"/>
      <c r="V753" s="89"/>
      <c r="W753" s="89"/>
      <c r="X753" s="145"/>
      <c r="Y753" s="89"/>
      <c r="Z753" s="90"/>
      <c r="AA753" s="90"/>
      <c r="AB753" s="90"/>
      <c r="AC753" s="90"/>
      <c r="AD753" s="92"/>
      <c r="AE753" s="149" t="str">
        <f>IFERROR(VLOOKUP(Z753,LISTS!$AL$2:$AM$1000,2,FALSE()),"")</f>
        <v/>
      </c>
      <c r="AF753" s="151" t="str">
        <f>IFERROR(VLOOKUP(AA753,LISTS!$AO$2:$AP$1000,2,FALSE()),"")</f>
        <v/>
      </c>
      <c r="AG753" s="152" t="str">
        <f>IFERROR(VLOOKUP(AB753,LISTS!$AR$2:$AS$1000,2,FALSE()),"")</f>
        <v/>
      </c>
      <c r="AH753" s="154" t="str">
        <f>IFERROR(VLOOKUP(AC753,LISTS!$AU$2:$AV$1000,2,FALSE()),"")</f>
        <v/>
      </c>
      <c r="AI753" s="238" t="str">
        <f t="shared" si="58"/>
        <v>—</v>
      </c>
      <c r="AJ753" s="190" t="str">
        <f t="shared" si="59"/>
        <v>—</v>
      </c>
      <c r="AK753" s="157" t="str">
        <f t="shared" si="60"/>
        <v/>
      </c>
      <c r="AL753" s="160" t="str">
        <f t="shared" si="61"/>
        <v/>
      </c>
      <c r="AM753" s="210"/>
      <c r="AN753" s="209"/>
    </row>
    <row r="754" spans="1:40" ht="27.95" customHeight="1">
      <c r="A754" s="134" t="str">
        <f>IF(I754&lt;&gt;"",COUNTA($I$2:I754),"")</f>
        <v/>
      </c>
      <c r="B754" s="138" t="str">
        <f t="shared" si="62"/>
        <v/>
      </c>
      <c r="C754" s="93" t="str">
        <f t="array" ref="C754">IF(E754="","",IF(M754&lt;&gt;"",
M754&amp;"/"&amp;SUMPRODUCT((M$2:M754=M754)*1)&amp;" - "&amp;(ROW()-2),
"إداري/"&amp;SUMPRODUCT((M$2:M754="")*1)&amp;" - "&amp;(ROW()-2)))</f>
        <v/>
      </c>
      <c r="D754" s="141" t="str">
        <f>IF(AND(G754="",H754="",I754=""),"",IF(COUNTIFS(LISTS!$A$2:$A$67,G754,LISTS!$B$2:$B$67,H754,LISTS!$C$2:$C$67,I754)=0,"✗ هرم",IF(NOT(OR(Z754="ممتاز 100%",Z754="جيد 80%",Z754="مقبول 60%",Z754="خطر 40%",Z754="")),"✗ قائمة R",IF(NOT(OR(AA754="ممتاز 100%",AA754="جيد 85%",AA754="مقبول 70%",AA754="ضعيف 50%",AA754="")),"✗ قائمة S",IF(NOT(OR(AB754="مكتمل 100%",AB754="جزئي 60%",AB754="معلق 30%",AB754="مفتوح 0%",AB754="")),"✗ قائمة T",IF(NOT(OR(AC754="لا خصم 0",AC754="تأخير −5",AC754="عجز −10",AC754="جودة −15",AC754="امتثال −20",AC754="مخالفة −25",AC754="")),"✗ قائمة U",IF(AND(X754="لا",AC754&lt;&gt;"",AC754&lt;&gt;"لا خصم 0"),"✗ خصم",IF(AND(X754="نعم",AC754="لا خصم 0"),"✗ خصم",IF(AND(Z754="ممتاز 100%",AA754="ممتاز 100%",AB754&lt;&gt;"",AB754&lt;&gt;"مكتمل 100%"),"✗ إغلاق",IFERROR(IF(LEN(_xlfn.TEXTJOIN("، ",TRUE,IF(E754="","التاريخ",""),IF(F754="","الوقت",""),IF(G754="","المركز",""),IF(H754="","الدائرة",""),IF(I754="","القسم",""),IF(J754="","المسؤول",""),IF(K754="","نوع النشاط",""),IF(L754="","المشروع",""),IF(N754="","الممول",""),IF(V754="","الموضوع",""),IF(W754="","الملاحظة",""),IF(X754="","مشكلة",""),IF(Y754="","الإجراء",""),IF(Z754="","التنفيذ",""),IF(AA754="","الجودة",""),IF(AB754="","الإغلاق",""),IF(AC754="","الخصم",""),IF(AND(COUNTA($O754:$U754)&gt;0,O754=""),"مدير المشروع",""),IF(AND(COUNTA($O754:$U754)&gt;0,P754=""),"المستفيدين",""),IF(AND(COUNTA($O754:$U754)&gt;0,Q754=""),"المناطق",""),IF(AND(COUNTA($O754:$U754)&gt;0,R754=""),"الميزانية",""),IF(AND(COUNTA($O754:$U754)&gt;0,S754=""),"نسبة الجاهزية",""),IF(AND(COUNTA($O754:$U754)&gt;0,T754=""),"حالة الجاهزية",""),IF(AND(COUNTA($O754:$U754)&gt;0,U754=""),"التوصيات","")))&gt;0,"✗ ناقص: "&amp;_xlfn.TEXTJOIN("، ",TRUE,IF(E754="","التاريخ",""),IF(F754="","الوقت",""),IF(G754="","المركز",""),IF(H754="","الدائرة",""),IF(I754="","القسم",""),IF(J754="","المسؤول",""),IF(K754="","نوع النشاط",""),IF(L754="","المشروع",""),IF(N754="","الممول",""),IF(V754="","الموضوع",""),IF(W754="","الملاحظة",""),IF(X754="","مشكلة",""),IF(Y754="","الإجراء",""),IF(Z754="","التنفيذ",""),IF(AA754="","الجودة",""),IF(AB754="","الإغلاق",""),IF(AC754="","الخصم",""),IF(AND(COUNTA($O754:$U754)&gt;0,O754=""),"مدير المشروع",""),IF(AND(COUNTA($O754:$U754)&gt;0,P754=""),"المستفيدين",""),IF(AND(COUNTA($O754:$U754)&gt;0,Q754=""),"المناطق",""),IF(AND(COUNTA($O754:$U754)&gt;0,R754=""),"الميزانية",""),IF(AND(COUNTA($O754:$U754)&gt;0,S754=""),"نسبة الجاهزية",""),IF(AND(COUNTA($O754:$U754)&gt;0,T754=""),"حالة الجاهزية",""),IF(AND(COUNTA($O754:$U754)&gt;0,U754=""),"التوصيات","")),"✓"),"✓"))))))))))</f>
        <v/>
      </c>
      <c r="E754" s="235"/>
      <c r="F754" s="236"/>
      <c r="G754" s="90"/>
      <c r="H754" s="239"/>
      <c r="I754" s="89"/>
      <c r="J754" s="142"/>
      <c r="K754" s="90"/>
      <c r="L754" s="90"/>
      <c r="M754" s="90"/>
      <c r="N754" s="89"/>
      <c r="O754" s="200"/>
      <c r="P754" s="201"/>
      <c r="Q754" s="201"/>
      <c r="R754" s="237"/>
      <c r="S754" s="202"/>
      <c r="T754" s="200"/>
      <c r="U754" s="203"/>
      <c r="V754" s="89"/>
      <c r="W754" s="89"/>
      <c r="X754" s="145"/>
      <c r="Y754" s="89"/>
      <c r="Z754" s="90"/>
      <c r="AA754" s="90"/>
      <c r="AB754" s="90"/>
      <c r="AC754" s="90"/>
      <c r="AD754" s="92"/>
      <c r="AE754" s="149" t="str">
        <f>IFERROR(VLOOKUP(Z754,LISTS!$AL$2:$AM$1000,2,FALSE()),"")</f>
        <v/>
      </c>
      <c r="AF754" s="151" t="str">
        <f>IFERROR(VLOOKUP(AA754,LISTS!$AO$2:$AP$1000,2,FALSE()),"")</f>
        <v/>
      </c>
      <c r="AG754" s="152" t="str">
        <f>IFERROR(VLOOKUP(AB754,LISTS!$AR$2:$AS$1000,2,FALSE()),"")</f>
        <v/>
      </c>
      <c r="AH754" s="154" t="str">
        <f>IFERROR(VLOOKUP(AC754,LISTS!$AU$2:$AV$1000,2,FALSE()),"")</f>
        <v/>
      </c>
      <c r="AI754" s="238" t="str">
        <f t="shared" si="58"/>
        <v>—</v>
      </c>
      <c r="AJ754" s="190" t="str">
        <f t="shared" si="59"/>
        <v>—</v>
      </c>
      <c r="AK754" s="157" t="str">
        <f t="shared" si="60"/>
        <v/>
      </c>
      <c r="AL754" s="160" t="str">
        <f t="shared" si="61"/>
        <v/>
      </c>
      <c r="AM754" s="210"/>
      <c r="AN754" s="209"/>
    </row>
    <row r="755" spans="1:40" ht="27.95" customHeight="1">
      <c r="A755" s="134" t="str">
        <f>IF(I755&lt;&gt;"",COUNTA($I$2:I755),"")</f>
        <v/>
      </c>
      <c r="B755" s="138" t="str">
        <f t="shared" si="62"/>
        <v/>
      </c>
      <c r="C755" s="93" t="str">
        <f t="array" ref="C755">IF(E755="","",IF(M755&lt;&gt;"",
M755&amp;"/"&amp;SUMPRODUCT((M$2:M755=M755)*1)&amp;" - "&amp;(ROW()-2),
"إداري/"&amp;SUMPRODUCT((M$2:M755="")*1)&amp;" - "&amp;(ROW()-2)))</f>
        <v/>
      </c>
      <c r="D755" s="141" t="str">
        <f>IF(AND(G755="",H755="",I755=""),"",IF(COUNTIFS(LISTS!$A$2:$A$67,G755,LISTS!$B$2:$B$67,H755,LISTS!$C$2:$C$67,I755)=0,"✗ هرم",IF(NOT(OR(Z755="ممتاز 100%",Z755="جيد 80%",Z755="مقبول 60%",Z755="خطر 40%",Z755="")),"✗ قائمة R",IF(NOT(OR(AA755="ممتاز 100%",AA755="جيد 85%",AA755="مقبول 70%",AA755="ضعيف 50%",AA755="")),"✗ قائمة S",IF(NOT(OR(AB755="مكتمل 100%",AB755="جزئي 60%",AB755="معلق 30%",AB755="مفتوح 0%",AB755="")),"✗ قائمة T",IF(NOT(OR(AC755="لا خصم 0",AC755="تأخير −5",AC755="عجز −10",AC755="جودة −15",AC755="امتثال −20",AC755="مخالفة −25",AC755="")),"✗ قائمة U",IF(AND(X755="لا",AC755&lt;&gt;"",AC755&lt;&gt;"لا خصم 0"),"✗ خصم",IF(AND(X755="نعم",AC755="لا خصم 0"),"✗ خصم",IF(AND(Z755="ممتاز 100%",AA755="ممتاز 100%",AB755&lt;&gt;"",AB755&lt;&gt;"مكتمل 100%"),"✗ إغلاق",IFERROR(IF(LEN(_xlfn.TEXTJOIN("، ",TRUE,IF(E755="","التاريخ",""),IF(F755="","الوقت",""),IF(G755="","المركز",""),IF(H755="","الدائرة",""),IF(I755="","القسم",""),IF(J755="","المسؤول",""),IF(K755="","نوع النشاط",""),IF(L755="","المشروع",""),IF(N755="","الممول",""),IF(V755="","الموضوع",""),IF(W755="","الملاحظة",""),IF(X755="","مشكلة",""),IF(Y755="","الإجراء",""),IF(Z755="","التنفيذ",""),IF(AA755="","الجودة",""),IF(AB755="","الإغلاق",""),IF(AC755="","الخصم",""),IF(AND(COUNTA($O755:$U755)&gt;0,O755=""),"مدير المشروع",""),IF(AND(COUNTA($O755:$U755)&gt;0,P755=""),"المستفيدين",""),IF(AND(COUNTA($O755:$U755)&gt;0,Q755=""),"المناطق",""),IF(AND(COUNTA($O755:$U755)&gt;0,R755=""),"الميزانية",""),IF(AND(COUNTA($O755:$U755)&gt;0,S755=""),"نسبة الجاهزية",""),IF(AND(COUNTA($O755:$U755)&gt;0,T755=""),"حالة الجاهزية",""),IF(AND(COUNTA($O755:$U755)&gt;0,U755=""),"التوصيات","")))&gt;0,"✗ ناقص: "&amp;_xlfn.TEXTJOIN("، ",TRUE,IF(E755="","التاريخ",""),IF(F755="","الوقت",""),IF(G755="","المركز",""),IF(H755="","الدائرة",""),IF(I755="","القسم",""),IF(J755="","المسؤول",""),IF(K755="","نوع النشاط",""),IF(L755="","المشروع",""),IF(N755="","الممول",""),IF(V755="","الموضوع",""),IF(W755="","الملاحظة",""),IF(X755="","مشكلة",""),IF(Y755="","الإجراء",""),IF(Z755="","التنفيذ",""),IF(AA755="","الجودة",""),IF(AB755="","الإغلاق",""),IF(AC755="","الخصم",""),IF(AND(COUNTA($O755:$U755)&gt;0,O755=""),"مدير المشروع",""),IF(AND(COUNTA($O755:$U755)&gt;0,P755=""),"المستفيدين",""),IF(AND(COUNTA($O755:$U755)&gt;0,Q755=""),"المناطق",""),IF(AND(COUNTA($O755:$U755)&gt;0,R755=""),"الميزانية",""),IF(AND(COUNTA($O755:$U755)&gt;0,S755=""),"نسبة الجاهزية",""),IF(AND(COUNTA($O755:$U755)&gt;0,T755=""),"حالة الجاهزية",""),IF(AND(COUNTA($O755:$U755)&gt;0,U755=""),"التوصيات","")),"✓"),"✓"))))))))))</f>
        <v/>
      </c>
      <c r="E755" s="235"/>
      <c r="F755" s="236"/>
      <c r="G755" s="90"/>
      <c r="H755" s="239"/>
      <c r="I755" s="89"/>
      <c r="J755" s="142"/>
      <c r="K755" s="90"/>
      <c r="L755" s="90"/>
      <c r="M755" s="90"/>
      <c r="N755" s="89"/>
      <c r="O755" s="200"/>
      <c r="P755" s="201"/>
      <c r="Q755" s="201"/>
      <c r="R755" s="237"/>
      <c r="S755" s="202"/>
      <c r="T755" s="200"/>
      <c r="U755" s="203"/>
      <c r="V755" s="89"/>
      <c r="W755" s="89"/>
      <c r="X755" s="145"/>
      <c r="Y755" s="89"/>
      <c r="Z755" s="90"/>
      <c r="AA755" s="90"/>
      <c r="AB755" s="90"/>
      <c r="AC755" s="90"/>
      <c r="AD755" s="92"/>
      <c r="AE755" s="149" t="str">
        <f>IFERROR(VLOOKUP(Z755,LISTS!$AL$2:$AM$1000,2,FALSE()),"")</f>
        <v/>
      </c>
      <c r="AF755" s="151" t="str">
        <f>IFERROR(VLOOKUP(AA755,LISTS!$AO$2:$AP$1000,2,FALSE()),"")</f>
        <v/>
      </c>
      <c r="AG755" s="152" t="str">
        <f>IFERROR(VLOOKUP(AB755,LISTS!$AR$2:$AS$1000,2,FALSE()),"")</f>
        <v/>
      </c>
      <c r="AH755" s="154" t="str">
        <f>IFERROR(VLOOKUP(AC755,LISTS!$AU$2:$AV$1000,2,FALSE()),"")</f>
        <v/>
      </c>
      <c r="AI755" s="238" t="str">
        <f t="shared" si="58"/>
        <v>—</v>
      </c>
      <c r="AJ755" s="190" t="str">
        <f t="shared" si="59"/>
        <v>—</v>
      </c>
      <c r="AK755" s="157" t="str">
        <f t="shared" si="60"/>
        <v/>
      </c>
      <c r="AL755" s="160" t="str">
        <f t="shared" si="61"/>
        <v/>
      </c>
      <c r="AM755" s="210"/>
      <c r="AN755" s="209"/>
    </row>
    <row r="756" spans="1:40" ht="27.95" customHeight="1">
      <c r="A756" s="134" t="str">
        <f>IF(I756&lt;&gt;"",COUNTA($I$2:I756),"")</f>
        <v/>
      </c>
      <c r="B756" s="138" t="str">
        <f t="shared" si="62"/>
        <v/>
      </c>
      <c r="C756" s="93" t="str">
        <f t="array" ref="C756">IF(E756="","",IF(M756&lt;&gt;"",
M756&amp;"/"&amp;SUMPRODUCT((M$2:M756=M756)*1)&amp;" - "&amp;(ROW()-2),
"إداري/"&amp;SUMPRODUCT((M$2:M756="")*1)&amp;" - "&amp;(ROW()-2)))</f>
        <v/>
      </c>
      <c r="D756" s="141" t="str">
        <f>IF(AND(G756="",H756="",I756=""),"",IF(COUNTIFS(LISTS!$A$2:$A$67,G756,LISTS!$B$2:$B$67,H756,LISTS!$C$2:$C$67,I756)=0,"✗ هرم",IF(NOT(OR(Z756="ممتاز 100%",Z756="جيد 80%",Z756="مقبول 60%",Z756="خطر 40%",Z756="")),"✗ قائمة R",IF(NOT(OR(AA756="ممتاز 100%",AA756="جيد 85%",AA756="مقبول 70%",AA756="ضعيف 50%",AA756="")),"✗ قائمة S",IF(NOT(OR(AB756="مكتمل 100%",AB756="جزئي 60%",AB756="معلق 30%",AB756="مفتوح 0%",AB756="")),"✗ قائمة T",IF(NOT(OR(AC756="لا خصم 0",AC756="تأخير −5",AC756="عجز −10",AC756="جودة −15",AC756="امتثال −20",AC756="مخالفة −25",AC756="")),"✗ قائمة U",IF(AND(X756="لا",AC756&lt;&gt;"",AC756&lt;&gt;"لا خصم 0"),"✗ خصم",IF(AND(X756="نعم",AC756="لا خصم 0"),"✗ خصم",IF(AND(Z756="ممتاز 100%",AA756="ممتاز 100%",AB756&lt;&gt;"",AB756&lt;&gt;"مكتمل 100%"),"✗ إغلاق",IFERROR(IF(LEN(_xlfn.TEXTJOIN("، ",TRUE,IF(E756="","التاريخ",""),IF(F756="","الوقت",""),IF(G756="","المركز",""),IF(H756="","الدائرة",""),IF(I756="","القسم",""),IF(J756="","المسؤول",""),IF(K756="","نوع النشاط",""),IF(L756="","المشروع",""),IF(N756="","الممول",""),IF(V756="","الموضوع",""),IF(W756="","الملاحظة",""),IF(X756="","مشكلة",""),IF(Y756="","الإجراء",""),IF(Z756="","التنفيذ",""),IF(AA756="","الجودة",""),IF(AB756="","الإغلاق",""),IF(AC756="","الخصم",""),IF(AND(COUNTA($O756:$U756)&gt;0,O756=""),"مدير المشروع",""),IF(AND(COUNTA($O756:$U756)&gt;0,P756=""),"المستفيدين",""),IF(AND(COUNTA($O756:$U756)&gt;0,Q756=""),"المناطق",""),IF(AND(COUNTA($O756:$U756)&gt;0,R756=""),"الميزانية",""),IF(AND(COUNTA($O756:$U756)&gt;0,S756=""),"نسبة الجاهزية",""),IF(AND(COUNTA($O756:$U756)&gt;0,T756=""),"حالة الجاهزية",""),IF(AND(COUNTA($O756:$U756)&gt;0,U756=""),"التوصيات","")))&gt;0,"✗ ناقص: "&amp;_xlfn.TEXTJOIN("، ",TRUE,IF(E756="","التاريخ",""),IF(F756="","الوقت",""),IF(G756="","المركز",""),IF(H756="","الدائرة",""),IF(I756="","القسم",""),IF(J756="","المسؤول",""),IF(K756="","نوع النشاط",""),IF(L756="","المشروع",""),IF(N756="","الممول",""),IF(V756="","الموضوع",""),IF(W756="","الملاحظة",""),IF(X756="","مشكلة",""),IF(Y756="","الإجراء",""),IF(Z756="","التنفيذ",""),IF(AA756="","الجودة",""),IF(AB756="","الإغلاق",""),IF(AC756="","الخصم",""),IF(AND(COUNTA($O756:$U756)&gt;0,O756=""),"مدير المشروع",""),IF(AND(COUNTA($O756:$U756)&gt;0,P756=""),"المستفيدين",""),IF(AND(COUNTA($O756:$U756)&gt;0,Q756=""),"المناطق",""),IF(AND(COUNTA($O756:$U756)&gt;0,R756=""),"الميزانية",""),IF(AND(COUNTA($O756:$U756)&gt;0,S756=""),"نسبة الجاهزية",""),IF(AND(COUNTA($O756:$U756)&gt;0,T756=""),"حالة الجاهزية",""),IF(AND(COUNTA($O756:$U756)&gt;0,U756=""),"التوصيات","")),"✓"),"✓"))))))))))</f>
        <v/>
      </c>
      <c r="E756" s="235"/>
      <c r="F756" s="236"/>
      <c r="G756" s="90"/>
      <c r="H756" s="239"/>
      <c r="I756" s="89"/>
      <c r="J756" s="142"/>
      <c r="K756" s="90"/>
      <c r="L756" s="90"/>
      <c r="M756" s="90"/>
      <c r="N756" s="89"/>
      <c r="O756" s="200"/>
      <c r="P756" s="201"/>
      <c r="Q756" s="201"/>
      <c r="R756" s="237"/>
      <c r="S756" s="202"/>
      <c r="T756" s="200"/>
      <c r="U756" s="203"/>
      <c r="V756" s="89"/>
      <c r="W756" s="89"/>
      <c r="X756" s="145"/>
      <c r="Y756" s="89"/>
      <c r="Z756" s="90"/>
      <c r="AA756" s="90"/>
      <c r="AB756" s="90"/>
      <c r="AC756" s="90"/>
      <c r="AD756" s="92"/>
      <c r="AE756" s="149" t="str">
        <f>IFERROR(VLOOKUP(Z756,LISTS!$AL$2:$AM$1000,2,FALSE()),"")</f>
        <v/>
      </c>
      <c r="AF756" s="151" t="str">
        <f>IFERROR(VLOOKUP(AA756,LISTS!$AO$2:$AP$1000,2,FALSE()),"")</f>
        <v/>
      </c>
      <c r="AG756" s="152" t="str">
        <f>IFERROR(VLOOKUP(AB756,LISTS!$AR$2:$AS$1000,2,FALSE()),"")</f>
        <v/>
      </c>
      <c r="AH756" s="154" t="str">
        <f>IFERROR(VLOOKUP(AC756,LISTS!$AU$2:$AV$1000,2,FALSE()),"")</f>
        <v/>
      </c>
      <c r="AI756" s="238" t="str">
        <f t="shared" si="58"/>
        <v>—</v>
      </c>
      <c r="AJ756" s="190" t="str">
        <f t="shared" si="59"/>
        <v>—</v>
      </c>
      <c r="AK756" s="157" t="str">
        <f t="shared" si="60"/>
        <v/>
      </c>
      <c r="AL756" s="160" t="str">
        <f t="shared" si="61"/>
        <v/>
      </c>
      <c r="AM756" s="210"/>
      <c r="AN756" s="209"/>
    </row>
    <row r="757" spans="1:40" ht="27.95" customHeight="1">
      <c r="A757" s="134" t="str">
        <f>IF(I757&lt;&gt;"",COUNTA($I$2:I757),"")</f>
        <v/>
      </c>
      <c r="B757" s="138" t="str">
        <f t="shared" si="62"/>
        <v/>
      </c>
      <c r="C757" s="93" t="str">
        <f t="array" ref="C757">IF(E757="","",IF(M757&lt;&gt;"",
M757&amp;"/"&amp;SUMPRODUCT((M$2:M757=M757)*1)&amp;" - "&amp;(ROW()-2),
"إداري/"&amp;SUMPRODUCT((M$2:M757="")*1)&amp;" - "&amp;(ROW()-2)))</f>
        <v/>
      </c>
      <c r="D757" s="141" t="str">
        <f>IF(AND(G757="",H757="",I757=""),"",IF(COUNTIFS(LISTS!$A$2:$A$67,G757,LISTS!$B$2:$B$67,H757,LISTS!$C$2:$C$67,I757)=0,"✗ هرم",IF(NOT(OR(Z757="ممتاز 100%",Z757="جيد 80%",Z757="مقبول 60%",Z757="خطر 40%",Z757="")),"✗ قائمة R",IF(NOT(OR(AA757="ممتاز 100%",AA757="جيد 85%",AA757="مقبول 70%",AA757="ضعيف 50%",AA757="")),"✗ قائمة S",IF(NOT(OR(AB757="مكتمل 100%",AB757="جزئي 60%",AB757="معلق 30%",AB757="مفتوح 0%",AB757="")),"✗ قائمة T",IF(NOT(OR(AC757="لا خصم 0",AC757="تأخير −5",AC757="عجز −10",AC757="جودة −15",AC757="امتثال −20",AC757="مخالفة −25",AC757="")),"✗ قائمة U",IF(AND(X757="لا",AC757&lt;&gt;"",AC757&lt;&gt;"لا خصم 0"),"✗ خصم",IF(AND(X757="نعم",AC757="لا خصم 0"),"✗ خصم",IF(AND(Z757="ممتاز 100%",AA757="ممتاز 100%",AB757&lt;&gt;"",AB757&lt;&gt;"مكتمل 100%"),"✗ إغلاق",IFERROR(IF(LEN(_xlfn.TEXTJOIN("، ",TRUE,IF(E757="","التاريخ",""),IF(F757="","الوقت",""),IF(G757="","المركز",""),IF(H757="","الدائرة",""),IF(I757="","القسم",""),IF(J757="","المسؤول",""),IF(K757="","نوع النشاط",""),IF(L757="","المشروع",""),IF(N757="","الممول",""),IF(V757="","الموضوع",""),IF(W757="","الملاحظة",""),IF(X757="","مشكلة",""),IF(Y757="","الإجراء",""),IF(Z757="","التنفيذ",""),IF(AA757="","الجودة",""),IF(AB757="","الإغلاق",""),IF(AC757="","الخصم",""),IF(AND(COUNTA($O757:$U757)&gt;0,O757=""),"مدير المشروع",""),IF(AND(COUNTA($O757:$U757)&gt;0,P757=""),"المستفيدين",""),IF(AND(COUNTA($O757:$U757)&gt;0,Q757=""),"المناطق",""),IF(AND(COUNTA($O757:$U757)&gt;0,R757=""),"الميزانية",""),IF(AND(COUNTA($O757:$U757)&gt;0,S757=""),"نسبة الجاهزية",""),IF(AND(COUNTA($O757:$U757)&gt;0,T757=""),"حالة الجاهزية",""),IF(AND(COUNTA($O757:$U757)&gt;0,U757=""),"التوصيات","")))&gt;0,"✗ ناقص: "&amp;_xlfn.TEXTJOIN("، ",TRUE,IF(E757="","التاريخ",""),IF(F757="","الوقت",""),IF(G757="","المركز",""),IF(H757="","الدائرة",""),IF(I757="","القسم",""),IF(J757="","المسؤول",""),IF(K757="","نوع النشاط",""),IF(L757="","المشروع",""),IF(N757="","الممول",""),IF(V757="","الموضوع",""),IF(W757="","الملاحظة",""),IF(X757="","مشكلة",""),IF(Y757="","الإجراء",""),IF(Z757="","التنفيذ",""),IF(AA757="","الجودة",""),IF(AB757="","الإغلاق",""),IF(AC757="","الخصم",""),IF(AND(COUNTA($O757:$U757)&gt;0,O757=""),"مدير المشروع",""),IF(AND(COUNTA($O757:$U757)&gt;0,P757=""),"المستفيدين",""),IF(AND(COUNTA($O757:$U757)&gt;0,Q757=""),"المناطق",""),IF(AND(COUNTA($O757:$U757)&gt;0,R757=""),"الميزانية",""),IF(AND(COUNTA($O757:$U757)&gt;0,S757=""),"نسبة الجاهزية",""),IF(AND(COUNTA($O757:$U757)&gt;0,T757=""),"حالة الجاهزية",""),IF(AND(COUNTA($O757:$U757)&gt;0,U757=""),"التوصيات","")),"✓"),"✓"))))))))))</f>
        <v/>
      </c>
      <c r="E757" s="235"/>
      <c r="F757" s="236"/>
      <c r="G757" s="90"/>
      <c r="H757" s="239"/>
      <c r="I757" s="89"/>
      <c r="J757" s="142"/>
      <c r="K757" s="90"/>
      <c r="L757" s="90"/>
      <c r="M757" s="90"/>
      <c r="N757" s="89"/>
      <c r="O757" s="200"/>
      <c r="P757" s="201"/>
      <c r="Q757" s="201"/>
      <c r="R757" s="237"/>
      <c r="S757" s="202"/>
      <c r="T757" s="200"/>
      <c r="U757" s="203"/>
      <c r="V757" s="89"/>
      <c r="W757" s="89"/>
      <c r="X757" s="145"/>
      <c r="Y757" s="89"/>
      <c r="Z757" s="90"/>
      <c r="AA757" s="90"/>
      <c r="AB757" s="90"/>
      <c r="AC757" s="90"/>
      <c r="AD757" s="92"/>
      <c r="AE757" s="149" t="str">
        <f>IFERROR(VLOOKUP(Z757,LISTS!$AL$2:$AM$1000,2,FALSE()),"")</f>
        <v/>
      </c>
      <c r="AF757" s="151" t="str">
        <f>IFERROR(VLOOKUP(AA757,LISTS!$AO$2:$AP$1000,2,FALSE()),"")</f>
        <v/>
      </c>
      <c r="AG757" s="152" t="str">
        <f>IFERROR(VLOOKUP(AB757,LISTS!$AR$2:$AS$1000,2,FALSE()),"")</f>
        <v/>
      </c>
      <c r="AH757" s="154" t="str">
        <f>IFERROR(VLOOKUP(AC757,LISTS!$AU$2:$AV$1000,2,FALSE()),"")</f>
        <v/>
      </c>
      <c r="AI757" s="238" t="str">
        <f t="shared" si="58"/>
        <v>—</v>
      </c>
      <c r="AJ757" s="190" t="str">
        <f t="shared" si="59"/>
        <v>—</v>
      </c>
      <c r="AK757" s="157" t="str">
        <f t="shared" si="60"/>
        <v/>
      </c>
      <c r="AL757" s="160" t="str">
        <f t="shared" si="61"/>
        <v/>
      </c>
      <c r="AM757" s="210"/>
      <c r="AN757" s="209"/>
    </row>
    <row r="758" spans="1:40" ht="27.95" customHeight="1">
      <c r="A758" s="134" t="str">
        <f>IF(I758&lt;&gt;"",COUNTA($I$2:I758),"")</f>
        <v/>
      </c>
      <c r="B758" s="138" t="str">
        <f t="shared" si="62"/>
        <v/>
      </c>
      <c r="C758" s="93" t="str">
        <f t="array" ref="C758">IF(E758="","",IF(M758&lt;&gt;"",
M758&amp;"/"&amp;SUMPRODUCT((M$2:M758=M758)*1)&amp;" - "&amp;(ROW()-2),
"إداري/"&amp;SUMPRODUCT((M$2:M758="")*1)&amp;" - "&amp;(ROW()-2)))</f>
        <v/>
      </c>
      <c r="D758" s="141" t="str">
        <f>IF(AND(G758="",H758="",I758=""),"",IF(COUNTIFS(LISTS!$A$2:$A$67,G758,LISTS!$B$2:$B$67,H758,LISTS!$C$2:$C$67,I758)=0,"✗ هرم",IF(NOT(OR(Z758="ممتاز 100%",Z758="جيد 80%",Z758="مقبول 60%",Z758="خطر 40%",Z758="")),"✗ قائمة R",IF(NOT(OR(AA758="ممتاز 100%",AA758="جيد 85%",AA758="مقبول 70%",AA758="ضعيف 50%",AA758="")),"✗ قائمة S",IF(NOT(OR(AB758="مكتمل 100%",AB758="جزئي 60%",AB758="معلق 30%",AB758="مفتوح 0%",AB758="")),"✗ قائمة T",IF(NOT(OR(AC758="لا خصم 0",AC758="تأخير −5",AC758="عجز −10",AC758="جودة −15",AC758="امتثال −20",AC758="مخالفة −25",AC758="")),"✗ قائمة U",IF(AND(X758="لا",AC758&lt;&gt;"",AC758&lt;&gt;"لا خصم 0"),"✗ خصم",IF(AND(X758="نعم",AC758="لا خصم 0"),"✗ خصم",IF(AND(Z758="ممتاز 100%",AA758="ممتاز 100%",AB758&lt;&gt;"",AB758&lt;&gt;"مكتمل 100%"),"✗ إغلاق",IFERROR(IF(LEN(_xlfn.TEXTJOIN("، ",TRUE,IF(E758="","التاريخ",""),IF(F758="","الوقت",""),IF(G758="","المركز",""),IF(H758="","الدائرة",""),IF(I758="","القسم",""),IF(J758="","المسؤول",""),IF(K758="","نوع النشاط",""),IF(L758="","المشروع",""),IF(N758="","الممول",""),IF(V758="","الموضوع",""),IF(W758="","الملاحظة",""),IF(X758="","مشكلة",""),IF(Y758="","الإجراء",""),IF(Z758="","التنفيذ",""),IF(AA758="","الجودة",""),IF(AB758="","الإغلاق",""),IF(AC758="","الخصم",""),IF(AND(COUNTA($O758:$U758)&gt;0,O758=""),"مدير المشروع",""),IF(AND(COUNTA($O758:$U758)&gt;0,P758=""),"المستفيدين",""),IF(AND(COUNTA($O758:$U758)&gt;0,Q758=""),"المناطق",""),IF(AND(COUNTA($O758:$U758)&gt;0,R758=""),"الميزانية",""),IF(AND(COUNTA($O758:$U758)&gt;0,S758=""),"نسبة الجاهزية",""),IF(AND(COUNTA($O758:$U758)&gt;0,T758=""),"حالة الجاهزية",""),IF(AND(COUNTA($O758:$U758)&gt;0,U758=""),"التوصيات","")))&gt;0,"✗ ناقص: "&amp;_xlfn.TEXTJOIN("، ",TRUE,IF(E758="","التاريخ",""),IF(F758="","الوقت",""),IF(G758="","المركز",""),IF(H758="","الدائرة",""),IF(I758="","القسم",""),IF(J758="","المسؤول",""),IF(K758="","نوع النشاط",""),IF(L758="","المشروع",""),IF(N758="","الممول",""),IF(V758="","الموضوع",""),IF(W758="","الملاحظة",""),IF(X758="","مشكلة",""),IF(Y758="","الإجراء",""),IF(Z758="","التنفيذ",""),IF(AA758="","الجودة",""),IF(AB758="","الإغلاق",""),IF(AC758="","الخصم",""),IF(AND(COUNTA($O758:$U758)&gt;0,O758=""),"مدير المشروع",""),IF(AND(COUNTA($O758:$U758)&gt;0,P758=""),"المستفيدين",""),IF(AND(COUNTA($O758:$U758)&gt;0,Q758=""),"المناطق",""),IF(AND(COUNTA($O758:$U758)&gt;0,R758=""),"الميزانية",""),IF(AND(COUNTA($O758:$U758)&gt;0,S758=""),"نسبة الجاهزية",""),IF(AND(COUNTA($O758:$U758)&gt;0,T758=""),"حالة الجاهزية",""),IF(AND(COUNTA($O758:$U758)&gt;0,U758=""),"التوصيات","")),"✓"),"✓"))))))))))</f>
        <v/>
      </c>
      <c r="E758" s="235"/>
      <c r="F758" s="236"/>
      <c r="G758" s="90"/>
      <c r="H758" s="239"/>
      <c r="I758" s="89"/>
      <c r="J758" s="142"/>
      <c r="K758" s="90"/>
      <c r="L758" s="90"/>
      <c r="M758" s="90"/>
      <c r="N758" s="89"/>
      <c r="O758" s="200"/>
      <c r="P758" s="201"/>
      <c r="Q758" s="201"/>
      <c r="R758" s="237"/>
      <c r="S758" s="202"/>
      <c r="T758" s="200"/>
      <c r="U758" s="203"/>
      <c r="V758" s="89"/>
      <c r="W758" s="89"/>
      <c r="X758" s="145"/>
      <c r="Y758" s="89"/>
      <c r="Z758" s="90"/>
      <c r="AA758" s="90"/>
      <c r="AB758" s="90"/>
      <c r="AC758" s="90"/>
      <c r="AD758" s="92"/>
      <c r="AE758" s="149" t="str">
        <f>IFERROR(VLOOKUP(Z758,LISTS!$AL$2:$AM$1000,2,FALSE()),"")</f>
        <v/>
      </c>
      <c r="AF758" s="151" t="str">
        <f>IFERROR(VLOOKUP(AA758,LISTS!$AO$2:$AP$1000,2,FALSE()),"")</f>
        <v/>
      </c>
      <c r="AG758" s="152" t="str">
        <f>IFERROR(VLOOKUP(AB758,LISTS!$AR$2:$AS$1000,2,FALSE()),"")</f>
        <v/>
      </c>
      <c r="AH758" s="154" t="str">
        <f>IFERROR(VLOOKUP(AC758,LISTS!$AU$2:$AV$1000,2,FALSE()),"")</f>
        <v/>
      </c>
      <c r="AI758" s="238" t="str">
        <f t="shared" si="58"/>
        <v>—</v>
      </c>
      <c r="AJ758" s="190" t="str">
        <f t="shared" si="59"/>
        <v>—</v>
      </c>
      <c r="AK758" s="157" t="str">
        <f t="shared" si="60"/>
        <v/>
      </c>
      <c r="AL758" s="160" t="str">
        <f t="shared" si="61"/>
        <v/>
      </c>
      <c r="AM758" s="210"/>
      <c r="AN758" s="209"/>
    </row>
    <row r="759" spans="1:40" ht="27.95" customHeight="1">
      <c r="A759" s="134" t="str">
        <f>IF(I759&lt;&gt;"",COUNTA($I$2:I759),"")</f>
        <v/>
      </c>
      <c r="B759" s="138" t="str">
        <f t="shared" si="62"/>
        <v/>
      </c>
      <c r="C759" s="93" t="str">
        <f t="array" ref="C759">IF(E759="","",IF(M759&lt;&gt;"",
M759&amp;"/"&amp;SUMPRODUCT((M$2:M759=M759)*1)&amp;" - "&amp;(ROW()-2),
"إداري/"&amp;SUMPRODUCT((M$2:M759="")*1)&amp;" - "&amp;(ROW()-2)))</f>
        <v/>
      </c>
      <c r="D759" s="141" t="str">
        <f>IF(AND(G759="",H759="",I759=""),"",IF(COUNTIFS(LISTS!$A$2:$A$67,G759,LISTS!$B$2:$B$67,H759,LISTS!$C$2:$C$67,I759)=0,"✗ هرم",IF(NOT(OR(Z759="ممتاز 100%",Z759="جيد 80%",Z759="مقبول 60%",Z759="خطر 40%",Z759="")),"✗ قائمة R",IF(NOT(OR(AA759="ممتاز 100%",AA759="جيد 85%",AA759="مقبول 70%",AA759="ضعيف 50%",AA759="")),"✗ قائمة S",IF(NOT(OR(AB759="مكتمل 100%",AB759="جزئي 60%",AB759="معلق 30%",AB759="مفتوح 0%",AB759="")),"✗ قائمة T",IF(NOT(OR(AC759="لا خصم 0",AC759="تأخير −5",AC759="عجز −10",AC759="جودة −15",AC759="امتثال −20",AC759="مخالفة −25",AC759="")),"✗ قائمة U",IF(AND(X759="لا",AC759&lt;&gt;"",AC759&lt;&gt;"لا خصم 0"),"✗ خصم",IF(AND(X759="نعم",AC759="لا خصم 0"),"✗ خصم",IF(AND(Z759="ممتاز 100%",AA759="ممتاز 100%",AB759&lt;&gt;"",AB759&lt;&gt;"مكتمل 100%"),"✗ إغلاق",IFERROR(IF(LEN(_xlfn.TEXTJOIN("، ",TRUE,IF(E759="","التاريخ",""),IF(F759="","الوقت",""),IF(G759="","المركز",""),IF(H759="","الدائرة",""),IF(I759="","القسم",""),IF(J759="","المسؤول",""),IF(K759="","نوع النشاط",""),IF(L759="","المشروع",""),IF(N759="","الممول",""),IF(V759="","الموضوع",""),IF(W759="","الملاحظة",""),IF(X759="","مشكلة",""),IF(Y759="","الإجراء",""),IF(Z759="","التنفيذ",""),IF(AA759="","الجودة",""),IF(AB759="","الإغلاق",""),IF(AC759="","الخصم",""),IF(AND(COUNTA($O759:$U759)&gt;0,O759=""),"مدير المشروع",""),IF(AND(COUNTA($O759:$U759)&gt;0,P759=""),"المستفيدين",""),IF(AND(COUNTA($O759:$U759)&gt;0,Q759=""),"المناطق",""),IF(AND(COUNTA($O759:$U759)&gt;0,R759=""),"الميزانية",""),IF(AND(COUNTA($O759:$U759)&gt;0,S759=""),"نسبة الجاهزية",""),IF(AND(COUNTA($O759:$U759)&gt;0,T759=""),"حالة الجاهزية",""),IF(AND(COUNTA($O759:$U759)&gt;0,U759=""),"التوصيات","")))&gt;0,"✗ ناقص: "&amp;_xlfn.TEXTJOIN("، ",TRUE,IF(E759="","التاريخ",""),IF(F759="","الوقت",""),IF(G759="","المركز",""),IF(H759="","الدائرة",""),IF(I759="","القسم",""),IF(J759="","المسؤول",""),IF(K759="","نوع النشاط",""),IF(L759="","المشروع",""),IF(N759="","الممول",""),IF(V759="","الموضوع",""),IF(W759="","الملاحظة",""),IF(X759="","مشكلة",""),IF(Y759="","الإجراء",""),IF(Z759="","التنفيذ",""),IF(AA759="","الجودة",""),IF(AB759="","الإغلاق",""),IF(AC759="","الخصم",""),IF(AND(COUNTA($O759:$U759)&gt;0,O759=""),"مدير المشروع",""),IF(AND(COUNTA($O759:$U759)&gt;0,P759=""),"المستفيدين",""),IF(AND(COUNTA($O759:$U759)&gt;0,Q759=""),"المناطق",""),IF(AND(COUNTA($O759:$U759)&gt;0,R759=""),"الميزانية",""),IF(AND(COUNTA($O759:$U759)&gt;0,S759=""),"نسبة الجاهزية",""),IF(AND(COUNTA($O759:$U759)&gt;0,T759=""),"حالة الجاهزية",""),IF(AND(COUNTA($O759:$U759)&gt;0,U759=""),"التوصيات","")),"✓"),"✓"))))))))))</f>
        <v/>
      </c>
      <c r="E759" s="235"/>
      <c r="F759" s="236"/>
      <c r="G759" s="90"/>
      <c r="H759" s="239"/>
      <c r="I759" s="89"/>
      <c r="J759" s="142"/>
      <c r="K759" s="90"/>
      <c r="L759" s="90"/>
      <c r="M759" s="90"/>
      <c r="N759" s="89"/>
      <c r="O759" s="200"/>
      <c r="P759" s="201"/>
      <c r="Q759" s="201"/>
      <c r="R759" s="237"/>
      <c r="S759" s="202"/>
      <c r="T759" s="200"/>
      <c r="U759" s="203"/>
      <c r="V759" s="89"/>
      <c r="W759" s="89"/>
      <c r="X759" s="145"/>
      <c r="Y759" s="89"/>
      <c r="Z759" s="90"/>
      <c r="AA759" s="90"/>
      <c r="AB759" s="90"/>
      <c r="AC759" s="90"/>
      <c r="AD759" s="92"/>
      <c r="AE759" s="149" t="str">
        <f>IFERROR(VLOOKUP(Z759,LISTS!$AL$2:$AM$1000,2,FALSE()),"")</f>
        <v/>
      </c>
      <c r="AF759" s="151" t="str">
        <f>IFERROR(VLOOKUP(AA759,LISTS!$AO$2:$AP$1000,2,FALSE()),"")</f>
        <v/>
      </c>
      <c r="AG759" s="152" t="str">
        <f>IFERROR(VLOOKUP(AB759,LISTS!$AR$2:$AS$1000,2,FALSE()),"")</f>
        <v/>
      </c>
      <c r="AH759" s="154" t="str">
        <f>IFERROR(VLOOKUP(AC759,LISTS!$AU$2:$AV$1000,2,FALSE()),"")</f>
        <v/>
      </c>
      <c r="AI759" s="238" t="str">
        <f t="shared" si="58"/>
        <v>—</v>
      </c>
      <c r="AJ759" s="190" t="str">
        <f t="shared" si="59"/>
        <v>—</v>
      </c>
      <c r="AK759" s="157" t="str">
        <f t="shared" si="60"/>
        <v/>
      </c>
      <c r="AL759" s="160" t="str">
        <f t="shared" si="61"/>
        <v/>
      </c>
      <c r="AM759" s="210"/>
      <c r="AN759" s="209"/>
    </row>
    <row r="760" spans="1:40" ht="27.95" customHeight="1">
      <c r="A760" s="134" t="str">
        <f>IF(I760&lt;&gt;"",COUNTA($I$2:I760),"")</f>
        <v/>
      </c>
      <c r="B760" s="138" t="str">
        <f t="shared" si="62"/>
        <v/>
      </c>
      <c r="C760" s="93" t="str">
        <f t="array" ref="C760">IF(E760="","",IF(M760&lt;&gt;"",
M760&amp;"/"&amp;SUMPRODUCT((M$2:M760=M760)*1)&amp;" - "&amp;(ROW()-2),
"إداري/"&amp;SUMPRODUCT((M$2:M760="")*1)&amp;" - "&amp;(ROW()-2)))</f>
        <v/>
      </c>
      <c r="D760" s="141" t="str">
        <f>IF(AND(G760="",H760="",I760=""),"",IF(COUNTIFS(LISTS!$A$2:$A$67,G760,LISTS!$B$2:$B$67,H760,LISTS!$C$2:$C$67,I760)=0,"✗ هرم",IF(NOT(OR(Z760="ممتاز 100%",Z760="جيد 80%",Z760="مقبول 60%",Z760="خطر 40%",Z760="")),"✗ قائمة R",IF(NOT(OR(AA760="ممتاز 100%",AA760="جيد 85%",AA760="مقبول 70%",AA760="ضعيف 50%",AA760="")),"✗ قائمة S",IF(NOT(OR(AB760="مكتمل 100%",AB760="جزئي 60%",AB760="معلق 30%",AB760="مفتوح 0%",AB760="")),"✗ قائمة T",IF(NOT(OR(AC760="لا خصم 0",AC760="تأخير −5",AC760="عجز −10",AC760="جودة −15",AC760="امتثال −20",AC760="مخالفة −25",AC760="")),"✗ قائمة U",IF(AND(X760="لا",AC760&lt;&gt;"",AC760&lt;&gt;"لا خصم 0"),"✗ خصم",IF(AND(X760="نعم",AC760="لا خصم 0"),"✗ خصم",IF(AND(Z760="ممتاز 100%",AA760="ممتاز 100%",AB760&lt;&gt;"",AB760&lt;&gt;"مكتمل 100%"),"✗ إغلاق",IFERROR(IF(LEN(_xlfn.TEXTJOIN("، ",TRUE,IF(E760="","التاريخ",""),IF(F760="","الوقت",""),IF(G760="","المركز",""),IF(H760="","الدائرة",""),IF(I760="","القسم",""),IF(J760="","المسؤول",""),IF(K760="","نوع النشاط",""),IF(L760="","المشروع",""),IF(N760="","الممول",""),IF(V760="","الموضوع",""),IF(W760="","الملاحظة",""),IF(X760="","مشكلة",""),IF(Y760="","الإجراء",""),IF(Z760="","التنفيذ",""),IF(AA760="","الجودة",""),IF(AB760="","الإغلاق",""),IF(AC760="","الخصم",""),IF(AND(COUNTA($O760:$U760)&gt;0,O760=""),"مدير المشروع",""),IF(AND(COUNTA($O760:$U760)&gt;0,P760=""),"المستفيدين",""),IF(AND(COUNTA($O760:$U760)&gt;0,Q760=""),"المناطق",""),IF(AND(COUNTA($O760:$U760)&gt;0,R760=""),"الميزانية",""),IF(AND(COUNTA($O760:$U760)&gt;0,S760=""),"نسبة الجاهزية",""),IF(AND(COUNTA($O760:$U760)&gt;0,T760=""),"حالة الجاهزية",""),IF(AND(COUNTA($O760:$U760)&gt;0,U760=""),"التوصيات","")))&gt;0,"✗ ناقص: "&amp;_xlfn.TEXTJOIN("، ",TRUE,IF(E760="","التاريخ",""),IF(F760="","الوقت",""),IF(G760="","المركز",""),IF(H760="","الدائرة",""),IF(I760="","القسم",""),IF(J760="","المسؤول",""),IF(K760="","نوع النشاط",""),IF(L760="","المشروع",""),IF(N760="","الممول",""),IF(V760="","الموضوع",""),IF(W760="","الملاحظة",""),IF(X760="","مشكلة",""),IF(Y760="","الإجراء",""),IF(Z760="","التنفيذ",""),IF(AA760="","الجودة",""),IF(AB760="","الإغلاق",""),IF(AC760="","الخصم",""),IF(AND(COUNTA($O760:$U760)&gt;0,O760=""),"مدير المشروع",""),IF(AND(COUNTA($O760:$U760)&gt;0,P760=""),"المستفيدين",""),IF(AND(COUNTA($O760:$U760)&gt;0,Q760=""),"المناطق",""),IF(AND(COUNTA($O760:$U760)&gt;0,R760=""),"الميزانية",""),IF(AND(COUNTA($O760:$U760)&gt;0,S760=""),"نسبة الجاهزية",""),IF(AND(COUNTA($O760:$U760)&gt;0,T760=""),"حالة الجاهزية",""),IF(AND(COUNTA($O760:$U760)&gt;0,U760=""),"التوصيات","")),"✓"),"✓"))))))))))</f>
        <v/>
      </c>
      <c r="E760" s="235"/>
      <c r="F760" s="236"/>
      <c r="G760" s="90"/>
      <c r="H760" s="239"/>
      <c r="I760" s="89"/>
      <c r="J760" s="142"/>
      <c r="K760" s="90"/>
      <c r="L760" s="90"/>
      <c r="M760" s="90"/>
      <c r="N760" s="89"/>
      <c r="O760" s="200"/>
      <c r="P760" s="201"/>
      <c r="Q760" s="201"/>
      <c r="R760" s="237"/>
      <c r="S760" s="202"/>
      <c r="T760" s="200"/>
      <c r="U760" s="203"/>
      <c r="V760" s="89"/>
      <c r="W760" s="89"/>
      <c r="X760" s="145"/>
      <c r="Y760" s="89"/>
      <c r="Z760" s="90"/>
      <c r="AA760" s="90"/>
      <c r="AB760" s="90"/>
      <c r="AC760" s="90"/>
      <c r="AD760" s="92"/>
      <c r="AE760" s="149" t="str">
        <f>IFERROR(VLOOKUP(Z760,LISTS!$AL$2:$AM$1000,2,FALSE()),"")</f>
        <v/>
      </c>
      <c r="AF760" s="151" t="str">
        <f>IFERROR(VLOOKUP(AA760,LISTS!$AO$2:$AP$1000,2,FALSE()),"")</f>
        <v/>
      </c>
      <c r="AG760" s="152" t="str">
        <f>IFERROR(VLOOKUP(AB760,LISTS!$AR$2:$AS$1000,2,FALSE()),"")</f>
        <v/>
      </c>
      <c r="AH760" s="154" t="str">
        <f>IFERROR(VLOOKUP(AC760,LISTS!$AU$2:$AV$1000,2,FALSE()),"")</f>
        <v/>
      </c>
      <c r="AI760" s="238" t="str">
        <f t="shared" si="58"/>
        <v>—</v>
      </c>
      <c r="AJ760" s="190" t="str">
        <f t="shared" si="59"/>
        <v>—</v>
      </c>
      <c r="AK760" s="157" t="str">
        <f t="shared" si="60"/>
        <v/>
      </c>
      <c r="AL760" s="160" t="str">
        <f t="shared" si="61"/>
        <v/>
      </c>
      <c r="AM760" s="210"/>
      <c r="AN760" s="209"/>
    </row>
    <row r="761" spans="1:40" ht="27.95" customHeight="1">
      <c r="A761" s="134" t="str">
        <f>IF(I761&lt;&gt;"",COUNTA($I$2:I761),"")</f>
        <v/>
      </c>
      <c r="B761" s="138" t="str">
        <f t="shared" si="62"/>
        <v/>
      </c>
      <c r="C761" s="93" t="str">
        <f t="array" ref="C761">IF(E761="","",IF(M761&lt;&gt;"",
M761&amp;"/"&amp;SUMPRODUCT((M$2:M761=M761)*1)&amp;" - "&amp;(ROW()-2),
"إداري/"&amp;SUMPRODUCT((M$2:M761="")*1)&amp;" - "&amp;(ROW()-2)))</f>
        <v/>
      </c>
      <c r="D761" s="141" t="str">
        <f>IF(AND(G761="",H761="",I761=""),"",IF(COUNTIFS(LISTS!$A$2:$A$67,G761,LISTS!$B$2:$B$67,H761,LISTS!$C$2:$C$67,I761)=0,"✗ هرم",IF(NOT(OR(Z761="ممتاز 100%",Z761="جيد 80%",Z761="مقبول 60%",Z761="خطر 40%",Z761="")),"✗ قائمة R",IF(NOT(OR(AA761="ممتاز 100%",AA761="جيد 85%",AA761="مقبول 70%",AA761="ضعيف 50%",AA761="")),"✗ قائمة S",IF(NOT(OR(AB761="مكتمل 100%",AB761="جزئي 60%",AB761="معلق 30%",AB761="مفتوح 0%",AB761="")),"✗ قائمة T",IF(NOT(OR(AC761="لا خصم 0",AC761="تأخير −5",AC761="عجز −10",AC761="جودة −15",AC761="امتثال −20",AC761="مخالفة −25",AC761="")),"✗ قائمة U",IF(AND(X761="لا",AC761&lt;&gt;"",AC761&lt;&gt;"لا خصم 0"),"✗ خصم",IF(AND(X761="نعم",AC761="لا خصم 0"),"✗ خصم",IF(AND(Z761="ممتاز 100%",AA761="ممتاز 100%",AB761&lt;&gt;"",AB761&lt;&gt;"مكتمل 100%"),"✗ إغلاق",IFERROR(IF(LEN(_xlfn.TEXTJOIN("، ",TRUE,IF(E761="","التاريخ",""),IF(F761="","الوقت",""),IF(G761="","المركز",""),IF(H761="","الدائرة",""),IF(I761="","القسم",""),IF(J761="","المسؤول",""),IF(K761="","نوع النشاط",""),IF(L761="","المشروع",""),IF(N761="","الممول",""),IF(V761="","الموضوع",""),IF(W761="","الملاحظة",""),IF(X761="","مشكلة",""),IF(Y761="","الإجراء",""),IF(Z761="","التنفيذ",""),IF(AA761="","الجودة",""),IF(AB761="","الإغلاق",""),IF(AC761="","الخصم",""),IF(AND(COUNTA($O761:$U761)&gt;0,O761=""),"مدير المشروع",""),IF(AND(COUNTA($O761:$U761)&gt;0,P761=""),"المستفيدين",""),IF(AND(COUNTA($O761:$U761)&gt;0,Q761=""),"المناطق",""),IF(AND(COUNTA($O761:$U761)&gt;0,R761=""),"الميزانية",""),IF(AND(COUNTA($O761:$U761)&gt;0,S761=""),"نسبة الجاهزية",""),IF(AND(COUNTA($O761:$U761)&gt;0,T761=""),"حالة الجاهزية",""),IF(AND(COUNTA($O761:$U761)&gt;0,U761=""),"التوصيات","")))&gt;0,"✗ ناقص: "&amp;_xlfn.TEXTJOIN("، ",TRUE,IF(E761="","التاريخ",""),IF(F761="","الوقت",""),IF(G761="","المركز",""),IF(H761="","الدائرة",""),IF(I761="","القسم",""),IF(J761="","المسؤول",""),IF(K761="","نوع النشاط",""),IF(L761="","المشروع",""),IF(N761="","الممول",""),IF(V761="","الموضوع",""),IF(W761="","الملاحظة",""),IF(X761="","مشكلة",""),IF(Y761="","الإجراء",""),IF(Z761="","التنفيذ",""),IF(AA761="","الجودة",""),IF(AB761="","الإغلاق",""),IF(AC761="","الخصم",""),IF(AND(COUNTA($O761:$U761)&gt;0,O761=""),"مدير المشروع",""),IF(AND(COUNTA($O761:$U761)&gt;0,P761=""),"المستفيدين",""),IF(AND(COUNTA($O761:$U761)&gt;0,Q761=""),"المناطق",""),IF(AND(COUNTA($O761:$U761)&gt;0,R761=""),"الميزانية",""),IF(AND(COUNTA($O761:$U761)&gt;0,S761=""),"نسبة الجاهزية",""),IF(AND(COUNTA($O761:$U761)&gt;0,T761=""),"حالة الجاهزية",""),IF(AND(COUNTA($O761:$U761)&gt;0,U761=""),"التوصيات","")),"✓"),"✓"))))))))))</f>
        <v/>
      </c>
      <c r="E761" s="235"/>
      <c r="F761" s="236"/>
      <c r="G761" s="90"/>
      <c r="H761" s="239"/>
      <c r="I761" s="89"/>
      <c r="J761" s="142"/>
      <c r="K761" s="90"/>
      <c r="L761" s="90"/>
      <c r="M761" s="90"/>
      <c r="N761" s="89"/>
      <c r="O761" s="200"/>
      <c r="P761" s="201"/>
      <c r="Q761" s="201"/>
      <c r="R761" s="237"/>
      <c r="S761" s="202"/>
      <c r="T761" s="200"/>
      <c r="U761" s="203"/>
      <c r="V761" s="89"/>
      <c r="W761" s="89"/>
      <c r="X761" s="145"/>
      <c r="Y761" s="89"/>
      <c r="Z761" s="90"/>
      <c r="AA761" s="90"/>
      <c r="AB761" s="90"/>
      <c r="AC761" s="90"/>
      <c r="AD761" s="92"/>
      <c r="AE761" s="149" t="str">
        <f>IFERROR(VLOOKUP(Z761,LISTS!$AL$2:$AM$1000,2,FALSE()),"")</f>
        <v/>
      </c>
      <c r="AF761" s="151" t="str">
        <f>IFERROR(VLOOKUP(AA761,LISTS!$AO$2:$AP$1000,2,FALSE()),"")</f>
        <v/>
      </c>
      <c r="AG761" s="152" t="str">
        <f>IFERROR(VLOOKUP(AB761,LISTS!$AR$2:$AS$1000,2,FALSE()),"")</f>
        <v/>
      </c>
      <c r="AH761" s="154" t="str">
        <f>IFERROR(VLOOKUP(AC761,LISTS!$AU$2:$AV$1000,2,FALSE()),"")</f>
        <v/>
      </c>
      <c r="AI761" s="238" t="str">
        <f t="shared" si="58"/>
        <v>—</v>
      </c>
      <c r="AJ761" s="190" t="str">
        <f t="shared" si="59"/>
        <v>—</v>
      </c>
      <c r="AK761" s="157" t="str">
        <f t="shared" si="60"/>
        <v/>
      </c>
      <c r="AL761" s="160" t="str">
        <f t="shared" si="61"/>
        <v/>
      </c>
      <c r="AM761" s="210"/>
      <c r="AN761" s="209"/>
    </row>
    <row r="762" spans="1:40" ht="27.95" customHeight="1">
      <c r="A762" s="134" t="str">
        <f>IF(I762&lt;&gt;"",COUNTA($I$2:I762),"")</f>
        <v/>
      </c>
      <c r="B762" s="138" t="str">
        <f t="shared" si="62"/>
        <v/>
      </c>
      <c r="C762" s="93" t="str">
        <f t="array" ref="C762">IF(E762="","",IF(M762&lt;&gt;"",
M762&amp;"/"&amp;SUMPRODUCT((M$2:M762=M762)*1)&amp;" - "&amp;(ROW()-2),
"إداري/"&amp;SUMPRODUCT((M$2:M762="")*1)&amp;" - "&amp;(ROW()-2)))</f>
        <v/>
      </c>
      <c r="D762" s="141" t="str">
        <f>IF(AND(G762="",H762="",I762=""),"",IF(COUNTIFS(LISTS!$A$2:$A$67,G762,LISTS!$B$2:$B$67,H762,LISTS!$C$2:$C$67,I762)=0,"✗ هرم",IF(NOT(OR(Z762="ممتاز 100%",Z762="جيد 80%",Z762="مقبول 60%",Z762="خطر 40%",Z762="")),"✗ قائمة R",IF(NOT(OR(AA762="ممتاز 100%",AA762="جيد 85%",AA762="مقبول 70%",AA762="ضعيف 50%",AA762="")),"✗ قائمة S",IF(NOT(OR(AB762="مكتمل 100%",AB762="جزئي 60%",AB762="معلق 30%",AB762="مفتوح 0%",AB762="")),"✗ قائمة T",IF(NOT(OR(AC762="لا خصم 0",AC762="تأخير −5",AC762="عجز −10",AC762="جودة −15",AC762="امتثال −20",AC762="مخالفة −25",AC762="")),"✗ قائمة U",IF(AND(X762="لا",AC762&lt;&gt;"",AC762&lt;&gt;"لا خصم 0"),"✗ خصم",IF(AND(X762="نعم",AC762="لا خصم 0"),"✗ خصم",IF(AND(Z762="ممتاز 100%",AA762="ممتاز 100%",AB762&lt;&gt;"",AB762&lt;&gt;"مكتمل 100%"),"✗ إغلاق",IFERROR(IF(LEN(_xlfn.TEXTJOIN("، ",TRUE,IF(E762="","التاريخ",""),IF(F762="","الوقت",""),IF(G762="","المركز",""),IF(H762="","الدائرة",""),IF(I762="","القسم",""),IF(J762="","المسؤول",""),IF(K762="","نوع النشاط",""),IF(L762="","المشروع",""),IF(N762="","الممول",""),IF(V762="","الموضوع",""),IF(W762="","الملاحظة",""),IF(X762="","مشكلة",""),IF(Y762="","الإجراء",""),IF(Z762="","التنفيذ",""),IF(AA762="","الجودة",""),IF(AB762="","الإغلاق",""),IF(AC762="","الخصم",""),IF(AND(COUNTA($O762:$U762)&gt;0,O762=""),"مدير المشروع",""),IF(AND(COUNTA($O762:$U762)&gt;0,P762=""),"المستفيدين",""),IF(AND(COUNTA($O762:$U762)&gt;0,Q762=""),"المناطق",""),IF(AND(COUNTA($O762:$U762)&gt;0,R762=""),"الميزانية",""),IF(AND(COUNTA($O762:$U762)&gt;0,S762=""),"نسبة الجاهزية",""),IF(AND(COUNTA($O762:$U762)&gt;0,T762=""),"حالة الجاهزية",""),IF(AND(COUNTA($O762:$U762)&gt;0,U762=""),"التوصيات","")))&gt;0,"✗ ناقص: "&amp;_xlfn.TEXTJOIN("، ",TRUE,IF(E762="","التاريخ",""),IF(F762="","الوقت",""),IF(G762="","المركز",""),IF(H762="","الدائرة",""),IF(I762="","القسم",""),IF(J762="","المسؤول",""),IF(K762="","نوع النشاط",""),IF(L762="","المشروع",""),IF(N762="","الممول",""),IF(V762="","الموضوع",""),IF(W762="","الملاحظة",""),IF(X762="","مشكلة",""),IF(Y762="","الإجراء",""),IF(Z762="","التنفيذ",""),IF(AA762="","الجودة",""),IF(AB762="","الإغلاق",""),IF(AC762="","الخصم",""),IF(AND(COUNTA($O762:$U762)&gt;0,O762=""),"مدير المشروع",""),IF(AND(COUNTA($O762:$U762)&gt;0,P762=""),"المستفيدين",""),IF(AND(COUNTA($O762:$U762)&gt;0,Q762=""),"المناطق",""),IF(AND(COUNTA($O762:$U762)&gt;0,R762=""),"الميزانية",""),IF(AND(COUNTA($O762:$U762)&gt;0,S762=""),"نسبة الجاهزية",""),IF(AND(COUNTA($O762:$U762)&gt;0,T762=""),"حالة الجاهزية",""),IF(AND(COUNTA($O762:$U762)&gt;0,U762=""),"التوصيات","")),"✓"),"✓"))))))))))</f>
        <v/>
      </c>
      <c r="E762" s="235"/>
      <c r="F762" s="236"/>
      <c r="G762" s="90"/>
      <c r="H762" s="239"/>
      <c r="I762" s="89"/>
      <c r="J762" s="142"/>
      <c r="K762" s="90"/>
      <c r="L762" s="90"/>
      <c r="M762" s="90"/>
      <c r="N762" s="89"/>
      <c r="O762" s="200"/>
      <c r="P762" s="201"/>
      <c r="Q762" s="201"/>
      <c r="R762" s="237"/>
      <c r="S762" s="202"/>
      <c r="T762" s="200"/>
      <c r="U762" s="203"/>
      <c r="V762" s="89"/>
      <c r="W762" s="89"/>
      <c r="X762" s="145"/>
      <c r="Y762" s="89"/>
      <c r="Z762" s="90"/>
      <c r="AA762" s="90"/>
      <c r="AB762" s="90"/>
      <c r="AC762" s="90"/>
      <c r="AD762" s="92"/>
      <c r="AE762" s="149" t="str">
        <f>IFERROR(VLOOKUP(Z762,LISTS!$AL$2:$AM$1000,2,FALSE()),"")</f>
        <v/>
      </c>
      <c r="AF762" s="151" t="str">
        <f>IFERROR(VLOOKUP(AA762,LISTS!$AO$2:$AP$1000,2,FALSE()),"")</f>
        <v/>
      </c>
      <c r="AG762" s="152" t="str">
        <f>IFERROR(VLOOKUP(AB762,LISTS!$AR$2:$AS$1000,2,FALSE()),"")</f>
        <v/>
      </c>
      <c r="AH762" s="154" t="str">
        <f>IFERROR(VLOOKUP(AC762,LISTS!$AU$2:$AV$1000,2,FALSE()),"")</f>
        <v/>
      </c>
      <c r="AI762" s="238" t="str">
        <f t="shared" si="58"/>
        <v>—</v>
      </c>
      <c r="AJ762" s="190" t="str">
        <f t="shared" si="59"/>
        <v>—</v>
      </c>
      <c r="AK762" s="157" t="str">
        <f t="shared" si="60"/>
        <v/>
      </c>
      <c r="AL762" s="160" t="str">
        <f t="shared" si="61"/>
        <v/>
      </c>
      <c r="AM762" s="210"/>
      <c r="AN762" s="209"/>
    </row>
    <row r="763" spans="1:40" ht="27.95" customHeight="1">
      <c r="A763" s="134" t="str">
        <f>IF(I763&lt;&gt;"",COUNTA($I$2:I763),"")</f>
        <v/>
      </c>
      <c r="B763" s="138" t="str">
        <f t="shared" si="62"/>
        <v/>
      </c>
      <c r="C763" s="93" t="str">
        <f t="array" ref="C763">IF(E763="","",IF(M763&lt;&gt;"",
M763&amp;"/"&amp;SUMPRODUCT((M$2:M763=M763)*1)&amp;" - "&amp;(ROW()-2),
"إداري/"&amp;SUMPRODUCT((M$2:M763="")*1)&amp;" - "&amp;(ROW()-2)))</f>
        <v/>
      </c>
      <c r="D763" s="141" t="str">
        <f>IF(AND(G763="",H763="",I763=""),"",IF(COUNTIFS(LISTS!$A$2:$A$67,G763,LISTS!$B$2:$B$67,H763,LISTS!$C$2:$C$67,I763)=0,"✗ هرم",IF(NOT(OR(Z763="ممتاز 100%",Z763="جيد 80%",Z763="مقبول 60%",Z763="خطر 40%",Z763="")),"✗ قائمة R",IF(NOT(OR(AA763="ممتاز 100%",AA763="جيد 85%",AA763="مقبول 70%",AA763="ضعيف 50%",AA763="")),"✗ قائمة S",IF(NOT(OR(AB763="مكتمل 100%",AB763="جزئي 60%",AB763="معلق 30%",AB763="مفتوح 0%",AB763="")),"✗ قائمة T",IF(NOT(OR(AC763="لا خصم 0",AC763="تأخير −5",AC763="عجز −10",AC763="جودة −15",AC763="امتثال −20",AC763="مخالفة −25",AC763="")),"✗ قائمة U",IF(AND(X763="لا",AC763&lt;&gt;"",AC763&lt;&gt;"لا خصم 0"),"✗ خصم",IF(AND(X763="نعم",AC763="لا خصم 0"),"✗ خصم",IF(AND(Z763="ممتاز 100%",AA763="ممتاز 100%",AB763&lt;&gt;"",AB763&lt;&gt;"مكتمل 100%"),"✗ إغلاق",IFERROR(IF(LEN(_xlfn.TEXTJOIN("، ",TRUE,IF(E763="","التاريخ",""),IF(F763="","الوقت",""),IF(G763="","المركز",""),IF(H763="","الدائرة",""),IF(I763="","القسم",""),IF(J763="","المسؤول",""),IF(K763="","نوع النشاط",""),IF(L763="","المشروع",""),IF(N763="","الممول",""),IF(V763="","الموضوع",""),IF(W763="","الملاحظة",""),IF(X763="","مشكلة",""),IF(Y763="","الإجراء",""),IF(Z763="","التنفيذ",""),IF(AA763="","الجودة",""),IF(AB763="","الإغلاق",""),IF(AC763="","الخصم",""),IF(AND(COUNTA($O763:$U763)&gt;0,O763=""),"مدير المشروع",""),IF(AND(COUNTA($O763:$U763)&gt;0,P763=""),"المستفيدين",""),IF(AND(COUNTA($O763:$U763)&gt;0,Q763=""),"المناطق",""),IF(AND(COUNTA($O763:$U763)&gt;0,R763=""),"الميزانية",""),IF(AND(COUNTA($O763:$U763)&gt;0,S763=""),"نسبة الجاهزية",""),IF(AND(COUNTA($O763:$U763)&gt;0,T763=""),"حالة الجاهزية",""),IF(AND(COUNTA($O763:$U763)&gt;0,U763=""),"التوصيات","")))&gt;0,"✗ ناقص: "&amp;_xlfn.TEXTJOIN("، ",TRUE,IF(E763="","التاريخ",""),IF(F763="","الوقت",""),IF(G763="","المركز",""),IF(H763="","الدائرة",""),IF(I763="","القسم",""),IF(J763="","المسؤول",""),IF(K763="","نوع النشاط",""),IF(L763="","المشروع",""),IF(N763="","الممول",""),IF(V763="","الموضوع",""),IF(W763="","الملاحظة",""),IF(X763="","مشكلة",""),IF(Y763="","الإجراء",""),IF(Z763="","التنفيذ",""),IF(AA763="","الجودة",""),IF(AB763="","الإغلاق",""),IF(AC763="","الخصم",""),IF(AND(COUNTA($O763:$U763)&gt;0,O763=""),"مدير المشروع",""),IF(AND(COUNTA($O763:$U763)&gt;0,P763=""),"المستفيدين",""),IF(AND(COUNTA($O763:$U763)&gt;0,Q763=""),"المناطق",""),IF(AND(COUNTA($O763:$U763)&gt;0,R763=""),"الميزانية",""),IF(AND(COUNTA($O763:$U763)&gt;0,S763=""),"نسبة الجاهزية",""),IF(AND(COUNTA($O763:$U763)&gt;0,T763=""),"حالة الجاهزية",""),IF(AND(COUNTA($O763:$U763)&gt;0,U763=""),"التوصيات","")),"✓"),"✓"))))))))))</f>
        <v/>
      </c>
      <c r="E763" s="235"/>
      <c r="F763" s="236"/>
      <c r="G763" s="90"/>
      <c r="H763" s="239"/>
      <c r="I763" s="89"/>
      <c r="J763" s="142"/>
      <c r="K763" s="90"/>
      <c r="L763" s="90"/>
      <c r="M763" s="90"/>
      <c r="N763" s="89"/>
      <c r="O763" s="200"/>
      <c r="P763" s="201"/>
      <c r="Q763" s="201"/>
      <c r="R763" s="237"/>
      <c r="S763" s="202"/>
      <c r="T763" s="200"/>
      <c r="U763" s="203"/>
      <c r="V763" s="89"/>
      <c r="W763" s="89"/>
      <c r="X763" s="145"/>
      <c r="Y763" s="89"/>
      <c r="Z763" s="90"/>
      <c r="AA763" s="90"/>
      <c r="AB763" s="90"/>
      <c r="AC763" s="90"/>
      <c r="AD763" s="92"/>
      <c r="AE763" s="149" t="str">
        <f>IFERROR(VLOOKUP(Z763,LISTS!$AL$2:$AM$1000,2,FALSE()),"")</f>
        <v/>
      </c>
      <c r="AF763" s="151" t="str">
        <f>IFERROR(VLOOKUP(AA763,LISTS!$AO$2:$AP$1000,2,FALSE()),"")</f>
        <v/>
      </c>
      <c r="AG763" s="152" t="str">
        <f>IFERROR(VLOOKUP(AB763,LISTS!$AR$2:$AS$1000,2,FALSE()),"")</f>
        <v/>
      </c>
      <c r="AH763" s="154" t="str">
        <f>IFERROR(VLOOKUP(AC763,LISTS!$AU$2:$AV$1000,2,FALSE()),"")</f>
        <v/>
      </c>
      <c r="AI763" s="238" t="str">
        <f t="shared" si="58"/>
        <v>—</v>
      </c>
      <c r="AJ763" s="190" t="str">
        <f t="shared" si="59"/>
        <v>—</v>
      </c>
      <c r="AK763" s="157" t="str">
        <f t="shared" si="60"/>
        <v/>
      </c>
      <c r="AL763" s="160" t="str">
        <f t="shared" si="61"/>
        <v/>
      </c>
      <c r="AM763" s="210"/>
      <c r="AN763" s="209"/>
    </row>
    <row r="764" spans="1:40" ht="27.95" customHeight="1">
      <c r="A764" s="134" t="str">
        <f>IF(I764&lt;&gt;"",COUNTA($I$2:I764),"")</f>
        <v/>
      </c>
      <c r="B764" s="138" t="str">
        <f t="shared" si="62"/>
        <v/>
      </c>
      <c r="C764" s="93" t="str">
        <f t="array" ref="C764">IF(E764="","",IF(M764&lt;&gt;"",
M764&amp;"/"&amp;SUMPRODUCT((M$2:M764=M764)*1)&amp;" - "&amp;(ROW()-2),
"إداري/"&amp;SUMPRODUCT((M$2:M764="")*1)&amp;" - "&amp;(ROW()-2)))</f>
        <v/>
      </c>
      <c r="D764" s="141" t="str">
        <f>IF(AND(G764="",H764="",I764=""),"",IF(COUNTIFS(LISTS!$A$2:$A$67,G764,LISTS!$B$2:$B$67,H764,LISTS!$C$2:$C$67,I764)=0,"✗ هرم",IF(NOT(OR(Z764="ممتاز 100%",Z764="جيد 80%",Z764="مقبول 60%",Z764="خطر 40%",Z764="")),"✗ قائمة R",IF(NOT(OR(AA764="ممتاز 100%",AA764="جيد 85%",AA764="مقبول 70%",AA764="ضعيف 50%",AA764="")),"✗ قائمة S",IF(NOT(OR(AB764="مكتمل 100%",AB764="جزئي 60%",AB764="معلق 30%",AB764="مفتوح 0%",AB764="")),"✗ قائمة T",IF(NOT(OR(AC764="لا خصم 0",AC764="تأخير −5",AC764="عجز −10",AC764="جودة −15",AC764="امتثال −20",AC764="مخالفة −25",AC764="")),"✗ قائمة U",IF(AND(X764="لا",AC764&lt;&gt;"",AC764&lt;&gt;"لا خصم 0"),"✗ خصم",IF(AND(X764="نعم",AC764="لا خصم 0"),"✗ خصم",IF(AND(Z764="ممتاز 100%",AA764="ممتاز 100%",AB764&lt;&gt;"",AB764&lt;&gt;"مكتمل 100%"),"✗ إغلاق",IFERROR(IF(LEN(_xlfn.TEXTJOIN("، ",TRUE,IF(E764="","التاريخ",""),IF(F764="","الوقت",""),IF(G764="","المركز",""),IF(H764="","الدائرة",""),IF(I764="","القسم",""),IF(J764="","المسؤول",""),IF(K764="","نوع النشاط",""),IF(L764="","المشروع",""),IF(N764="","الممول",""),IF(V764="","الموضوع",""),IF(W764="","الملاحظة",""),IF(X764="","مشكلة",""),IF(Y764="","الإجراء",""),IF(Z764="","التنفيذ",""),IF(AA764="","الجودة",""),IF(AB764="","الإغلاق",""),IF(AC764="","الخصم",""),IF(AND(COUNTA($O764:$U764)&gt;0,O764=""),"مدير المشروع",""),IF(AND(COUNTA($O764:$U764)&gt;0,P764=""),"المستفيدين",""),IF(AND(COUNTA($O764:$U764)&gt;0,Q764=""),"المناطق",""),IF(AND(COUNTA($O764:$U764)&gt;0,R764=""),"الميزانية",""),IF(AND(COUNTA($O764:$U764)&gt;0,S764=""),"نسبة الجاهزية",""),IF(AND(COUNTA($O764:$U764)&gt;0,T764=""),"حالة الجاهزية",""),IF(AND(COUNTA($O764:$U764)&gt;0,U764=""),"التوصيات","")))&gt;0,"✗ ناقص: "&amp;_xlfn.TEXTJOIN("، ",TRUE,IF(E764="","التاريخ",""),IF(F764="","الوقت",""),IF(G764="","المركز",""),IF(H764="","الدائرة",""),IF(I764="","القسم",""),IF(J764="","المسؤول",""),IF(K764="","نوع النشاط",""),IF(L764="","المشروع",""),IF(N764="","الممول",""),IF(V764="","الموضوع",""),IF(W764="","الملاحظة",""),IF(X764="","مشكلة",""),IF(Y764="","الإجراء",""),IF(Z764="","التنفيذ",""),IF(AA764="","الجودة",""),IF(AB764="","الإغلاق",""),IF(AC764="","الخصم",""),IF(AND(COUNTA($O764:$U764)&gt;0,O764=""),"مدير المشروع",""),IF(AND(COUNTA($O764:$U764)&gt;0,P764=""),"المستفيدين",""),IF(AND(COUNTA($O764:$U764)&gt;0,Q764=""),"المناطق",""),IF(AND(COUNTA($O764:$U764)&gt;0,R764=""),"الميزانية",""),IF(AND(COUNTA($O764:$U764)&gt;0,S764=""),"نسبة الجاهزية",""),IF(AND(COUNTA($O764:$U764)&gt;0,T764=""),"حالة الجاهزية",""),IF(AND(COUNTA($O764:$U764)&gt;0,U764=""),"التوصيات","")),"✓"),"✓"))))))))))</f>
        <v/>
      </c>
      <c r="E764" s="235"/>
      <c r="F764" s="236"/>
      <c r="G764" s="90"/>
      <c r="H764" s="239"/>
      <c r="I764" s="89"/>
      <c r="J764" s="142"/>
      <c r="K764" s="90"/>
      <c r="L764" s="90"/>
      <c r="M764" s="90"/>
      <c r="N764" s="89"/>
      <c r="O764" s="200"/>
      <c r="P764" s="201"/>
      <c r="Q764" s="201"/>
      <c r="R764" s="237"/>
      <c r="S764" s="202"/>
      <c r="T764" s="200"/>
      <c r="U764" s="203"/>
      <c r="V764" s="89"/>
      <c r="W764" s="89"/>
      <c r="X764" s="145"/>
      <c r="Y764" s="89"/>
      <c r="Z764" s="90"/>
      <c r="AA764" s="90"/>
      <c r="AB764" s="90"/>
      <c r="AC764" s="90"/>
      <c r="AD764" s="92"/>
      <c r="AE764" s="149" t="str">
        <f>IFERROR(VLOOKUP(Z764,LISTS!$AL$2:$AM$1000,2,FALSE()),"")</f>
        <v/>
      </c>
      <c r="AF764" s="151" t="str">
        <f>IFERROR(VLOOKUP(AA764,LISTS!$AO$2:$AP$1000,2,FALSE()),"")</f>
        <v/>
      </c>
      <c r="AG764" s="152" t="str">
        <f>IFERROR(VLOOKUP(AB764,LISTS!$AR$2:$AS$1000,2,FALSE()),"")</f>
        <v/>
      </c>
      <c r="AH764" s="154" t="str">
        <f>IFERROR(VLOOKUP(AC764,LISTS!$AU$2:$AV$1000,2,FALSE()),"")</f>
        <v/>
      </c>
      <c r="AI764" s="238" t="str">
        <f t="shared" si="58"/>
        <v>—</v>
      </c>
      <c r="AJ764" s="190" t="str">
        <f t="shared" si="59"/>
        <v>—</v>
      </c>
      <c r="AK764" s="157" t="str">
        <f t="shared" si="60"/>
        <v/>
      </c>
      <c r="AL764" s="160" t="str">
        <f t="shared" si="61"/>
        <v/>
      </c>
      <c r="AM764" s="210"/>
      <c r="AN764" s="209"/>
    </row>
    <row r="765" spans="1:40" ht="27.95" customHeight="1">
      <c r="A765" s="134" t="str">
        <f>IF(I765&lt;&gt;"",COUNTA($I$2:I765),"")</f>
        <v/>
      </c>
      <c r="B765" s="138" t="str">
        <f t="shared" si="62"/>
        <v/>
      </c>
      <c r="C765" s="93" t="str">
        <f t="array" ref="C765">IF(E765="","",IF(M765&lt;&gt;"",
M765&amp;"/"&amp;SUMPRODUCT((M$2:M765=M765)*1)&amp;" - "&amp;(ROW()-2),
"إداري/"&amp;SUMPRODUCT((M$2:M765="")*1)&amp;" - "&amp;(ROW()-2)))</f>
        <v/>
      </c>
      <c r="D765" s="141" t="str">
        <f>IF(AND(G765="",H765="",I765=""),"",IF(COUNTIFS(LISTS!$A$2:$A$67,G765,LISTS!$B$2:$B$67,H765,LISTS!$C$2:$C$67,I765)=0,"✗ هرم",IF(NOT(OR(Z765="ممتاز 100%",Z765="جيد 80%",Z765="مقبول 60%",Z765="خطر 40%",Z765="")),"✗ قائمة R",IF(NOT(OR(AA765="ممتاز 100%",AA765="جيد 85%",AA765="مقبول 70%",AA765="ضعيف 50%",AA765="")),"✗ قائمة S",IF(NOT(OR(AB765="مكتمل 100%",AB765="جزئي 60%",AB765="معلق 30%",AB765="مفتوح 0%",AB765="")),"✗ قائمة T",IF(NOT(OR(AC765="لا خصم 0",AC765="تأخير −5",AC765="عجز −10",AC765="جودة −15",AC765="امتثال −20",AC765="مخالفة −25",AC765="")),"✗ قائمة U",IF(AND(X765="لا",AC765&lt;&gt;"",AC765&lt;&gt;"لا خصم 0"),"✗ خصم",IF(AND(X765="نعم",AC765="لا خصم 0"),"✗ خصم",IF(AND(Z765="ممتاز 100%",AA765="ممتاز 100%",AB765&lt;&gt;"",AB765&lt;&gt;"مكتمل 100%"),"✗ إغلاق",IFERROR(IF(LEN(_xlfn.TEXTJOIN("، ",TRUE,IF(E765="","التاريخ",""),IF(F765="","الوقت",""),IF(G765="","المركز",""),IF(H765="","الدائرة",""),IF(I765="","القسم",""),IF(J765="","المسؤول",""),IF(K765="","نوع النشاط",""),IF(L765="","المشروع",""),IF(N765="","الممول",""),IF(V765="","الموضوع",""),IF(W765="","الملاحظة",""),IF(X765="","مشكلة",""),IF(Y765="","الإجراء",""),IF(Z765="","التنفيذ",""),IF(AA765="","الجودة",""),IF(AB765="","الإغلاق",""),IF(AC765="","الخصم",""),IF(AND(COUNTA($O765:$U765)&gt;0,O765=""),"مدير المشروع",""),IF(AND(COUNTA($O765:$U765)&gt;0,P765=""),"المستفيدين",""),IF(AND(COUNTA($O765:$U765)&gt;0,Q765=""),"المناطق",""),IF(AND(COUNTA($O765:$U765)&gt;0,R765=""),"الميزانية",""),IF(AND(COUNTA($O765:$U765)&gt;0,S765=""),"نسبة الجاهزية",""),IF(AND(COUNTA($O765:$U765)&gt;0,T765=""),"حالة الجاهزية",""),IF(AND(COUNTA($O765:$U765)&gt;0,U765=""),"التوصيات","")))&gt;0,"✗ ناقص: "&amp;_xlfn.TEXTJOIN("، ",TRUE,IF(E765="","التاريخ",""),IF(F765="","الوقت",""),IF(G765="","المركز",""),IF(H765="","الدائرة",""),IF(I765="","القسم",""),IF(J765="","المسؤول",""),IF(K765="","نوع النشاط",""),IF(L765="","المشروع",""),IF(N765="","الممول",""),IF(V765="","الموضوع",""),IF(W765="","الملاحظة",""),IF(X765="","مشكلة",""),IF(Y765="","الإجراء",""),IF(Z765="","التنفيذ",""),IF(AA765="","الجودة",""),IF(AB765="","الإغلاق",""),IF(AC765="","الخصم",""),IF(AND(COUNTA($O765:$U765)&gt;0,O765=""),"مدير المشروع",""),IF(AND(COUNTA($O765:$U765)&gt;0,P765=""),"المستفيدين",""),IF(AND(COUNTA($O765:$U765)&gt;0,Q765=""),"المناطق",""),IF(AND(COUNTA($O765:$U765)&gt;0,R765=""),"الميزانية",""),IF(AND(COUNTA($O765:$U765)&gt;0,S765=""),"نسبة الجاهزية",""),IF(AND(COUNTA($O765:$U765)&gt;0,T765=""),"حالة الجاهزية",""),IF(AND(COUNTA($O765:$U765)&gt;0,U765=""),"التوصيات","")),"✓"),"✓"))))))))))</f>
        <v/>
      </c>
      <c r="E765" s="235"/>
      <c r="F765" s="236"/>
      <c r="G765" s="90"/>
      <c r="H765" s="239"/>
      <c r="I765" s="89"/>
      <c r="J765" s="142"/>
      <c r="K765" s="90"/>
      <c r="L765" s="90"/>
      <c r="M765" s="90"/>
      <c r="N765" s="89"/>
      <c r="O765" s="200"/>
      <c r="P765" s="201"/>
      <c r="Q765" s="201"/>
      <c r="R765" s="237"/>
      <c r="S765" s="202"/>
      <c r="T765" s="200"/>
      <c r="U765" s="203"/>
      <c r="V765" s="89"/>
      <c r="W765" s="89"/>
      <c r="X765" s="145"/>
      <c r="Y765" s="89"/>
      <c r="Z765" s="90"/>
      <c r="AA765" s="90"/>
      <c r="AB765" s="90"/>
      <c r="AC765" s="90"/>
      <c r="AD765" s="92"/>
      <c r="AE765" s="149" t="str">
        <f>IFERROR(VLOOKUP(Z765,LISTS!$AL$2:$AM$1000,2,FALSE()),"")</f>
        <v/>
      </c>
      <c r="AF765" s="151" t="str">
        <f>IFERROR(VLOOKUP(AA765,LISTS!$AO$2:$AP$1000,2,FALSE()),"")</f>
        <v/>
      </c>
      <c r="AG765" s="152" t="str">
        <f>IFERROR(VLOOKUP(AB765,LISTS!$AR$2:$AS$1000,2,FALSE()),"")</f>
        <v/>
      </c>
      <c r="AH765" s="154" t="str">
        <f>IFERROR(VLOOKUP(AC765,LISTS!$AU$2:$AV$1000,2,FALSE()),"")</f>
        <v/>
      </c>
      <c r="AI765" s="238" t="str">
        <f t="shared" si="58"/>
        <v>—</v>
      </c>
      <c r="AJ765" s="190" t="str">
        <f t="shared" si="59"/>
        <v>—</v>
      </c>
      <c r="AK765" s="157" t="str">
        <f t="shared" si="60"/>
        <v/>
      </c>
      <c r="AL765" s="160" t="str">
        <f t="shared" si="61"/>
        <v/>
      </c>
      <c r="AM765" s="210"/>
      <c r="AN765" s="209"/>
    </row>
    <row r="766" spans="1:40" ht="27.95" customHeight="1">
      <c r="A766" s="134" t="str">
        <f>IF(I766&lt;&gt;"",COUNTA($I$2:I766),"")</f>
        <v/>
      </c>
      <c r="B766" s="138" t="str">
        <f t="shared" si="62"/>
        <v/>
      </c>
      <c r="C766" s="93" t="str">
        <f t="array" ref="C766">IF(E766="","",IF(M766&lt;&gt;"",
M766&amp;"/"&amp;SUMPRODUCT((M$2:M766=M766)*1)&amp;" - "&amp;(ROW()-2),
"إداري/"&amp;SUMPRODUCT((M$2:M766="")*1)&amp;" - "&amp;(ROW()-2)))</f>
        <v/>
      </c>
      <c r="D766" s="141" t="str">
        <f>IF(AND(G766="",H766="",I766=""),"",IF(COUNTIFS(LISTS!$A$2:$A$67,G766,LISTS!$B$2:$B$67,H766,LISTS!$C$2:$C$67,I766)=0,"✗ هرم",IF(NOT(OR(Z766="ممتاز 100%",Z766="جيد 80%",Z766="مقبول 60%",Z766="خطر 40%",Z766="")),"✗ قائمة R",IF(NOT(OR(AA766="ممتاز 100%",AA766="جيد 85%",AA766="مقبول 70%",AA766="ضعيف 50%",AA766="")),"✗ قائمة S",IF(NOT(OR(AB766="مكتمل 100%",AB766="جزئي 60%",AB766="معلق 30%",AB766="مفتوح 0%",AB766="")),"✗ قائمة T",IF(NOT(OR(AC766="لا خصم 0",AC766="تأخير −5",AC766="عجز −10",AC766="جودة −15",AC766="امتثال −20",AC766="مخالفة −25",AC766="")),"✗ قائمة U",IF(AND(X766="لا",AC766&lt;&gt;"",AC766&lt;&gt;"لا خصم 0"),"✗ خصم",IF(AND(X766="نعم",AC766="لا خصم 0"),"✗ خصم",IF(AND(Z766="ممتاز 100%",AA766="ممتاز 100%",AB766&lt;&gt;"",AB766&lt;&gt;"مكتمل 100%"),"✗ إغلاق",IFERROR(IF(LEN(_xlfn.TEXTJOIN("، ",TRUE,IF(E766="","التاريخ",""),IF(F766="","الوقت",""),IF(G766="","المركز",""),IF(H766="","الدائرة",""),IF(I766="","القسم",""),IF(J766="","المسؤول",""),IF(K766="","نوع النشاط",""),IF(L766="","المشروع",""),IF(N766="","الممول",""),IF(V766="","الموضوع",""),IF(W766="","الملاحظة",""),IF(X766="","مشكلة",""),IF(Y766="","الإجراء",""),IF(Z766="","التنفيذ",""),IF(AA766="","الجودة",""),IF(AB766="","الإغلاق",""),IF(AC766="","الخصم",""),IF(AND(COUNTA($O766:$U766)&gt;0,O766=""),"مدير المشروع",""),IF(AND(COUNTA($O766:$U766)&gt;0,P766=""),"المستفيدين",""),IF(AND(COUNTA($O766:$U766)&gt;0,Q766=""),"المناطق",""),IF(AND(COUNTA($O766:$U766)&gt;0,R766=""),"الميزانية",""),IF(AND(COUNTA($O766:$U766)&gt;0,S766=""),"نسبة الجاهزية",""),IF(AND(COUNTA($O766:$U766)&gt;0,T766=""),"حالة الجاهزية",""),IF(AND(COUNTA($O766:$U766)&gt;0,U766=""),"التوصيات","")))&gt;0,"✗ ناقص: "&amp;_xlfn.TEXTJOIN("، ",TRUE,IF(E766="","التاريخ",""),IF(F766="","الوقت",""),IF(G766="","المركز",""),IF(H766="","الدائرة",""),IF(I766="","القسم",""),IF(J766="","المسؤول",""),IF(K766="","نوع النشاط",""),IF(L766="","المشروع",""),IF(N766="","الممول",""),IF(V766="","الموضوع",""),IF(W766="","الملاحظة",""),IF(X766="","مشكلة",""),IF(Y766="","الإجراء",""),IF(Z766="","التنفيذ",""),IF(AA766="","الجودة",""),IF(AB766="","الإغلاق",""),IF(AC766="","الخصم",""),IF(AND(COUNTA($O766:$U766)&gt;0,O766=""),"مدير المشروع",""),IF(AND(COUNTA($O766:$U766)&gt;0,P766=""),"المستفيدين",""),IF(AND(COUNTA($O766:$U766)&gt;0,Q766=""),"المناطق",""),IF(AND(COUNTA($O766:$U766)&gt;0,R766=""),"الميزانية",""),IF(AND(COUNTA($O766:$U766)&gt;0,S766=""),"نسبة الجاهزية",""),IF(AND(COUNTA($O766:$U766)&gt;0,T766=""),"حالة الجاهزية",""),IF(AND(COUNTA($O766:$U766)&gt;0,U766=""),"التوصيات","")),"✓"),"✓"))))))))))</f>
        <v/>
      </c>
      <c r="E766" s="235"/>
      <c r="F766" s="236"/>
      <c r="G766" s="90"/>
      <c r="H766" s="239"/>
      <c r="I766" s="89"/>
      <c r="J766" s="142"/>
      <c r="K766" s="90"/>
      <c r="L766" s="90"/>
      <c r="M766" s="90"/>
      <c r="N766" s="89"/>
      <c r="O766" s="200"/>
      <c r="P766" s="201"/>
      <c r="Q766" s="201"/>
      <c r="R766" s="237"/>
      <c r="S766" s="202"/>
      <c r="T766" s="200"/>
      <c r="U766" s="203"/>
      <c r="V766" s="89"/>
      <c r="W766" s="89"/>
      <c r="X766" s="145"/>
      <c r="Y766" s="89"/>
      <c r="Z766" s="90"/>
      <c r="AA766" s="90"/>
      <c r="AB766" s="90"/>
      <c r="AC766" s="90"/>
      <c r="AD766" s="92"/>
      <c r="AE766" s="149" t="str">
        <f>IFERROR(VLOOKUP(Z766,LISTS!$AL$2:$AM$1000,2,FALSE()),"")</f>
        <v/>
      </c>
      <c r="AF766" s="151" t="str">
        <f>IFERROR(VLOOKUP(AA766,LISTS!$AO$2:$AP$1000,2,FALSE()),"")</f>
        <v/>
      </c>
      <c r="AG766" s="152" t="str">
        <f>IFERROR(VLOOKUP(AB766,LISTS!$AR$2:$AS$1000,2,FALSE()),"")</f>
        <v/>
      </c>
      <c r="AH766" s="154" t="str">
        <f>IFERROR(VLOOKUP(AC766,LISTS!$AU$2:$AV$1000,2,FALSE()),"")</f>
        <v/>
      </c>
      <c r="AI766" s="238" t="str">
        <f t="shared" si="58"/>
        <v>—</v>
      </c>
      <c r="AJ766" s="190" t="str">
        <f t="shared" si="59"/>
        <v>—</v>
      </c>
      <c r="AK766" s="157" t="str">
        <f t="shared" si="60"/>
        <v/>
      </c>
      <c r="AL766" s="160" t="str">
        <f t="shared" si="61"/>
        <v/>
      </c>
      <c r="AM766" s="210"/>
      <c r="AN766" s="209"/>
    </row>
    <row r="767" spans="1:40" ht="27.95" customHeight="1">
      <c r="A767" s="134" t="str">
        <f>IF(I767&lt;&gt;"",COUNTA($I$2:I767),"")</f>
        <v/>
      </c>
      <c r="B767" s="138" t="str">
        <f t="shared" si="62"/>
        <v/>
      </c>
      <c r="C767" s="93" t="str">
        <f t="array" ref="C767">IF(E767="","",IF(M767&lt;&gt;"",
M767&amp;"/"&amp;SUMPRODUCT((M$2:M767=M767)*1)&amp;" - "&amp;(ROW()-2),
"إداري/"&amp;SUMPRODUCT((M$2:M767="")*1)&amp;" - "&amp;(ROW()-2)))</f>
        <v/>
      </c>
      <c r="D767" s="141" t="str">
        <f>IF(AND(G767="",H767="",I767=""),"",IF(COUNTIFS(LISTS!$A$2:$A$67,G767,LISTS!$B$2:$B$67,H767,LISTS!$C$2:$C$67,I767)=0,"✗ هرم",IF(NOT(OR(Z767="ممتاز 100%",Z767="جيد 80%",Z767="مقبول 60%",Z767="خطر 40%",Z767="")),"✗ قائمة R",IF(NOT(OR(AA767="ممتاز 100%",AA767="جيد 85%",AA767="مقبول 70%",AA767="ضعيف 50%",AA767="")),"✗ قائمة S",IF(NOT(OR(AB767="مكتمل 100%",AB767="جزئي 60%",AB767="معلق 30%",AB767="مفتوح 0%",AB767="")),"✗ قائمة T",IF(NOT(OR(AC767="لا خصم 0",AC767="تأخير −5",AC767="عجز −10",AC767="جودة −15",AC767="امتثال −20",AC767="مخالفة −25",AC767="")),"✗ قائمة U",IF(AND(X767="لا",AC767&lt;&gt;"",AC767&lt;&gt;"لا خصم 0"),"✗ خصم",IF(AND(X767="نعم",AC767="لا خصم 0"),"✗ خصم",IF(AND(Z767="ممتاز 100%",AA767="ممتاز 100%",AB767&lt;&gt;"",AB767&lt;&gt;"مكتمل 100%"),"✗ إغلاق",IFERROR(IF(LEN(_xlfn.TEXTJOIN("، ",TRUE,IF(E767="","التاريخ",""),IF(F767="","الوقت",""),IF(G767="","المركز",""),IF(H767="","الدائرة",""),IF(I767="","القسم",""),IF(J767="","المسؤول",""),IF(K767="","نوع النشاط",""),IF(L767="","المشروع",""),IF(N767="","الممول",""),IF(V767="","الموضوع",""),IF(W767="","الملاحظة",""),IF(X767="","مشكلة",""),IF(Y767="","الإجراء",""),IF(Z767="","التنفيذ",""),IF(AA767="","الجودة",""),IF(AB767="","الإغلاق",""),IF(AC767="","الخصم",""),IF(AND(COUNTA($O767:$U767)&gt;0,O767=""),"مدير المشروع",""),IF(AND(COUNTA($O767:$U767)&gt;0,P767=""),"المستفيدين",""),IF(AND(COUNTA($O767:$U767)&gt;0,Q767=""),"المناطق",""),IF(AND(COUNTA($O767:$U767)&gt;0,R767=""),"الميزانية",""),IF(AND(COUNTA($O767:$U767)&gt;0,S767=""),"نسبة الجاهزية",""),IF(AND(COUNTA($O767:$U767)&gt;0,T767=""),"حالة الجاهزية",""),IF(AND(COUNTA($O767:$U767)&gt;0,U767=""),"التوصيات","")))&gt;0,"✗ ناقص: "&amp;_xlfn.TEXTJOIN("، ",TRUE,IF(E767="","التاريخ",""),IF(F767="","الوقت",""),IF(G767="","المركز",""),IF(H767="","الدائرة",""),IF(I767="","القسم",""),IF(J767="","المسؤول",""),IF(K767="","نوع النشاط",""),IF(L767="","المشروع",""),IF(N767="","الممول",""),IF(V767="","الموضوع",""),IF(W767="","الملاحظة",""),IF(X767="","مشكلة",""),IF(Y767="","الإجراء",""),IF(Z767="","التنفيذ",""),IF(AA767="","الجودة",""),IF(AB767="","الإغلاق",""),IF(AC767="","الخصم",""),IF(AND(COUNTA($O767:$U767)&gt;0,O767=""),"مدير المشروع",""),IF(AND(COUNTA($O767:$U767)&gt;0,P767=""),"المستفيدين",""),IF(AND(COUNTA($O767:$U767)&gt;0,Q767=""),"المناطق",""),IF(AND(COUNTA($O767:$U767)&gt;0,R767=""),"الميزانية",""),IF(AND(COUNTA($O767:$U767)&gt;0,S767=""),"نسبة الجاهزية",""),IF(AND(COUNTA($O767:$U767)&gt;0,T767=""),"حالة الجاهزية",""),IF(AND(COUNTA($O767:$U767)&gt;0,U767=""),"التوصيات","")),"✓"),"✓"))))))))))</f>
        <v/>
      </c>
      <c r="E767" s="235"/>
      <c r="F767" s="236"/>
      <c r="G767" s="90"/>
      <c r="H767" s="239"/>
      <c r="I767" s="89"/>
      <c r="J767" s="142"/>
      <c r="K767" s="90"/>
      <c r="L767" s="90"/>
      <c r="M767" s="90"/>
      <c r="N767" s="89"/>
      <c r="O767" s="200"/>
      <c r="P767" s="201"/>
      <c r="Q767" s="201"/>
      <c r="R767" s="237"/>
      <c r="S767" s="202"/>
      <c r="T767" s="200"/>
      <c r="U767" s="203"/>
      <c r="V767" s="89"/>
      <c r="W767" s="89"/>
      <c r="X767" s="145"/>
      <c r="Y767" s="89"/>
      <c r="Z767" s="90"/>
      <c r="AA767" s="90"/>
      <c r="AB767" s="90"/>
      <c r="AC767" s="90"/>
      <c r="AD767" s="92"/>
      <c r="AE767" s="149" t="str">
        <f>IFERROR(VLOOKUP(Z767,LISTS!$AL$2:$AM$1000,2,FALSE()),"")</f>
        <v/>
      </c>
      <c r="AF767" s="151" t="str">
        <f>IFERROR(VLOOKUP(AA767,LISTS!$AO$2:$AP$1000,2,FALSE()),"")</f>
        <v/>
      </c>
      <c r="AG767" s="152" t="str">
        <f>IFERROR(VLOOKUP(AB767,LISTS!$AR$2:$AS$1000,2,FALSE()),"")</f>
        <v/>
      </c>
      <c r="AH767" s="154" t="str">
        <f>IFERROR(VLOOKUP(AC767,LISTS!$AU$2:$AV$1000,2,FALSE()),"")</f>
        <v/>
      </c>
      <c r="AI767" s="238" t="str">
        <f t="shared" si="58"/>
        <v>—</v>
      </c>
      <c r="AJ767" s="190" t="str">
        <f t="shared" si="59"/>
        <v>—</v>
      </c>
      <c r="AK767" s="157" t="str">
        <f t="shared" si="60"/>
        <v/>
      </c>
      <c r="AL767" s="160" t="str">
        <f t="shared" si="61"/>
        <v/>
      </c>
      <c r="AM767" s="210"/>
      <c r="AN767" s="209"/>
    </row>
    <row r="768" spans="1:40" ht="27.95" customHeight="1">
      <c r="A768" s="134" t="str">
        <f>IF(I768&lt;&gt;"",COUNTA($I$2:I768),"")</f>
        <v/>
      </c>
      <c r="B768" s="138" t="str">
        <f t="shared" si="62"/>
        <v/>
      </c>
      <c r="C768" s="93" t="str">
        <f t="array" ref="C768">IF(E768="","",IF(M768&lt;&gt;"",
M768&amp;"/"&amp;SUMPRODUCT((M$2:M768=M768)*1)&amp;" - "&amp;(ROW()-2),
"إداري/"&amp;SUMPRODUCT((M$2:M768="")*1)&amp;" - "&amp;(ROW()-2)))</f>
        <v/>
      </c>
      <c r="D768" s="141" t="str">
        <f>IF(AND(G768="",H768="",I768=""),"",IF(COUNTIFS(LISTS!$A$2:$A$67,G768,LISTS!$B$2:$B$67,H768,LISTS!$C$2:$C$67,I768)=0,"✗ هرم",IF(NOT(OR(Z768="ممتاز 100%",Z768="جيد 80%",Z768="مقبول 60%",Z768="خطر 40%",Z768="")),"✗ قائمة R",IF(NOT(OR(AA768="ممتاز 100%",AA768="جيد 85%",AA768="مقبول 70%",AA768="ضعيف 50%",AA768="")),"✗ قائمة S",IF(NOT(OR(AB768="مكتمل 100%",AB768="جزئي 60%",AB768="معلق 30%",AB768="مفتوح 0%",AB768="")),"✗ قائمة T",IF(NOT(OR(AC768="لا خصم 0",AC768="تأخير −5",AC768="عجز −10",AC768="جودة −15",AC768="امتثال −20",AC768="مخالفة −25",AC768="")),"✗ قائمة U",IF(AND(X768="لا",AC768&lt;&gt;"",AC768&lt;&gt;"لا خصم 0"),"✗ خصم",IF(AND(X768="نعم",AC768="لا خصم 0"),"✗ خصم",IF(AND(Z768="ممتاز 100%",AA768="ممتاز 100%",AB768&lt;&gt;"",AB768&lt;&gt;"مكتمل 100%"),"✗ إغلاق",IFERROR(IF(LEN(_xlfn.TEXTJOIN("، ",TRUE,IF(E768="","التاريخ",""),IF(F768="","الوقت",""),IF(G768="","المركز",""),IF(H768="","الدائرة",""),IF(I768="","القسم",""),IF(J768="","المسؤول",""),IF(K768="","نوع النشاط",""),IF(L768="","المشروع",""),IF(N768="","الممول",""),IF(V768="","الموضوع",""),IF(W768="","الملاحظة",""),IF(X768="","مشكلة",""),IF(Y768="","الإجراء",""),IF(Z768="","التنفيذ",""),IF(AA768="","الجودة",""),IF(AB768="","الإغلاق",""),IF(AC768="","الخصم",""),IF(AND(COUNTA($O768:$U768)&gt;0,O768=""),"مدير المشروع",""),IF(AND(COUNTA($O768:$U768)&gt;0,P768=""),"المستفيدين",""),IF(AND(COUNTA($O768:$U768)&gt;0,Q768=""),"المناطق",""),IF(AND(COUNTA($O768:$U768)&gt;0,R768=""),"الميزانية",""),IF(AND(COUNTA($O768:$U768)&gt;0,S768=""),"نسبة الجاهزية",""),IF(AND(COUNTA($O768:$U768)&gt;0,T768=""),"حالة الجاهزية",""),IF(AND(COUNTA($O768:$U768)&gt;0,U768=""),"التوصيات","")))&gt;0,"✗ ناقص: "&amp;_xlfn.TEXTJOIN("، ",TRUE,IF(E768="","التاريخ",""),IF(F768="","الوقت",""),IF(G768="","المركز",""),IF(H768="","الدائرة",""),IF(I768="","القسم",""),IF(J768="","المسؤول",""),IF(K768="","نوع النشاط",""),IF(L768="","المشروع",""),IF(N768="","الممول",""),IF(V768="","الموضوع",""),IF(W768="","الملاحظة",""),IF(X768="","مشكلة",""),IF(Y768="","الإجراء",""),IF(Z768="","التنفيذ",""),IF(AA768="","الجودة",""),IF(AB768="","الإغلاق",""),IF(AC768="","الخصم",""),IF(AND(COUNTA($O768:$U768)&gt;0,O768=""),"مدير المشروع",""),IF(AND(COUNTA($O768:$U768)&gt;0,P768=""),"المستفيدين",""),IF(AND(COUNTA($O768:$U768)&gt;0,Q768=""),"المناطق",""),IF(AND(COUNTA($O768:$U768)&gt;0,R768=""),"الميزانية",""),IF(AND(COUNTA($O768:$U768)&gt;0,S768=""),"نسبة الجاهزية",""),IF(AND(COUNTA($O768:$U768)&gt;0,T768=""),"حالة الجاهزية",""),IF(AND(COUNTA($O768:$U768)&gt;0,U768=""),"التوصيات","")),"✓"),"✓"))))))))))</f>
        <v/>
      </c>
      <c r="E768" s="235"/>
      <c r="F768" s="236"/>
      <c r="G768" s="90"/>
      <c r="H768" s="239"/>
      <c r="I768" s="89"/>
      <c r="J768" s="142"/>
      <c r="K768" s="90"/>
      <c r="L768" s="90"/>
      <c r="M768" s="90"/>
      <c r="N768" s="89"/>
      <c r="O768" s="200"/>
      <c r="P768" s="201"/>
      <c r="Q768" s="201"/>
      <c r="R768" s="237"/>
      <c r="S768" s="202"/>
      <c r="T768" s="200"/>
      <c r="U768" s="203"/>
      <c r="V768" s="89"/>
      <c r="W768" s="89"/>
      <c r="X768" s="145"/>
      <c r="Y768" s="89"/>
      <c r="Z768" s="90"/>
      <c r="AA768" s="90"/>
      <c r="AB768" s="90"/>
      <c r="AC768" s="90"/>
      <c r="AD768" s="92"/>
      <c r="AE768" s="149" t="str">
        <f>IFERROR(VLOOKUP(Z768,LISTS!$AL$2:$AM$1000,2,FALSE()),"")</f>
        <v/>
      </c>
      <c r="AF768" s="151" t="str">
        <f>IFERROR(VLOOKUP(AA768,LISTS!$AO$2:$AP$1000,2,FALSE()),"")</f>
        <v/>
      </c>
      <c r="AG768" s="152" t="str">
        <f>IFERROR(VLOOKUP(AB768,LISTS!$AR$2:$AS$1000,2,FALSE()),"")</f>
        <v/>
      </c>
      <c r="AH768" s="154" t="str">
        <f>IFERROR(VLOOKUP(AC768,LISTS!$AU$2:$AV$1000,2,FALSE()),"")</f>
        <v/>
      </c>
      <c r="AI768" s="238" t="str">
        <f t="shared" si="58"/>
        <v>—</v>
      </c>
      <c r="AJ768" s="190" t="str">
        <f t="shared" si="59"/>
        <v>—</v>
      </c>
      <c r="AK768" s="157" t="str">
        <f t="shared" si="60"/>
        <v/>
      </c>
      <c r="AL768" s="160" t="str">
        <f t="shared" si="61"/>
        <v/>
      </c>
      <c r="AM768" s="210"/>
      <c r="AN768" s="209"/>
    </row>
    <row r="769" spans="1:40" ht="27.95" customHeight="1">
      <c r="A769" s="134" t="str">
        <f>IF(I769&lt;&gt;"",COUNTA($I$2:I769),"")</f>
        <v/>
      </c>
      <c r="B769" s="138" t="str">
        <f t="shared" si="62"/>
        <v/>
      </c>
      <c r="C769" s="93" t="str">
        <f t="array" ref="C769">IF(E769="","",IF(M769&lt;&gt;"",
M769&amp;"/"&amp;SUMPRODUCT((M$2:M769=M769)*1)&amp;" - "&amp;(ROW()-2),
"إداري/"&amp;SUMPRODUCT((M$2:M769="")*1)&amp;" - "&amp;(ROW()-2)))</f>
        <v/>
      </c>
      <c r="D769" s="141" t="str">
        <f>IF(AND(G769="",H769="",I769=""),"",IF(COUNTIFS(LISTS!$A$2:$A$67,G769,LISTS!$B$2:$B$67,H769,LISTS!$C$2:$C$67,I769)=0,"✗ هرم",IF(NOT(OR(Z769="ممتاز 100%",Z769="جيد 80%",Z769="مقبول 60%",Z769="خطر 40%",Z769="")),"✗ قائمة R",IF(NOT(OR(AA769="ممتاز 100%",AA769="جيد 85%",AA769="مقبول 70%",AA769="ضعيف 50%",AA769="")),"✗ قائمة S",IF(NOT(OR(AB769="مكتمل 100%",AB769="جزئي 60%",AB769="معلق 30%",AB769="مفتوح 0%",AB769="")),"✗ قائمة T",IF(NOT(OR(AC769="لا خصم 0",AC769="تأخير −5",AC769="عجز −10",AC769="جودة −15",AC769="امتثال −20",AC769="مخالفة −25",AC769="")),"✗ قائمة U",IF(AND(X769="لا",AC769&lt;&gt;"",AC769&lt;&gt;"لا خصم 0"),"✗ خصم",IF(AND(X769="نعم",AC769="لا خصم 0"),"✗ خصم",IF(AND(Z769="ممتاز 100%",AA769="ممتاز 100%",AB769&lt;&gt;"",AB769&lt;&gt;"مكتمل 100%"),"✗ إغلاق",IFERROR(IF(LEN(_xlfn.TEXTJOIN("، ",TRUE,IF(E769="","التاريخ",""),IF(F769="","الوقت",""),IF(G769="","المركز",""),IF(H769="","الدائرة",""),IF(I769="","القسم",""),IF(J769="","المسؤول",""),IF(K769="","نوع النشاط",""),IF(L769="","المشروع",""),IF(N769="","الممول",""),IF(V769="","الموضوع",""),IF(W769="","الملاحظة",""),IF(X769="","مشكلة",""),IF(Y769="","الإجراء",""),IF(Z769="","التنفيذ",""),IF(AA769="","الجودة",""),IF(AB769="","الإغلاق",""),IF(AC769="","الخصم",""),IF(AND(COUNTA($O769:$U769)&gt;0,O769=""),"مدير المشروع",""),IF(AND(COUNTA($O769:$U769)&gt;0,P769=""),"المستفيدين",""),IF(AND(COUNTA($O769:$U769)&gt;0,Q769=""),"المناطق",""),IF(AND(COUNTA($O769:$U769)&gt;0,R769=""),"الميزانية",""),IF(AND(COUNTA($O769:$U769)&gt;0,S769=""),"نسبة الجاهزية",""),IF(AND(COUNTA($O769:$U769)&gt;0,T769=""),"حالة الجاهزية",""),IF(AND(COUNTA($O769:$U769)&gt;0,U769=""),"التوصيات","")))&gt;0,"✗ ناقص: "&amp;_xlfn.TEXTJOIN("، ",TRUE,IF(E769="","التاريخ",""),IF(F769="","الوقت",""),IF(G769="","المركز",""),IF(H769="","الدائرة",""),IF(I769="","القسم",""),IF(J769="","المسؤول",""),IF(K769="","نوع النشاط",""),IF(L769="","المشروع",""),IF(N769="","الممول",""),IF(V769="","الموضوع",""),IF(W769="","الملاحظة",""),IF(X769="","مشكلة",""),IF(Y769="","الإجراء",""),IF(Z769="","التنفيذ",""),IF(AA769="","الجودة",""),IF(AB769="","الإغلاق",""),IF(AC769="","الخصم",""),IF(AND(COUNTA($O769:$U769)&gt;0,O769=""),"مدير المشروع",""),IF(AND(COUNTA($O769:$U769)&gt;0,P769=""),"المستفيدين",""),IF(AND(COUNTA($O769:$U769)&gt;0,Q769=""),"المناطق",""),IF(AND(COUNTA($O769:$U769)&gt;0,R769=""),"الميزانية",""),IF(AND(COUNTA($O769:$U769)&gt;0,S769=""),"نسبة الجاهزية",""),IF(AND(COUNTA($O769:$U769)&gt;0,T769=""),"حالة الجاهزية",""),IF(AND(COUNTA($O769:$U769)&gt;0,U769=""),"التوصيات","")),"✓"),"✓"))))))))))</f>
        <v/>
      </c>
      <c r="E769" s="235"/>
      <c r="F769" s="236"/>
      <c r="G769" s="90"/>
      <c r="H769" s="239"/>
      <c r="I769" s="89"/>
      <c r="J769" s="142"/>
      <c r="K769" s="90"/>
      <c r="L769" s="90"/>
      <c r="M769" s="90"/>
      <c r="N769" s="89"/>
      <c r="O769" s="200"/>
      <c r="P769" s="201"/>
      <c r="Q769" s="201"/>
      <c r="R769" s="237"/>
      <c r="S769" s="202"/>
      <c r="T769" s="200"/>
      <c r="U769" s="203"/>
      <c r="V769" s="89"/>
      <c r="W769" s="89"/>
      <c r="X769" s="145"/>
      <c r="Y769" s="89"/>
      <c r="Z769" s="90"/>
      <c r="AA769" s="90"/>
      <c r="AB769" s="90"/>
      <c r="AC769" s="90"/>
      <c r="AD769" s="92"/>
      <c r="AE769" s="149" t="str">
        <f>IFERROR(VLOOKUP(Z769,LISTS!$AL$2:$AM$1000,2,FALSE()),"")</f>
        <v/>
      </c>
      <c r="AF769" s="151" t="str">
        <f>IFERROR(VLOOKUP(AA769,LISTS!$AO$2:$AP$1000,2,FALSE()),"")</f>
        <v/>
      </c>
      <c r="AG769" s="152" t="str">
        <f>IFERROR(VLOOKUP(AB769,LISTS!$AR$2:$AS$1000,2,FALSE()),"")</f>
        <v/>
      </c>
      <c r="AH769" s="154" t="str">
        <f>IFERROR(VLOOKUP(AC769,LISTS!$AU$2:$AV$1000,2,FALSE()),"")</f>
        <v/>
      </c>
      <c r="AI769" s="238" t="str">
        <f t="shared" si="58"/>
        <v>—</v>
      </c>
      <c r="AJ769" s="190" t="str">
        <f t="shared" si="59"/>
        <v>—</v>
      </c>
      <c r="AK769" s="157" t="str">
        <f t="shared" si="60"/>
        <v/>
      </c>
      <c r="AL769" s="160" t="str">
        <f t="shared" si="61"/>
        <v/>
      </c>
      <c r="AM769" s="210"/>
      <c r="AN769" s="209"/>
    </row>
    <row r="770" spans="1:40" ht="27.95" customHeight="1">
      <c r="A770" s="134" t="str">
        <f>IF(I770&lt;&gt;"",COUNTA($I$2:I770),"")</f>
        <v/>
      </c>
      <c r="B770" s="138" t="str">
        <f t="shared" si="62"/>
        <v/>
      </c>
      <c r="C770" s="93" t="str">
        <f t="array" ref="C770">IF(E770="","",IF(M770&lt;&gt;"",
M770&amp;"/"&amp;SUMPRODUCT((M$2:M770=M770)*1)&amp;" - "&amp;(ROW()-2),
"إداري/"&amp;SUMPRODUCT((M$2:M770="")*1)&amp;" - "&amp;(ROW()-2)))</f>
        <v/>
      </c>
      <c r="D770" s="141" t="str">
        <f>IF(AND(G770="",H770="",I770=""),"",IF(COUNTIFS(LISTS!$A$2:$A$67,G770,LISTS!$B$2:$B$67,H770,LISTS!$C$2:$C$67,I770)=0,"✗ هرم",IF(NOT(OR(Z770="ممتاز 100%",Z770="جيد 80%",Z770="مقبول 60%",Z770="خطر 40%",Z770="")),"✗ قائمة R",IF(NOT(OR(AA770="ممتاز 100%",AA770="جيد 85%",AA770="مقبول 70%",AA770="ضعيف 50%",AA770="")),"✗ قائمة S",IF(NOT(OR(AB770="مكتمل 100%",AB770="جزئي 60%",AB770="معلق 30%",AB770="مفتوح 0%",AB770="")),"✗ قائمة T",IF(NOT(OR(AC770="لا خصم 0",AC770="تأخير −5",AC770="عجز −10",AC770="جودة −15",AC770="امتثال −20",AC770="مخالفة −25",AC770="")),"✗ قائمة U",IF(AND(X770="لا",AC770&lt;&gt;"",AC770&lt;&gt;"لا خصم 0"),"✗ خصم",IF(AND(X770="نعم",AC770="لا خصم 0"),"✗ خصم",IF(AND(Z770="ممتاز 100%",AA770="ممتاز 100%",AB770&lt;&gt;"",AB770&lt;&gt;"مكتمل 100%"),"✗ إغلاق",IFERROR(IF(LEN(_xlfn.TEXTJOIN("، ",TRUE,IF(E770="","التاريخ",""),IF(F770="","الوقت",""),IF(G770="","المركز",""),IF(H770="","الدائرة",""),IF(I770="","القسم",""),IF(J770="","المسؤول",""),IF(K770="","نوع النشاط",""),IF(L770="","المشروع",""),IF(N770="","الممول",""),IF(V770="","الموضوع",""),IF(W770="","الملاحظة",""),IF(X770="","مشكلة",""),IF(Y770="","الإجراء",""),IF(Z770="","التنفيذ",""),IF(AA770="","الجودة",""),IF(AB770="","الإغلاق",""),IF(AC770="","الخصم",""),IF(AND(COUNTA($O770:$U770)&gt;0,O770=""),"مدير المشروع",""),IF(AND(COUNTA($O770:$U770)&gt;0,P770=""),"المستفيدين",""),IF(AND(COUNTA($O770:$U770)&gt;0,Q770=""),"المناطق",""),IF(AND(COUNTA($O770:$U770)&gt;0,R770=""),"الميزانية",""),IF(AND(COUNTA($O770:$U770)&gt;0,S770=""),"نسبة الجاهزية",""),IF(AND(COUNTA($O770:$U770)&gt;0,T770=""),"حالة الجاهزية",""),IF(AND(COUNTA($O770:$U770)&gt;0,U770=""),"التوصيات","")))&gt;0,"✗ ناقص: "&amp;_xlfn.TEXTJOIN("، ",TRUE,IF(E770="","التاريخ",""),IF(F770="","الوقت",""),IF(G770="","المركز",""),IF(H770="","الدائرة",""),IF(I770="","القسم",""),IF(J770="","المسؤول",""),IF(K770="","نوع النشاط",""),IF(L770="","المشروع",""),IF(N770="","الممول",""),IF(V770="","الموضوع",""),IF(W770="","الملاحظة",""),IF(X770="","مشكلة",""),IF(Y770="","الإجراء",""),IF(Z770="","التنفيذ",""),IF(AA770="","الجودة",""),IF(AB770="","الإغلاق",""),IF(AC770="","الخصم",""),IF(AND(COUNTA($O770:$U770)&gt;0,O770=""),"مدير المشروع",""),IF(AND(COUNTA($O770:$U770)&gt;0,P770=""),"المستفيدين",""),IF(AND(COUNTA($O770:$U770)&gt;0,Q770=""),"المناطق",""),IF(AND(COUNTA($O770:$U770)&gt;0,R770=""),"الميزانية",""),IF(AND(COUNTA($O770:$U770)&gt;0,S770=""),"نسبة الجاهزية",""),IF(AND(COUNTA($O770:$U770)&gt;0,T770=""),"حالة الجاهزية",""),IF(AND(COUNTA($O770:$U770)&gt;0,U770=""),"التوصيات","")),"✓"),"✓"))))))))))</f>
        <v/>
      </c>
      <c r="E770" s="235"/>
      <c r="F770" s="236"/>
      <c r="G770" s="90"/>
      <c r="H770" s="239"/>
      <c r="I770" s="89"/>
      <c r="J770" s="142"/>
      <c r="K770" s="90"/>
      <c r="L770" s="90"/>
      <c r="M770" s="90"/>
      <c r="N770" s="89"/>
      <c r="O770" s="200"/>
      <c r="P770" s="201"/>
      <c r="Q770" s="201"/>
      <c r="R770" s="237"/>
      <c r="S770" s="202"/>
      <c r="T770" s="200"/>
      <c r="U770" s="203"/>
      <c r="V770" s="89"/>
      <c r="W770" s="89"/>
      <c r="X770" s="145"/>
      <c r="Y770" s="89"/>
      <c r="Z770" s="90"/>
      <c r="AA770" s="90"/>
      <c r="AB770" s="90"/>
      <c r="AC770" s="90"/>
      <c r="AD770" s="92"/>
      <c r="AE770" s="149" t="str">
        <f>IFERROR(VLOOKUP(Z770,LISTS!$AL$2:$AM$1000,2,FALSE()),"")</f>
        <v/>
      </c>
      <c r="AF770" s="151" t="str">
        <f>IFERROR(VLOOKUP(AA770,LISTS!$AO$2:$AP$1000,2,FALSE()),"")</f>
        <v/>
      </c>
      <c r="AG770" s="152" t="str">
        <f>IFERROR(VLOOKUP(AB770,LISTS!$AR$2:$AS$1000,2,FALSE()),"")</f>
        <v/>
      </c>
      <c r="AH770" s="154" t="str">
        <f>IFERROR(VLOOKUP(AC770,LISTS!$AU$2:$AV$1000,2,FALSE()),"")</f>
        <v/>
      </c>
      <c r="AI770" s="238" t="str">
        <f t="shared" ref="AI770:AI833" si="63">IF(OR(AE770="",AF770="",AG770=""),"—",IFERROR(ROUND(AE770*0.4+AF770*0.3+AG770*0.3-IF(ISNUMBER(AH770),AH770,0),1),"⚠️"))</f>
        <v>—</v>
      </c>
      <c r="AJ770" s="190" t="str">
        <f t="shared" ref="AJ770:AJ833" si="64">IF(AI770="—","—",IF(NOT(ISNUMBER(AI770)),"⚠️",IF(AI770&gt;=98,"🌟 ممتاز جدًا",IF(AI770&gt;=90,"⭐ ممتاز",IF(AI770&gt;=75,"🟢 جيد",IF(AI770&gt;=60,"🟡 مقبول",IF(AI770&gt;=40,"🔴 ضعيف","🚨 خطر شديد")))))))</f>
        <v>—</v>
      </c>
      <c r="AK770" s="157" t="str">
        <f t="shared" si="60"/>
        <v/>
      </c>
      <c r="AL770" s="160" t="str">
        <f t="shared" si="61"/>
        <v/>
      </c>
      <c r="AM770" s="210"/>
      <c r="AN770" s="209"/>
    </row>
    <row r="771" spans="1:40" ht="27.95" customHeight="1">
      <c r="A771" s="134" t="str">
        <f>IF(I771&lt;&gt;"",COUNTA($I$2:I771),"")</f>
        <v/>
      </c>
      <c r="B771" s="138" t="str">
        <f t="shared" si="62"/>
        <v/>
      </c>
      <c r="C771" s="93" t="str">
        <f t="array" ref="C771">IF(E771="","",IF(M771&lt;&gt;"",
M771&amp;"/"&amp;SUMPRODUCT((M$2:M771=M771)*1)&amp;" - "&amp;(ROW()-2),
"إداري/"&amp;SUMPRODUCT((M$2:M771="")*1)&amp;" - "&amp;(ROW()-2)))</f>
        <v/>
      </c>
      <c r="D771" s="141" t="str">
        <f>IF(AND(G771="",H771="",I771=""),"",IF(COUNTIFS(LISTS!$A$2:$A$67,G771,LISTS!$B$2:$B$67,H771,LISTS!$C$2:$C$67,I771)=0,"✗ هرم",IF(NOT(OR(Z771="ممتاز 100%",Z771="جيد 80%",Z771="مقبول 60%",Z771="خطر 40%",Z771="")),"✗ قائمة R",IF(NOT(OR(AA771="ممتاز 100%",AA771="جيد 85%",AA771="مقبول 70%",AA771="ضعيف 50%",AA771="")),"✗ قائمة S",IF(NOT(OR(AB771="مكتمل 100%",AB771="جزئي 60%",AB771="معلق 30%",AB771="مفتوح 0%",AB771="")),"✗ قائمة T",IF(NOT(OR(AC771="لا خصم 0",AC771="تأخير −5",AC771="عجز −10",AC771="جودة −15",AC771="امتثال −20",AC771="مخالفة −25",AC771="")),"✗ قائمة U",IF(AND(X771="لا",AC771&lt;&gt;"",AC771&lt;&gt;"لا خصم 0"),"✗ خصم",IF(AND(X771="نعم",AC771="لا خصم 0"),"✗ خصم",IF(AND(Z771="ممتاز 100%",AA771="ممتاز 100%",AB771&lt;&gt;"",AB771&lt;&gt;"مكتمل 100%"),"✗ إغلاق",IFERROR(IF(LEN(_xlfn.TEXTJOIN("، ",TRUE,IF(E771="","التاريخ",""),IF(F771="","الوقت",""),IF(G771="","المركز",""),IF(H771="","الدائرة",""),IF(I771="","القسم",""),IF(J771="","المسؤول",""),IF(K771="","نوع النشاط",""),IF(L771="","المشروع",""),IF(N771="","الممول",""),IF(V771="","الموضوع",""),IF(W771="","الملاحظة",""),IF(X771="","مشكلة",""),IF(Y771="","الإجراء",""),IF(Z771="","التنفيذ",""),IF(AA771="","الجودة",""),IF(AB771="","الإغلاق",""),IF(AC771="","الخصم",""),IF(AND(COUNTA($O771:$U771)&gt;0,O771=""),"مدير المشروع",""),IF(AND(COUNTA($O771:$U771)&gt;0,P771=""),"المستفيدين",""),IF(AND(COUNTA($O771:$U771)&gt;0,Q771=""),"المناطق",""),IF(AND(COUNTA($O771:$U771)&gt;0,R771=""),"الميزانية",""),IF(AND(COUNTA($O771:$U771)&gt;0,S771=""),"نسبة الجاهزية",""),IF(AND(COUNTA($O771:$U771)&gt;0,T771=""),"حالة الجاهزية",""),IF(AND(COUNTA($O771:$U771)&gt;0,U771=""),"التوصيات","")))&gt;0,"✗ ناقص: "&amp;_xlfn.TEXTJOIN("، ",TRUE,IF(E771="","التاريخ",""),IF(F771="","الوقت",""),IF(G771="","المركز",""),IF(H771="","الدائرة",""),IF(I771="","القسم",""),IF(J771="","المسؤول",""),IF(K771="","نوع النشاط",""),IF(L771="","المشروع",""),IF(N771="","الممول",""),IF(V771="","الموضوع",""),IF(W771="","الملاحظة",""),IF(X771="","مشكلة",""),IF(Y771="","الإجراء",""),IF(Z771="","التنفيذ",""),IF(AA771="","الجودة",""),IF(AB771="","الإغلاق",""),IF(AC771="","الخصم",""),IF(AND(COUNTA($O771:$U771)&gt;0,O771=""),"مدير المشروع",""),IF(AND(COUNTA($O771:$U771)&gt;0,P771=""),"المستفيدين",""),IF(AND(COUNTA($O771:$U771)&gt;0,Q771=""),"المناطق",""),IF(AND(COUNTA($O771:$U771)&gt;0,R771=""),"الميزانية",""),IF(AND(COUNTA($O771:$U771)&gt;0,S771=""),"نسبة الجاهزية",""),IF(AND(COUNTA($O771:$U771)&gt;0,T771=""),"حالة الجاهزية",""),IF(AND(COUNTA($O771:$U771)&gt;0,U771=""),"التوصيات","")),"✓"),"✓"))))))))))</f>
        <v/>
      </c>
      <c r="E771" s="235"/>
      <c r="F771" s="236"/>
      <c r="G771" s="90"/>
      <c r="H771" s="239"/>
      <c r="I771" s="89"/>
      <c r="J771" s="142"/>
      <c r="K771" s="90"/>
      <c r="L771" s="90"/>
      <c r="M771" s="90"/>
      <c r="N771" s="89"/>
      <c r="O771" s="200"/>
      <c r="P771" s="201"/>
      <c r="Q771" s="201"/>
      <c r="R771" s="237"/>
      <c r="S771" s="202"/>
      <c r="T771" s="200"/>
      <c r="U771" s="203"/>
      <c r="V771" s="89"/>
      <c r="W771" s="89"/>
      <c r="X771" s="145"/>
      <c r="Y771" s="89"/>
      <c r="Z771" s="90"/>
      <c r="AA771" s="90"/>
      <c r="AB771" s="90"/>
      <c r="AC771" s="90"/>
      <c r="AD771" s="92"/>
      <c r="AE771" s="149" t="str">
        <f>IFERROR(VLOOKUP(Z771,LISTS!$AL$2:$AM$1000,2,FALSE()),"")</f>
        <v/>
      </c>
      <c r="AF771" s="151" t="str">
        <f>IFERROR(VLOOKUP(AA771,LISTS!$AO$2:$AP$1000,2,FALSE()),"")</f>
        <v/>
      </c>
      <c r="AG771" s="152" t="str">
        <f>IFERROR(VLOOKUP(AB771,LISTS!$AR$2:$AS$1000,2,FALSE()),"")</f>
        <v/>
      </c>
      <c r="AH771" s="154" t="str">
        <f>IFERROR(VLOOKUP(AC771,LISTS!$AU$2:$AV$1000,2,FALSE()),"")</f>
        <v/>
      </c>
      <c r="AI771" s="238" t="str">
        <f t="shared" si="63"/>
        <v>—</v>
      </c>
      <c r="AJ771" s="190" t="str">
        <f t="shared" si="64"/>
        <v>—</v>
      </c>
      <c r="AK771" s="157" t="str">
        <f t="shared" si="60"/>
        <v/>
      </c>
      <c r="AL771" s="160" t="str">
        <f t="shared" si="61"/>
        <v/>
      </c>
      <c r="AM771" s="210"/>
      <c r="AN771" s="209"/>
    </row>
    <row r="772" spans="1:40" ht="27.95" customHeight="1">
      <c r="A772" s="134" t="str">
        <f>IF(I772&lt;&gt;"",COUNTA($I$2:I772),"")</f>
        <v/>
      </c>
      <c r="B772" s="138" t="str">
        <f t="shared" si="62"/>
        <v/>
      </c>
      <c r="C772" s="93" t="str">
        <f t="array" ref="C772">IF(E772="","",IF(M772&lt;&gt;"",
M772&amp;"/"&amp;SUMPRODUCT((M$2:M772=M772)*1)&amp;" - "&amp;(ROW()-2),
"إداري/"&amp;SUMPRODUCT((M$2:M772="")*1)&amp;" - "&amp;(ROW()-2)))</f>
        <v/>
      </c>
      <c r="D772" s="141" t="str">
        <f>IF(AND(G772="",H772="",I772=""),"",IF(COUNTIFS(LISTS!$A$2:$A$67,G772,LISTS!$B$2:$B$67,H772,LISTS!$C$2:$C$67,I772)=0,"✗ هرم",IF(NOT(OR(Z772="ممتاز 100%",Z772="جيد 80%",Z772="مقبول 60%",Z772="خطر 40%",Z772="")),"✗ قائمة R",IF(NOT(OR(AA772="ممتاز 100%",AA772="جيد 85%",AA772="مقبول 70%",AA772="ضعيف 50%",AA772="")),"✗ قائمة S",IF(NOT(OR(AB772="مكتمل 100%",AB772="جزئي 60%",AB772="معلق 30%",AB772="مفتوح 0%",AB772="")),"✗ قائمة T",IF(NOT(OR(AC772="لا خصم 0",AC772="تأخير −5",AC772="عجز −10",AC772="جودة −15",AC772="امتثال −20",AC772="مخالفة −25",AC772="")),"✗ قائمة U",IF(AND(X772="لا",AC772&lt;&gt;"",AC772&lt;&gt;"لا خصم 0"),"✗ خصم",IF(AND(X772="نعم",AC772="لا خصم 0"),"✗ خصم",IF(AND(Z772="ممتاز 100%",AA772="ممتاز 100%",AB772&lt;&gt;"",AB772&lt;&gt;"مكتمل 100%"),"✗ إغلاق",IFERROR(IF(LEN(_xlfn.TEXTJOIN("، ",TRUE,IF(E772="","التاريخ",""),IF(F772="","الوقت",""),IF(G772="","المركز",""),IF(H772="","الدائرة",""),IF(I772="","القسم",""),IF(J772="","المسؤول",""),IF(K772="","نوع النشاط",""),IF(L772="","المشروع",""),IF(N772="","الممول",""),IF(V772="","الموضوع",""),IF(W772="","الملاحظة",""),IF(X772="","مشكلة",""),IF(Y772="","الإجراء",""),IF(Z772="","التنفيذ",""),IF(AA772="","الجودة",""),IF(AB772="","الإغلاق",""),IF(AC772="","الخصم",""),IF(AND(COUNTA($O772:$U772)&gt;0,O772=""),"مدير المشروع",""),IF(AND(COUNTA($O772:$U772)&gt;0,P772=""),"المستفيدين",""),IF(AND(COUNTA($O772:$U772)&gt;0,Q772=""),"المناطق",""),IF(AND(COUNTA($O772:$U772)&gt;0,R772=""),"الميزانية",""),IF(AND(COUNTA($O772:$U772)&gt;0,S772=""),"نسبة الجاهزية",""),IF(AND(COUNTA($O772:$U772)&gt;0,T772=""),"حالة الجاهزية",""),IF(AND(COUNTA($O772:$U772)&gt;0,U772=""),"التوصيات","")))&gt;0,"✗ ناقص: "&amp;_xlfn.TEXTJOIN("، ",TRUE,IF(E772="","التاريخ",""),IF(F772="","الوقت",""),IF(G772="","المركز",""),IF(H772="","الدائرة",""),IF(I772="","القسم",""),IF(J772="","المسؤول",""),IF(K772="","نوع النشاط",""),IF(L772="","المشروع",""),IF(N772="","الممول",""),IF(V772="","الموضوع",""),IF(W772="","الملاحظة",""),IF(X772="","مشكلة",""),IF(Y772="","الإجراء",""),IF(Z772="","التنفيذ",""),IF(AA772="","الجودة",""),IF(AB772="","الإغلاق",""),IF(AC772="","الخصم",""),IF(AND(COUNTA($O772:$U772)&gt;0,O772=""),"مدير المشروع",""),IF(AND(COUNTA($O772:$U772)&gt;0,P772=""),"المستفيدين",""),IF(AND(COUNTA($O772:$U772)&gt;0,Q772=""),"المناطق",""),IF(AND(COUNTA($O772:$U772)&gt;0,R772=""),"الميزانية",""),IF(AND(COUNTA($O772:$U772)&gt;0,S772=""),"نسبة الجاهزية",""),IF(AND(COUNTA($O772:$U772)&gt;0,T772=""),"حالة الجاهزية",""),IF(AND(COUNTA($O772:$U772)&gt;0,U772=""),"التوصيات","")),"✓"),"✓"))))))))))</f>
        <v/>
      </c>
      <c r="E772" s="235"/>
      <c r="F772" s="236"/>
      <c r="G772" s="90"/>
      <c r="H772" s="239"/>
      <c r="I772" s="89"/>
      <c r="J772" s="142"/>
      <c r="K772" s="90"/>
      <c r="L772" s="90"/>
      <c r="M772" s="90"/>
      <c r="N772" s="89"/>
      <c r="O772" s="200"/>
      <c r="P772" s="201"/>
      <c r="Q772" s="201"/>
      <c r="R772" s="237"/>
      <c r="S772" s="202"/>
      <c r="T772" s="200"/>
      <c r="U772" s="203"/>
      <c r="V772" s="89"/>
      <c r="W772" s="89"/>
      <c r="X772" s="145"/>
      <c r="Y772" s="89"/>
      <c r="Z772" s="90"/>
      <c r="AA772" s="90"/>
      <c r="AB772" s="90"/>
      <c r="AC772" s="90"/>
      <c r="AD772" s="92"/>
      <c r="AE772" s="149" t="str">
        <f>IFERROR(VLOOKUP(Z772,LISTS!$AL$2:$AM$1000,2,FALSE()),"")</f>
        <v/>
      </c>
      <c r="AF772" s="151" t="str">
        <f>IFERROR(VLOOKUP(AA772,LISTS!$AO$2:$AP$1000,2,FALSE()),"")</f>
        <v/>
      </c>
      <c r="AG772" s="152" t="str">
        <f>IFERROR(VLOOKUP(AB772,LISTS!$AR$2:$AS$1000,2,FALSE()),"")</f>
        <v/>
      </c>
      <c r="AH772" s="154" t="str">
        <f>IFERROR(VLOOKUP(AC772,LISTS!$AU$2:$AV$1000,2,FALSE()),"")</f>
        <v/>
      </c>
      <c r="AI772" s="238" t="str">
        <f t="shared" si="63"/>
        <v>—</v>
      </c>
      <c r="AJ772" s="190" t="str">
        <f t="shared" si="64"/>
        <v>—</v>
      </c>
      <c r="AK772" s="157" t="str">
        <f t="shared" si="60"/>
        <v/>
      </c>
      <c r="AL772" s="160" t="str">
        <f t="shared" si="61"/>
        <v/>
      </c>
      <c r="AM772" s="210"/>
      <c r="AN772" s="209"/>
    </row>
    <row r="773" spans="1:40" ht="27.95" customHeight="1">
      <c r="A773" s="134" t="str">
        <f>IF(I773&lt;&gt;"",COUNTA($I$2:I773),"")</f>
        <v/>
      </c>
      <c r="B773" s="138" t="str">
        <f t="shared" si="62"/>
        <v/>
      </c>
      <c r="C773" s="93" t="str">
        <f t="array" ref="C773">IF(E773="","",IF(M773&lt;&gt;"",
M773&amp;"/"&amp;SUMPRODUCT((M$2:M773=M773)*1)&amp;" - "&amp;(ROW()-2),
"إداري/"&amp;SUMPRODUCT((M$2:M773="")*1)&amp;" - "&amp;(ROW()-2)))</f>
        <v/>
      </c>
      <c r="D773" s="141" t="str">
        <f>IF(AND(G773="",H773="",I773=""),"",IF(COUNTIFS(LISTS!$A$2:$A$67,G773,LISTS!$B$2:$B$67,H773,LISTS!$C$2:$C$67,I773)=0,"✗ هرم",IF(NOT(OR(Z773="ممتاز 100%",Z773="جيد 80%",Z773="مقبول 60%",Z773="خطر 40%",Z773="")),"✗ قائمة R",IF(NOT(OR(AA773="ممتاز 100%",AA773="جيد 85%",AA773="مقبول 70%",AA773="ضعيف 50%",AA773="")),"✗ قائمة S",IF(NOT(OR(AB773="مكتمل 100%",AB773="جزئي 60%",AB773="معلق 30%",AB773="مفتوح 0%",AB773="")),"✗ قائمة T",IF(NOT(OR(AC773="لا خصم 0",AC773="تأخير −5",AC773="عجز −10",AC773="جودة −15",AC773="امتثال −20",AC773="مخالفة −25",AC773="")),"✗ قائمة U",IF(AND(X773="لا",AC773&lt;&gt;"",AC773&lt;&gt;"لا خصم 0"),"✗ خصم",IF(AND(X773="نعم",AC773="لا خصم 0"),"✗ خصم",IF(AND(Z773="ممتاز 100%",AA773="ممتاز 100%",AB773&lt;&gt;"",AB773&lt;&gt;"مكتمل 100%"),"✗ إغلاق",IFERROR(IF(LEN(_xlfn.TEXTJOIN("، ",TRUE,IF(E773="","التاريخ",""),IF(F773="","الوقت",""),IF(G773="","المركز",""),IF(H773="","الدائرة",""),IF(I773="","القسم",""),IF(J773="","المسؤول",""),IF(K773="","نوع النشاط",""),IF(L773="","المشروع",""),IF(N773="","الممول",""),IF(V773="","الموضوع",""),IF(W773="","الملاحظة",""),IF(X773="","مشكلة",""),IF(Y773="","الإجراء",""),IF(Z773="","التنفيذ",""),IF(AA773="","الجودة",""),IF(AB773="","الإغلاق",""),IF(AC773="","الخصم",""),IF(AND(COUNTA($O773:$U773)&gt;0,O773=""),"مدير المشروع",""),IF(AND(COUNTA($O773:$U773)&gt;0,P773=""),"المستفيدين",""),IF(AND(COUNTA($O773:$U773)&gt;0,Q773=""),"المناطق",""),IF(AND(COUNTA($O773:$U773)&gt;0,R773=""),"الميزانية",""),IF(AND(COUNTA($O773:$U773)&gt;0,S773=""),"نسبة الجاهزية",""),IF(AND(COUNTA($O773:$U773)&gt;0,T773=""),"حالة الجاهزية",""),IF(AND(COUNTA($O773:$U773)&gt;0,U773=""),"التوصيات","")))&gt;0,"✗ ناقص: "&amp;_xlfn.TEXTJOIN("، ",TRUE,IF(E773="","التاريخ",""),IF(F773="","الوقت",""),IF(G773="","المركز",""),IF(H773="","الدائرة",""),IF(I773="","القسم",""),IF(J773="","المسؤول",""),IF(K773="","نوع النشاط",""),IF(L773="","المشروع",""),IF(N773="","الممول",""),IF(V773="","الموضوع",""),IF(W773="","الملاحظة",""),IF(X773="","مشكلة",""),IF(Y773="","الإجراء",""),IF(Z773="","التنفيذ",""),IF(AA773="","الجودة",""),IF(AB773="","الإغلاق",""),IF(AC773="","الخصم",""),IF(AND(COUNTA($O773:$U773)&gt;0,O773=""),"مدير المشروع",""),IF(AND(COUNTA($O773:$U773)&gt;0,P773=""),"المستفيدين",""),IF(AND(COUNTA($O773:$U773)&gt;0,Q773=""),"المناطق",""),IF(AND(COUNTA($O773:$U773)&gt;0,R773=""),"الميزانية",""),IF(AND(COUNTA($O773:$U773)&gt;0,S773=""),"نسبة الجاهزية",""),IF(AND(COUNTA($O773:$U773)&gt;0,T773=""),"حالة الجاهزية",""),IF(AND(COUNTA($O773:$U773)&gt;0,U773=""),"التوصيات","")),"✓"),"✓"))))))))))</f>
        <v/>
      </c>
      <c r="E773" s="235"/>
      <c r="F773" s="236"/>
      <c r="G773" s="90"/>
      <c r="H773" s="239"/>
      <c r="I773" s="89"/>
      <c r="J773" s="142"/>
      <c r="K773" s="90"/>
      <c r="L773" s="90"/>
      <c r="M773" s="90"/>
      <c r="N773" s="89"/>
      <c r="O773" s="200"/>
      <c r="P773" s="201"/>
      <c r="Q773" s="201"/>
      <c r="R773" s="237"/>
      <c r="S773" s="202"/>
      <c r="T773" s="200"/>
      <c r="U773" s="203"/>
      <c r="V773" s="89"/>
      <c r="W773" s="89"/>
      <c r="X773" s="145"/>
      <c r="Y773" s="89"/>
      <c r="Z773" s="90"/>
      <c r="AA773" s="90"/>
      <c r="AB773" s="90"/>
      <c r="AC773" s="90"/>
      <c r="AD773" s="92"/>
      <c r="AE773" s="149" t="str">
        <f>IFERROR(VLOOKUP(Z773,LISTS!$AL$2:$AM$1000,2,FALSE()),"")</f>
        <v/>
      </c>
      <c r="AF773" s="151" t="str">
        <f>IFERROR(VLOOKUP(AA773,LISTS!$AO$2:$AP$1000,2,FALSE()),"")</f>
        <v/>
      </c>
      <c r="AG773" s="152" t="str">
        <f>IFERROR(VLOOKUP(AB773,LISTS!$AR$2:$AS$1000,2,FALSE()),"")</f>
        <v/>
      </c>
      <c r="AH773" s="154" t="str">
        <f>IFERROR(VLOOKUP(AC773,LISTS!$AU$2:$AV$1000,2,FALSE()),"")</f>
        <v/>
      </c>
      <c r="AI773" s="238" t="str">
        <f t="shared" si="63"/>
        <v>—</v>
      </c>
      <c r="AJ773" s="190" t="str">
        <f t="shared" si="64"/>
        <v>—</v>
      </c>
      <c r="AK773" s="157" t="str">
        <f t="shared" si="60"/>
        <v/>
      </c>
      <c r="AL773" s="160" t="str">
        <f t="shared" si="61"/>
        <v/>
      </c>
      <c r="AM773" s="210"/>
      <c r="AN773" s="209"/>
    </row>
    <row r="774" spans="1:40" ht="27.95" customHeight="1">
      <c r="A774" s="134" t="str">
        <f>IF(I774&lt;&gt;"",COUNTA($I$2:I774),"")</f>
        <v/>
      </c>
      <c r="B774" s="138" t="str">
        <f t="shared" si="62"/>
        <v/>
      </c>
      <c r="C774" s="93" t="str">
        <f t="array" ref="C774">IF(E774="","",IF(M774&lt;&gt;"",
M774&amp;"/"&amp;SUMPRODUCT((M$2:M774=M774)*1)&amp;" - "&amp;(ROW()-2),
"إداري/"&amp;SUMPRODUCT((M$2:M774="")*1)&amp;" - "&amp;(ROW()-2)))</f>
        <v/>
      </c>
      <c r="D774" s="141" t="str">
        <f>IF(AND(G774="",H774="",I774=""),"",IF(COUNTIFS(LISTS!$A$2:$A$67,G774,LISTS!$B$2:$B$67,H774,LISTS!$C$2:$C$67,I774)=0,"✗ هرم",IF(NOT(OR(Z774="ممتاز 100%",Z774="جيد 80%",Z774="مقبول 60%",Z774="خطر 40%",Z774="")),"✗ قائمة R",IF(NOT(OR(AA774="ممتاز 100%",AA774="جيد 85%",AA774="مقبول 70%",AA774="ضعيف 50%",AA774="")),"✗ قائمة S",IF(NOT(OR(AB774="مكتمل 100%",AB774="جزئي 60%",AB774="معلق 30%",AB774="مفتوح 0%",AB774="")),"✗ قائمة T",IF(NOT(OR(AC774="لا خصم 0",AC774="تأخير −5",AC774="عجز −10",AC774="جودة −15",AC774="امتثال −20",AC774="مخالفة −25",AC774="")),"✗ قائمة U",IF(AND(X774="لا",AC774&lt;&gt;"",AC774&lt;&gt;"لا خصم 0"),"✗ خصم",IF(AND(X774="نعم",AC774="لا خصم 0"),"✗ خصم",IF(AND(Z774="ممتاز 100%",AA774="ممتاز 100%",AB774&lt;&gt;"",AB774&lt;&gt;"مكتمل 100%"),"✗ إغلاق",IFERROR(IF(LEN(_xlfn.TEXTJOIN("، ",TRUE,IF(E774="","التاريخ",""),IF(F774="","الوقت",""),IF(G774="","المركز",""),IF(H774="","الدائرة",""),IF(I774="","القسم",""),IF(J774="","المسؤول",""),IF(K774="","نوع النشاط",""),IF(L774="","المشروع",""),IF(N774="","الممول",""),IF(V774="","الموضوع",""),IF(W774="","الملاحظة",""),IF(X774="","مشكلة",""),IF(Y774="","الإجراء",""),IF(Z774="","التنفيذ",""),IF(AA774="","الجودة",""),IF(AB774="","الإغلاق",""),IF(AC774="","الخصم",""),IF(AND(COUNTA($O774:$U774)&gt;0,O774=""),"مدير المشروع",""),IF(AND(COUNTA($O774:$U774)&gt;0,P774=""),"المستفيدين",""),IF(AND(COUNTA($O774:$U774)&gt;0,Q774=""),"المناطق",""),IF(AND(COUNTA($O774:$U774)&gt;0,R774=""),"الميزانية",""),IF(AND(COUNTA($O774:$U774)&gt;0,S774=""),"نسبة الجاهزية",""),IF(AND(COUNTA($O774:$U774)&gt;0,T774=""),"حالة الجاهزية",""),IF(AND(COUNTA($O774:$U774)&gt;0,U774=""),"التوصيات","")))&gt;0,"✗ ناقص: "&amp;_xlfn.TEXTJOIN("، ",TRUE,IF(E774="","التاريخ",""),IF(F774="","الوقت",""),IF(G774="","المركز",""),IF(H774="","الدائرة",""),IF(I774="","القسم",""),IF(J774="","المسؤول",""),IF(K774="","نوع النشاط",""),IF(L774="","المشروع",""),IF(N774="","الممول",""),IF(V774="","الموضوع",""),IF(W774="","الملاحظة",""),IF(X774="","مشكلة",""),IF(Y774="","الإجراء",""),IF(Z774="","التنفيذ",""),IF(AA774="","الجودة",""),IF(AB774="","الإغلاق",""),IF(AC774="","الخصم",""),IF(AND(COUNTA($O774:$U774)&gt;0,O774=""),"مدير المشروع",""),IF(AND(COUNTA($O774:$U774)&gt;0,P774=""),"المستفيدين",""),IF(AND(COUNTA($O774:$U774)&gt;0,Q774=""),"المناطق",""),IF(AND(COUNTA($O774:$U774)&gt;0,R774=""),"الميزانية",""),IF(AND(COUNTA($O774:$U774)&gt;0,S774=""),"نسبة الجاهزية",""),IF(AND(COUNTA($O774:$U774)&gt;0,T774=""),"حالة الجاهزية",""),IF(AND(COUNTA($O774:$U774)&gt;0,U774=""),"التوصيات","")),"✓"),"✓"))))))))))</f>
        <v/>
      </c>
      <c r="E774" s="235"/>
      <c r="F774" s="236"/>
      <c r="G774" s="90"/>
      <c r="H774" s="239"/>
      <c r="I774" s="89"/>
      <c r="J774" s="142"/>
      <c r="K774" s="90"/>
      <c r="L774" s="90"/>
      <c r="M774" s="90"/>
      <c r="N774" s="89"/>
      <c r="O774" s="200"/>
      <c r="P774" s="201"/>
      <c r="Q774" s="201"/>
      <c r="R774" s="237"/>
      <c r="S774" s="202"/>
      <c r="T774" s="200"/>
      <c r="U774" s="203"/>
      <c r="V774" s="89"/>
      <c r="W774" s="89"/>
      <c r="X774" s="145"/>
      <c r="Y774" s="89"/>
      <c r="Z774" s="90"/>
      <c r="AA774" s="90"/>
      <c r="AB774" s="90"/>
      <c r="AC774" s="90"/>
      <c r="AD774" s="92"/>
      <c r="AE774" s="149" t="str">
        <f>IFERROR(VLOOKUP(Z774,LISTS!$AL$2:$AM$1000,2,FALSE()),"")</f>
        <v/>
      </c>
      <c r="AF774" s="151" t="str">
        <f>IFERROR(VLOOKUP(AA774,LISTS!$AO$2:$AP$1000,2,FALSE()),"")</f>
        <v/>
      </c>
      <c r="AG774" s="152" t="str">
        <f>IFERROR(VLOOKUP(AB774,LISTS!$AR$2:$AS$1000,2,FALSE()),"")</f>
        <v/>
      </c>
      <c r="AH774" s="154" t="str">
        <f>IFERROR(VLOOKUP(AC774,LISTS!$AU$2:$AV$1000,2,FALSE()),"")</f>
        <v/>
      </c>
      <c r="AI774" s="238" t="str">
        <f t="shared" si="63"/>
        <v>—</v>
      </c>
      <c r="AJ774" s="190" t="str">
        <f t="shared" si="64"/>
        <v>—</v>
      </c>
      <c r="AK774" s="157" t="str">
        <f t="shared" si="60"/>
        <v/>
      </c>
      <c r="AL774" s="160" t="str">
        <f t="shared" si="61"/>
        <v/>
      </c>
      <c r="AM774" s="210"/>
      <c r="AN774" s="209"/>
    </row>
    <row r="775" spans="1:40" ht="27.95" customHeight="1">
      <c r="A775" s="134" t="str">
        <f>IF(I775&lt;&gt;"",COUNTA($I$2:I775),"")</f>
        <v/>
      </c>
      <c r="B775" s="138" t="str">
        <f t="shared" si="62"/>
        <v/>
      </c>
      <c r="C775" s="93" t="str">
        <f t="array" ref="C775">IF(E775="","",IF(M775&lt;&gt;"",
M775&amp;"/"&amp;SUMPRODUCT((M$2:M775=M775)*1)&amp;" - "&amp;(ROW()-2),
"إداري/"&amp;SUMPRODUCT((M$2:M775="")*1)&amp;" - "&amp;(ROW()-2)))</f>
        <v/>
      </c>
      <c r="D775" s="141" t="str">
        <f>IF(AND(G775="",H775="",I775=""),"",IF(COUNTIFS(LISTS!$A$2:$A$67,G775,LISTS!$B$2:$B$67,H775,LISTS!$C$2:$C$67,I775)=0,"✗ هرم",IF(NOT(OR(Z775="ممتاز 100%",Z775="جيد 80%",Z775="مقبول 60%",Z775="خطر 40%",Z775="")),"✗ قائمة R",IF(NOT(OR(AA775="ممتاز 100%",AA775="جيد 85%",AA775="مقبول 70%",AA775="ضعيف 50%",AA775="")),"✗ قائمة S",IF(NOT(OR(AB775="مكتمل 100%",AB775="جزئي 60%",AB775="معلق 30%",AB775="مفتوح 0%",AB775="")),"✗ قائمة T",IF(NOT(OR(AC775="لا خصم 0",AC775="تأخير −5",AC775="عجز −10",AC775="جودة −15",AC775="امتثال −20",AC775="مخالفة −25",AC775="")),"✗ قائمة U",IF(AND(X775="لا",AC775&lt;&gt;"",AC775&lt;&gt;"لا خصم 0"),"✗ خصم",IF(AND(X775="نعم",AC775="لا خصم 0"),"✗ خصم",IF(AND(Z775="ممتاز 100%",AA775="ممتاز 100%",AB775&lt;&gt;"",AB775&lt;&gt;"مكتمل 100%"),"✗ إغلاق",IFERROR(IF(LEN(_xlfn.TEXTJOIN("، ",TRUE,IF(E775="","التاريخ",""),IF(F775="","الوقت",""),IF(G775="","المركز",""),IF(H775="","الدائرة",""),IF(I775="","القسم",""),IF(J775="","المسؤول",""),IF(K775="","نوع النشاط",""),IF(L775="","المشروع",""),IF(N775="","الممول",""),IF(V775="","الموضوع",""),IF(W775="","الملاحظة",""),IF(X775="","مشكلة",""),IF(Y775="","الإجراء",""),IF(Z775="","التنفيذ",""),IF(AA775="","الجودة",""),IF(AB775="","الإغلاق",""),IF(AC775="","الخصم",""),IF(AND(COUNTA($O775:$U775)&gt;0,O775=""),"مدير المشروع",""),IF(AND(COUNTA($O775:$U775)&gt;0,P775=""),"المستفيدين",""),IF(AND(COUNTA($O775:$U775)&gt;0,Q775=""),"المناطق",""),IF(AND(COUNTA($O775:$U775)&gt;0,R775=""),"الميزانية",""),IF(AND(COUNTA($O775:$U775)&gt;0,S775=""),"نسبة الجاهزية",""),IF(AND(COUNTA($O775:$U775)&gt;0,T775=""),"حالة الجاهزية",""),IF(AND(COUNTA($O775:$U775)&gt;0,U775=""),"التوصيات","")))&gt;0,"✗ ناقص: "&amp;_xlfn.TEXTJOIN("، ",TRUE,IF(E775="","التاريخ",""),IF(F775="","الوقت",""),IF(G775="","المركز",""),IF(H775="","الدائرة",""),IF(I775="","القسم",""),IF(J775="","المسؤول",""),IF(K775="","نوع النشاط",""),IF(L775="","المشروع",""),IF(N775="","الممول",""),IF(V775="","الموضوع",""),IF(W775="","الملاحظة",""),IF(X775="","مشكلة",""),IF(Y775="","الإجراء",""),IF(Z775="","التنفيذ",""),IF(AA775="","الجودة",""),IF(AB775="","الإغلاق",""),IF(AC775="","الخصم",""),IF(AND(COUNTA($O775:$U775)&gt;0,O775=""),"مدير المشروع",""),IF(AND(COUNTA($O775:$U775)&gt;0,P775=""),"المستفيدين",""),IF(AND(COUNTA($O775:$U775)&gt;0,Q775=""),"المناطق",""),IF(AND(COUNTA($O775:$U775)&gt;0,R775=""),"الميزانية",""),IF(AND(COUNTA($O775:$U775)&gt;0,S775=""),"نسبة الجاهزية",""),IF(AND(COUNTA($O775:$U775)&gt;0,T775=""),"حالة الجاهزية",""),IF(AND(COUNTA($O775:$U775)&gt;0,U775=""),"التوصيات","")),"✓"),"✓"))))))))))</f>
        <v/>
      </c>
      <c r="E775" s="235"/>
      <c r="F775" s="236"/>
      <c r="G775" s="90"/>
      <c r="H775" s="239"/>
      <c r="I775" s="89"/>
      <c r="J775" s="142"/>
      <c r="K775" s="90"/>
      <c r="L775" s="90"/>
      <c r="M775" s="90"/>
      <c r="N775" s="89"/>
      <c r="O775" s="200"/>
      <c r="P775" s="201"/>
      <c r="Q775" s="201"/>
      <c r="R775" s="237"/>
      <c r="S775" s="202"/>
      <c r="T775" s="200"/>
      <c r="U775" s="203"/>
      <c r="V775" s="89"/>
      <c r="W775" s="89"/>
      <c r="X775" s="145"/>
      <c r="Y775" s="89"/>
      <c r="Z775" s="90"/>
      <c r="AA775" s="90"/>
      <c r="AB775" s="90"/>
      <c r="AC775" s="90"/>
      <c r="AD775" s="92"/>
      <c r="AE775" s="149" t="str">
        <f>IFERROR(VLOOKUP(Z775,LISTS!$AL$2:$AM$1000,2,FALSE()),"")</f>
        <v/>
      </c>
      <c r="AF775" s="151" t="str">
        <f>IFERROR(VLOOKUP(AA775,LISTS!$AO$2:$AP$1000,2,FALSE()),"")</f>
        <v/>
      </c>
      <c r="AG775" s="152" t="str">
        <f>IFERROR(VLOOKUP(AB775,LISTS!$AR$2:$AS$1000,2,FALSE()),"")</f>
        <v/>
      </c>
      <c r="AH775" s="154" t="str">
        <f>IFERROR(VLOOKUP(AC775,LISTS!$AU$2:$AV$1000,2,FALSE()),"")</f>
        <v/>
      </c>
      <c r="AI775" s="238" t="str">
        <f t="shared" si="63"/>
        <v>—</v>
      </c>
      <c r="AJ775" s="190" t="str">
        <f t="shared" si="64"/>
        <v>—</v>
      </c>
      <c r="AK775" s="157" t="str">
        <f t="shared" si="60"/>
        <v/>
      </c>
      <c r="AL775" s="160" t="str">
        <f t="shared" si="61"/>
        <v/>
      </c>
      <c r="AM775" s="210"/>
      <c r="AN775" s="209"/>
    </row>
    <row r="776" spans="1:40" ht="27.95" customHeight="1">
      <c r="A776" s="134" t="str">
        <f>IF(I776&lt;&gt;"",COUNTA($I$2:I776),"")</f>
        <v/>
      </c>
      <c r="B776" s="138" t="str">
        <f t="shared" si="62"/>
        <v/>
      </c>
      <c r="C776" s="93" t="str">
        <f t="array" ref="C776">IF(E776="","",IF(M776&lt;&gt;"",
M776&amp;"/"&amp;SUMPRODUCT((M$2:M776=M776)*1)&amp;" - "&amp;(ROW()-2),
"إداري/"&amp;SUMPRODUCT((M$2:M776="")*1)&amp;" - "&amp;(ROW()-2)))</f>
        <v/>
      </c>
      <c r="D776" s="141" t="str">
        <f>IF(AND(G776="",H776="",I776=""),"",IF(COUNTIFS(LISTS!$A$2:$A$67,G776,LISTS!$B$2:$B$67,H776,LISTS!$C$2:$C$67,I776)=0,"✗ هرم",IF(NOT(OR(Z776="ممتاز 100%",Z776="جيد 80%",Z776="مقبول 60%",Z776="خطر 40%",Z776="")),"✗ قائمة R",IF(NOT(OR(AA776="ممتاز 100%",AA776="جيد 85%",AA776="مقبول 70%",AA776="ضعيف 50%",AA776="")),"✗ قائمة S",IF(NOT(OR(AB776="مكتمل 100%",AB776="جزئي 60%",AB776="معلق 30%",AB776="مفتوح 0%",AB776="")),"✗ قائمة T",IF(NOT(OR(AC776="لا خصم 0",AC776="تأخير −5",AC776="عجز −10",AC776="جودة −15",AC776="امتثال −20",AC776="مخالفة −25",AC776="")),"✗ قائمة U",IF(AND(X776="لا",AC776&lt;&gt;"",AC776&lt;&gt;"لا خصم 0"),"✗ خصم",IF(AND(X776="نعم",AC776="لا خصم 0"),"✗ خصم",IF(AND(Z776="ممتاز 100%",AA776="ممتاز 100%",AB776&lt;&gt;"",AB776&lt;&gt;"مكتمل 100%"),"✗ إغلاق",IFERROR(IF(LEN(_xlfn.TEXTJOIN("، ",TRUE,IF(E776="","التاريخ",""),IF(F776="","الوقت",""),IF(G776="","المركز",""),IF(H776="","الدائرة",""),IF(I776="","القسم",""),IF(J776="","المسؤول",""),IF(K776="","نوع النشاط",""),IF(L776="","المشروع",""),IF(N776="","الممول",""),IF(V776="","الموضوع",""),IF(W776="","الملاحظة",""),IF(X776="","مشكلة",""),IF(Y776="","الإجراء",""),IF(Z776="","التنفيذ",""),IF(AA776="","الجودة",""),IF(AB776="","الإغلاق",""),IF(AC776="","الخصم",""),IF(AND(COUNTA($O776:$U776)&gt;0,O776=""),"مدير المشروع",""),IF(AND(COUNTA($O776:$U776)&gt;0,P776=""),"المستفيدين",""),IF(AND(COUNTA($O776:$U776)&gt;0,Q776=""),"المناطق",""),IF(AND(COUNTA($O776:$U776)&gt;0,R776=""),"الميزانية",""),IF(AND(COUNTA($O776:$U776)&gt;0,S776=""),"نسبة الجاهزية",""),IF(AND(COUNTA($O776:$U776)&gt;0,T776=""),"حالة الجاهزية",""),IF(AND(COUNTA($O776:$U776)&gt;0,U776=""),"التوصيات","")))&gt;0,"✗ ناقص: "&amp;_xlfn.TEXTJOIN("، ",TRUE,IF(E776="","التاريخ",""),IF(F776="","الوقت",""),IF(G776="","المركز",""),IF(H776="","الدائرة",""),IF(I776="","القسم",""),IF(J776="","المسؤول",""),IF(K776="","نوع النشاط",""),IF(L776="","المشروع",""),IF(N776="","الممول",""),IF(V776="","الموضوع",""),IF(W776="","الملاحظة",""),IF(X776="","مشكلة",""),IF(Y776="","الإجراء",""),IF(Z776="","التنفيذ",""),IF(AA776="","الجودة",""),IF(AB776="","الإغلاق",""),IF(AC776="","الخصم",""),IF(AND(COUNTA($O776:$U776)&gt;0,O776=""),"مدير المشروع",""),IF(AND(COUNTA($O776:$U776)&gt;0,P776=""),"المستفيدين",""),IF(AND(COUNTA($O776:$U776)&gt;0,Q776=""),"المناطق",""),IF(AND(COUNTA($O776:$U776)&gt;0,R776=""),"الميزانية",""),IF(AND(COUNTA($O776:$U776)&gt;0,S776=""),"نسبة الجاهزية",""),IF(AND(COUNTA($O776:$U776)&gt;0,T776=""),"حالة الجاهزية",""),IF(AND(COUNTA($O776:$U776)&gt;0,U776=""),"التوصيات","")),"✓"),"✓"))))))))))</f>
        <v/>
      </c>
      <c r="E776" s="235"/>
      <c r="F776" s="236"/>
      <c r="G776" s="90"/>
      <c r="H776" s="239"/>
      <c r="I776" s="89"/>
      <c r="J776" s="142"/>
      <c r="K776" s="90"/>
      <c r="L776" s="90"/>
      <c r="M776" s="90"/>
      <c r="N776" s="89"/>
      <c r="O776" s="200"/>
      <c r="P776" s="201"/>
      <c r="Q776" s="201"/>
      <c r="R776" s="237"/>
      <c r="S776" s="202"/>
      <c r="T776" s="200"/>
      <c r="U776" s="203"/>
      <c r="V776" s="89"/>
      <c r="W776" s="89"/>
      <c r="X776" s="145"/>
      <c r="Y776" s="89"/>
      <c r="Z776" s="90"/>
      <c r="AA776" s="90"/>
      <c r="AB776" s="90"/>
      <c r="AC776" s="90"/>
      <c r="AD776" s="92"/>
      <c r="AE776" s="149" t="str">
        <f>IFERROR(VLOOKUP(Z776,LISTS!$AL$2:$AM$1000,2,FALSE()),"")</f>
        <v/>
      </c>
      <c r="AF776" s="151" t="str">
        <f>IFERROR(VLOOKUP(AA776,LISTS!$AO$2:$AP$1000,2,FALSE()),"")</f>
        <v/>
      </c>
      <c r="AG776" s="152" t="str">
        <f>IFERROR(VLOOKUP(AB776,LISTS!$AR$2:$AS$1000,2,FALSE()),"")</f>
        <v/>
      </c>
      <c r="AH776" s="154" t="str">
        <f>IFERROR(VLOOKUP(AC776,LISTS!$AU$2:$AV$1000,2,FALSE()),"")</f>
        <v/>
      </c>
      <c r="AI776" s="238" t="str">
        <f t="shared" si="63"/>
        <v>—</v>
      </c>
      <c r="AJ776" s="190" t="str">
        <f t="shared" si="64"/>
        <v>—</v>
      </c>
      <c r="AK776" s="157" t="str">
        <f t="shared" si="60"/>
        <v/>
      </c>
      <c r="AL776" s="160" t="str">
        <f t="shared" si="61"/>
        <v/>
      </c>
      <c r="AM776" s="210"/>
      <c r="AN776" s="209"/>
    </row>
    <row r="777" spans="1:40" ht="27.95" customHeight="1">
      <c r="A777" s="134" t="str">
        <f>IF(I777&lt;&gt;"",COUNTA($I$2:I777),"")</f>
        <v/>
      </c>
      <c r="B777" s="138" t="str">
        <f t="shared" si="62"/>
        <v/>
      </c>
      <c r="C777" s="93" t="str">
        <f t="array" ref="C777">IF(E777="","",IF(M777&lt;&gt;"",
M777&amp;"/"&amp;SUMPRODUCT((M$2:M777=M777)*1)&amp;" - "&amp;(ROW()-2),
"إداري/"&amp;SUMPRODUCT((M$2:M777="")*1)&amp;" - "&amp;(ROW()-2)))</f>
        <v/>
      </c>
      <c r="D777" s="141" t="str">
        <f>IF(AND(G777="",H777="",I777=""),"",IF(COUNTIFS(LISTS!$A$2:$A$67,G777,LISTS!$B$2:$B$67,H777,LISTS!$C$2:$C$67,I777)=0,"✗ هرم",IF(NOT(OR(Z777="ممتاز 100%",Z777="جيد 80%",Z777="مقبول 60%",Z777="خطر 40%",Z777="")),"✗ قائمة R",IF(NOT(OR(AA777="ممتاز 100%",AA777="جيد 85%",AA777="مقبول 70%",AA777="ضعيف 50%",AA777="")),"✗ قائمة S",IF(NOT(OR(AB777="مكتمل 100%",AB777="جزئي 60%",AB777="معلق 30%",AB777="مفتوح 0%",AB777="")),"✗ قائمة T",IF(NOT(OR(AC777="لا خصم 0",AC777="تأخير −5",AC777="عجز −10",AC777="جودة −15",AC777="امتثال −20",AC777="مخالفة −25",AC777="")),"✗ قائمة U",IF(AND(X777="لا",AC777&lt;&gt;"",AC777&lt;&gt;"لا خصم 0"),"✗ خصم",IF(AND(X777="نعم",AC777="لا خصم 0"),"✗ خصم",IF(AND(Z777="ممتاز 100%",AA777="ممتاز 100%",AB777&lt;&gt;"",AB777&lt;&gt;"مكتمل 100%"),"✗ إغلاق",IFERROR(IF(LEN(_xlfn.TEXTJOIN("، ",TRUE,IF(E777="","التاريخ",""),IF(F777="","الوقت",""),IF(G777="","المركز",""),IF(H777="","الدائرة",""),IF(I777="","القسم",""),IF(J777="","المسؤول",""),IF(K777="","نوع النشاط",""),IF(L777="","المشروع",""),IF(N777="","الممول",""),IF(V777="","الموضوع",""),IF(W777="","الملاحظة",""),IF(X777="","مشكلة",""),IF(Y777="","الإجراء",""),IF(Z777="","التنفيذ",""),IF(AA777="","الجودة",""),IF(AB777="","الإغلاق",""),IF(AC777="","الخصم",""),IF(AND(COUNTA($O777:$U777)&gt;0,O777=""),"مدير المشروع",""),IF(AND(COUNTA($O777:$U777)&gt;0,P777=""),"المستفيدين",""),IF(AND(COUNTA($O777:$U777)&gt;0,Q777=""),"المناطق",""),IF(AND(COUNTA($O777:$U777)&gt;0,R777=""),"الميزانية",""),IF(AND(COUNTA($O777:$U777)&gt;0,S777=""),"نسبة الجاهزية",""),IF(AND(COUNTA($O777:$U777)&gt;0,T777=""),"حالة الجاهزية",""),IF(AND(COUNTA($O777:$U777)&gt;0,U777=""),"التوصيات","")))&gt;0,"✗ ناقص: "&amp;_xlfn.TEXTJOIN("، ",TRUE,IF(E777="","التاريخ",""),IF(F777="","الوقت",""),IF(G777="","المركز",""),IF(H777="","الدائرة",""),IF(I777="","القسم",""),IF(J777="","المسؤول",""),IF(K777="","نوع النشاط",""),IF(L777="","المشروع",""),IF(N777="","الممول",""),IF(V777="","الموضوع",""),IF(W777="","الملاحظة",""),IF(X777="","مشكلة",""),IF(Y777="","الإجراء",""),IF(Z777="","التنفيذ",""),IF(AA777="","الجودة",""),IF(AB777="","الإغلاق",""),IF(AC777="","الخصم",""),IF(AND(COUNTA($O777:$U777)&gt;0,O777=""),"مدير المشروع",""),IF(AND(COUNTA($O777:$U777)&gt;0,P777=""),"المستفيدين",""),IF(AND(COUNTA($O777:$U777)&gt;0,Q777=""),"المناطق",""),IF(AND(COUNTA($O777:$U777)&gt;0,R777=""),"الميزانية",""),IF(AND(COUNTA($O777:$U777)&gt;0,S777=""),"نسبة الجاهزية",""),IF(AND(COUNTA($O777:$U777)&gt;0,T777=""),"حالة الجاهزية",""),IF(AND(COUNTA($O777:$U777)&gt;0,U777=""),"التوصيات","")),"✓"),"✓"))))))))))</f>
        <v/>
      </c>
      <c r="E777" s="235"/>
      <c r="F777" s="236"/>
      <c r="G777" s="90"/>
      <c r="H777" s="239"/>
      <c r="I777" s="89"/>
      <c r="J777" s="142"/>
      <c r="K777" s="90"/>
      <c r="L777" s="90"/>
      <c r="M777" s="90"/>
      <c r="N777" s="89"/>
      <c r="O777" s="200"/>
      <c r="P777" s="201"/>
      <c r="Q777" s="201"/>
      <c r="R777" s="237"/>
      <c r="S777" s="202"/>
      <c r="T777" s="200"/>
      <c r="U777" s="203"/>
      <c r="V777" s="89"/>
      <c r="W777" s="89"/>
      <c r="X777" s="145"/>
      <c r="Y777" s="89"/>
      <c r="Z777" s="90"/>
      <c r="AA777" s="90"/>
      <c r="AB777" s="90"/>
      <c r="AC777" s="90"/>
      <c r="AD777" s="92"/>
      <c r="AE777" s="149" t="str">
        <f>IFERROR(VLOOKUP(Z777,LISTS!$AL$2:$AM$1000,2,FALSE()),"")</f>
        <v/>
      </c>
      <c r="AF777" s="151" t="str">
        <f>IFERROR(VLOOKUP(AA777,LISTS!$AO$2:$AP$1000,2,FALSE()),"")</f>
        <v/>
      </c>
      <c r="AG777" s="152" t="str">
        <f>IFERROR(VLOOKUP(AB777,LISTS!$AR$2:$AS$1000,2,FALSE()),"")</f>
        <v/>
      </c>
      <c r="AH777" s="154" t="str">
        <f>IFERROR(VLOOKUP(AC777,LISTS!$AU$2:$AV$1000,2,FALSE()),"")</f>
        <v/>
      </c>
      <c r="AI777" s="238" t="str">
        <f t="shared" si="63"/>
        <v>—</v>
      </c>
      <c r="AJ777" s="190" t="str">
        <f t="shared" si="64"/>
        <v>—</v>
      </c>
      <c r="AK777" s="157" t="str">
        <f t="shared" si="60"/>
        <v/>
      </c>
      <c r="AL777" s="160" t="str">
        <f t="shared" si="61"/>
        <v/>
      </c>
      <c r="AM777" s="210"/>
      <c r="AN777" s="209"/>
    </row>
    <row r="778" spans="1:40" ht="27.95" customHeight="1">
      <c r="A778" s="134" t="str">
        <f>IF(I778&lt;&gt;"",COUNTA($I$2:I778),"")</f>
        <v/>
      </c>
      <c r="B778" s="138" t="str">
        <f t="shared" si="62"/>
        <v/>
      </c>
      <c r="C778" s="93" t="str">
        <f t="array" ref="C778">IF(E778="","",IF(M778&lt;&gt;"",
M778&amp;"/"&amp;SUMPRODUCT((M$2:M778=M778)*1)&amp;" - "&amp;(ROW()-2),
"إداري/"&amp;SUMPRODUCT((M$2:M778="")*1)&amp;" - "&amp;(ROW()-2)))</f>
        <v/>
      </c>
      <c r="D778" s="141" t="str">
        <f>IF(AND(G778="",H778="",I778=""),"",IF(COUNTIFS(LISTS!$A$2:$A$67,G778,LISTS!$B$2:$B$67,H778,LISTS!$C$2:$C$67,I778)=0,"✗ هرم",IF(NOT(OR(Z778="ممتاز 100%",Z778="جيد 80%",Z778="مقبول 60%",Z778="خطر 40%",Z778="")),"✗ قائمة R",IF(NOT(OR(AA778="ممتاز 100%",AA778="جيد 85%",AA778="مقبول 70%",AA778="ضعيف 50%",AA778="")),"✗ قائمة S",IF(NOT(OR(AB778="مكتمل 100%",AB778="جزئي 60%",AB778="معلق 30%",AB778="مفتوح 0%",AB778="")),"✗ قائمة T",IF(NOT(OR(AC778="لا خصم 0",AC778="تأخير −5",AC778="عجز −10",AC778="جودة −15",AC778="امتثال −20",AC778="مخالفة −25",AC778="")),"✗ قائمة U",IF(AND(X778="لا",AC778&lt;&gt;"",AC778&lt;&gt;"لا خصم 0"),"✗ خصم",IF(AND(X778="نعم",AC778="لا خصم 0"),"✗ خصم",IF(AND(Z778="ممتاز 100%",AA778="ممتاز 100%",AB778&lt;&gt;"",AB778&lt;&gt;"مكتمل 100%"),"✗ إغلاق",IFERROR(IF(LEN(_xlfn.TEXTJOIN("، ",TRUE,IF(E778="","التاريخ",""),IF(F778="","الوقت",""),IF(G778="","المركز",""),IF(H778="","الدائرة",""),IF(I778="","القسم",""),IF(J778="","المسؤول",""),IF(K778="","نوع النشاط",""),IF(L778="","المشروع",""),IF(N778="","الممول",""),IF(V778="","الموضوع",""),IF(W778="","الملاحظة",""),IF(X778="","مشكلة",""),IF(Y778="","الإجراء",""),IF(Z778="","التنفيذ",""),IF(AA778="","الجودة",""),IF(AB778="","الإغلاق",""),IF(AC778="","الخصم",""),IF(AND(COUNTA($O778:$U778)&gt;0,O778=""),"مدير المشروع",""),IF(AND(COUNTA($O778:$U778)&gt;0,P778=""),"المستفيدين",""),IF(AND(COUNTA($O778:$U778)&gt;0,Q778=""),"المناطق",""),IF(AND(COUNTA($O778:$U778)&gt;0,R778=""),"الميزانية",""),IF(AND(COUNTA($O778:$U778)&gt;0,S778=""),"نسبة الجاهزية",""),IF(AND(COUNTA($O778:$U778)&gt;0,T778=""),"حالة الجاهزية",""),IF(AND(COUNTA($O778:$U778)&gt;0,U778=""),"التوصيات","")))&gt;0,"✗ ناقص: "&amp;_xlfn.TEXTJOIN("، ",TRUE,IF(E778="","التاريخ",""),IF(F778="","الوقت",""),IF(G778="","المركز",""),IF(H778="","الدائرة",""),IF(I778="","القسم",""),IF(J778="","المسؤول",""),IF(K778="","نوع النشاط",""),IF(L778="","المشروع",""),IF(N778="","الممول",""),IF(V778="","الموضوع",""),IF(W778="","الملاحظة",""),IF(X778="","مشكلة",""),IF(Y778="","الإجراء",""),IF(Z778="","التنفيذ",""),IF(AA778="","الجودة",""),IF(AB778="","الإغلاق",""),IF(AC778="","الخصم",""),IF(AND(COUNTA($O778:$U778)&gt;0,O778=""),"مدير المشروع",""),IF(AND(COUNTA($O778:$U778)&gt;0,P778=""),"المستفيدين",""),IF(AND(COUNTA($O778:$U778)&gt;0,Q778=""),"المناطق",""),IF(AND(COUNTA($O778:$U778)&gt;0,R778=""),"الميزانية",""),IF(AND(COUNTA($O778:$U778)&gt;0,S778=""),"نسبة الجاهزية",""),IF(AND(COUNTA($O778:$U778)&gt;0,T778=""),"حالة الجاهزية",""),IF(AND(COUNTA($O778:$U778)&gt;0,U778=""),"التوصيات","")),"✓"),"✓"))))))))))</f>
        <v/>
      </c>
      <c r="E778" s="235"/>
      <c r="F778" s="236"/>
      <c r="G778" s="90"/>
      <c r="H778" s="239"/>
      <c r="I778" s="89"/>
      <c r="J778" s="142"/>
      <c r="K778" s="90"/>
      <c r="L778" s="90"/>
      <c r="M778" s="90"/>
      <c r="N778" s="89"/>
      <c r="O778" s="200"/>
      <c r="P778" s="201"/>
      <c r="Q778" s="201"/>
      <c r="R778" s="237"/>
      <c r="S778" s="202"/>
      <c r="T778" s="200"/>
      <c r="U778" s="203"/>
      <c r="V778" s="89"/>
      <c r="W778" s="89"/>
      <c r="X778" s="145"/>
      <c r="Y778" s="89"/>
      <c r="Z778" s="90"/>
      <c r="AA778" s="90"/>
      <c r="AB778" s="90"/>
      <c r="AC778" s="90"/>
      <c r="AD778" s="92"/>
      <c r="AE778" s="149" t="str">
        <f>IFERROR(VLOOKUP(Z778,LISTS!$AL$2:$AM$1000,2,FALSE()),"")</f>
        <v/>
      </c>
      <c r="AF778" s="151" t="str">
        <f>IFERROR(VLOOKUP(AA778,LISTS!$AO$2:$AP$1000,2,FALSE()),"")</f>
        <v/>
      </c>
      <c r="AG778" s="152" t="str">
        <f>IFERROR(VLOOKUP(AB778,LISTS!$AR$2:$AS$1000,2,FALSE()),"")</f>
        <v/>
      </c>
      <c r="AH778" s="154" t="str">
        <f>IFERROR(VLOOKUP(AC778,LISTS!$AU$2:$AV$1000,2,FALSE()),"")</f>
        <v/>
      </c>
      <c r="AI778" s="238" t="str">
        <f t="shared" si="63"/>
        <v>—</v>
      </c>
      <c r="AJ778" s="190" t="str">
        <f t="shared" si="64"/>
        <v>—</v>
      </c>
      <c r="AK778" s="157" t="str">
        <f t="shared" si="60"/>
        <v/>
      </c>
      <c r="AL778" s="160" t="str">
        <f t="shared" si="61"/>
        <v/>
      </c>
      <c r="AM778" s="210"/>
      <c r="AN778" s="209"/>
    </row>
    <row r="779" spans="1:40" ht="27.95" customHeight="1">
      <c r="A779" s="134" t="str">
        <f>IF(I779&lt;&gt;"",COUNTA($I$2:I779),"")</f>
        <v/>
      </c>
      <c r="B779" s="138" t="str">
        <f t="shared" si="62"/>
        <v/>
      </c>
      <c r="C779" s="93" t="str">
        <f t="array" ref="C779">IF(E779="","",IF(M779&lt;&gt;"",
M779&amp;"/"&amp;SUMPRODUCT((M$2:M779=M779)*1)&amp;" - "&amp;(ROW()-2),
"إداري/"&amp;SUMPRODUCT((M$2:M779="")*1)&amp;" - "&amp;(ROW()-2)))</f>
        <v/>
      </c>
      <c r="D779" s="141" t="str">
        <f>IF(AND(G779="",H779="",I779=""),"",IF(COUNTIFS(LISTS!$A$2:$A$67,G779,LISTS!$B$2:$B$67,H779,LISTS!$C$2:$C$67,I779)=0,"✗ هرم",IF(NOT(OR(Z779="ممتاز 100%",Z779="جيد 80%",Z779="مقبول 60%",Z779="خطر 40%",Z779="")),"✗ قائمة R",IF(NOT(OR(AA779="ممتاز 100%",AA779="جيد 85%",AA779="مقبول 70%",AA779="ضعيف 50%",AA779="")),"✗ قائمة S",IF(NOT(OR(AB779="مكتمل 100%",AB779="جزئي 60%",AB779="معلق 30%",AB779="مفتوح 0%",AB779="")),"✗ قائمة T",IF(NOT(OR(AC779="لا خصم 0",AC779="تأخير −5",AC779="عجز −10",AC779="جودة −15",AC779="امتثال −20",AC779="مخالفة −25",AC779="")),"✗ قائمة U",IF(AND(X779="لا",AC779&lt;&gt;"",AC779&lt;&gt;"لا خصم 0"),"✗ خصم",IF(AND(X779="نعم",AC779="لا خصم 0"),"✗ خصم",IF(AND(Z779="ممتاز 100%",AA779="ممتاز 100%",AB779&lt;&gt;"",AB779&lt;&gt;"مكتمل 100%"),"✗ إغلاق",IFERROR(IF(LEN(_xlfn.TEXTJOIN("، ",TRUE,IF(E779="","التاريخ",""),IF(F779="","الوقت",""),IF(G779="","المركز",""),IF(H779="","الدائرة",""),IF(I779="","القسم",""),IF(J779="","المسؤول",""),IF(K779="","نوع النشاط",""),IF(L779="","المشروع",""),IF(N779="","الممول",""),IF(V779="","الموضوع",""),IF(W779="","الملاحظة",""),IF(X779="","مشكلة",""),IF(Y779="","الإجراء",""),IF(Z779="","التنفيذ",""),IF(AA779="","الجودة",""),IF(AB779="","الإغلاق",""),IF(AC779="","الخصم",""),IF(AND(COUNTA($O779:$U779)&gt;0,O779=""),"مدير المشروع",""),IF(AND(COUNTA($O779:$U779)&gt;0,P779=""),"المستفيدين",""),IF(AND(COUNTA($O779:$U779)&gt;0,Q779=""),"المناطق",""),IF(AND(COUNTA($O779:$U779)&gt;0,R779=""),"الميزانية",""),IF(AND(COUNTA($O779:$U779)&gt;0,S779=""),"نسبة الجاهزية",""),IF(AND(COUNTA($O779:$U779)&gt;0,T779=""),"حالة الجاهزية",""),IF(AND(COUNTA($O779:$U779)&gt;0,U779=""),"التوصيات","")))&gt;0,"✗ ناقص: "&amp;_xlfn.TEXTJOIN("، ",TRUE,IF(E779="","التاريخ",""),IF(F779="","الوقت",""),IF(G779="","المركز",""),IF(H779="","الدائرة",""),IF(I779="","القسم",""),IF(J779="","المسؤول",""),IF(K779="","نوع النشاط",""),IF(L779="","المشروع",""),IF(N779="","الممول",""),IF(V779="","الموضوع",""),IF(W779="","الملاحظة",""),IF(X779="","مشكلة",""),IF(Y779="","الإجراء",""),IF(Z779="","التنفيذ",""),IF(AA779="","الجودة",""),IF(AB779="","الإغلاق",""),IF(AC779="","الخصم",""),IF(AND(COUNTA($O779:$U779)&gt;0,O779=""),"مدير المشروع",""),IF(AND(COUNTA($O779:$U779)&gt;0,P779=""),"المستفيدين",""),IF(AND(COUNTA($O779:$U779)&gt;0,Q779=""),"المناطق",""),IF(AND(COUNTA($O779:$U779)&gt;0,R779=""),"الميزانية",""),IF(AND(COUNTA($O779:$U779)&gt;0,S779=""),"نسبة الجاهزية",""),IF(AND(COUNTA($O779:$U779)&gt;0,T779=""),"حالة الجاهزية",""),IF(AND(COUNTA($O779:$U779)&gt;0,U779=""),"التوصيات","")),"✓"),"✓"))))))))))</f>
        <v/>
      </c>
      <c r="E779" s="235"/>
      <c r="F779" s="236"/>
      <c r="G779" s="90"/>
      <c r="H779" s="239"/>
      <c r="I779" s="89"/>
      <c r="J779" s="142"/>
      <c r="K779" s="90"/>
      <c r="L779" s="90"/>
      <c r="M779" s="90"/>
      <c r="N779" s="89"/>
      <c r="O779" s="200"/>
      <c r="P779" s="201"/>
      <c r="Q779" s="201"/>
      <c r="R779" s="237"/>
      <c r="S779" s="202"/>
      <c r="T779" s="200"/>
      <c r="U779" s="203"/>
      <c r="V779" s="89"/>
      <c r="W779" s="89"/>
      <c r="X779" s="145"/>
      <c r="Y779" s="89"/>
      <c r="Z779" s="90"/>
      <c r="AA779" s="90"/>
      <c r="AB779" s="90"/>
      <c r="AC779" s="90"/>
      <c r="AD779" s="92"/>
      <c r="AE779" s="149" t="str">
        <f>IFERROR(VLOOKUP(Z779,LISTS!$AL$2:$AM$1000,2,FALSE()),"")</f>
        <v/>
      </c>
      <c r="AF779" s="151" t="str">
        <f>IFERROR(VLOOKUP(AA779,LISTS!$AO$2:$AP$1000,2,FALSE()),"")</f>
        <v/>
      </c>
      <c r="AG779" s="152" t="str">
        <f>IFERROR(VLOOKUP(AB779,LISTS!$AR$2:$AS$1000,2,FALSE()),"")</f>
        <v/>
      </c>
      <c r="AH779" s="154" t="str">
        <f>IFERROR(VLOOKUP(AC779,LISTS!$AU$2:$AV$1000,2,FALSE()),"")</f>
        <v/>
      </c>
      <c r="AI779" s="238" t="str">
        <f t="shared" si="63"/>
        <v>—</v>
      </c>
      <c r="AJ779" s="190" t="str">
        <f t="shared" si="64"/>
        <v>—</v>
      </c>
      <c r="AK779" s="157" t="str">
        <f t="shared" si="60"/>
        <v/>
      </c>
      <c r="AL779" s="160" t="str">
        <f t="shared" si="61"/>
        <v/>
      </c>
      <c r="AM779" s="210"/>
      <c r="AN779" s="209"/>
    </row>
    <row r="780" spans="1:40" ht="27.95" customHeight="1">
      <c r="A780" s="134" t="str">
        <f>IF(I780&lt;&gt;"",COUNTA($I$2:I780),"")</f>
        <v/>
      </c>
      <c r="B780" s="138" t="str">
        <f t="shared" si="62"/>
        <v/>
      </c>
      <c r="C780" s="93" t="str">
        <f t="array" ref="C780">IF(E780="","",IF(M780&lt;&gt;"",
M780&amp;"/"&amp;SUMPRODUCT((M$2:M780=M780)*1)&amp;" - "&amp;(ROW()-2),
"إداري/"&amp;SUMPRODUCT((M$2:M780="")*1)&amp;" - "&amp;(ROW()-2)))</f>
        <v/>
      </c>
      <c r="D780" s="141" t="str">
        <f>IF(AND(G780="",H780="",I780=""),"",IF(COUNTIFS(LISTS!$A$2:$A$67,G780,LISTS!$B$2:$B$67,H780,LISTS!$C$2:$C$67,I780)=0,"✗ هرم",IF(NOT(OR(Z780="ممتاز 100%",Z780="جيد 80%",Z780="مقبول 60%",Z780="خطر 40%",Z780="")),"✗ قائمة R",IF(NOT(OR(AA780="ممتاز 100%",AA780="جيد 85%",AA780="مقبول 70%",AA780="ضعيف 50%",AA780="")),"✗ قائمة S",IF(NOT(OR(AB780="مكتمل 100%",AB780="جزئي 60%",AB780="معلق 30%",AB780="مفتوح 0%",AB780="")),"✗ قائمة T",IF(NOT(OR(AC780="لا خصم 0",AC780="تأخير −5",AC780="عجز −10",AC780="جودة −15",AC780="امتثال −20",AC780="مخالفة −25",AC780="")),"✗ قائمة U",IF(AND(X780="لا",AC780&lt;&gt;"",AC780&lt;&gt;"لا خصم 0"),"✗ خصم",IF(AND(X780="نعم",AC780="لا خصم 0"),"✗ خصم",IF(AND(Z780="ممتاز 100%",AA780="ممتاز 100%",AB780&lt;&gt;"",AB780&lt;&gt;"مكتمل 100%"),"✗ إغلاق",IFERROR(IF(LEN(_xlfn.TEXTJOIN("، ",TRUE,IF(E780="","التاريخ",""),IF(F780="","الوقت",""),IF(G780="","المركز",""),IF(H780="","الدائرة",""),IF(I780="","القسم",""),IF(J780="","المسؤول",""),IF(K780="","نوع النشاط",""),IF(L780="","المشروع",""),IF(N780="","الممول",""),IF(V780="","الموضوع",""),IF(W780="","الملاحظة",""),IF(X780="","مشكلة",""),IF(Y780="","الإجراء",""),IF(Z780="","التنفيذ",""),IF(AA780="","الجودة",""),IF(AB780="","الإغلاق",""),IF(AC780="","الخصم",""),IF(AND(COUNTA($O780:$U780)&gt;0,O780=""),"مدير المشروع",""),IF(AND(COUNTA($O780:$U780)&gt;0,P780=""),"المستفيدين",""),IF(AND(COUNTA($O780:$U780)&gt;0,Q780=""),"المناطق",""),IF(AND(COUNTA($O780:$U780)&gt;0,R780=""),"الميزانية",""),IF(AND(COUNTA($O780:$U780)&gt;0,S780=""),"نسبة الجاهزية",""),IF(AND(COUNTA($O780:$U780)&gt;0,T780=""),"حالة الجاهزية",""),IF(AND(COUNTA($O780:$U780)&gt;0,U780=""),"التوصيات","")))&gt;0,"✗ ناقص: "&amp;_xlfn.TEXTJOIN("، ",TRUE,IF(E780="","التاريخ",""),IF(F780="","الوقت",""),IF(G780="","المركز",""),IF(H780="","الدائرة",""),IF(I780="","القسم",""),IF(J780="","المسؤول",""),IF(K780="","نوع النشاط",""),IF(L780="","المشروع",""),IF(N780="","الممول",""),IF(V780="","الموضوع",""),IF(W780="","الملاحظة",""),IF(X780="","مشكلة",""),IF(Y780="","الإجراء",""),IF(Z780="","التنفيذ",""),IF(AA780="","الجودة",""),IF(AB780="","الإغلاق",""),IF(AC780="","الخصم",""),IF(AND(COUNTA($O780:$U780)&gt;0,O780=""),"مدير المشروع",""),IF(AND(COUNTA($O780:$U780)&gt;0,P780=""),"المستفيدين",""),IF(AND(COUNTA($O780:$U780)&gt;0,Q780=""),"المناطق",""),IF(AND(COUNTA($O780:$U780)&gt;0,R780=""),"الميزانية",""),IF(AND(COUNTA($O780:$U780)&gt;0,S780=""),"نسبة الجاهزية",""),IF(AND(COUNTA($O780:$U780)&gt;0,T780=""),"حالة الجاهزية",""),IF(AND(COUNTA($O780:$U780)&gt;0,U780=""),"التوصيات","")),"✓"),"✓"))))))))))</f>
        <v/>
      </c>
      <c r="E780" s="235"/>
      <c r="F780" s="236"/>
      <c r="G780" s="90"/>
      <c r="H780" s="239"/>
      <c r="I780" s="89"/>
      <c r="J780" s="142"/>
      <c r="K780" s="90"/>
      <c r="L780" s="90"/>
      <c r="M780" s="90"/>
      <c r="N780" s="89"/>
      <c r="O780" s="200"/>
      <c r="P780" s="201"/>
      <c r="Q780" s="201"/>
      <c r="R780" s="237"/>
      <c r="S780" s="202"/>
      <c r="T780" s="200"/>
      <c r="U780" s="203"/>
      <c r="V780" s="89"/>
      <c r="W780" s="89"/>
      <c r="X780" s="145"/>
      <c r="Y780" s="89"/>
      <c r="Z780" s="90"/>
      <c r="AA780" s="90"/>
      <c r="AB780" s="90"/>
      <c r="AC780" s="90"/>
      <c r="AD780" s="92"/>
      <c r="AE780" s="149" t="str">
        <f>IFERROR(VLOOKUP(Z780,LISTS!$AL$2:$AM$1000,2,FALSE()),"")</f>
        <v/>
      </c>
      <c r="AF780" s="151" t="str">
        <f>IFERROR(VLOOKUP(AA780,LISTS!$AO$2:$AP$1000,2,FALSE()),"")</f>
        <v/>
      </c>
      <c r="AG780" s="152" t="str">
        <f>IFERROR(VLOOKUP(AB780,LISTS!$AR$2:$AS$1000,2,FALSE()),"")</f>
        <v/>
      </c>
      <c r="AH780" s="154" t="str">
        <f>IFERROR(VLOOKUP(AC780,LISTS!$AU$2:$AV$1000,2,FALSE()),"")</f>
        <v/>
      </c>
      <c r="AI780" s="238" t="str">
        <f t="shared" si="63"/>
        <v>—</v>
      </c>
      <c r="AJ780" s="190" t="str">
        <f t="shared" si="64"/>
        <v>—</v>
      </c>
      <c r="AK780" s="157" t="str">
        <f t="shared" si="60"/>
        <v/>
      </c>
      <c r="AL780" s="160" t="str">
        <f t="shared" si="61"/>
        <v/>
      </c>
      <c r="AM780" s="210"/>
      <c r="AN780" s="209"/>
    </row>
    <row r="781" spans="1:40" ht="27.95" customHeight="1">
      <c r="A781" s="134" t="str">
        <f>IF(I781&lt;&gt;"",COUNTA($I$2:I781),"")</f>
        <v/>
      </c>
      <c r="B781" s="138" t="str">
        <f t="shared" si="62"/>
        <v/>
      </c>
      <c r="C781" s="93" t="str">
        <f t="array" ref="C781">IF(E781="","",IF(M781&lt;&gt;"",
M781&amp;"/"&amp;SUMPRODUCT((M$2:M781=M781)*1)&amp;" - "&amp;(ROW()-2),
"إداري/"&amp;SUMPRODUCT((M$2:M781="")*1)&amp;" - "&amp;(ROW()-2)))</f>
        <v/>
      </c>
      <c r="D781" s="141" t="str">
        <f>IF(AND(G781="",H781="",I781=""),"",IF(COUNTIFS(LISTS!$A$2:$A$67,G781,LISTS!$B$2:$B$67,H781,LISTS!$C$2:$C$67,I781)=0,"✗ هرم",IF(NOT(OR(Z781="ممتاز 100%",Z781="جيد 80%",Z781="مقبول 60%",Z781="خطر 40%",Z781="")),"✗ قائمة R",IF(NOT(OR(AA781="ممتاز 100%",AA781="جيد 85%",AA781="مقبول 70%",AA781="ضعيف 50%",AA781="")),"✗ قائمة S",IF(NOT(OR(AB781="مكتمل 100%",AB781="جزئي 60%",AB781="معلق 30%",AB781="مفتوح 0%",AB781="")),"✗ قائمة T",IF(NOT(OR(AC781="لا خصم 0",AC781="تأخير −5",AC781="عجز −10",AC781="جودة −15",AC781="امتثال −20",AC781="مخالفة −25",AC781="")),"✗ قائمة U",IF(AND(X781="لا",AC781&lt;&gt;"",AC781&lt;&gt;"لا خصم 0"),"✗ خصم",IF(AND(X781="نعم",AC781="لا خصم 0"),"✗ خصم",IF(AND(Z781="ممتاز 100%",AA781="ممتاز 100%",AB781&lt;&gt;"",AB781&lt;&gt;"مكتمل 100%"),"✗ إغلاق",IFERROR(IF(LEN(_xlfn.TEXTJOIN("، ",TRUE,IF(E781="","التاريخ",""),IF(F781="","الوقت",""),IF(G781="","المركز",""),IF(H781="","الدائرة",""),IF(I781="","القسم",""),IF(J781="","المسؤول",""),IF(K781="","نوع النشاط",""),IF(L781="","المشروع",""),IF(N781="","الممول",""),IF(V781="","الموضوع",""),IF(W781="","الملاحظة",""),IF(X781="","مشكلة",""),IF(Y781="","الإجراء",""),IF(Z781="","التنفيذ",""),IF(AA781="","الجودة",""),IF(AB781="","الإغلاق",""),IF(AC781="","الخصم",""),IF(AND(COUNTA($O781:$U781)&gt;0,O781=""),"مدير المشروع",""),IF(AND(COUNTA($O781:$U781)&gt;0,P781=""),"المستفيدين",""),IF(AND(COUNTA($O781:$U781)&gt;0,Q781=""),"المناطق",""),IF(AND(COUNTA($O781:$U781)&gt;0,R781=""),"الميزانية",""),IF(AND(COUNTA($O781:$U781)&gt;0,S781=""),"نسبة الجاهزية",""),IF(AND(COUNTA($O781:$U781)&gt;0,T781=""),"حالة الجاهزية",""),IF(AND(COUNTA($O781:$U781)&gt;0,U781=""),"التوصيات","")))&gt;0,"✗ ناقص: "&amp;_xlfn.TEXTJOIN("، ",TRUE,IF(E781="","التاريخ",""),IF(F781="","الوقت",""),IF(G781="","المركز",""),IF(H781="","الدائرة",""),IF(I781="","القسم",""),IF(J781="","المسؤول",""),IF(K781="","نوع النشاط",""),IF(L781="","المشروع",""),IF(N781="","الممول",""),IF(V781="","الموضوع",""),IF(W781="","الملاحظة",""),IF(X781="","مشكلة",""),IF(Y781="","الإجراء",""),IF(Z781="","التنفيذ",""),IF(AA781="","الجودة",""),IF(AB781="","الإغلاق",""),IF(AC781="","الخصم",""),IF(AND(COUNTA($O781:$U781)&gt;0,O781=""),"مدير المشروع",""),IF(AND(COUNTA($O781:$U781)&gt;0,P781=""),"المستفيدين",""),IF(AND(COUNTA($O781:$U781)&gt;0,Q781=""),"المناطق",""),IF(AND(COUNTA($O781:$U781)&gt;0,R781=""),"الميزانية",""),IF(AND(COUNTA($O781:$U781)&gt;0,S781=""),"نسبة الجاهزية",""),IF(AND(COUNTA($O781:$U781)&gt;0,T781=""),"حالة الجاهزية",""),IF(AND(COUNTA($O781:$U781)&gt;0,U781=""),"التوصيات","")),"✓"),"✓"))))))))))</f>
        <v/>
      </c>
      <c r="E781" s="235"/>
      <c r="F781" s="236"/>
      <c r="G781" s="90"/>
      <c r="H781" s="239"/>
      <c r="I781" s="89"/>
      <c r="J781" s="142"/>
      <c r="K781" s="90"/>
      <c r="L781" s="90"/>
      <c r="M781" s="90"/>
      <c r="N781" s="89"/>
      <c r="O781" s="200"/>
      <c r="P781" s="201"/>
      <c r="Q781" s="201"/>
      <c r="R781" s="237"/>
      <c r="S781" s="202"/>
      <c r="T781" s="200"/>
      <c r="U781" s="203"/>
      <c r="V781" s="89"/>
      <c r="W781" s="89"/>
      <c r="X781" s="145"/>
      <c r="Y781" s="89"/>
      <c r="Z781" s="90"/>
      <c r="AA781" s="90"/>
      <c r="AB781" s="90"/>
      <c r="AC781" s="90"/>
      <c r="AD781" s="92"/>
      <c r="AE781" s="149" t="str">
        <f>IFERROR(VLOOKUP(Z781,LISTS!$AL$2:$AM$1000,2,FALSE()),"")</f>
        <v/>
      </c>
      <c r="AF781" s="151" t="str">
        <f>IFERROR(VLOOKUP(AA781,LISTS!$AO$2:$AP$1000,2,FALSE()),"")</f>
        <v/>
      </c>
      <c r="AG781" s="152" t="str">
        <f>IFERROR(VLOOKUP(AB781,LISTS!$AR$2:$AS$1000,2,FALSE()),"")</f>
        <v/>
      </c>
      <c r="AH781" s="154" t="str">
        <f>IFERROR(VLOOKUP(AC781,LISTS!$AU$2:$AV$1000,2,FALSE()),"")</f>
        <v/>
      </c>
      <c r="AI781" s="238" t="str">
        <f t="shared" si="63"/>
        <v>—</v>
      </c>
      <c r="AJ781" s="190" t="str">
        <f t="shared" si="64"/>
        <v>—</v>
      </c>
      <c r="AK781" s="157" t="str">
        <f t="shared" si="60"/>
        <v/>
      </c>
      <c r="AL781" s="160" t="str">
        <f t="shared" si="61"/>
        <v/>
      </c>
      <c r="AM781" s="210"/>
      <c r="AN781" s="209"/>
    </row>
    <row r="782" spans="1:40" ht="27.95" customHeight="1">
      <c r="A782" s="134" t="str">
        <f>IF(I782&lt;&gt;"",COUNTA($I$2:I782),"")</f>
        <v/>
      </c>
      <c r="B782" s="138" t="str">
        <f t="shared" si="62"/>
        <v/>
      </c>
      <c r="C782" s="93" t="str">
        <f t="array" ref="C782">IF(E782="","",IF(M782&lt;&gt;"",
M782&amp;"/"&amp;SUMPRODUCT((M$2:M782=M782)*1)&amp;" - "&amp;(ROW()-2),
"إداري/"&amp;SUMPRODUCT((M$2:M782="")*1)&amp;" - "&amp;(ROW()-2)))</f>
        <v/>
      </c>
      <c r="D782" s="141" t="str">
        <f>IF(AND(G782="",H782="",I782=""),"",IF(COUNTIFS(LISTS!$A$2:$A$67,G782,LISTS!$B$2:$B$67,H782,LISTS!$C$2:$C$67,I782)=0,"✗ هرم",IF(NOT(OR(Z782="ممتاز 100%",Z782="جيد 80%",Z782="مقبول 60%",Z782="خطر 40%",Z782="")),"✗ قائمة R",IF(NOT(OR(AA782="ممتاز 100%",AA782="جيد 85%",AA782="مقبول 70%",AA782="ضعيف 50%",AA782="")),"✗ قائمة S",IF(NOT(OR(AB782="مكتمل 100%",AB782="جزئي 60%",AB782="معلق 30%",AB782="مفتوح 0%",AB782="")),"✗ قائمة T",IF(NOT(OR(AC782="لا خصم 0",AC782="تأخير −5",AC782="عجز −10",AC782="جودة −15",AC782="امتثال −20",AC782="مخالفة −25",AC782="")),"✗ قائمة U",IF(AND(X782="لا",AC782&lt;&gt;"",AC782&lt;&gt;"لا خصم 0"),"✗ خصم",IF(AND(X782="نعم",AC782="لا خصم 0"),"✗ خصم",IF(AND(Z782="ممتاز 100%",AA782="ممتاز 100%",AB782&lt;&gt;"",AB782&lt;&gt;"مكتمل 100%"),"✗ إغلاق",IFERROR(IF(LEN(_xlfn.TEXTJOIN("، ",TRUE,IF(E782="","التاريخ",""),IF(F782="","الوقت",""),IF(G782="","المركز",""),IF(H782="","الدائرة",""),IF(I782="","القسم",""),IF(J782="","المسؤول",""),IF(K782="","نوع النشاط",""),IF(L782="","المشروع",""),IF(N782="","الممول",""),IF(V782="","الموضوع",""),IF(W782="","الملاحظة",""),IF(X782="","مشكلة",""),IF(Y782="","الإجراء",""),IF(Z782="","التنفيذ",""),IF(AA782="","الجودة",""),IF(AB782="","الإغلاق",""),IF(AC782="","الخصم",""),IF(AND(COUNTA($O782:$U782)&gt;0,O782=""),"مدير المشروع",""),IF(AND(COUNTA($O782:$U782)&gt;0,P782=""),"المستفيدين",""),IF(AND(COUNTA($O782:$U782)&gt;0,Q782=""),"المناطق",""),IF(AND(COUNTA($O782:$U782)&gt;0,R782=""),"الميزانية",""),IF(AND(COUNTA($O782:$U782)&gt;0,S782=""),"نسبة الجاهزية",""),IF(AND(COUNTA($O782:$U782)&gt;0,T782=""),"حالة الجاهزية",""),IF(AND(COUNTA($O782:$U782)&gt;0,U782=""),"التوصيات","")))&gt;0,"✗ ناقص: "&amp;_xlfn.TEXTJOIN("، ",TRUE,IF(E782="","التاريخ",""),IF(F782="","الوقت",""),IF(G782="","المركز",""),IF(H782="","الدائرة",""),IF(I782="","القسم",""),IF(J782="","المسؤول",""),IF(K782="","نوع النشاط",""),IF(L782="","المشروع",""),IF(N782="","الممول",""),IF(V782="","الموضوع",""),IF(W782="","الملاحظة",""),IF(X782="","مشكلة",""),IF(Y782="","الإجراء",""),IF(Z782="","التنفيذ",""),IF(AA782="","الجودة",""),IF(AB782="","الإغلاق",""),IF(AC782="","الخصم",""),IF(AND(COUNTA($O782:$U782)&gt;0,O782=""),"مدير المشروع",""),IF(AND(COUNTA($O782:$U782)&gt;0,P782=""),"المستفيدين",""),IF(AND(COUNTA($O782:$U782)&gt;0,Q782=""),"المناطق",""),IF(AND(COUNTA($O782:$U782)&gt;0,R782=""),"الميزانية",""),IF(AND(COUNTA($O782:$U782)&gt;0,S782=""),"نسبة الجاهزية",""),IF(AND(COUNTA($O782:$U782)&gt;0,T782=""),"حالة الجاهزية",""),IF(AND(COUNTA($O782:$U782)&gt;0,U782=""),"التوصيات","")),"✓"),"✓"))))))))))</f>
        <v/>
      </c>
      <c r="E782" s="235"/>
      <c r="F782" s="236"/>
      <c r="G782" s="90"/>
      <c r="H782" s="239"/>
      <c r="I782" s="89"/>
      <c r="J782" s="142"/>
      <c r="K782" s="90"/>
      <c r="L782" s="90"/>
      <c r="M782" s="90"/>
      <c r="N782" s="89"/>
      <c r="O782" s="200"/>
      <c r="P782" s="201"/>
      <c r="Q782" s="201"/>
      <c r="R782" s="237"/>
      <c r="S782" s="202"/>
      <c r="T782" s="200"/>
      <c r="U782" s="203"/>
      <c r="V782" s="89"/>
      <c r="W782" s="89"/>
      <c r="X782" s="145"/>
      <c r="Y782" s="89"/>
      <c r="Z782" s="90"/>
      <c r="AA782" s="90"/>
      <c r="AB782" s="90"/>
      <c r="AC782" s="90"/>
      <c r="AD782" s="92"/>
      <c r="AE782" s="149" t="str">
        <f>IFERROR(VLOOKUP(Z782,LISTS!$AL$2:$AM$1000,2,FALSE()),"")</f>
        <v/>
      </c>
      <c r="AF782" s="151" t="str">
        <f>IFERROR(VLOOKUP(AA782,LISTS!$AO$2:$AP$1000,2,FALSE()),"")</f>
        <v/>
      </c>
      <c r="AG782" s="152" t="str">
        <f>IFERROR(VLOOKUP(AB782,LISTS!$AR$2:$AS$1000,2,FALSE()),"")</f>
        <v/>
      </c>
      <c r="AH782" s="154" t="str">
        <f>IFERROR(VLOOKUP(AC782,LISTS!$AU$2:$AV$1000,2,FALSE()),"")</f>
        <v/>
      </c>
      <c r="AI782" s="238" t="str">
        <f t="shared" si="63"/>
        <v>—</v>
      </c>
      <c r="AJ782" s="190" t="str">
        <f t="shared" si="64"/>
        <v>—</v>
      </c>
      <c r="AK782" s="157" t="str">
        <f t="shared" si="60"/>
        <v/>
      </c>
      <c r="AL782" s="160" t="str">
        <f t="shared" si="61"/>
        <v/>
      </c>
      <c r="AM782" s="210"/>
      <c r="AN782" s="209"/>
    </row>
    <row r="783" spans="1:40" ht="27.95" customHeight="1">
      <c r="A783" s="134" t="str">
        <f>IF(I783&lt;&gt;"",COUNTA($I$2:I783),"")</f>
        <v/>
      </c>
      <c r="B783" s="138" t="str">
        <f t="shared" si="62"/>
        <v/>
      </c>
      <c r="C783" s="93" t="str">
        <f t="array" ref="C783">IF(E783="","",IF(M783&lt;&gt;"",
M783&amp;"/"&amp;SUMPRODUCT((M$2:M783=M783)*1)&amp;" - "&amp;(ROW()-2),
"إداري/"&amp;SUMPRODUCT((M$2:M783="")*1)&amp;" - "&amp;(ROW()-2)))</f>
        <v/>
      </c>
      <c r="D783" s="141" t="str">
        <f>IF(AND(G783="",H783="",I783=""),"",IF(COUNTIFS(LISTS!$A$2:$A$67,G783,LISTS!$B$2:$B$67,H783,LISTS!$C$2:$C$67,I783)=0,"✗ هرم",IF(NOT(OR(Z783="ممتاز 100%",Z783="جيد 80%",Z783="مقبول 60%",Z783="خطر 40%",Z783="")),"✗ قائمة R",IF(NOT(OR(AA783="ممتاز 100%",AA783="جيد 85%",AA783="مقبول 70%",AA783="ضعيف 50%",AA783="")),"✗ قائمة S",IF(NOT(OR(AB783="مكتمل 100%",AB783="جزئي 60%",AB783="معلق 30%",AB783="مفتوح 0%",AB783="")),"✗ قائمة T",IF(NOT(OR(AC783="لا خصم 0",AC783="تأخير −5",AC783="عجز −10",AC783="جودة −15",AC783="امتثال −20",AC783="مخالفة −25",AC783="")),"✗ قائمة U",IF(AND(X783="لا",AC783&lt;&gt;"",AC783&lt;&gt;"لا خصم 0"),"✗ خصم",IF(AND(X783="نعم",AC783="لا خصم 0"),"✗ خصم",IF(AND(Z783="ممتاز 100%",AA783="ممتاز 100%",AB783&lt;&gt;"",AB783&lt;&gt;"مكتمل 100%"),"✗ إغلاق",IFERROR(IF(LEN(_xlfn.TEXTJOIN("، ",TRUE,IF(E783="","التاريخ",""),IF(F783="","الوقت",""),IF(G783="","المركز",""),IF(H783="","الدائرة",""),IF(I783="","القسم",""),IF(J783="","المسؤول",""),IF(K783="","نوع النشاط",""),IF(L783="","المشروع",""),IF(N783="","الممول",""),IF(V783="","الموضوع",""),IF(W783="","الملاحظة",""),IF(X783="","مشكلة",""),IF(Y783="","الإجراء",""),IF(Z783="","التنفيذ",""),IF(AA783="","الجودة",""),IF(AB783="","الإغلاق",""),IF(AC783="","الخصم",""),IF(AND(COUNTA($O783:$U783)&gt;0,O783=""),"مدير المشروع",""),IF(AND(COUNTA($O783:$U783)&gt;0,P783=""),"المستفيدين",""),IF(AND(COUNTA($O783:$U783)&gt;0,Q783=""),"المناطق",""),IF(AND(COUNTA($O783:$U783)&gt;0,R783=""),"الميزانية",""),IF(AND(COUNTA($O783:$U783)&gt;0,S783=""),"نسبة الجاهزية",""),IF(AND(COUNTA($O783:$U783)&gt;0,T783=""),"حالة الجاهزية",""),IF(AND(COUNTA($O783:$U783)&gt;0,U783=""),"التوصيات","")))&gt;0,"✗ ناقص: "&amp;_xlfn.TEXTJOIN("، ",TRUE,IF(E783="","التاريخ",""),IF(F783="","الوقت",""),IF(G783="","المركز",""),IF(H783="","الدائرة",""),IF(I783="","القسم",""),IF(J783="","المسؤول",""),IF(K783="","نوع النشاط",""),IF(L783="","المشروع",""),IF(N783="","الممول",""),IF(V783="","الموضوع",""),IF(W783="","الملاحظة",""),IF(X783="","مشكلة",""),IF(Y783="","الإجراء",""),IF(Z783="","التنفيذ",""),IF(AA783="","الجودة",""),IF(AB783="","الإغلاق",""),IF(AC783="","الخصم",""),IF(AND(COUNTA($O783:$U783)&gt;0,O783=""),"مدير المشروع",""),IF(AND(COUNTA($O783:$U783)&gt;0,P783=""),"المستفيدين",""),IF(AND(COUNTA($O783:$U783)&gt;0,Q783=""),"المناطق",""),IF(AND(COUNTA($O783:$U783)&gt;0,R783=""),"الميزانية",""),IF(AND(COUNTA($O783:$U783)&gt;0,S783=""),"نسبة الجاهزية",""),IF(AND(COUNTA($O783:$U783)&gt;0,T783=""),"حالة الجاهزية",""),IF(AND(COUNTA($O783:$U783)&gt;0,U783=""),"التوصيات","")),"✓"),"✓"))))))))))</f>
        <v/>
      </c>
      <c r="E783" s="235"/>
      <c r="F783" s="236"/>
      <c r="G783" s="90"/>
      <c r="H783" s="239"/>
      <c r="I783" s="89"/>
      <c r="J783" s="142"/>
      <c r="K783" s="90"/>
      <c r="L783" s="90"/>
      <c r="M783" s="90"/>
      <c r="N783" s="89"/>
      <c r="O783" s="200"/>
      <c r="P783" s="201"/>
      <c r="Q783" s="201"/>
      <c r="R783" s="237"/>
      <c r="S783" s="202"/>
      <c r="T783" s="200"/>
      <c r="U783" s="203"/>
      <c r="V783" s="89"/>
      <c r="W783" s="89"/>
      <c r="X783" s="145"/>
      <c r="Y783" s="89"/>
      <c r="Z783" s="90"/>
      <c r="AA783" s="90"/>
      <c r="AB783" s="90"/>
      <c r="AC783" s="90"/>
      <c r="AD783" s="92"/>
      <c r="AE783" s="149" t="str">
        <f>IFERROR(VLOOKUP(Z783,LISTS!$AL$2:$AM$1000,2,FALSE()),"")</f>
        <v/>
      </c>
      <c r="AF783" s="151" t="str">
        <f>IFERROR(VLOOKUP(AA783,LISTS!$AO$2:$AP$1000,2,FALSE()),"")</f>
        <v/>
      </c>
      <c r="AG783" s="152" t="str">
        <f>IFERROR(VLOOKUP(AB783,LISTS!$AR$2:$AS$1000,2,FALSE()),"")</f>
        <v/>
      </c>
      <c r="AH783" s="154" t="str">
        <f>IFERROR(VLOOKUP(AC783,LISTS!$AU$2:$AV$1000,2,FALSE()),"")</f>
        <v/>
      </c>
      <c r="AI783" s="238" t="str">
        <f t="shared" si="63"/>
        <v>—</v>
      </c>
      <c r="AJ783" s="190" t="str">
        <f t="shared" si="64"/>
        <v>—</v>
      </c>
      <c r="AK783" s="157" t="str">
        <f t="shared" si="60"/>
        <v/>
      </c>
      <c r="AL783" s="160" t="str">
        <f t="shared" si="61"/>
        <v/>
      </c>
      <c r="AM783" s="210"/>
      <c r="AN783" s="209"/>
    </row>
    <row r="784" spans="1:40" ht="27.95" customHeight="1">
      <c r="A784" s="134" t="str">
        <f>IF(I784&lt;&gt;"",COUNTA($I$2:I784),"")</f>
        <v/>
      </c>
      <c r="B784" s="138" t="str">
        <f t="shared" si="62"/>
        <v/>
      </c>
      <c r="C784" s="93" t="str">
        <f t="array" ref="C784">IF(E784="","",IF(M784&lt;&gt;"",
M784&amp;"/"&amp;SUMPRODUCT((M$2:M784=M784)*1)&amp;" - "&amp;(ROW()-2),
"إداري/"&amp;SUMPRODUCT((M$2:M784="")*1)&amp;" - "&amp;(ROW()-2)))</f>
        <v/>
      </c>
      <c r="D784" s="141" t="str">
        <f>IF(AND(G784="",H784="",I784=""),"",IF(COUNTIFS(LISTS!$A$2:$A$67,G784,LISTS!$B$2:$B$67,H784,LISTS!$C$2:$C$67,I784)=0,"✗ هرم",IF(NOT(OR(Z784="ممتاز 100%",Z784="جيد 80%",Z784="مقبول 60%",Z784="خطر 40%",Z784="")),"✗ قائمة R",IF(NOT(OR(AA784="ممتاز 100%",AA784="جيد 85%",AA784="مقبول 70%",AA784="ضعيف 50%",AA784="")),"✗ قائمة S",IF(NOT(OR(AB784="مكتمل 100%",AB784="جزئي 60%",AB784="معلق 30%",AB784="مفتوح 0%",AB784="")),"✗ قائمة T",IF(NOT(OR(AC784="لا خصم 0",AC784="تأخير −5",AC784="عجز −10",AC784="جودة −15",AC784="امتثال −20",AC784="مخالفة −25",AC784="")),"✗ قائمة U",IF(AND(X784="لا",AC784&lt;&gt;"",AC784&lt;&gt;"لا خصم 0"),"✗ خصم",IF(AND(X784="نعم",AC784="لا خصم 0"),"✗ خصم",IF(AND(Z784="ممتاز 100%",AA784="ممتاز 100%",AB784&lt;&gt;"",AB784&lt;&gt;"مكتمل 100%"),"✗ إغلاق",IFERROR(IF(LEN(_xlfn.TEXTJOIN("، ",TRUE,IF(E784="","التاريخ",""),IF(F784="","الوقت",""),IF(G784="","المركز",""),IF(H784="","الدائرة",""),IF(I784="","القسم",""),IF(J784="","المسؤول",""),IF(K784="","نوع النشاط",""),IF(L784="","المشروع",""),IF(N784="","الممول",""),IF(V784="","الموضوع",""),IF(W784="","الملاحظة",""),IF(X784="","مشكلة",""),IF(Y784="","الإجراء",""),IF(Z784="","التنفيذ",""),IF(AA784="","الجودة",""),IF(AB784="","الإغلاق",""),IF(AC784="","الخصم",""),IF(AND(COUNTA($O784:$U784)&gt;0,O784=""),"مدير المشروع",""),IF(AND(COUNTA($O784:$U784)&gt;0,P784=""),"المستفيدين",""),IF(AND(COUNTA($O784:$U784)&gt;0,Q784=""),"المناطق",""),IF(AND(COUNTA($O784:$U784)&gt;0,R784=""),"الميزانية",""),IF(AND(COUNTA($O784:$U784)&gt;0,S784=""),"نسبة الجاهزية",""),IF(AND(COUNTA($O784:$U784)&gt;0,T784=""),"حالة الجاهزية",""),IF(AND(COUNTA($O784:$U784)&gt;0,U784=""),"التوصيات","")))&gt;0,"✗ ناقص: "&amp;_xlfn.TEXTJOIN("، ",TRUE,IF(E784="","التاريخ",""),IF(F784="","الوقت",""),IF(G784="","المركز",""),IF(H784="","الدائرة",""),IF(I784="","القسم",""),IF(J784="","المسؤول",""),IF(K784="","نوع النشاط",""),IF(L784="","المشروع",""),IF(N784="","الممول",""),IF(V784="","الموضوع",""),IF(W784="","الملاحظة",""),IF(X784="","مشكلة",""),IF(Y784="","الإجراء",""),IF(Z784="","التنفيذ",""),IF(AA784="","الجودة",""),IF(AB784="","الإغلاق",""),IF(AC784="","الخصم",""),IF(AND(COUNTA($O784:$U784)&gt;0,O784=""),"مدير المشروع",""),IF(AND(COUNTA($O784:$U784)&gt;0,P784=""),"المستفيدين",""),IF(AND(COUNTA($O784:$U784)&gt;0,Q784=""),"المناطق",""),IF(AND(COUNTA($O784:$U784)&gt;0,R784=""),"الميزانية",""),IF(AND(COUNTA($O784:$U784)&gt;0,S784=""),"نسبة الجاهزية",""),IF(AND(COUNTA($O784:$U784)&gt;0,T784=""),"حالة الجاهزية",""),IF(AND(COUNTA($O784:$U784)&gt;0,U784=""),"التوصيات","")),"✓"),"✓"))))))))))</f>
        <v/>
      </c>
      <c r="E784" s="235"/>
      <c r="F784" s="236"/>
      <c r="G784" s="90"/>
      <c r="H784" s="239"/>
      <c r="I784" s="89"/>
      <c r="J784" s="142"/>
      <c r="K784" s="90"/>
      <c r="L784" s="90"/>
      <c r="M784" s="90"/>
      <c r="N784" s="89"/>
      <c r="O784" s="200"/>
      <c r="P784" s="201"/>
      <c r="Q784" s="201"/>
      <c r="R784" s="237"/>
      <c r="S784" s="202"/>
      <c r="T784" s="200"/>
      <c r="U784" s="203"/>
      <c r="V784" s="89"/>
      <c r="W784" s="89"/>
      <c r="X784" s="145"/>
      <c r="Y784" s="89"/>
      <c r="Z784" s="90"/>
      <c r="AA784" s="90"/>
      <c r="AB784" s="90"/>
      <c r="AC784" s="90"/>
      <c r="AD784" s="92"/>
      <c r="AE784" s="149" t="str">
        <f>IFERROR(VLOOKUP(Z784,LISTS!$AL$2:$AM$1000,2,FALSE()),"")</f>
        <v/>
      </c>
      <c r="AF784" s="151" t="str">
        <f>IFERROR(VLOOKUP(AA784,LISTS!$AO$2:$AP$1000,2,FALSE()),"")</f>
        <v/>
      </c>
      <c r="AG784" s="152" t="str">
        <f>IFERROR(VLOOKUP(AB784,LISTS!$AR$2:$AS$1000,2,FALSE()),"")</f>
        <v/>
      </c>
      <c r="AH784" s="154" t="str">
        <f>IFERROR(VLOOKUP(AC784,LISTS!$AU$2:$AV$1000,2,FALSE()),"")</f>
        <v/>
      </c>
      <c r="AI784" s="238" t="str">
        <f t="shared" si="63"/>
        <v>—</v>
      </c>
      <c r="AJ784" s="190" t="str">
        <f t="shared" si="64"/>
        <v>—</v>
      </c>
      <c r="AK784" s="157" t="str">
        <f t="shared" si="60"/>
        <v/>
      </c>
      <c r="AL784" s="160" t="str">
        <f t="shared" si="61"/>
        <v/>
      </c>
      <c r="AM784" s="210"/>
      <c r="AN784" s="209"/>
    </row>
    <row r="785" spans="1:40" ht="27.95" customHeight="1">
      <c r="A785" s="134" t="str">
        <f>IF(I785&lt;&gt;"",COUNTA($I$2:I785),"")</f>
        <v/>
      </c>
      <c r="B785" s="138" t="str">
        <f t="shared" si="62"/>
        <v/>
      </c>
      <c r="C785" s="93" t="str">
        <f t="array" ref="C785">IF(E785="","",IF(M785&lt;&gt;"",
M785&amp;"/"&amp;SUMPRODUCT((M$2:M785=M785)*1)&amp;" - "&amp;(ROW()-2),
"إداري/"&amp;SUMPRODUCT((M$2:M785="")*1)&amp;" - "&amp;(ROW()-2)))</f>
        <v/>
      </c>
      <c r="D785" s="141" t="str">
        <f>IF(AND(G785="",H785="",I785=""),"",IF(COUNTIFS(LISTS!$A$2:$A$67,G785,LISTS!$B$2:$B$67,H785,LISTS!$C$2:$C$67,I785)=0,"✗ هرم",IF(NOT(OR(Z785="ممتاز 100%",Z785="جيد 80%",Z785="مقبول 60%",Z785="خطر 40%",Z785="")),"✗ قائمة R",IF(NOT(OR(AA785="ممتاز 100%",AA785="جيد 85%",AA785="مقبول 70%",AA785="ضعيف 50%",AA785="")),"✗ قائمة S",IF(NOT(OR(AB785="مكتمل 100%",AB785="جزئي 60%",AB785="معلق 30%",AB785="مفتوح 0%",AB785="")),"✗ قائمة T",IF(NOT(OR(AC785="لا خصم 0",AC785="تأخير −5",AC785="عجز −10",AC785="جودة −15",AC785="امتثال −20",AC785="مخالفة −25",AC785="")),"✗ قائمة U",IF(AND(X785="لا",AC785&lt;&gt;"",AC785&lt;&gt;"لا خصم 0"),"✗ خصم",IF(AND(X785="نعم",AC785="لا خصم 0"),"✗ خصم",IF(AND(Z785="ممتاز 100%",AA785="ممتاز 100%",AB785&lt;&gt;"",AB785&lt;&gt;"مكتمل 100%"),"✗ إغلاق",IFERROR(IF(LEN(_xlfn.TEXTJOIN("، ",TRUE,IF(E785="","التاريخ",""),IF(F785="","الوقت",""),IF(G785="","المركز",""),IF(H785="","الدائرة",""),IF(I785="","القسم",""),IF(J785="","المسؤول",""),IF(K785="","نوع النشاط",""),IF(L785="","المشروع",""),IF(N785="","الممول",""),IF(V785="","الموضوع",""),IF(W785="","الملاحظة",""),IF(X785="","مشكلة",""),IF(Y785="","الإجراء",""),IF(Z785="","التنفيذ",""),IF(AA785="","الجودة",""),IF(AB785="","الإغلاق",""),IF(AC785="","الخصم",""),IF(AND(COUNTA($O785:$U785)&gt;0,O785=""),"مدير المشروع",""),IF(AND(COUNTA($O785:$U785)&gt;0,P785=""),"المستفيدين",""),IF(AND(COUNTA($O785:$U785)&gt;0,Q785=""),"المناطق",""),IF(AND(COUNTA($O785:$U785)&gt;0,R785=""),"الميزانية",""),IF(AND(COUNTA($O785:$U785)&gt;0,S785=""),"نسبة الجاهزية",""),IF(AND(COUNTA($O785:$U785)&gt;0,T785=""),"حالة الجاهزية",""),IF(AND(COUNTA($O785:$U785)&gt;0,U785=""),"التوصيات","")))&gt;0,"✗ ناقص: "&amp;_xlfn.TEXTJOIN("، ",TRUE,IF(E785="","التاريخ",""),IF(F785="","الوقت",""),IF(G785="","المركز",""),IF(H785="","الدائرة",""),IF(I785="","القسم",""),IF(J785="","المسؤول",""),IF(K785="","نوع النشاط",""),IF(L785="","المشروع",""),IF(N785="","الممول",""),IF(V785="","الموضوع",""),IF(W785="","الملاحظة",""),IF(X785="","مشكلة",""),IF(Y785="","الإجراء",""),IF(Z785="","التنفيذ",""),IF(AA785="","الجودة",""),IF(AB785="","الإغلاق",""),IF(AC785="","الخصم",""),IF(AND(COUNTA($O785:$U785)&gt;0,O785=""),"مدير المشروع",""),IF(AND(COUNTA($O785:$U785)&gt;0,P785=""),"المستفيدين",""),IF(AND(COUNTA($O785:$U785)&gt;0,Q785=""),"المناطق",""),IF(AND(COUNTA($O785:$U785)&gt;0,R785=""),"الميزانية",""),IF(AND(COUNTA($O785:$U785)&gt;0,S785=""),"نسبة الجاهزية",""),IF(AND(COUNTA($O785:$U785)&gt;0,T785=""),"حالة الجاهزية",""),IF(AND(COUNTA($O785:$U785)&gt;0,U785=""),"التوصيات","")),"✓"),"✓"))))))))))</f>
        <v/>
      </c>
      <c r="E785" s="235"/>
      <c r="F785" s="236"/>
      <c r="G785" s="90"/>
      <c r="H785" s="239"/>
      <c r="I785" s="89"/>
      <c r="J785" s="142"/>
      <c r="K785" s="90"/>
      <c r="L785" s="90"/>
      <c r="M785" s="90"/>
      <c r="N785" s="89"/>
      <c r="O785" s="200"/>
      <c r="P785" s="201"/>
      <c r="Q785" s="201"/>
      <c r="R785" s="237"/>
      <c r="S785" s="202"/>
      <c r="T785" s="200"/>
      <c r="U785" s="203"/>
      <c r="V785" s="89"/>
      <c r="W785" s="89"/>
      <c r="X785" s="145"/>
      <c r="Y785" s="89"/>
      <c r="Z785" s="90"/>
      <c r="AA785" s="90"/>
      <c r="AB785" s="90"/>
      <c r="AC785" s="90"/>
      <c r="AD785" s="92"/>
      <c r="AE785" s="149" t="str">
        <f>IFERROR(VLOOKUP(Z785,LISTS!$AL$2:$AM$1000,2,FALSE()),"")</f>
        <v/>
      </c>
      <c r="AF785" s="151" t="str">
        <f>IFERROR(VLOOKUP(AA785,LISTS!$AO$2:$AP$1000,2,FALSE()),"")</f>
        <v/>
      </c>
      <c r="AG785" s="152" t="str">
        <f>IFERROR(VLOOKUP(AB785,LISTS!$AR$2:$AS$1000,2,FALSE()),"")</f>
        <v/>
      </c>
      <c r="AH785" s="154" t="str">
        <f>IFERROR(VLOOKUP(AC785,LISTS!$AU$2:$AV$1000,2,FALSE()),"")</f>
        <v/>
      </c>
      <c r="AI785" s="238" t="str">
        <f t="shared" si="63"/>
        <v>—</v>
      </c>
      <c r="AJ785" s="190" t="str">
        <f t="shared" si="64"/>
        <v>—</v>
      </c>
      <c r="AK785" s="157" t="str">
        <f t="shared" si="60"/>
        <v/>
      </c>
      <c r="AL785" s="160" t="str">
        <f t="shared" si="61"/>
        <v/>
      </c>
      <c r="AM785" s="210"/>
      <c r="AN785" s="209"/>
    </row>
    <row r="786" spans="1:40" ht="27.95" customHeight="1">
      <c r="A786" s="134" t="str">
        <f>IF(I786&lt;&gt;"",COUNTA($I$2:I786),"")</f>
        <v/>
      </c>
      <c r="B786" s="138" t="str">
        <f t="shared" si="62"/>
        <v/>
      </c>
      <c r="C786" s="93" t="str">
        <f t="array" ref="C786">IF(E786="","",IF(M786&lt;&gt;"",
M786&amp;"/"&amp;SUMPRODUCT((M$2:M786=M786)*1)&amp;" - "&amp;(ROW()-2),
"إداري/"&amp;SUMPRODUCT((M$2:M786="")*1)&amp;" - "&amp;(ROW()-2)))</f>
        <v/>
      </c>
      <c r="D786" s="141" t="str">
        <f>IF(AND(G786="",H786="",I786=""),"",IF(COUNTIFS(LISTS!$A$2:$A$67,G786,LISTS!$B$2:$B$67,H786,LISTS!$C$2:$C$67,I786)=0,"✗ هرم",IF(NOT(OR(Z786="ممتاز 100%",Z786="جيد 80%",Z786="مقبول 60%",Z786="خطر 40%",Z786="")),"✗ قائمة R",IF(NOT(OR(AA786="ممتاز 100%",AA786="جيد 85%",AA786="مقبول 70%",AA786="ضعيف 50%",AA786="")),"✗ قائمة S",IF(NOT(OR(AB786="مكتمل 100%",AB786="جزئي 60%",AB786="معلق 30%",AB786="مفتوح 0%",AB786="")),"✗ قائمة T",IF(NOT(OR(AC786="لا خصم 0",AC786="تأخير −5",AC786="عجز −10",AC786="جودة −15",AC786="امتثال −20",AC786="مخالفة −25",AC786="")),"✗ قائمة U",IF(AND(X786="لا",AC786&lt;&gt;"",AC786&lt;&gt;"لا خصم 0"),"✗ خصم",IF(AND(X786="نعم",AC786="لا خصم 0"),"✗ خصم",IF(AND(Z786="ممتاز 100%",AA786="ممتاز 100%",AB786&lt;&gt;"",AB786&lt;&gt;"مكتمل 100%"),"✗ إغلاق",IFERROR(IF(LEN(_xlfn.TEXTJOIN("، ",TRUE,IF(E786="","التاريخ",""),IF(F786="","الوقت",""),IF(G786="","المركز",""),IF(H786="","الدائرة",""),IF(I786="","القسم",""),IF(J786="","المسؤول",""),IF(K786="","نوع النشاط",""),IF(L786="","المشروع",""),IF(N786="","الممول",""),IF(V786="","الموضوع",""),IF(W786="","الملاحظة",""),IF(X786="","مشكلة",""),IF(Y786="","الإجراء",""),IF(Z786="","التنفيذ",""),IF(AA786="","الجودة",""),IF(AB786="","الإغلاق",""),IF(AC786="","الخصم",""),IF(AND(COUNTA($O786:$U786)&gt;0,O786=""),"مدير المشروع",""),IF(AND(COUNTA($O786:$U786)&gt;0,P786=""),"المستفيدين",""),IF(AND(COUNTA($O786:$U786)&gt;0,Q786=""),"المناطق",""),IF(AND(COUNTA($O786:$U786)&gt;0,R786=""),"الميزانية",""),IF(AND(COUNTA($O786:$U786)&gt;0,S786=""),"نسبة الجاهزية",""),IF(AND(COUNTA($O786:$U786)&gt;0,T786=""),"حالة الجاهزية",""),IF(AND(COUNTA($O786:$U786)&gt;0,U786=""),"التوصيات","")))&gt;0,"✗ ناقص: "&amp;_xlfn.TEXTJOIN("، ",TRUE,IF(E786="","التاريخ",""),IF(F786="","الوقت",""),IF(G786="","المركز",""),IF(H786="","الدائرة",""),IF(I786="","القسم",""),IF(J786="","المسؤول",""),IF(K786="","نوع النشاط",""),IF(L786="","المشروع",""),IF(N786="","الممول",""),IF(V786="","الموضوع",""),IF(W786="","الملاحظة",""),IF(X786="","مشكلة",""),IF(Y786="","الإجراء",""),IF(Z786="","التنفيذ",""),IF(AA786="","الجودة",""),IF(AB786="","الإغلاق",""),IF(AC786="","الخصم",""),IF(AND(COUNTA($O786:$U786)&gt;0,O786=""),"مدير المشروع",""),IF(AND(COUNTA($O786:$U786)&gt;0,P786=""),"المستفيدين",""),IF(AND(COUNTA($O786:$U786)&gt;0,Q786=""),"المناطق",""),IF(AND(COUNTA($O786:$U786)&gt;0,R786=""),"الميزانية",""),IF(AND(COUNTA($O786:$U786)&gt;0,S786=""),"نسبة الجاهزية",""),IF(AND(COUNTA($O786:$U786)&gt;0,T786=""),"حالة الجاهزية",""),IF(AND(COUNTA($O786:$U786)&gt;0,U786=""),"التوصيات","")),"✓"),"✓"))))))))))</f>
        <v/>
      </c>
      <c r="E786" s="235"/>
      <c r="F786" s="236"/>
      <c r="G786" s="90"/>
      <c r="H786" s="239"/>
      <c r="I786" s="89"/>
      <c r="J786" s="142"/>
      <c r="K786" s="90"/>
      <c r="L786" s="90"/>
      <c r="M786" s="90"/>
      <c r="N786" s="89"/>
      <c r="O786" s="200"/>
      <c r="P786" s="201"/>
      <c r="Q786" s="201"/>
      <c r="R786" s="237"/>
      <c r="S786" s="202"/>
      <c r="T786" s="200"/>
      <c r="U786" s="203"/>
      <c r="V786" s="89"/>
      <c r="W786" s="89"/>
      <c r="X786" s="145"/>
      <c r="Y786" s="89"/>
      <c r="Z786" s="90"/>
      <c r="AA786" s="90"/>
      <c r="AB786" s="90"/>
      <c r="AC786" s="90"/>
      <c r="AD786" s="92"/>
      <c r="AE786" s="149" t="str">
        <f>IFERROR(VLOOKUP(Z786,LISTS!$AL$2:$AM$1000,2,FALSE()),"")</f>
        <v/>
      </c>
      <c r="AF786" s="151" t="str">
        <f>IFERROR(VLOOKUP(AA786,LISTS!$AO$2:$AP$1000,2,FALSE()),"")</f>
        <v/>
      </c>
      <c r="AG786" s="152" t="str">
        <f>IFERROR(VLOOKUP(AB786,LISTS!$AR$2:$AS$1000,2,FALSE()),"")</f>
        <v/>
      </c>
      <c r="AH786" s="154" t="str">
        <f>IFERROR(VLOOKUP(AC786,LISTS!$AU$2:$AV$1000,2,FALSE()),"")</f>
        <v/>
      </c>
      <c r="AI786" s="238" t="str">
        <f t="shared" si="63"/>
        <v>—</v>
      </c>
      <c r="AJ786" s="190" t="str">
        <f t="shared" si="64"/>
        <v>—</v>
      </c>
      <c r="AK786" s="157" t="str">
        <f t="shared" si="60"/>
        <v/>
      </c>
      <c r="AL786" s="160" t="str">
        <f t="shared" si="61"/>
        <v/>
      </c>
      <c r="AM786" s="210"/>
      <c r="AN786" s="209"/>
    </row>
    <row r="787" spans="1:40" ht="27.95" customHeight="1">
      <c r="A787" s="134" t="str">
        <f>IF(I787&lt;&gt;"",COUNTA($I$2:I787),"")</f>
        <v/>
      </c>
      <c r="B787" s="138" t="str">
        <f t="shared" si="62"/>
        <v/>
      </c>
      <c r="C787" s="93" t="str">
        <f t="array" ref="C787">IF(E787="","",IF(M787&lt;&gt;"",
M787&amp;"/"&amp;SUMPRODUCT((M$2:M787=M787)*1)&amp;" - "&amp;(ROW()-2),
"إداري/"&amp;SUMPRODUCT((M$2:M787="")*1)&amp;" - "&amp;(ROW()-2)))</f>
        <v/>
      </c>
      <c r="D787" s="141" t="str">
        <f>IF(AND(G787="",H787="",I787=""),"",IF(COUNTIFS(LISTS!$A$2:$A$67,G787,LISTS!$B$2:$B$67,H787,LISTS!$C$2:$C$67,I787)=0,"✗ هرم",IF(NOT(OR(Z787="ممتاز 100%",Z787="جيد 80%",Z787="مقبول 60%",Z787="خطر 40%",Z787="")),"✗ قائمة R",IF(NOT(OR(AA787="ممتاز 100%",AA787="جيد 85%",AA787="مقبول 70%",AA787="ضعيف 50%",AA787="")),"✗ قائمة S",IF(NOT(OR(AB787="مكتمل 100%",AB787="جزئي 60%",AB787="معلق 30%",AB787="مفتوح 0%",AB787="")),"✗ قائمة T",IF(NOT(OR(AC787="لا خصم 0",AC787="تأخير −5",AC787="عجز −10",AC787="جودة −15",AC787="امتثال −20",AC787="مخالفة −25",AC787="")),"✗ قائمة U",IF(AND(X787="لا",AC787&lt;&gt;"",AC787&lt;&gt;"لا خصم 0"),"✗ خصم",IF(AND(X787="نعم",AC787="لا خصم 0"),"✗ خصم",IF(AND(Z787="ممتاز 100%",AA787="ممتاز 100%",AB787&lt;&gt;"",AB787&lt;&gt;"مكتمل 100%"),"✗ إغلاق",IFERROR(IF(LEN(_xlfn.TEXTJOIN("، ",TRUE,IF(E787="","التاريخ",""),IF(F787="","الوقت",""),IF(G787="","المركز",""),IF(H787="","الدائرة",""),IF(I787="","القسم",""),IF(J787="","المسؤول",""),IF(K787="","نوع النشاط",""),IF(L787="","المشروع",""),IF(N787="","الممول",""),IF(V787="","الموضوع",""),IF(W787="","الملاحظة",""),IF(X787="","مشكلة",""),IF(Y787="","الإجراء",""),IF(Z787="","التنفيذ",""),IF(AA787="","الجودة",""),IF(AB787="","الإغلاق",""),IF(AC787="","الخصم",""),IF(AND(COUNTA($O787:$U787)&gt;0,O787=""),"مدير المشروع",""),IF(AND(COUNTA($O787:$U787)&gt;0,P787=""),"المستفيدين",""),IF(AND(COUNTA($O787:$U787)&gt;0,Q787=""),"المناطق",""),IF(AND(COUNTA($O787:$U787)&gt;0,R787=""),"الميزانية",""),IF(AND(COUNTA($O787:$U787)&gt;0,S787=""),"نسبة الجاهزية",""),IF(AND(COUNTA($O787:$U787)&gt;0,T787=""),"حالة الجاهزية",""),IF(AND(COUNTA($O787:$U787)&gt;0,U787=""),"التوصيات","")))&gt;0,"✗ ناقص: "&amp;_xlfn.TEXTJOIN("، ",TRUE,IF(E787="","التاريخ",""),IF(F787="","الوقت",""),IF(G787="","المركز",""),IF(H787="","الدائرة",""),IF(I787="","القسم",""),IF(J787="","المسؤول",""),IF(K787="","نوع النشاط",""),IF(L787="","المشروع",""),IF(N787="","الممول",""),IF(V787="","الموضوع",""),IF(W787="","الملاحظة",""),IF(X787="","مشكلة",""),IF(Y787="","الإجراء",""),IF(Z787="","التنفيذ",""),IF(AA787="","الجودة",""),IF(AB787="","الإغلاق",""),IF(AC787="","الخصم",""),IF(AND(COUNTA($O787:$U787)&gt;0,O787=""),"مدير المشروع",""),IF(AND(COUNTA($O787:$U787)&gt;0,P787=""),"المستفيدين",""),IF(AND(COUNTA($O787:$U787)&gt;0,Q787=""),"المناطق",""),IF(AND(COUNTA($O787:$U787)&gt;0,R787=""),"الميزانية",""),IF(AND(COUNTA($O787:$U787)&gt;0,S787=""),"نسبة الجاهزية",""),IF(AND(COUNTA($O787:$U787)&gt;0,T787=""),"حالة الجاهزية",""),IF(AND(COUNTA($O787:$U787)&gt;0,U787=""),"التوصيات","")),"✓"),"✓"))))))))))</f>
        <v/>
      </c>
      <c r="E787" s="235"/>
      <c r="F787" s="236"/>
      <c r="G787" s="90"/>
      <c r="H787" s="239"/>
      <c r="I787" s="89"/>
      <c r="J787" s="142"/>
      <c r="K787" s="90"/>
      <c r="L787" s="90"/>
      <c r="M787" s="90"/>
      <c r="N787" s="89"/>
      <c r="O787" s="200"/>
      <c r="P787" s="201"/>
      <c r="Q787" s="201"/>
      <c r="R787" s="237"/>
      <c r="S787" s="202"/>
      <c r="T787" s="200"/>
      <c r="U787" s="203"/>
      <c r="V787" s="89"/>
      <c r="W787" s="89"/>
      <c r="X787" s="145"/>
      <c r="Y787" s="89"/>
      <c r="Z787" s="90"/>
      <c r="AA787" s="90"/>
      <c r="AB787" s="90"/>
      <c r="AC787" s="90"/>
      <c r="AD787" s="92"/>
      <c r="AE787" s="149" t="str">
        <f>IFERROR(VLOOKUP(Z787,LISTS!$AL$2:$AM$1000,2,FALSE()),"")</f>
        <v/>
      </c>
      <c r="AF787" s="151" t="str">
        <f>IFERROR(VLOOKUP(AA787,LISTS!$AO$2:$AP$1000,2,FALSE()),"")</f>
        <v/>
      </c>
      <c r="AG787" s="152" t="str">
        <f>IFERROR(VLOOKUP(AB787,LISTS!$AR$2:$AS$1000,2,FALSE()),"")</f>
        <v/>
      </c>
      <c r="AH787" s="154" t="str">
        <f>IFERROR(VLOOKUP(AC787,LISTS!$AU$2:$AV$1000,2,FALSE()),"")</f>
        <v/>
      </c>
      <c r="AI787" s="238" t="str">
        <f t="shared" si="63"/>
        <v>—</v>
      </c>
      <c r="AJ787" s="190" t="str">
        <f t="shared" si="64"/>
        <v>—</v>
      </c>
      <c r="AK787" s="157" t="str">
        <f t="shared" si="60"/>
        <v/>
      </c>
      <c r="AL787" s="160" t="str">
        <f t="shared" si="61"/>
        <v/>
      </c>
      <c r="AM787" s="210"/>
      <c r="AN787" s="209"/>
    </row>
    <row r="788" spans="1:40" ht="27.95" customHeight="1">
      <c r="A788" s="134" t="str">
        <f>IF(I788&lt;&gt;"",COUNTA($I$2:I788),"")</f>
        <v/>
      </c>
      <c r="B788" s="138" t="str">
        <f t="shared" si="62"/>
        <v/>
      </c>
      <c r="C788" s="93" t="str">
        <f t="array" ref="C788">IF(E788="","",IF(M788&lt;&gt;"",
M788&amp;"/"&amp;SUMPRODUCT((M$2:M788=M788)*1)&amp;" - "&amp;(ROW()-2),
"إداري/"&amp;SUMPRODUCT((M$2:M788="")*1)&amp;" - "&amp;(ROW()-2)))</f>
        <v/>
      </c>
      <c r="D788" s="141" t="str">
        <f>IF(AND(G788="",H788="",I788=""),"",IF(COUNTIFS(LISTS!$A$2:$A$67,G788,LISTS!$B$2:$B$67,H788,LISTS!$C$2:$C$67,I788)=0,"✗ هرم",IF(NOT(OR(Z788="ممتاز 100%",Z788="جيد 80%",Z788="مقبول 60%",Z788="خطر 40%",Z788="")),"✗ قائمة R",IF(NOT(OR(AA788="ممتاز 100%",AA788="جيد 85%",AA788="مقبول 70%",AA788="ضعيف 50%",AA788="")),"✗ قائمة S",IF(NOT(OR(AB788="مكتمل 100%",AB788="جزئي 60%",AB788="معلق 30%",AB788="مفتوح 0%",AB788="")),"✗ قائمة T",IF(NOT(OR(AC788="لا خصم 0",AC788="تأخير −5",AC788="عجز −10",AC788="جودة −15",AC788="امتثال −20",AC788="مخالفة −25",AC788="")),"✗ قائمة U",IF(AND(X788="لا",AC788&lt;&gt;"",AC788&lt;&gt;"لا خصم 0"),"✗ خصم",IF(AND(X788="نعم",AC788="لا خصم 0"),"✗ خصم",IF(AND(Z788="ممتاز 100%",AA788="ممتاز 100%",AB788&lt;&gt;"",AB788&lt;&gt;"مكتمل 100%"),"✗ إغلاق",IFERROR(IF(LEN(_xlfn.TEXTJOIN("، ",TRUE,IF(E788="","التاريخ",""),IF(F788="","الوقت",""),IF(G788="","المركز",""),IF(H788="","الدائرة",""),IF(I788="","القسم",""),IF(J788="","المسؤول",""),IF(K788="","نوع النشاط",""),IF(L788="","المشروع",""),IF(N788="","الممول",""),IF(V788="","الموضوع",""),IF(W788="","الملاحظة",""),IF(X788="","مشكلة",""),IF(Y788="","الإجراء",""),IF(Z788="","التنفيذ",""),IF(AA788="","الجودة",""),IF(AB788="","الإغلاق",""),IF(AC788="","الخصم",""),IF(AND(COUNTA($O788:$U788)&gt;0,O788=""),"مدير المشروع",""),IF(AND(COUNTA($O788:$U788)&gt;0,P788=""),"المستفيدين",""),IF(AND(COUNTA($O788:$U788)&gt;0,Q788=""),"المناطق",""),IF(AND(COUNTA($O788:$U788)&gt;0,R788=""),"الميزانية",""),IF(AND(COUNTA($O788:$U788)&gt;0,S788=""),"نسبة الجاهزية",""),IF(AND(COUNTA($O788:$U788)&gt;0,T788=""),"حالة الجاهزية",""),IF(AND(COUNTA($O788:$U788)&gt;0,U788=""),"التوصيات","")))&gt;0,"✗ ناقص: "&amp;_xlfn.TEXTJOIN("، ",TRUE,IF(E788="","التاريخ",""),IF(F788="","الوقت",""),IF(G788="","المركز",""),IF(H788="","الدائرة",""),IF(I788="","القسم",""),IF(J788="","المسؤول",""),IF(K788="","نوع النشاط",""),IF(L788="","المشروع",""),IF(N788="","الممول",""),IF(V788="","الموضوع",""),IF(W788="","الملاحظة",""),IF(X788="","مشكلة",""),IF(Y788="","الإجراء",""),IF(Z788="","التنفيذ",""),IF(AA788="","الجودة",""),IF(AB788="","الإغلاق",""),IF(AC788="","الخصم",""),IF(AND(COUNTA($O788:$U788)&gt;0,O788=""),"مدير المشروع",""),IF(AND(COUNTA($O788:$U788)&gt;0,P788=""),"المستفيدين",""),IF(AND(COUNTA($O788:$U788)&gt;0,Q788=""),"المناطق",""),IF(AND(COUNTA($O788:$U788)&gt;0,R788=""),"الميزانية",""),IF(AND(COUNTA($O788:$U788)&gt;0,S788=""),"نسبة الجاهزية",""),IF(AND(COUNTA($O788:$U788)&gt;0,T788=""),"حالة الجاهزية",""),IF(AND(COUNTA($O788:$U788)&gt;0,U788=""),"التوصيات","")),"✓"),"✓"))))))))))</f>
        <v/>
      </c>
      <c r="E788" s="235"/>
      <c r="F788" s="236"/>
      <c r="G788" s="90"/>
      <c r="H788" s="239"/>
      <c r="I788" s="89"/>
      <c r="J788" s="142"/>
      <c r="K788" s="90"/>
      <c r="L788" s="90"/>
      <c r="M788" s="90"/>
      <c r="N788" s="89"/>
      <c r="O788" s="200"/>
      <c r="P788" s="201"/>
      <c r="Q788" s="201"/>
      <c r="R788" s="237"/>
      <c r="S788" s="202"/>
      <c r="T788" s="200"/>
      <c r="U788" s="203"/>
      <c r="V788" s="89"/>
      <c r="W788" s="89"/>
      <c r="X788" s="145"/>
      <c r="Y788" s="89"/>
      <c r="Z788" s="90"/>
      <c r="AA788" s="90"/>
      <c r="AB788" s="90"/>
      <c r="AC788" s="90"/>
      <c r="AD788" s="92"/>
      <c r="AE788" s="149" t="str">
        <f>IFERROR(VLOOKUP(Z788,LISTS!$AL$2:$AM$1000,2,FALSE()),"")</f>
        <v/>
      </c>
      <c r="AF788" s="151" t="str">
        <f>IFERROR(VLOOKUP(AA788,LISTS!$AO$2:$AP$1000,2,FALSE()),"")</f>
        <v/>
      </c>
      <c r="AG788" s="152" t="str">
        <f>IFERROR(VLOOKUP(AB788,LISTS!$AR$2:$AS$1000,2,FALSE()),"")</f>
        <v/>
      </c>
      <c r="AH788" s="154" t="str">
        <f>IFERROR(VLOOKUP(AC788,LISTS!$AU$2:$AV$1000,2,FALSE()),"")</f>
        <v/>
      </c>
      <c r="AI788" s="238" t="str">
        <f t="shared" si="63"/>
        <v>—</v>
      </c>
      <c r="AJ788" s="190" t="str">
        <f t="shared" si="64"/>
        <v>—</v>
      </c>
      <c r="AK788" s="157" t="str">
        <f t="shared" si="60"/>
        <v/>
      </c>
      <c r="AL788" s="160" t="str">
        <f t="shared" si="61"/>
        <v/>
      </c>
      <c r="AM788" s="210"/>
      <c r="AN788" s="209"/>
    </row>
    <row r="789" spans="1:40" ht="27.95" customHeight="1">
      <c r="A789" s="134" t="str">
        <f>IF(I789&lt;&gt;"",COUNTA($I$2:I789),"")</f>
        <v/>
      </c>
      <c r="B789" s="138" t="str">
        <f t="shared" si="62"/>
        <v/>
      </c>
      <c r="C789" s="93" t="str">
        <f t="array" ref="C789">IF(E789="","",IF(M789&lt;&gt;"",
M789&amp;"/"&amp;SUMPRODUCT((M$2:M789=M789)*1)&amp;" - "&amp;(ROW()-2),
"إداري/"&amp;SUMPRODUCT((M$2:M789="")*1)&amp;" - "&amp;(ROW()-2)))</f>
        <v/>
      </c>
      <c r="D789" s="141" t="str">
        <f>IF(AND(G789="",H789="",I789=""),"",IF(COUNTIFS(LISTS!$A$2:$A$67,G789,LISTS!$B$2:$B$67,H789,LISTS!$C$2:$C$67,I789)=0,"✗ هرم",IF(NOT(OR(Z789="ممتاز 100%",Z789="جيد 80%",Z789="مقبول 60%",Z789="خطر 40%",Z789="")),"✗ قائمة R",IF(NOT(OR(AA789="ممتاز 100%",AA789="جيد 85%",AA789="مقبول 70%",AA789="ضعيف 50%",AA789="")),"✗ قائمة S",IF(NOT(OR(AB789="مكتمل 100%",AB789="جزئي 60%",AB789="معلق 30%",AB789="مفتوح 0%",AB789="")),"✗ قائمة T",IF(NOT(OR(AC789="لا خصم 0",AC789="تأخير −5",AC789="عجز −10",AC789="جودة −15",AC789="امتثال −20",AC789="مخالفة −25",AC789="")),"✗ قائمة U",IF(AND(X789="لا",AC789&lt;&gt;"",AC789&lt;&gt;"لا خصم 0"),"✗ خصم",IF(AND(X789="نعم",AC789="لا خصم 0"),"✗ خصم",IF(AND(Z789="ممتاز 100%",AA789="ممتاز 100%",AB789&lt;&gt;"",AB789&lt;&gt;"مكتمل 100%"),"✗ إغلاق",IFERROR(IF(LEN(_xlfn.TEXTJOIN("، ",TRUE,IF(E789="","التاريخ",""),IF(F789="","الوقت",""),IF(G789="","المركز",""),IF(H789="","الدائرة",""),IF(I789="","القسم",""),IF(J789="","المسؤول",""),IF(K789="","نوع النشاط",""),IF(L789="","المشروع",""),IF(N789="","الممول",""),IF(V789="","الموضوع",""),IF(W789="","الملاحظة",""),IF(X789="","مشكلة",""),IF(Y789="","الإجراء",""),IF(Z789="","التنفيذ",""),IF(AA789="","الجودة",""),IF(AB789="","الإغلاق",""),IF(AC789="","الخصم",""),IF(AND(COUNTA($O789:$U789)&gt;0,O789=""),"مدير المشروع",""),IF(AND(COUNTA($O789:$U789)&gt;0,P789=""),"المستفيدين",""),IF(AND(COUNTA($O789:$U789)&gt;0,Q789=""),"المناطق",""),IF(AND(COUNTA($O789:$U789)&gt;0,R789=""),"الميزانية",""),IF(AND(COUNTA($O789:$U789)&gt;0,S789=""),"نسبة الجاهزية",""),IF(AND(COUNTA($O789:$U789)&gt;0,T789=""),"حالة الجاهزية",""),IF(AND(COUNTA($O789:$U789)&gt;0,U789=""),"التوصيات","")))&gt;0,"✗ ناقص: "&amp;_xlfn.TEXTJOIN("، ",TRUE,IF(E789="","التاريخ",""),IF(F789="","الوقت",""),IF(G789="","المركز",""),IF(H789="","الدائرة",""),IF(I789="","القسم",""),IF(J789="","المسؤول",""),IF(K789="","نوع النشاط",""),IF(L789="","المشروع",""),IF(N789="","الممول",""),IF(V789="","الموضوع",""),IF(W789="","الملاحظة",""),IF(X789="","مشكلة",""),IF(Y789="","الإجراء",""),IF(Z789="","التنفيذ",""),IF(AA789="","الجودة",""),IF(AB789="","الإغلاق",""),IF(AC789="","الخصم",""),IF(AND(COUNTA($O789:$U789)&gt;0,O789=""),"مدير المشروع",""),IF(AND(COUNTA($O789:$U789)&gt;0,P789=""),"المستفيدين",""),IF(AND(COUNTA($O789:$U789)&gt;0,Q789=""),"المناطق",""),IF(AND(COUNTA($O789:$U789)&gt;0,R789=""),"الميزانية",""),IF(AND(COUNTA($O789:$U789)&gt;0,S789=""),"نسبة الجاهزية",""),IF(AND(COUNTA($O789:$U789)&gt;0,T789=""),"حالة الجاهزية",""),IF(AND(COUNTA($O789:$U789)&gt;0,U789=""),"التوصيات","")),"✓"),"✓"))))))))))</f>
        <v/>
      </c>
      <c r="E789" s="235"/>
      <c r="F789" s="236"/>
      <c r="G789" s="90"/>
      <c r="H789" s="239"/>
      <c r="I789" s="89"/>
      <c r="J789" s="142"/>
      <c r="K789" s="90"/>
      <c r="L789" s="90"/>
      <c r="M789" s="90"/>
      <c r="N789" s="89"/>
      <c r="O789" s="200"/>
      <c r="P789" s="201"/>
      <c r="Q789" s="201"/>
      <c r="R789" s="237"/>
      <c r="S789" s="202"/>
      <c r="T789" s="200"/>
      <c r="U789" s="203"/>
      <c r="V789" s="89"/>
      <c r="W789" s="89"/>
      <c r="X789" s="145"/>
      <c r="Y789" s="89"/>
      <c r="Z789" s="90"/>
      <c r="AA789" s="90"/>
      <c r="AB789" s="90"/>
      <c r="AC789" s="90"/>
      <c r="AD789" s="92"/>
      <c r="AE789" s="149" t="str">
        <f>IFERROR(VLOOKUP(Z789,LISTS!$AL$2:$AM$1000,2,FALSE()),"")</f>
        <v/>
      </c>
      <c r="AF789" s="151" t="str">
        <f>IFERROR(VLOOKUP(AA789,LISTS!$AO$2:$AP$1000,2,FALSE()),"")</f>
        <v/>
      </c>
      <c r="AG789" s="152" t="str">
        <f>IFERROR(VLOOKUP(AB789,LISTS!$AR$2:$AS$1000,2,FALSE()),"")</f>
        <v/>
      </c>
      <c r="AH789" s="154" t="str">
        <f>IFERROR(VLOOKUP(AC789,LISTS!$AU$2:$AV$1000,2,FALSE()),"")</f>
        <v/>
      </c>
      <c r="AI789" s="238" t="str">
        <f t="shared" si="63"/>
        <v>—</v>
      </c>
      <c r="AJ789" s="190" t="str">
        <f t="shared" si="64"/>
        <v>—</v>
      </c>
      <c r="AK789" s="157" t="str">
        <f t="shared" si="60"/>
        <v/>
      </c>
      <c r="AL789" s="160" t="str">
        <f t="shared" si="61"/>
        <v/>
      </c>
      <c r="AM789" s="210"/>
      <c r="AN789" s="209"/>
    </row>
    <row r="790" spans="1:40" ht="27.95" customHeight="1">
      <c r="A790" s="134" t="str">
        <f>IF(I790&lt;&gt;"",COUNTA($I$2:I790),"")</f>
        <v/>
      </c>
      <c r="B790" s="138" t="str">
        <f t="shared" si="62"/>
        <v/>
      </c>
      <c r="C790" s="93" t="str">
        <f t="array" ref="C790">IF(E790="","",IF(M790&lt;&gt;"",
M790&amp;"/"&amp;SUMPRODUCT((M$2:M790=M790)*1)&amp;" - "&amp;(ROW()-2),
"إداري/"&amp;SUMPRODUCT((M$2:M790="")*1)&amp;" - "&amp;(ROW()-2)))</f>
        <v/>
      </c>
      <c r="D790" s="141" t="str">
        <f>IF(AND(G790="",H790="",I790=""),"",IF(COUNTIFS(LISTS!$A$2:$A$67,G790,LISTS!$B$2:$B$67,H790,LISTS!$C$2:$C$67,I790)=0,"✗ هرم",IF(NOT(OR(Z790="ممتاز 100%",Z790="جيد 80%",Z790="مقبول 60%",Z790="خطر 40%",Z790="")),"✗ قائمة R",IF(NOT(OR(AA790="ممتاز 100%",AA790="جيد 85%",AA790="مقبول 70%",AA790="ضعيف 50%",AA790="")),"✗ قائمة S",IF(NOT(OR(AB790="مكتمل 100%",AB790="جزئي 60%",AB790="معلق 30%",AB790="مفتوح 0%",AB790="")),"✗ قائمة T",IF(NOT(OR(AC790="لا خصم 0",AC790="تأخير −5",AC790="عجز −10",AC790="جودة −15",AC790="امتثال −20",AC790="مخالفة −25",AC790="")),"✗ قائمة U",IF(AND(X790="لا",AC790&lt;&gt;"",AC790&lt;&gt;"لا خصم 0"),"✗ خصم",IF(AND(X790="نعم",AC790="لا خصم 0"),"✗ خصم",IF(AND(Z790="ممتاز 100%",AA790="ممتاز 100%",AB790&lt;&gt;"",AB790&lt;&gt;"مكتمل 100%"),"✗ إغلاق",IFERROR(IF(LEN(_xlfn.TEXTJOIN("، ",TRUE,IF(E790="","التاريخ",""),IF(F790="","الوقت",""),IF(G790="","المركز",""),IF(H790="","الدائرة",""),IF(I790="","القسم",""),IF(J790="","المسؤول",""),IF(K790="","نوع النشاط",""),IF(L790="","المشروع",""),IF(N790="","الممول",""),IF(V790="","الموضوع",""),IF(W790="","الملاحظة",""),IF(X790="","مشكلة",""),IF(Y790="","الإجراء",""),IF(Z790="","التنفيذ",""),IF(AA790="","الجودة",""),IF(AB790="","الإغلاق",""),IF(AC790="","الخصم",""),IF(AND(COUNTA($O790:$U790)&gt;0,O790=""),"مدير المشروع",""),IF(AND(COUNTA($O790:$U790)&gt;0,P790=""),"المستفيدين",""),IF(AND(COUNTA($O790:$U790)&gt;0,Q790=""),"المناطق",""),IF(AND(COUNTA($O790:$U790)&gt;0,R790=""),"الميزانية",""),IF(AND(COUNTA($O790:$U790)&gt;0,S790=""),"نسبة الجاهزية",""),IF(AND(COUNTA($O790:$U790)&gt;0,T790=""),"حالة الجاهزية",""),IF(AND(COUNTA($O790:$U790)&gt;0,U790=""),"التوصيات","")))&gt;0,"✗ ناقص: "&amp;_xlfn.TEXTJOIN("، ",TRUE,IF(E790="","التاريخ",""),IF(F790="","الوقت",""),IF(G790="","المركز",""),IF(H790="","الدائرة",""),IF(I790="","القسم",""),IF(J790="","المسؤول",""),IF(K790="","نوع النشاط",""),IF(L790="","المشروع",""),IF(N790="","الممول",""),IF(V790="","الموضوع",""),IF(W790="","الملاحظة",""),IF(X790="","مشكلة",""),IF(Y790="","الإجراء",""),IF(Z790="","التنفيذ",""),IF(AA790="","الجودة",""),IF(AB790="","الإغلاق",""),IF(AC790="","الخصم",""),IF(AND(COUNTA($O790:$U790)&gt;0,O790=""),"مدير المشروع",""),IF(AND(COUNTA($O790:$U790)&gt;0,P790=""),"المستفيدين",""),IF(AND(COUNTA($O790:$U790)&gt;0,Q790=""),"المناطق",""),IF(AND(COUNTA($O790:$U790)&gt;0,R790=""),"الميزانية",""),IF(AND(COUNTA($O790:$U790)&gt;0,S790=""),"نسبة الجاهزية",""),IF(AND(COUNTA($O790:$U790)&gt;0,T790=""),"حالة الجاهزية",""),IF(AND(COUNTA($O790:$U790)&gt;0,U790=""),"التوصيات","")),"✓"),"✓"))))))))))</f>
        <v/>
      </c>
      <c r="E790" s="235"/>
      <c r="F790" s="236"/>
      <c r="G790" s="90"/>
      <c r="H790" s="239"/>
      <c r="I790" s="89"/>
      <c r="J790" s="142"/>
      <c r="K790" s="90"/>
      <c r="L790" s="90"/>
      <c r="M790" s="90"/>
      <c r="N790" s="89"/>
      <c r="O790" s="200"/>
      <c r="P790" s="201"/>
      <c r="Q790" s="201"/>
      <c r="R790" s="237"/>
      <c r="S790" s="202"/>
      <c r="T790" s="200"/>
      <c r="U790" s="203"/>
      <c r="V790" s="89"/>
      <c r="W790" s="89"/>
      <c r="X790" s="145"/>
      <c r="Y790" s="89"/>
      <c r="Z790" s="90"/>
      <c r="AA790" s="90"/>
      <c r="AB790" s="90"/>
      <c r="AC790" s="90"/>
      <c r="AD790" s="92"/>
      <c r="AE790" s="149" t="str">
        <f>IFERROR(VLOOKUP(Z790,LISTS!$AL$2:$AM$1000,2,FALSE()),"")</f>
        <v/>
      </c>
      <c r="AF790" s="151" t="str">
        <f>IFERROR(VLOOKUP(AA790,LISTS!$AO$2:$AP$1000,2,FALSE()),"")</f>
        <v/>
      </c>
      <c r="AG790" s="152" t="str">
        <f>IFERROR(VLOOKUP(AB790,LISTS!$AR$2:$AS$1000,2,FALSE()),"")</f>
        <v/>
      </c>
      <c r="AH790" s="154" t="str">
        <f>IFERROR(VLOOKUP(AC790,LISTS!$AU$2:$AV$1000,2,FALSE()),"")</f>
        <v/>
      </c>
      <c r="AI790" s="238" t="str">
        <f t="shared" si="63"/>
        <v>—</v>
      </c>
      <c r="AJ790" s="190" t="str">
        <f t="shared" si="64"/>
        <v>—</v>
      </c>
      <c r="AK790" s="157" t="str">
        <f t="shared" si="60"/>
        <v/>
      </c>
      <c r="AL790" s="160" t="str">
        <f t="shared" si="61"/>
        <v/>
      </c>
      <c r="AM790" s="210"/>
      <c r="AN790" s="209"/>
    </row>
    <row r="791" spans="1:40" ht="27.95" customHeight="1">
      <c r="A791" s="134" t="str">
        <f>IF(I791&lt;&gt;"",COUNTA($I$2:I791),"")</f>
        <v/>
      </c>
      <c r="B791" s="138" t="str">
        <f t="shared" si="62"/>
        <v/>
      </c>
      <c r="C791" s="93" t="str">
        <f t="array" ref="C791">IF(E791="","",IF(M791&lt;&gt;"",
M791&amp;"/"&amp;SUMPRODUCT((M$2:M791=M791)*1)&amp;" - "&amp;(ROW()-2),
"إداري/"&amp;SUMPRODUCT((M$2:M791="")*1)&amp;" - "&amp;(ROW()-2)))</f>
        <v/>
      </c>
      <c r="D791" s="141" t="str">
        <f>IF(AND(G791="",H791="",I791=""),"",IF(COUNTIFS(LISTS!$A$2:$A$67,G791,LISTS!$B$2:$B$67,H791,LISTS!$C$2:$C$67,I791)=0,"✗ هرم",IF(NOT(OR(Z791="ممتاز 100%",Z791="جيد 80%",Z791="مقبول 60%",Z791="خطر 40%",Z791="")),"✗ قائمة R",IF(NOT(OR(AA791="ممتاز 100%",AA791="جيد 85%",AA791="مقبول 70%",AA791="ضعيف 50%",AA791="")),"✗ قائمة S",IF(NOT(OR(AB791="مكتمل 100%",AB791="جزئي 60%",AB791="معلق 30%",AB791="مفتوح 0%",AB791="")),"✗ قائمة T",IF(NOT(OR(AC791="لا خصم 0",AC791="تأخير −5",AC791="عجز −10",AC791="جودة −15",AC791="امتثال −20",AC791="مخالفة −25",AC791="")),"✗ قائمة U",IF(AND(X791="لا",AC791&lt;&gt;"",AC791&lt;&gt;"لا خصم 0"),"✗ خصم",IF(AND(X791="نعم",AC791="لا خصم 0"),"✗ خصم",IF(AND(Z791="ممتاز 100%",AA791="ممتاز 100%",AB791&lt;&gt;"",AB791&lt;&gt;"مكتمل 100%"),"✗ إغلاق",IFERROR(IF(LEN(_xlfn.TEXTJOIN("، ",TRUE,IF(E791="","التاريخ",""),IF(F791="","الوقت",""),IF(G791="","المركز",""),IF(H791="","الدائرة",""),IF(I791="","القسم",""),IF(J791="","المسؤول",""),IF(K791="","نوع النشاط",""),IF(L791="","المشروع",""),IF(N791="","الممول",""),IF(V791="","الموضوع",""),IF(W791="","الملاحظة",""),IF(X791="","مشكلة",""),IF(Y791="","الإجراء",""),IF(Z791="","التنفيذ",""),IF(AA791="","الجودة",""),IF(AB791="","الإغلاق",""),IF(AC791="","الخصم",""),IF(AND(COUNTA($O791:$U791)&gt;0,O791=""),"مدير المشروع",""),IF(AND(COUNTA($O791:$U791)&gt;0,P791=""),"المستفيدين",""),IF(AND(COUNTA($O791:$U791)&gt;0,Q791=""),"المناطق",""),IF(AND(COUNTA($O791:$U791)&gt;0,R791=""),"الميزانية",""),IF(AND(COUNTA($O791:$U791)&gt;0,S791=""),"نسبة الجاهزية",""),IF(AND(COUNTA($O791:$U791)&gt;0,T791=""),"حالة الجاهزية",""),IF(AND(COUNTA($O791:$U791)&gt;0,U791=""),"التوصيات","")))&gt;0,"✗ ناقص: "&amp;_xlfn.TEXTJOIN("، ",TRUE,IF(E791="","التاريخ",""),IF(F791="","الوقت",""),IF(G791="","المركز",""),IF(H791="","الدائرة",""),IF(I791="","القسم",""),IF(J791="","المسؤول",""),IF(K791="","نوع النشاط",""),IF(L791="","المشروع",""),IF(N791="","الممول",""),IF(V791="","الموضوع",""),IF(W791="","الملاحظة",""),IF(X791="","مشكلة",""),IF(Y791="","الإجراء",""),IF(Z791="","التنفيذ",""),IF(AA791="","الجودة",""),IF(AB791="","الإغلاق",""),IF(AC791="","الخصم",""),IF(AND(COUNTA($O791:$U791)&gt;0,O791=""),"مدير المشروع",""),IF(AND(COUNTA($O791:$U791)&gt;0,P791=""),"المستفيدين",""),IF(AND(COUNTA($O791:$U791)&gt;0,Q791=""),"المناطق",""),IF(AND(COUNTA($O791:$U791)&gt;0,R791=""),"الميزانية",""),IF(AND(COUNTA($O791:$U791)&gt;0,S791=""),"نسبة الجاهزية",""),IF(AND(COUNTA($O791:$U791)&gt;0,T791=""),"حالة الجاهزية",""),IF(AND(COUNTA($O791:$U791)&gt;0,U791=""),"التوصيات","")),"✓"),"✓"))))))))))</f>
        <v/>
      </c>
      <c r="E791" s="235"/>
      <c r="F791" s="236"/>
      <c r="G791" s="90"/>
      <c r="H791" s="239"/>
      <c r="I791" s="89"/>
      <c r="J791" s="142"/>
      <c r="K791" s="90"/>
      <c r="L791" s="90"/>
      <c r="M791" s="90"/>
      <c r="N791" s="89"/>
      <c r="O791" s="200"/>
      <c r="P791" s="201"/>
      <c r="Q791" s="201"/>
      <c r="R791" s="237"/>
      <c r="S791" s="202"/>
      <c r="T791" s="200"/>
      <c r="U791" s="203"/>
      <c r="V791" s="89"/>
      <c r="W791" s="89"/>
      <c r="X791" s="145"/>
      <c r="Y791" s="89"/>
      <c r="Z791" s="90"/>
      <c r="AA791" s="90"/>
      <c r="AB791" s="90"/>
      <c r="AC791" s="90"/>
      <c r="AD791" s="92"/>
      <c r="AE791" s="149" t="str">
        <f>IFERROR(VLOOKUP(Z791,LISTS!$AL$2:$AM$1000,2,FALSE()),"")</f>
        <v/>
      </c>
      <c r="AF791" s="151" t="str">
        <f>IFERROR(VLOOKUP(AA791,LISTS!$AO$2:$AP$1000,2,FALSE()),"")</f>
        <v/>
      </c>
      <c r="AG791" s="152" t="str">
        <f>IFERROR(VLOOKUP(AB791,LISTS!$AR$2:$AS$1000,2,FALSE()),"")</f>
        <v/>
      </c>
      <c r="AH791" s="154" t="str">
        <f>IFERROR(VLOOKUP(AC791,LISTS!$AU$2:$AV$1000,2,FALSE()),"")</f>
        <v/>
      </c>
      <c r="AI791" s="238" t="str">
        <f t="shared" si="63"/>
        <v>—</v>
      </c>
      <c r="AJ791" s="190" t="str">
        <f t="shared" si="64"/>
        <v>—</v>
      </c>
      <c r="AK791" s="157" t="str">
        <f t="shared" si="60"/>
        <v/>
      </c>
      <c r="AL791" s="160" t="str">
        <f t="shared" si="61"/>
        <v/>
      </c>
      <c r="AM791" s="210"/>
      <c r="AN791" s="209"/>
    </row>
    <row r="792" spans="1:40" ht="27.95" customHeight="1">
      <c r="A792" s="134" t="str">
        <f>IF(I792&lt;&gt;"",COUNTA($I$2:I792),"")</f>
        <v/>
      </c>
      <c r="B792" s="138" t="str">
        <f t="shared" si="62"/>
        <v/>
      </c>
      <c r="C792" s="93" t="str">
        <f t="array" ref="C792">IF(E792="","",IF(M792&lt;&gt;"",
M792&amp;"/"&amp;SUMPRODUCT((M$2:M792=M792)*1)&amp;" - "&amp;(ROW()-2),
"إداري/"&amp;SUMPRODUCT((M$2:M792="")*1)&amp;" - "&amp;(ROW()-2)))</f>
        <v/>
      </c>
      <c r="D792" s="141" t="str">
        <f>IF(AND(G792="",H792="",I792=""),"",IF(COUNTIFS(LISTS!$A$2:$A$67,G792,LISTS!$B$2:$B$67,H792,LISTS!$C$2:$C$67,I792)=0,"✗ هرم",IF(NOT(OR(Z792="ممتاز 100%",Z792="جيد 80%",Z792="مقبول 60%",Z792="خطر 40%",Z792="")),"✗ قائمة R",IF(NOT(OR(AA792="ممتاز 100%",AA792="جيد 85%",AA792="مقبول 70%",AA792="ضعيف 50%",AA792="")),"✗ قائمة S",IF(NOT(OR(AB792="مكتمل 100%",AB792="جزئي 60%",AB792="معلق 30%",AB792="مفتوح 0%",AB792="")),"✗ قائمة T",IF(NOT(OR(AC792="لا خصم 0",AC792="تأخير −5",AC792="عجز −10",AC792="جودة −15",AC792="امتثال −20",AC792="مخالفة −25",AC792="")),"✗ قائمة U",IF(AND(X792="لا",AC792&lt;&gt;"",AC792&lt;&gt;"لا خصم 0"),"✗ خصم",IF(AND(X792="نعم",AC792="لا خصم 0"),"✗ خصم",IF(AND(Z792="ممتاز 100%",AA792="ممتاز 100%",AB792&lt;&gt;"",AB792&lt;&gt;"مكتمل 100%"),"✗ إغلاق",IFERROR(IF(LEN(_xlfn.TEXTJOIN("، ",TRUE,IF(E792="","التاريخ",""),IF(F792="","الوقت",""),IF(G792="","المركز",""),IF(H792="","الدائرة",""),IF(I792="","القسم",""),IF(J792="","المسؤول",""),IF(K792="","نوع النشاط",""),IF(L792="","المشروع",""),IF(N792="","الممول",""),IF(V792="","الموضوع",""),IF(W792="","الملاحظة",""),IF(X792="","مشكلة",""),IF(Y792="","الإجراء",""),IF(Z792="","التنفيذ",""),IF(AA792="","الجودة",""),IF(AB792="","الإغلاق",""),IF(AC792="","الخصم",""),IF(AND(COUNTA($O792:$U792)&gt;0,O792=""),"مدير المشروع",""),IF(AND(COUNTA($O792:$U792)&gt;0,P792=""),"المستفيدين",""),IF(AND(COUNTA($O792:$U792)&gt;0,Q792=""),"المناطق",""),IF(AND(COUNTA($O792:$U792)&gt;0,R792=""),"الميزانية",""),IF(AND(COUNTA($O792:$U792)&gt;0,S792=""),"نسبة الجاهزية",""),IF(AND(COUNTA($O792:$U792)&gt;0,T792=""),"حالة الجاهزية",""),IF(AND(COUNTA($O792:$U792)&gt;0,U792=""),"التوصيات","")))&gt;0,"✗ ناقص: "&amp;_xlfn.TEXTJOIN("، ",TRUE,IF(E792="","التاريخ",""),IF(F792="","الوقت",""),IF(G792="","المركز",""),IF(H792="","الدائرة",""),IF(I792="","القسم",""),IF(J792="","المسؤول",""),IF(K792="","نوع النشاط",""),IF(L792="","المشروع",""),IF(N792="","الممول",""),IF(V792="","الموضوع",""),IF(W792="","الملاحظة",""),IF(X792="","مشكلة",""),IF(Y792="","الإجراء",""),IF(Z792="","التنفيذ",""),IF(AA792="","الجودة",""),IF(AB792="","الإغلاق",""),IF(AC792="","الخصم",""),IF(AND(COUNTA($O792:$U792)&gt;0,O792=""),"مدير المشروع",""),IF(AND(COUNTA($O792:$U792)&gt;0,P792=""),"المستفيدين",""),IF(AND(COUNTA($O792:$U792)&gt;0,Q792=""),"المناطق",""),IF(AND(COUNTA($O792:$U792)&gt;0,R792=""),"الميزانية",""),IF(AND(COUNTA($O792:$U792)&gt;0,S792=""),"نسبة الجاهزية",""),IF(AND(COUNTA($O792:$U792)&gt;0,T792=""),"حالة الجاهزية",""),IF(AND(COUNTA($O792:$U792)&gt;0,U792=""),"التوصيات","")),"✓"),"✓"))))))))))</f>
        <v/>
      </c>
      <c r="E792" s="235"/>
      <c r="F792" s="236"/>
      <c r="G792" s="90"/>
      <c r="H792" s="239"/>
      <c r="I792" s="89"/>
      <c r="J792" s="142"/>
      <c r="K792" s="90"/>
      <c r="L792" s="90"/>
      <c r="M792" s="90"/>
      <c r="N792" s="89"/>
      <c r="O792" s="200"/>
      <c r="P792" s="201"/>
      <c r="Q792" s="201"/>
      <c r="R792" s="237"/>
      <c r="S792" s="202"/>
      <c r="T792" s="200"/>
      <c r="U792" s="203"/>
      <c r="V792" s="89"/>
      <c r="W792" s="89"/>
      <c r="X792" s="145"/>
      <c r="Y792" s="89"/>
      <c r="Z792" s="90"/>
      <c r="AA792" s="90"/>
      <c r="AB792" s="90"/>
      <c r="AC792" s="90"/>
      <c r="AD792" s="92"/>
      <c r="AE792" s="149" t="str">
        <f>IFERROR(VLOOKUP(Z792,LISTS!$AL$2:$AM$1000,2,FALSE()),"")</f>
        <v/>
      </c>
      <c r="AF792" s="151" t="str">
        <f>IFERROR(VLOOKUP(AA792,LISTS!$AO$2:$AP$1000,2,FALSE()),"")</f>
        <v/>
      </c>
      <c r="AG792" s="152" t="str">
        <f>IFERROR(VLOOKUP(AB792,LISTS!$AR$2:$AS$1000,2,FALSE()),"")</f>
        <v/>
      </c>
      <c r="AH792" s="154" t="str">
        <f>IFERROR(VLOOKUP(AC792,LISTS!$AU$2:$AV$1000,2,FALSE()),"")</f>
        <v/>
      </c>
      <c r="AI792" s="238" t="str">
        <f t="shared" si="63"/>
        <v>—</v>
      </c>
      <c r="AJ792" s="190" t="str">
        <f t="shared" si="64"/>
        <v>—</v>
      </c>
      <c r="AK792" s="157" t="str">
        <f t="shared" si="60"/>
        <v/>
      </c>
      <c r="AL792" s="160" t="str">
        <f t="shared" si="61"/>
        <v/>
      </c>
      <c r="AM792" s="210"/>
      <c r="AN792" s="209"/>
    </row>
    <row r="793" spans="1:40" ht="27.95" customHeight="1">
      <c r="A793" s="134" t="str">
        <f>IF(I793&lt;&gt;"",COUNTA($I$2:I793),"")</f>
        <v/>
      </c>
      <c r="B793" s="138" t="str">
        <f t="shared" si="62"/>
        <v/>
      </c>
      <c r="C793" s="93" t="str">
        <f t="array" ref="C793">IF(E793="","",IF(M793&lt;&gt;"",
M793&amp;"/"&amp;SUMPRODUCT((M$2:M793=M793)*1)&amp;" - "&amp;(ROW()-2),
"إداري/"&amp;SUMPRODUCT((M$2:M793="")*1)&amp;" - "&amp;(ROW()-2)))</f>
        <v/>
      </c>
      <c r="D793" s="141" t="str">
        <f>IF(AND(G793="",H793="",I793=""),"",IF(COUNTIFS(LISTS!$A$2:$A$67,G793,LISTS!$B$2:$B$67,H793,LISTS!$C$2:$C$67,I793)=0,"✗ هرم",IF(NOT(OR(Z793="ممتاز 100%",Z793="جيد 80%",Z793="مقبول 60%",Z793="خطر 40%",Z793="")),"✗ قائمة R",IF(NOT(OR(AA793="ممتاز 100%",AA793="جيد 85%",AA793="مقبول 70%",AA793="ضعيف 50%",AA793="")),"✗ قائمة S",IF(NOT(OR(AB793="مكتمل 100%",AB793="جزئي 60%",AB793="معلق 30%",AB793="مفتوح 0%",AB793="")),"✗ قائمة T",IF(NOT(OR(AC793="لا خصم 0",AC793="تأخير −5",AC793="عجز −10",AC793="جودة −15",AC793="امتثال −20",AC793="مخالفة −25",AC793="")),"✗ قائمة U",IF(AND(X793="لا",AC793&lt;&gt;"",AC793&lt;&gt;"لا خصم 0"),"✗ خصم",IF(AND(X793="نعم",AC793="لا خصم 0"),"✗ خصم",IF(AND(Z793="ممتاز 100%",AA793="ممتاز 100%",AB793&lt;&gt;"",AB793&lt;&gt;"مكتمل 100%"),"✗ إغلاق",IFERROR(IF(LEN(_xlfn.TEXTJOIN("، ",TRUE,IF(E793="","التاريخ",""),IF(F793="","الوقت",""),IF(G793="","المركز",""),IF(H793="","الدائرة",""),IF(I793="","القسم",""),IF(J793="","المسؤول",""),IF(K793="","نوع النشاط",""),IF(L793="","المشروع",""),IF(N793="","الممول",""),IF(V793="","الموضوع",""),IF(W793="","الملاحظة",""),IF(X793="","مشكلة",""),IF(Y793="","الإجراء",""),IF(Z793="","التنفيذ",""),IF(AA793="","الجودة",""),IF(AB793="","الإغلاق",""),IF(AC793="","الخصم",""),IF(AND(COUNTA($O793:$U793)&gt;0,O793=""),"مدير المشروع",""),IF(AND(COUNTA($O793:$U793)&gt;0,P793=""),"المستفيدين",""),IF(AND(COUNTA($O793:$U793)&gt;0,Q793=""),"المناطق",""),IF(AND(COUNTA($O793:$U793)&gt;0,R793=""),"الميزانية",""),IF(AND(COUNTA($O793:$U793)&gt;0,S793=""),"نسبة الجاهزية",""),IF(AND(COUNTA($O793:$U793)&gt;0,T793=""),"حالة الجاهزية",""),IF(AND(COUNTA($O793:$U793)&gt;0,U793=""),"التوصيات","")))&gt;0,"✗ ناقص: "&amp;_xlfn.TEXTJOIN("، ",TRUE,IF(E793="","التاريخ",""),IF(F793="","الوقت",""),IF(G793="","المركز",""),IF(H793="","الدائرة",""),IF(I793="","القسم",""),IF(J793="","المسؤول",""),IF(K793="","نوع النشاط",""),IF(L793="","المشروع",""),IF(N793="","الممول",""),IF(V793="","الموضوع",""),IF(W793="","الملاحظة",""),IF(X793="","مشكلة",""),IF(Y793="","الإجراء",""),IF(Z793="","التنفيذ",""),IF(AA793="","الجودة",""),IF(AB793="","الإغلاق",""),IF(AC793="","الخصم",""),IF(AND(COUNTA($O793:$U793)&gt;0,O793=""),"مدير المشروع",""),IF(AND(COUNTA($O793:$U793)&gt;0,P793=""),"المستفيدين",""),IF(AND(COUNTA($O793:$U793)&gt;0,Q793=""),"المناطق",""),IF(AND(COUNTA($O793:$U793)&gt;0,R793=""),"الميزانية",""),IF(AND(COUNTA($O793:$U793)&gt;0,S793=""),"نسبة الجاهزية",""),IF(AND(COUNTA($O793:$U793)&gt;0,T793=""),"حالة الجاهزية",""),IF(AND(COUNTA($O793:$U793)&gt;0,U793=""),"التوصيات","")),"✓"),"✓"))))))))))</f>
        <v/>
      </c>
      <c r="E793" s="235"/>
      <c r="F793" s="236"/>
      <c r="G793" s="90"/>
      <c r="H793" s="239"/>
      <c r="I793" s="89"/>
      <c r="J793" s="142"/>
      <c r="K793" s="90"/>
      <c r="L793" s="90"/>
      <c r="M793" s="90"/>
      <c r="N793" s="89"/>
      <c r="O793" s="200"/>
      <c r="P793" s="201"/>
      <c r="Q793" s="201"/>
      <c r="R793" s="237"/>
      <c r="S793" s="202"/>
      <c r="T793" s="200"/>
      <c r="U793" s="203"/>
      <c r="V793" s="89"/>
      <c r="W793" s="89"/>
      <c r="X793" s="145"/>
      <c r="Y793" s="89"/>
      <c r="Z793" s="90"/>
      <c r="AA793" s="90"/>
      <c r="AB793" s="90"/>
      <c r="AC793" s="90"/>
      <c r="AD793" s="92"/>
      <c r="AE793" s="149" t="str">
        <f>IFERROR(VLOOKUP(Z793,LISTS!$AL$2:$AM$1000,2,FALSE()),"")</f>
        <v/>
      </c>
      <c r="AF793" s="151" t="str">
        <f>IFERROR(VLOOKUP(AA793,LISTS!$AO$2:$AP$1000,2,FALSE()),"")</f>
        <v/>
      </c>
      <c r="AG793" s="152" t="str">
        <f>IFERROR(VLOOKUP(AB793,LISTS!$AR$2:$AS$1000,2,FALSE()),"")</f>
        <v/>
      </c>
      <c r="AH793" s="154" t="str">
        <f>IFERROR(VLOOKUP(AC793,LISTS!$AU$2:$AV$1000,2,FALSE()),"")</f>
        <v/>
      </c>
      <c r="AI793" s="238" t="str">
        <f t="shared" si="63"/>
        <v>—</v>
      </c>
      <c r="AJ793" s="190" t="str">
        <f t="shared" si="64"/>
        <v>—</v>
      </c>
      <c r="AK793" s="157" t="str">
        <f t="shared" si="60"/>
        <v/>
      </c>
      <c r="AL793" s="160" t="str">
        <f t="shared" si="61"/>
        <v/>
      </c>
      <c r="AM793" s="210"/>
      <c r="AN793" s="209"/>
    </row>
    <row r="794" spans="1:40" ht="27.95" customHeight="1">
      <c r="A794" s="134" t="str">
        <f>IF(I794&lt;&gt;"",COUNTA($I$2:I794),"")</f>
        <v/>
      </c>
      <c r="B794" s="138" t="str">
        <f t="shared" si="62"/>
        <v/>
      </c>
      <c r="C794" s="93" t="str">
        <f t="array" ref="C794">IF(E794="","",IF(M794&lt;&gt;"",
M794&amp;"/"&amp;SUMPRODUCT((M$2:M794=M794)*1)&amp;" - "&amp;(ROW()-2),
"إداري/"&amp;SUMPRODUCT((M$2:M794="")*1)&amp;" - "&amp;(ROW()-2)))</f>
        <v/>
      </c>
      <c r="D794" s="141" t="str">
        <f>IF(AND(G794="",H794="",I794=""),"",IF(COUNTIFS(LISTS!$A$2:$A$67,G794,LISTS!$B$2:$B$67,H794,LISTS!$C$2:$C$67,I794)=0,"✗ هرم",IF(NOT(OR(Z794="ممتاز 100%",Z794="جيد 80%",Z794="مقبول 60%",Z794="خطر 40%",Z794="")),"✗ قائمة R",IF(NOT(OR(AA794="ممتاز 100%",AA794="جيد 85%",AA794="مقبول 70%",AA794="ضعيف 50%",AA794="")),"✗ قائمة S",IF(NOT(OR(AB794="مكتمل 100%",AB794="جزئي 60%",AB794="معلق 30%",AB794="مفتوح 0%",AB794="")),"✗ قائمة T",IF(NOT(OR(AC794="لا خصم 0",AC794="تأخير −5",AC794="عجز −10",AC794="جودة −15",AC794="امتثال −20",AC794="مخالفة −25",AC794="")),"✗ قائمة U",IF(AND(X794="لا",AC794&lt;&gt;"",AC794&lt;&gt;"لا خصم 0"),"✗ خصم",IF(AND(X794="نعم",AC794="لا خصم 0"),"✗ خصم",IF(AND(Z794="ممتاز 100%",AA794="ممتاز 100%",AB794&lt;&gt;"",AB794&lt;&gt;"مكتمل 100%"),"✗ إغلاق",IFERROR(IF(LEN(_xlfn.TEXTJOIN("، ",TRUE,IF(E794="","التاريخ",""),IF(F794="","الوقت",""),IF(G794="","المركز",""),IF(H794="","الدائرة",""),IF(I794="","القسم",""),IF(J794="","المسؤول",""),IF(K794="","نوع النشاط",""),IF(L794="","المشروع",""),IF(N794="","الممول",""),IF(V794="","الموضوع",""),IF(W794="","الملاحظة",""),IF(X794="","مشكلة",""),IF(Y794="","الإجراء",""),IF(Z794="","التنفيذ",""),IF(AA794="","الجودة",""),IF(AB794="","الإغلاق",""),IF(AC794="","الخصم",""),IF(AND(COUNTA($O794:$U794)&gt;0,O794=""),"مدير المشروع",""),IF(AND(COUNTA($O794:$U794)&gt;0,P794=""),"المستفيدين",""),IF(AND(COUNTA($O794:$U794)&gt;0,Q794=""),"المناطق",""),IF(AND(COUNTA($O794:$U794)&gt;0,R794=""),"الميزانية",""),IF(AND(COUNTA($O794:$U794)&gt;0,S794=""),"نسبة الجاهزية",""),IF(AND(COUNTA($O794:$U794)&gt;0,T794=""),"حالة الجاهزية",""),IF(AND(COUNTA($O794:$U794)&gt;0,U794=""),"التوصيات","")))&gt;0,"✗ ناقص: "&amp;_xlfn.TEXTJOIN("، ",TRUE,IF(E794="","التاريخ",""),IF(F794="","الوقت",""),IF(G794="","المركز",""),IF(H794="","الدائرة",""),IF(I794="","القسم",""),IF(J794="","المسؤول",""),IF(K794="","نوع النشاط",""),IF(L794="","المشروع",""),IF(N794="","الممول",""),IF(V794="","الموضوع",""),IF(W794="","الملاحظة",""),IF(X794="","مشكلة",""),IF(Y794="","الإجراء",""),IF(Z794="","التنفيذ",""),IF(AA794="","الجودة",""),IF(AB794="","الإغلاق",""),IF(AC794="","الخصم",""),IF(AND(COUNTA($O794:$U794)&gt;0,O794=""),"مدير المشروع",""),IF(AND(COUNTA($O794:$U794)&gt;0,P794=""),"المستفيدين",""),IF(AND(COUNTA($O794:$U794)&gt;0,Q794=""),"المناطق",""),IF(AND(COUNTA($O794:$U794)&gt;0,R794=""),"الميزانية",""),IF(AND(COUNTA($O794:$U794)&gt;0,S794=""),"نسبة الجاهزية",""),IF(AND(COUNTA($O794:$U794)&gt;0,T794=""),"حالة الجاهزية",""),IF(AND(COUNTA($O794:$U794)&gt;0,U794=""),"التوصيات","")),"✓"),"✓"))))))))))</f>
        <v/>
      </c>
      <c r="E794" s="235"/>
      <c r="F794" s="236"/>
      <c r="G794" s="90"/>
      <c r="H794" s="239"/>
      <c r="I794" s="89"/>
      <c r="J794" s="142"/>
      <c r="K794" s="90"/>
      <c r="L794" s="90"/>
      <c r="M794" s="90"/>
      <c r="N794" s="89"/>
      <c r="O794" s="200"/>
      <c r="P794" s="201"/>
      <c r="Q794" s="201"/>
      <c r="R794" s="237"/>
      <c r="S794" s="202"/>
      <c r="T794" s="200"/>
      <c r="U794" s="203"/>
      <c r="V794" s="89"/>
      <c r="W794" s="89"/>
      <c r="X794" s="145"/>
      <c r="Y794" s="89"/>
      <c r="Z794" s="90"/>
      <c r="AA794" s="90"/>
      <c r="AB794" s="90"/>
      <c r="AC794" s="90"/>
      <c r="AD794" s="92"/>
      <c r="AE794" s="149" t="str">
        <f>IFERROR(VLOOKUP(Z794,LISTS!$AL$2:$AM$1000,2,FALSE()),"")</f>
        <v/>
      </c>
      <c r="AF794" s="151" t="str">
        <f>IFERROR(VLOOKUP(AA794,LISTS!$AO$2:$AP$1000,2,FALSE()),"")</f>
        <v/>
      </c>
      <c r="AG794" s="152" t="str">
        <f>IFERROR(VLOOKUP(AB794,LISTS!$AR$2:$AS$1000,2,FALSE()),"")</f>
        <v/>
      </c>
      <c r="AH794" s="154" t="str">
        <f>IFERROR(VLOOKUP(AC794,LISTS!$AU$2:$AV$1000,2,FALSE()),"")</f>
        <v/>
      </c>
      <c r="AI794" s="238" t="str">
        <f t="shared" si="63"/>
        <v>—</v>
      </c>
      <c r="AJ794" s="190" t="str">
        <f t="shared" si="64"/>
        <v>—</v>
      </c>
      <c r="AK794" s="157" t="str">
        <f t="shared" si="60"/>
        <v/>
      </c>
      <c r="AL794" s="160" t="str">
        <f t="shared" si="61"/>
        <v/>
      </c>
      <c r="AM794" s="210"/>
      <c r="AN794" s="209"/>
    </row>
    <row r="795" spans="1:40" ht="27.95" customHeight="1">
      <c r="A795" s="134" t="str">
        <f>IF(I795&lt;&gt;"",COUNTA($I$2:I795),"")</f>
        <v/>
      </c>
      <c r="B795" s="138" t="str">
        <f t="shared" si="62"/>
        <v/>
      </c>
      <c r="C795" s="93" t="str">
        <f t="array" ref="C795">IF(E795="","",IF(M795&lt;&gt;"",
M795&amp;"/"&amp;SUMPRODUCT((M$2:M795=M795)*1)&amp;" - "&amp;(ROW()-2),
"إداري/"&amp;SUMPRODUCT((M$2:M795="")*1)&amp;" - "&amp;(ROW()-2)))</f>
        <v/>
      </c>
      <c r="D795" s="141" t="str">
        <f>IF(AND(G795="",H795="",I795=""),"",IF(COUNTIFS(LISTS!$A$2:$A$67,G795,LISTS!$B$2:$B$67,H795,LISTS!$C$2:$C$67,I795)=0,"✗ هرم",IF(NOT(OR(Z795="ممتاز 100%",Z795="جيد 80%",Z795="مقبول 60%",Z795="خطر 40%",Z795="")),"✗ قائمة R",IF(NOT(OR(AA795="ممتاز 100%",AA795="جيد 85%",AA795="مقبول 70%",AA795="ضعيف 50%",AA795="")),"✗ قائمة S",IF(NOT(OR(AB795="مكتمل 100%",AB795="جزئي 60%",AB795="معلق 30%",AB795="مفتوح 0%",AB795="")),"✗ قائمة T",IF(NOT(OR(AC795="لا خصم 0",AC795="تأخير −5",AC795="عجز −10",AC795="جودة −15",AC795="امتثال −20",AC795="مخالفة −25",AC795="")),"✗ قائمة U",IF(AND(X795="لا",AC795&lt;&gt;"",AC795&lt;&gt;"لا خصم 0"),"✗ خصم",IF(AND(X795="نعم",AC795="لا خصم 0"),"✗ خصم",IF(AND(Z795="ممتاز 100%",AA795="ممتاز 100%",AB795&lt;&gt;"",AB795&lt;&gt;"مكتمل 100%"),"✗ إغلاق",IFERROR(IF(LEN(_xlfn.TEXTJOIN("، ",TRUE,IF(E795="","التاريخ",""),IF(F795="","الوقت",""),IF(G795="","المركز",""),IF(H795="","الدائرة",""),IF(I795="","القسم",""),IF(J795="","المسؤول",""),IF(K795="","نوع النشاط",""),IF(L795="","المشروع",""),IF(N795="","الممول",""),IF(V795="","الموضوع",""),IF(W795="","الملاحظة",""),IF(X795="","مشكلة",""),IF(Y795="","الإجراء",""),IF(Z795="","التنفيذ",""),IF(AA795="","الجودة",""),IF(AB795="","الإغلاق",""),IF(AC795="","الخصم",""),IF(AND(COUNTA($O795:$U795)&gt;0,O795=""),"مدير المشروع",""),IF(AND(COUNTA($O795:$U795)&gt;0,P795=""),"المستفيدين",""),IF(AND(COUNTA($O795:$U795)&gt;0,Q795=""),"المناطق",""),IF(AND(COUNTA($O795:$U795)&gt;0,R795=""),"الميزانية",""),IF(AND(COUNTA($O795:$U795)&gt;0,S795=""),"نسبة الجاهزية",""),IF(AND(COUNTA($O795:$U795)&gt;0,T795=""),"حالة الجاهزية",""),IF(AND(COUNTA($O795:$U795)&gt;0,U795=""),"التوصيات","")))&gt;0,"✗ ناقص: "&amp;_xlfn.TEXTJOIN("، ",TRUE,IF(E795="","التاريخ",""),IF(F795="","الوقت",""),IF(G795="","المركز",""),IF(H795="","الدائرة",""),IF(I795="","القسم",""),IF(J795="","المسؤول",""),IF(K795="","نوع النشاط",""),IF(L795="","المشروع",""),IF(N795="","الممول",""),IF(V795="","الموضوع",""),IF(W795="","الملاحظة",""),IF(X795="","مشكلة",""),IF(Y795="","الإجراء",""),IF(Z795="","التنفيذ",""),IF(AA795="","الجودة",""),IF(AB795="","الإغلاق",""),IF(AC795="","الخصم",""),IF(AND(COUNTA($O795:$U795)&gt;0,O795=""),"مدير المشروع",""),IF(AND(COUNTA($O795:$U795)&gt;0,P795=""),"المستفيدين",""),IF(AND(COUNTA($O795:$U795)&gt;0,Q795=""),"المناطق",""),IF(AND(COUNTA($O795:$U795)&gt;0,R795=""),"الميزانية",""),IF(AND(COUNTA($O795:$U795)&gt;0,S795=""),"نسبة الجاهزية",""),IF(AND(COUNTA($O795:$U795)&gt;0,T795=""),"حالة الجاهزية",""),IF(AND(COUNTA($O795:$U795)&gt;0,U795=""),"التوصيات","")),"✓"),"✓"))))))))))</f>
        <v/>
      </c>
      <c r="E795" s="235"/>
      <c r="F795" s="236"/>
      <c r="G795" s="90"/>
      <c r="H795" s="239"/>
      <c r="I795" s="89"/>
      <c r="J795" s="142"/>
      <c r="K795" s="90"/>
      <c r="L795" s="90"/>
      <c r="M795" s="90"/>
      <c r="N795" s="89"/>
      <c r="O795" s="200"/>
      <c r="P795" s="201"/>
      <c r="Q795" s="201"/>
      <c r="R795" s="237"/>
      <c r="S795" s="202"/>
      <c r="T795" s="200"/>
      <c r="U795" s="203"/>
      <c r="V795" s="89"/>
      <c r="W795" s="89"/>
      <c r="X795" s="145"/>
      <c r="Y795" s="89"/>
      <c r="Z795" s="90"/>
      <c r="AA795" s="90"/>
      <c r="AB795" s="90"/>
      <c r="AC795" s="90"/>
      <c r="AD795" s="92"/>
      <c r="AE795" s="149" t="str">
        <f>IFERROR(VLOOKUP(Z795,LISTS!$AL$2:$AM$1000,2,FALSE()),"")</f>
        <v/>
      </c>
      <c r="AF795" s="151" t="str">
        <f>IFERROR(VLOOKUP(AA795,LISTS!$AO$2:$AP$1000,2,FALSE()),"")</f>
        <v/>
      </c>
      <c r="AG795" s="152" t="str">
        <f>IFERROR(VLOOKUP(AB795,LISTS!$AR$2:$AS$1000,2,FALSE()),"")</f>
        <v/>
      </c>
      <c r="AH795" s="154" t="str">
        <f>IFERROR(VLOOKUP(AC795,LISTS!$AU$2:$AV$1000,2,FALSE()),"")</f>
        <v/>
      </c>
      <c r="AI795" s="238" t="str">
        <f t="shared" si="63"/>
        <v>—</v>
      </c>
      <c r="AJ795" s="190" t="str">
        <f t="shared" si="64"/>
        <v>—</v>
      </c>
      <c r="AK795" s="157" t="str">
        <f t="shared" si="60"/>
        <v/>
      </c>
      <c r="AL795" s="160" t="str">
        <f t="shared" si="61"/>
        <v/>
      </c>
      <c r="AM795" s="210"/>
      <c r="AN795" s="209"/>
    </row>
    <row r="796" spans="1:40" ht="27.95" customHeight="1">
      <c r="A796" s="134" t="str">
        <f>IF(I796&lt;&gt;"",COUNTA($I$2:I796),"")</f>
        <v/>
      </c>
      <c r="B796" s="138" t="str">
        <f t="shared" si="62"/>
        <v/>
      </c>
      <c r="C796" s="93" t="str">
        <f t="array" ref="C796">IF(E796="","",IF(M796&lt;&gt;"",
M796&amp;"/"&amp;SUMPRODUCT((M$2:M796=M796)*1)&amp;" - "&amp;(ROW()-2),
"إداري/"&amp;SUMPRODUCT((M$2:M796="")*1)&amp;" - "&amp;(ROW()-2)))</f>
        <v/>
      </c>
      <c r="D796" s="141" t="str">
        <f>IF(AND(G796="",H796="",I796=""),"",IF(COUNTIFS(LISTS!$A$2:$A$67,G796,LISTS!$B$2:$B$67,H796,LISTS!$C$2:$C$67,I796)=0,"✗ هرم",IF(NOT(OR(Z796="ممتاز 100%",Z796="جيد 80%",Z796="مقبول 60%",Z796="خطر 40%",Z796="")),"✗ قائمة R",IF(NOT(OR(AA796="ممتاز 100%",AA796="جيد 85%",AA796="مقبول 70%",AA796="ضعيف 50%",AA796="")),"✗ قائمة S",IF(NOT(OR(AB796="مكتمل 100%",AB796="جزئي 60%",AB796="معلق 30%",AB796="مفتوح 0%",AB796="")),"✗ قائمة T",IF(NOT(OR(AC796="لا خصم 0",AC796="تأخير −5",AC796="عجز −10",AC796="جودة −15",AC796="امتثال −20",AC796="مخالفة −25",AC796="")),"✗ قائمة U",IF(AND(X796="لا",AC796&lt;&gt;"",AC796&lt;&gt;"لا خصم 0"),"✗ خصم",IF(AND(X796="نعم",AC796="لا خصم 0"),"✗ خصم",IF(AND(Z796="ممتاز 100%",AA796="ممتاز 100%",AB796&lt;&gt;"",AB796&lt;&gt;"مكتمل 100%"),"✗ إغلاق",IFERROR(IF(LEN(_xlfn.TEXTJOIN("، ",TRUE,IF(E796="","التاريخ",""),IF(F796="","الوقت",""),IF(G796="","المركز",""),IF(H796="","الدائرة",""),IF(I796="","القسم",""),IF(J796="","المسؤول",""),IF(K796="","نوع النشاط",""),IF(L796="","المشروع",""),IF(N796="","الممول",""),IF(V796="","الموضوع",""),IF(W796="","الملاحظة",""),IF(X796="","مشكلة",""),IF(Y796="","الإجراء",""),IF(Z796="","التنفيذ",""),IF(AA796="","الجودة",""),IF(AB796="","الإغلاق",""),IF(AC796="","الخصم",""),IF(AND(COUNTA($O796:$U796)&gt;0,O796=""),"مدير المشروع",""),IF(AND(COUNTA($O796:$U796)&gt;0,P796=""),"المستفيدين",""),IF(AND(COUNTA($O796:$U796)&gt;0,Q796=""),"المناطق",""),IF(AND(COUNTA($O796:$U796)&gt;0,R796=""),"الميزانية",""),IF(AND(COUNTA($O796:$U796)&gt;0,S796=""),"نسبة الجاهزية",""),IF(AND(COUNTA($O796:$U796)&gt;0,T796=""),"حالة الجاهزية",""),IF(AND(COUNTA($O796:$U796)&gt;0,U796=""),"التوصيات","")))&gt;0,"✗ ناقص: "&amp;_xlfn.TEXTJOIN("، ",TRUE,IF(E796="","التاريخ",""),IF(F796="","الوقت",""),IF(G796="","المركز",""),IF(H796="","الدائرة",""),IF(I796="","القسم",""),IF(J796="","المسؤول",""),IF(K796="","نوع النشاط",""),IF(L796="","المشروع",""),IF(N796="","الممول",""),IF(V796="","الموضوع",""),IF(W796="","الملاحظة",""),IF(X796="","مشكلة",""),IF(Y796="","الإجراء",""),IF(Z796="","التنفيذ",""),IF(AA796="","الجودة",""),IF(AB796="","الإغلاق",""),IF(AC796="","الخصم",""),IF(AND(COUNTA($O796:$U796)&gt;0,O796=""),"مدير المشروع",""),IF(AND(COUNTA($O796:$U796)&gt;0,P796=""),"المستفيدين",""),IF(AND(COUNTA($O796:$U796)&gt;0,Q796=""),"المناطق",""),IF(AND(COUNTA($O796:$U796)&gt;0,R796=""),"الميزانية",""),IF(AND(COUNTA($O796:$U796)&gt;0,S796=""),"نسبة الجاهزية",""),IF(AND(COUNTA($O796:$U796)&gt;0,T796=""),"حالة الجاهزية",""),IF(AND(COUNTA($O796:$U796)&gt;0,U796=""),"التوصيات","")),"✓"),"✓"))))))))))</f>
        <v/>
      </c>
      <c r="E796" s="235"/>
      <c r="F796" s="236"/>
      <c r="G796" s="90"/>
      <c r="H796" s="239"/>
      <c r="I796" s="89"/>
      <c r="J796" s="142"/>
      <c r="K796" s="90"/>
      <c r="L796" s="90"/>
      <c r="M796" s="90"/>
      <c r="N796" s="89"/>
      <c r="O796" s="200"/>
      <c r="P796" s="201"/>
      <c r="Q796" s="201"/>
      <c r="R796" s="237"/>
      <c r="S796" s="202"/>
      <c r="T796" s="200"/>
      <c r="U796" s="203"/>
      <c r="V796" s="89"/>
      <c r="W796" s="89"/>
      <c r="X796" s="145"/>
      <c r="Y796" s="89"/>
      <c r="Z796" s="90"/>
      <c r="AA796" s="90"/>
      <c r="AB796" s="90"/>
      <c r="AC796" s="90"/>
      <c r="AD796" s="92"/>
      <c r="AE796" s="149" t="str">
        <f>IFERROR(VLOOKUP(Z796,LISTS!$AL$2:$AM$1000,2,FALSE()),"")</f>
        <v/>
      </c>
      <c r="AF796" s="151" t="str">
        <f>IFERROR(VLOOKUP(AA796,LISTS!$AO$2:$AP$1000,2,FALSE()),"")</f>
        <v/>
      </c>
      <c r="AG796" s="152" t="str">
        <f>IFERROR(VLOOKUP(AB796,LISTS!$AR$2:$AS$1000,2,FALSE()),"")</f>
        <v/>
      </c>
      <c r="AH796" s="154" t="str">
        <f>IFERROR(VLOOKUP(AC796,LISTS!$AU$2:$AV$1000,2,FALSE()),"")</f>
        <v/>
      </c>
      <c r="AI796" s="238" t="str">
        <f t="shared" si="63"/>
        <v>—</v>
      </c>
      <c r="AJ796" s="190" t="str">
        <f t="shared" si="64"/>
        <v>—</v>
      </c>
      <c r="AK796" s="157" t="str">
        <f t="shared" si="60"/>
        <v/>
      </c>
      <c r="AL796" s="160" t="str">
        <f t="shared" si="61"/>
        <v/>
      </c>
      <c r="AM796" s="210"/>
      <c r="AN796" s="209"/>
    </row>
    <row r="797" spans="1:40" ht="27.95" customHeight="1">
      <c r="A797" s="134" t="str">
        <f>IF(I797&lt;&gt;"",COUNTA($I$2:I797),"")</f>
        <v/>
      </c>
      <c r="B797" s="138" t="str">
        <f t="shared" si="62"/>
        <v/>
      </c>
      <c r="C797" s="93" t="str">
        <f t="array" ref="C797">IF(E797="","",IF(M797&lt;&gt;"",
M797&amp;"/"&amp;SUMPRODUCT((M$2:M797=M797)*1)&amp;" - "&amp;(ROW()-2),
"إداري/"&amp;SUMPRODUCT((M$2:M797="")*1)&amp;" - "&amp;(ROW()-2)))</f>
        <v/>
      </c>
      <c r="D797" s="141" t="str">
        <f>IF(AND(G797="",H797="",I797=""),"",IF(COUNTIFS(LISTS!$A$2:$A$67,G797,LISTS!$B$2:$B$67,H797,LISTS!$C$2:$C$67,I797)=0,"✗ هرم",IF(NOT(OR(Z797="ممتاز 100%",Z797="جيد 80%",Z797="مقبول 60%",Z797="خطر 40%",Z797="")),"✗ قائمة R",IF(NOT(OR(AA797="ممتاز 100%",AA797="جيد 85%",AA797="مقبول 70%",AA797="ضعيف 50%",AA797="")),"✗ قائمة S",IF(NOT(OR(AB797="مكتمل 100%",AB797="جزئي 60%",AB797="معلق 30%",AB797="مفتوح 0%",AB797="")),"✗ قائمة T",IF(NOT(OR(AC797="لا خصم 0",AC797="تأخير −5",AC797="عجز −10",AC797="جودة −15",AC797="امتثال −20",AC797="مخالفة −25",AC797="")),"✗ قائمة U",IF(AND(X797="لا",AC797&lt;&gt;"",AC797&lt;&gt;"لا خصم 0"),"✗ خصم",IF(AND(X797="نعم",AC797="لا خصم 0"),"✗ خصم",IF(AND(Z797="ممتاز 100%",AA797="ممتاز 100%",AB797&lt;&gt;"",AB797&lt;&gt;"مكتمل 100%"),"✗ إغلاق",IFERROR(IF(LEN(_xlfn.TEXTJOIN("، ",TRUE,IF(E797="","التاريخ",""),IF(F797="","الوقت",""),IF(G797="","المركز",""),IF(H797="","الدائرة",""),IF(I797="","القسم",""),IF(J797="","المسؤول",""),IF(K797="","نوع النشاط",""),IF(L797="","المشروع",""),IF(N797="","الممول",""),IF(V797="","الموضوع",""),IF(W797="","الملاحظة",""),IF(X797="","مشكلة",""),IF(Y797="","الإجراء",""),IF(Z797="","التنفيذ",""),IF(AA797="","الجودة",""),IF(AB797="","الإغلاق",""),IF(AC797="","الخصم",""),IF(AND(COUNTA($O797:$U797)&gt;0,O797=""),"مدير المشروع",""),IF(AND(COUNTA($O797:$U797)&gt;0,P797=""),"المستفيدين",""),IF(AND(COUNTA($O797:$U797)&gt;0,Q797=""),"المناطق",""),IF(AND(COUNTA($O797:$U797)&gt;0,R797=""),"الميزانية",""),IF(AND(COUNTA($O797:$U797)&gt;0,S797=""),"نسبة الجاهزية",""),IF(AND(COUNTA($O797:$U797)&gt;0,T797=""),"حالة الجاهزية",""),IF(AND(COUNTA($O797:$U797)&gt;0,U797=""),"التوصيات","")))&gt;0,"✗ ناقص: "&amp;_xlfn.TEXTJOIN("، ",TRUE,IF(E797="","التاريخ",""),IF(F797="","الوقت",""),IF(G797="","المركز",""),IF(H797="","الدائرة",""),IF(I797="","القسم",""),IF(J797="","المسؤول",""),IF(K797="","نوع النشاط",""),IF(L797="","المشروع",""),IF(N797="","الممول",""),IF(V797="","الموضوع",""),IF(W797="","الملاحظة",""),IF(X797="","مشكلة",""),IF(Y797="","الإجراء",""),IF(Z797="","التنفيذ",""),IF(AA797="","الجودة",""),IF(AB797="","الإغلاق",""),IF(AC797="","الخصم",""),IF(AND(COUNTA($O797:$U797)&gt;0,O797=""),"مدير المشروع",""),IF(AND(COUNTA($O797:$U797)&gt;0,P797=""),"المستفيدين",""),IF(AND(COUNTA($O797:$U797)&gt;0,Q797=""),"المناطق",""),IF(AND(COUNTA($O797:$U797)&gt;0,R797=""),"الميزانية",""),IF(AND(COUNTA($O797:$U797)&gt;0,S797=""),"نسبة الجاهزية",""),IF(AND(COUNTA($O797:$U797)&gt;0,T797=""),"حالة الجاهزية",""),IF(AND(COUNTA($O797:$U797)&gt;0,U797=""),"التوصيات","")),"✓"),"✓"))))))))))</f>
        <v/>
      </c>
      <c r="E797" s="235"/>
      <c r="F797" s="236"/>
      <c r="G797" s="90"/>
      <c r="H797" s="239"/>
      <c r="I797" s="89"/>
      <c r="J797" s="142"/>
      <c r="K797" s="90"/>
      <c r="L797" s="90"/>
      <c r="M797" s="90"/>
      <c r="N797" s="89"/>
      <c r="O797" s="200"/>
      <c r="P797" s="201"/>
      <c r="Q797" s="201"/>
      <c r="R797" s="237"/>
      <c r="S797" s="202"/>
      <c r="T797" s="200"/>
      <c r="U797" s="203"/>
      <c r="V797" s="89"/>
      <c r="W797" s="89"/>
      <c r="X797" s="145"/>
      <c r="Y797" s="89"/>
      <c r="Z797" s="90"/>
      <c r="AA797" s="90"/>
      <c r="AB797" s="90"/>
      <c r="AC797" s="90"/>
      <c r="AD797" s="92"/>
      <c r="AE797" s="149" t="str">
        <f>IFERROR(VLOOKUP(Z797,LISTS!$AL$2:$AM$1000,2,FALSE()),"")</f>
        <v/>
      </c>
      <c r="AF797" s="151" t="str">
        <f>IFERROR(VLOOKUP(AA797,LISTS!$AO$2:$AP$1000,2,FALSE()),"")</f>
        <v/>
      </c>
      <c r="AG797" s="152" t="str">
        <f>IFERROR(VLOOKUP(AB797,LISTS!$AR$2:$AS$1000,2,FALSE()),"")</f>
        <v/>
      </c>
      <c r="AH797" s="154" t="str">
        <f>IFERROR(VLOOKUP(AC797,LISTS!$AU$2:$AV$1000,2,FALSE()),"")</f>
        <v/>
      </c>
      <c r="AI797" s="238" t="str">
        <f t="shared" si="63"/>
        <v>—</v>
      </c>
      <c r="AJ797" s="190" t="str">
        <f t="shared" si="64"/>
        <v>—</v>
      </c>
      <c r="AK797" s="157" t="str">
        <f t="shared" si="60"/>
        <v/>
      </c>
      <c r="AL797" s="160" t="str">
        <f t="shared" si="61"/>
        <v/>
      </c>
      <c r="AM797" s="210"/>
      <c r="AN797" s="209"/>
    </row>
    <row r="798" spans="1:40" ht="27.95" customHeight="1">
      <c r="A798" s="134" t="str">
        <f>IF(I798&lt;&gt;"",COUNTA($I$2:I798),"")</f>
        <v/>
      </c>
      <c r="B798" s="138" t="str">
        <f t="shared" si="62"/>
        <v/>
      </c>
      <c r="C798" s="93" t="str">
        <f t="array" ref="C798">IF(E798="","",IF(M798&lt;&gt;"",
M798&amp;"/"&amp;SUMPRODUCT((M$2:M798=M798)*1)&amp;" - "&amp;(ROW()-2),
"إداري/"&amp;SUMPRODUCT((M$2:M798="")*1)&amp;" - "&amp;(ROW()-2)))</f>
        <v/>
      </c>
      <c r="D798" s="141" t="str">
        <f>IF(AND(G798="",H798="",I798=""),"",IF(COUNTIFS(LISTS!$A$2:$A$67,G798,LISTS!$B$2:$B$67,H798,LISTS!$C$2:$C$67,I798)=0,"✗ هرم",IF(NOT(OR(Z798="ممتاز 100%",Z798="جيد 80%",Z798="مقبول 60%",Z798="خطر 40%",Z798="")),"✗ قائمة R",IF(NOT(OR(AA798="ممتاز 100%",AA798="جيد 85%",AA798="مقبول 70%",AA798="ضعيف 50%",AA798="")),"✗ قائمة S",IF(NOT(OR(AB798="مكتمل 100%",AB798="جزئي 60%",AB798="معلق 30%",AB798="مفتوح 0%",AB798="")),"✗ قائمة T",IF(NOT(OR(AC798="لا خصم 0",AC798="تأخير −5",AC798="عجز −10",AC798="جودة −15",AC798="امتثال −20",AC798="مخالفة −25",AC798="")),"✗ قائمة U",IF(AND(X798="لا",AC798&lt;&gt;"",AC798&lt;&gt;"لا خصم 0"),"✗ خصم",IF(AND(X798="نعم",AC798="لا خصم 0"),"✗ خصم",IF(AND(Z798="ممتاز 100%",AA798="ممتاز 100%",AB798&lt;&gt;"",AB798&lt;&gt;"مكتمل 100%"),"✗ إغلاق",IFERROR(IF(LEN(_xlfn.TEXTJOIN("، ",TRUE,IF(E798="","التاريخ",""),IF(F798="","الوقت",""),IF(G798="","المركز",""),IF(H798="","الدائرة",""),IF(I798="","القسم",""),IF(J798="","المسؤول",""),IF(K798="","نوع النشاط",""),IF(L798="","المشروع",""),IF(N798="","الممول",""),IF(V798="","الموضوع",""),IF(W798="","الملاحظة",""),IF(X798="","مشكلة",""),IF(Y798="","الإجراء",""),IF(Z798="","التنفيذ",""),IF(AA798="","الجودة",""),IF(AB798="","الإغلاق",""),IF(AC798="","الخصم",""),IF(AND(COUNTA($O798:$U798)&gt;0,O798=""),"مدير المشروع",""),IF(AND(COUNTA($O798:$U798)&gt;0,P798=""),"المستفيدين",""),IF(AND(COUNTA($O798:$U798)&gt;0,Q798=""),"المناطق",""),IF(AND(COUNTA($O798:$U798)&gt;0,R798=""),"الميزانية",""),IF(AND(COUNTA($O798:$U798)&gt;0,S798=""),"نسبة الجاهزية",""),IF(AND(COUNTA($O798:$U798)&gt;0,T798=""),"حالة الجاهزية",""),IF(AND(COUNTA($O798:$U798)&gt;0,U798=""),"التوصيات","")))&gt;0,"✗ ناقص: "&amp;_xlfn.TEXTJOIN("، ",TRUE,IF(E798="","التاريخ",""),IF(F798="","الوقت",""),IF(G798="","المركز",""),IF(H798="","الدائرة",""),IF(I798="","القسم",""),IF(J798="","المسؤول",""),IF(K798="","نوع النشاط",""),IF(L798="","المشروع",""),IF(N798="","الممول",""),IF(V798="","الموضوع",""),IF(W798="","الملاحظة",""),IF(X798="","مشكلة",""),IF(Y798="","الإجراء",""),IF(Z798="","التنفيذ",""),IF(AA798="","الجودة",""),IF(AB798="","الإغلاق",""),IF(AC798="","الخصم",""),IF(AND(COUNTA($O798:$U798)&gt;0,O798=""),"مدير المشروع",""),IF(AND(COUNTA($O798:$U798)&gt;0,P798=""),"المستفيدين",""),IF(AND(COUNTA($O798:$U798)&gt;0,Q798=""),"المناطق",""),IF(AND(COUNTA($O798:$U798)&gt;0,R798=""),"الميزانية",""),IF(AND(COUNTA($O798:$U798)&gt;0,S798=""),"نسبة الجاهزية",""),IF(AND(COUNTA($O798:$U798)&gt;0,T798=""),"حالة الجاهزية",""),IF(AND(COUNTA($O798:$U798)&gt;0,U798=""),"التوصيات","")),"✓"),"✓"))))))))))</f>
        <v/>
      </c>
      <c r="E798" s="235"/>
      <c r="F798" s="236"/>
      <c r="G798" s="90"/>
      <c r="H798" s="239"/>
      <c r="I798" s="89"/>
      <c r="J798" s="142"/>
      <c r="K798" s="90"/>
      <c r="L798" s="90"/>
      <c r="M798" s="90"/>
      <c r="N798" s="89"/>
      <c r="O798" s="200"/>
      <c r="P798" s="201"/>
      <c r="Q798" s="201"/>
      <c r="R798" s="237"/>
      <c r="S798" s="202"/>
      <c r="T798" s="200"/>
      <c r="U798" s="203"/>
      <c r="V798" s="89"/>
      <c r="W798" s="89"/>
      <c r="X798" s="145"/>
      <c r="Y798" s="89"/>
      <c r="Z798" s="90"/>
      <c r="AA798" s="90"/>
      <c r="AB798" s="90"/>
      <c r="AC798" s="90"/>
      <c r="AD798" s="92"/>
      <c r="AE798" s="149" t="str">
        <f>IFERROR(VLOOKUP(Z798,LISTS!$AL$2:$AM$1000,2,FALSE()),"")</f>
        <v/>
      </c>
      <c r="AF798" s="151" t="str">
        <f>IFERROR(VLOOKUP(AA798,LISTS!$AO$2:$AP$1000,2,FALSE()),"")</f>
        <v/>
      </c>
      <c r="AG798" s="152" t="str">
        <f>IFERROR(VLOOKUP(AB798,LISTS!$AR$2:$AS$1000,2,FALSE()),"")</f>
        <v/>
      </c>
      <c r="AH798" s="154" t="str">
        <f>IFERROR(VLOOKUP(AC798,LISTS!$AU$2:$AV$1000,2,FALSE()),"")</f>
        <v/>
      </c>
      <c r="AI798" s="238" t="str">
        <f t="shared" si="63"/>
        <v>—</v>
      </c>
      <c r="AJ798" s="190" t="str">
        <f t="shared" si="64"/>
        <v>—</v>
      </c>
      <c r="AK798" s="157" t="str">
        <f t="shared" ref="AK798:AK861" si="65">IF(E798="","",MONTH(E798))</f>
        <v/>
      </c>
      <c r="AL798" s="160" t="str">
        <f t="shared" ref="AL798:AL861" si="66">IF(E798="","",YEAR(E798))</f>
        <v/>
      </c>
      <c r="AM798" s="210"/>
      <c r="AN798" s="209"/>
    </row>
    <row r="799" spans="1:40" ht="27.95" customHeight="1">
      <c r="A799" s="134" t="str">
        <f>IF(I799&lt;&gt;"",COUNTA($I$2:I799),"")</f>
        <v/>
      </c>
      <c r="B799" s="138" t="str">
        <f t="shared" ref="B799:B862" si="67">IF(E799="","",CHOOSE(WEEKDAY(E799,2),"الاثنين","الثلاثاء","الأربعاء","الخميس","الجمعة","السبت","الأحد"))</f>
        <v/>
      </c>
      <c r="C799" s="93" t="str">
        <f t="array" ref="C799">IF(E799="","",IF(M799&lt;&gt;"",
M799&amp;"/"&amp;SUMPRODUCT((M$2:M799=M799)*1)&amp;" - "&amp;(ROW()-2),
"إداري/"&amp;SUMPRODUCT((M$2:M799="")*1)&amp;" - "&amp;(ROW()-2)))</f>
        <v/>
      </c>
      <c r="D799" s="141" t="str">
        <f>IF(AND(G799="",H799="",I799=""),"",IF(COUNTIFS(LISTS!$A$2:$A$67,G799,LISTS!$B$2:$B$67,H799,LISTS!$C$2:$C$67,I799)=0,"✗ هرم",IF(NOT(OR(Z799="ممتاز 100%",Z799="جيد 80%",Z799="مقبول 60%",Z799="خطر 40%",Z799="")),"✗ قائمة R",IF(NOT(OR(AA799="ممتاز 100%",AA799="جيد 85%",AA799="مقبول 70%",AA799="ضعيف 50%",AA799="")),"✗ قائمة S",IF(NOT(OR(AB799="مكتمل 100%",AB799="جزئي 60%",AB799="معلق 30%",AB799="مفتوح 0%",AB799="")),"✗ قائمة T",IF(NOT(OR(AC799="لا خصم 0",AC799="تأخير −5",AC799="عجز −10",AC799="جودة −15",AC799="امتثال −20",AC799="مخالفة −25",AC799="")),"✗ قائمة U",IF(AND(X799="لا",AC799&lt;&gt;"",AC799&lt;&gt;"لا خصم 0"),"✗ خصم",IF(AND(X799="نعم",AC799="لا خصم 0"),"✗ خصم",IF(AND(Z799="ممتاز 100%",AA799="ممتاز 100%",AB799&lt;&gt;"",AB799&lt;&gt;"مكتمل 100%"),"✗ إغلاق",IFERROR(IF(LEN(_xlfn.TEXTJOIN("، ",TRUE,IF(E799="","التاريخ",""),IF(F799="","الوقت",""),IF(G799="","المركز",""),IF(H799="","الدائرة",""),IF(I799="","القسم",""),IF(J799="","المسؤول",""),IF(K799="","نوع النشاط",""),IF(L799="","المشروع",""),IF(N799="","الممول",""),IF(V799="","الموضوع",""),IF(W799="","الملاحظة",""),IF(X799="","مشكلة",""),IF(Y799="","الإجراء",""),IF(Z799="","التنفيذ",""),IF(AA799="","الجودة",""),IF(AB799="","الإغلاق",""),IF(AC799="","الخصم",""),IF(AND(COUNTA($O799:$U799)&gt;0,O799=""),"مدير المشروع",""),IF(AND(COUNTA($O799:$U799)&gt;0,P799=""),"المستفيدين",""),IF(AND(COUNTA($O799:$U799)&gt;0,Q799=""),"المناطق",""),IF(AND(COUNTA($O799:$U799)&gt;0,R799=""),"الميزانية",""),IF(AND(COUNTA($O799:$U799)&gt;0,S799=""),"نسبة الجاهزية",""),IF(AND(COUNTA($O799:$U799)&gt;0,T799=""),"حالة الجاهزية",""),IF(AND(COUNTA($O799:$U799)&gt;0,U799=""),"التوصيات","")))&gt;0,"✗ ناقص: "&amp;_xlfn.TEXTJOIN("، ",TRUE,IF(E799="","التاريخ",""),IF(F799="","الوقت",""),IF(G799="","المركز",""),IF(H799="","الدائرة",""),IF(I799="","القسم",""),IF(J799="","المسؤول",""),IF(K799="","نوع النشاط",""),IF(L799="","المشروع",""),IF(N799="","الممول",""),IF(V799="","الموضوع",""),IF(W799="","الملاحظة",""),IF(X799="","مشكلة",""),IF(Y799="","الإجراء",""),IF(Z799="","التنفيذ",""),IF(AA799="","الجودة",""),IF(AB799="","الإغلاق",""),IF(AC799="","الخصم",""),IF(AND(COUNTA($O799:$U799)&gt;0,O799=""),"مدير المشروع",""),IF(AND(COUNTA($O799:$U799)&gt;0,P799=""),"المستفيدين",""),IF(AND(COUNTA($O799:$U799)&gt;0,Q799=""),"المناطق",""),IF(AND(COUNTA($O799:$U799)&gt;0,R799=""),"الميزانية",""),IF(AND(COUNTA($O799:$U799)&gt;0,S799=""),"نسبة الجاهزية",""),IF(AND(COUNTA($O799:$U799)&gt;0,T799=""),"حالة الجاهزية",""),IF(AND(COUNTA($O799:$U799)&gt;0,U799=""),"التوصيات","")),"✓"),"✓"))))))))))</f>
        <v/>
      </c>
      <c r="E799" s="235"/>
      <c r="F799" s="236"/>
      <c r="G799" s="90"/>
      <c r="H799" s="239"/>
      <c r="I799" s="89"/>
      <c r="J799" s="142"/>
      <c r="K799" s="90"/>
      <c r="L799" s="90"/>
      <c r="M799" s="90"/>
      <c r="N799" s="89"/>
      <c r="O799" s="200"/>
      <c r="P799" s="201"/>
      <c r="Q799" s="201"/>
      <c r="R799" s="237"/>
      <c r="S799" s="202"/>
      <c r="T799" s="200"/>
      <c r="U799" s="203"/>
      <c r="V799" s="89"/>
      <c r="W799" s="89"/>
      <c r="X799" s="145"/>
      <c r="Y799" s="89"/>
      <c r="Z799" s="90"/>
      <c r="AA799" s="90"/>
      <c r="AB799" s="90"/>
      <c r="AC799" s="90"/>
      <c r="AD799" s="92"/>
      <c r="AE799" s="149" t="str">
        <f>IFERROR(VLOOKUP(Z799,LISTS!$AL$2:$AM$1000,2,FALSE()),"")</f>
        <v/>
      </c>
      <c r="AF799" s="151" t="str">
        <f>IFERROR(VLOOKUP(AA799,LISTS!$AO$2:$AP$1000,2,FALSE()),"")</f>
        <v/>
      </c>
      <c r="AG799" s="152" t="str">
        <f>IFERROR(VLOOKUP(AB799,LISTS!$AR$2:$AS$1000,2,FALSE()),"")</f>
        <v/>
      </c>
      <c r="AH799" s="154" t="str">
        <f>IFERROR(VLOOKUP(AC799,LISTS!$AU$2:$AV$1000,2,FALSE()),"")</f>
        <v/>
      </c>
      <c r="AI799" s="238" t="str">
        <f t="shared" si="63"/>
        <v>—</v>
      </c>
      <c r="AJ799" s="190" t="str">
        <f t="shared" si="64"/>
        <v>—</v>
      </c>
      <c r="AK799" s="157" t="str">
        <f t="shared" si="65"/>
        <v/>
      </c>
      <c r="AL799" s="160" t="str">
        <f t="shared" si="66"/>
        <v/>
      </c>
      <c r="AM799" s="210"/>
      <c r="AN799" s="209"/>
    </row>
    <row r="800" spans="1:40" ht="27.95" customHeight="1">
      <c r="A800" s="134" t="str">
        <f>IF(I800&lt;&gt;"",COUNTA($I$2:I800),"")</f>
        <v/>
      </c>
      <c r="B800" s="138" t="str">
        <f t="shared" si="67"/>
        <v/>
      </c>
      <c r="C800" s="93" t="str">
        <f t="array" ref="C800">IF(E800="","",IF(M800&lt;&gt;"",
M800&amp;"/"&amp;SUMPRODUCT((M$2:M800=M800)*1)&amp;" - "&amp;(ROW()-2),
"إداري/"&amp;SUMPRODUCT((M$2:M800="")*1)&amp;" - "&amp;(ROW()-2)))</f>
        <v/>
      </c>
      <c r="D800" s="141" t="str">
        <f>IF(AND(G800="",H800="",I800=""),"",IF(COUNTIFS(LISTS!$A$2:$A$67,G800,LISTS!$B$2:$B$67,H800,LISTS!$C$2:$C$67,I800)=0,"✗ هرم",IF(NOT(OR(Z800="ممتاز 100%",Z800="جيد 80%",Z800="مقبول 60%",Z800="خطر 40%",Z800="")),"✗ قائمة R",IF(NOT(OR(AA800="ممتاز 100%",AA800="جيد 85%",AA800="مقبول 70%",AA800="ضعيف 50%",AA800="")),"✗ قائمة S",IF(NOT(OR(AB800="مكتمل 100%",AB800="جزئي 60%",AB800="معلق 30%",AB800="مفتوح 0%",AB800="")),"✗ قائمة T",IF(NOT(OR(AC800="لا خصم 0",AC800="تأخير −5",AC800="عجز −10",AC800="جودة −15",AC800="امتثال −20",AC800="مخالفة −25",AC800="")),"✗ قائمة U",IF(AND(X800="لا",AC800&lt;&gt;"",AC800&lt;&gt;"لا خصم 0"),"✗ خصم",IF(AND(X800="نعم",AC800="لا خصم 0"),"✗ خصم",IF(AND(Z800="ممتاز 100%",AA800="ممتاز 100%",AB800&lt;&gt;"",AB800&lt;&gt;"مكتمل 100%"),"✗ إغلاق",IFERROR(IF(LEN(_xlfn.TEXTJOIN("، ",TRUE,IF(E800="","التاريخ",""),IF(F800="","الوقت",""),IF(G800="","المركز",""),IF(H800="","الدائرة",""),IF(I800="","القسم",""),IF(J800="","المسؤول",""),IF(K800="","نوع النشاط",""),IF(L800="","المشروع",""),IF(N800="","الممول",""),IF(V800="","الموضوع",""),IF(W800="","الملاحظة",""),IF(X800="","مشكلة",""),IF(Y800="","الإجراء",""),IF(Z800="","التنفيذ",""),IF(AA800="","الجودة",""),IF(AB800="","الإغلاق",""),IF(AC800="","الخصم",""),IF(AND(COUNTA($O800:$U800)&gt;0,O800=""),"مدير المشروع",""),IF(AND(COUNTA($O800:$U800)&gt;0,P800=""),"المستفيدين",""),IF(AND(COUNTA($O800:$U800)&gt;0,Q800=""),"المناطق",""),IF(AND(COUNTA($O800:$U800)&gt;0,R800=""),"الميزانية",""),IF(AND(COUNTA($O800:$U800)&gt;0,S800=""),"نسبة الجاهزية",""),IF(AND(COUNTA($O800:$U800)&gt;0,T800=""),"حالة الجاهزية",""),IF(AND(COUNTA($O800:$U800)&gt;0,U800=""),"التوصيات","")))&gt;0,"✗ ناقص: "&amp;_xlfn.TEXTJOIN("، ",TRUE,IF(E800="","التاريخ",""),IF(F800="","الوقت",""),IF(G800="","المركز",""),IF(H800="","الدائرة",""),IF(I800="","القسم",""),IF(J800="","المسؤول",""),IF(K800="","نوع النشاط",""),IF(L800="","المشروع",""),IF(N800="","الممول",""),IF(V800="","الموضوع",""),IF(W800="","الملاحظة",""),IF(X800="","مشكلة",""),IF(Y800="","الإجراء",""),IF(Z800="","التنفيذ",""),IF(AA800="","الجودة",""),IF(AB800="","الإغلاق",""),IF(AC800="","الخصم",""),IF(AND(COUNTA($O800:$U800)&gt;0,O800=""),"مدير المشروع",""),IF(AND(COUNTA($O800:$U800)&gt;0,P800=""),"المستفيدين",""),IF(AND(COUNTA($O800:$U800)&gt;0,Q800=""),"المناطق",""),IF(AND(COUNTA($O800:$U800)&gt;0,R800=""),"الميزانية",""),IF(AND(COUNTA($O800:$U800)&gt;0,S800=""),"نسبة الجاهزية",""),IF(AND(COUNTA($O800:$U800)&gt;0,T800=""),"حالة الجاهزية",""),IF(AND(COUNTA($O800:$U800)&gt;0,U800=""),"التوصيات","")),"✓"),"✓"))))))))))</f>
        <v/>
      </c>
      <c r="E800" s="235"/>
      <c r="F800" s="236"/>
      <c r="G800" s="90"/>
      <c r="H800" s="239"/>
      <c r="I800" s="89"/>
      <c r="J800" s="142"/>
      <c r="K800" s="90"/>
      <c r="L800" s="90"/>
      <c r="M800" s="90"/>
      <c r="N800" s="89"/>
      <c r="O800" s="200"/>
      <c r="P800" s="201"/>
      <c r="Q800" s="201"/>
      <c r="R800" s="237"/>
      <c r="S800" s="202"/>
      <c r="T800" s="200"/>
      <c r="U800" s="203"/>
      <c r="V800" s="89"/>
      <c r="W800" s="89"/>
      <c r="X800" s="145"/>
      <c r="Y800" s="89"/>
      <c r="Z800" s="90"/>
      <c r="AA800" s="90"/>
      <c r="AB800" s="90"/>
      <c r="AC800" s="90"/>
      <c r="AD800" s="92"/>
      <c r="AE800" s="149" t="str">
        <f>IFERROR(VLOOKUP(Z800,LISTS!$AL$2:$AM$1000,2,FALSE()),"")</f>
        <v/>
      </c>
      <c r="AF800" s="151" t="str">
        <f>IFERROR(VLOOKUP(AA800,LISTS!$AO$2:$AP$1000,2,FALSE()),"")</f>
        <v/>
      </c>
      <c r="AG800" s="152" t="str">
        <f>IFERROR(VLOOKUP(AB800,LISTS!$AR$2:$AS$1000,2,FALSE()),"")</f>
        <v/>
      </c>
      <c r="AH800" s="154" t="str">
        <f>IFERROR(VLOOKUP(AC800,LISTS!$AU$2:$AV$1000,2,FALSE()),"")</f>
        <v/>
      </c>
      <c r="AI800" s="238" t="str">
        <f t="shared" si="63"/>
        <v>—</v>
      </c>
      <c r="AJ800" s="190" t="str">
        <f t="shared" si="64"/>
        <v>—</v>
      </c>
      <c r="AK800" s="157" t="str">
        <f t="shared" si="65"/>
        <v/>
      </c>
      <c r="AL800" s="160" t="str">
        <f t="shared" si="66"/>
        <v/>
      </c>
      <c r="AM800" s="210"/>
      <c r="AN800" s="209"/>
    </row>
    <row r="801" spans="1:40" ht="27.95" customHeight="1">
      <c r="A801" s="134" t="str">
        <f>IF(I801&lt;&gt;"",COUNTA($I$2:I801),"")</f>
        <v/>
      </c>
      <c r="B801" s="138" t="str">
        <f t="shared" si="67"/>
        <v/>
      </c>
      <c r="C801" s="93" t="str">
        <f t="array" ref="C801">IF(E801="","",IF(M801&lt;&gt;"",
M801&amp;"/"&amp;SUMPRODUCT((M$2:M801=M801)*1)&amp;" - "&amp;(ROW()-2),
"إداري/"&amp;SUMPRODUCT((M$2:M801="")*1)&amp;" - "&amp;(ROW()-2)))</f>
        <v/>
      </c>
      <c r="D801" s="141" t="str">
        <f>IF(AND(G801="",H801="",I801=""),"",IF(COUNTIFS(LISTS!$A$2:$A$67,G801,LISTS!$B$2:$B$67,H801,LISTS!$C$2:$C$67,I801)=0,"✗ هرم",IF(NOT(OR(Z801="ممتاز 100%",Z801="جيد 80%",Z801="مقبول 60%",Z801="خطر 40%",Z801="")),"✗ قائمة R",IF(NOT(OR(AA801="ممتاز 100%",AA801="جيد 85%",AA801="مقبول 70%",AA801="ضعيف 50%",AA801="")),"✗ قائمة S",IF(NOT(OR(AB801="مكتمل 100%",AB801="جزئي 60%",AB801="معلق 30%",AB801="مفتوح 0%",AB801="")),"✗ قائمة T",IF(NOT(OR(AC801="لا خصم 0",AC801="تأخير −5",AC801="عجز −10",AC801="جودة −15",AC801="امتثال −20",AC801="مخالفة −25",AC801="")),"✗ قائمة U",IF(AND(X801="لا",AC801&lt;&gt;"",AC801&lt;&gt;"لا خصم 0"),"✗ خصم",IF(AND(X801="نعم",AC801="لا خصم 0"),"✗ خصم",IF(AND(Z801="ممتاز 100%",AA801="ممتاز 100%",AB801&lt;&gt;"",AB801&lt;&gt;"مكتمل 100%"),"✗ إغلاق",IFERROR(IF(LEN(_xlfn.TEXTJOIN("، ",TRUE,IF(E801="","التاريخ",""),IF(F801="","الوقت",""),IF(G801="","المركز",""),IF(H801="","الدائرة",""),IF(I801="","القسم",""),IF(J801="","المسؤول",""),IF(K801="","نوع النشاط",""),IF(L801="","المشروع",""),IF(N801="","الممول",""),IF(V801="","الموضوع",""),IF(W801="","الملاحظة",""),IF(X801="","مشكلة",""),IF(Y801="","الإجراء",""),IF(Z801="","التنفيذ",""),IF(AA801="","الجودة",""),IF(AB801="","الإغلاق",""),IF(AC801="","الخصم",""),IF(AND(COUNTA($O801:$U801)&gt;0,O801=""),"مدير المشروع",""),IF(AND(COUNTA($O801:$U801)&gt;0,P801=""),"المستفيدين",""),IF(AND(COUNTA($O801:$U801)&gt;0,Q801=""),"المناطق",""),IF(AND(COUNTA($O801:$U801)&gt;0,R801=""),"الميزانية",""),IF(AND(COUNTA($O801:$U801)&gt;0,S801=""),"نسبة الجاهزية",""),IF(AND(COUNTA($O801:$U801)&gt;0,T801=""),"حالة الجاهزية",""),IF(AND(COUNTA($O801:$U801)&gt;0,U801=""),"التوصيات","")))&gt;0,"✗ ناقص: "&amp;_xlfn.TEXTJOIN("، ",TRUE,IF(E801="","التاريخ",""),IF(F801="","الوقت",""),IF(G801="","المركز",""),IF(H801="","الدائرة",""),IF(I801="","القسم",""),IF(J801="","المسؤول",""),IF(K801="","نوع النشاط",""),IF(L801="","المشروع",""),IF(N801="","الممول",""),IF(V801="","الموضوع",""),IF(W801="","الملاحظة",""),IF(X801="","مشكلة",""),IF(Y801="","الإجراء",""),IF(Z801="","التنفيذ",""),IF(AA801="","الجودة",""),IF(AB801="","الإغلاق",""),IF(AC801="","الخصم",""),IF(AND(COUNTA($O801:$U801)&gt;0,O801=""),"مدير المشروع",""),IF(AND(COUNTA($O801:$U801)&gt;0,P801=""),"المستفيدين",""),IF(AND(COUNTA($O801:$U801)&gt;0,Q801=""),"المناطق",""),IF(AND(COUNTA($O801:$U801)&gt;0,R801=""),"الميزانية",""),IF(AND(COUNTA($O801:$U801)&gt;0,S801=""),"نسبة الجاهزية",""),IF(AND(COUNTA($O801:$U801)&gt;0,T801=""),"حالة الجاهزية",""),IF(AND(COUNTA($O801:$U801)&gt;0,U801=""),"التوصيات","")),"✓"),"✓"))))))))))</f>
        <v/>
      </c>
      <c r="E801" s="235"/>
      <c r="F801" s="236"/>
      <c r="G801" s="90"/>
      <c r="H801" s="239"/>
      <c r="I801" s="89"/>
      <c r="J801" s="142"/>
      <c r="K801" s="90"/>
      <c r="L801" s="90"/>
      <c r="M801" s="90"/>
      <c r="N801" s="89"/>
      <c r="O801" s="200"/>
      <c r="P801" s="201"/>
      <c r="Q801" s="201"/>
      <c r="R801" s="237"/>
      <c r="S801" s="202"/>
      <c r="T801" s="200"/>
      <c r="U801" s="203"/>
      <c r="V801" s="89"/>
      <c r="W801" s="89"/>
      <c r="X801" s="145"/>
      <c r="Y801" s="89"/>
      <c r="Z801" s="90"/>
      <c r="AA801" s="90"/>
      <c r="AB801" s="90"/>
      <c r="AC801" s="90"/>
      <c r="AD801" s="92"/>
      <c r="AE801" s="149" t="str">
        <f>IFERROR(VLOOKUP(Z801,LISTS!$AL$2:$AM$1000,2,FALSE()),"")</f>
        <v/>
      </c>
      <c r="AF801" s="151" t="str">
        <f>IFERROR(VLOOKUP(AA801,LISTS!$AO$2:$AP$1000,2,FALSE()),"")</f>
        <v/>
      </c>
      <c r="AG801" s="152" t="str">
        <f>IFERROR(VLOOKUP(AB801,LISTS!$AR$2:$AS$1000,2,FALSE()),"")</f>
        <v/>
      </c>
      <c r="AH801" s="154" t="str">
        <f>IFERROR(VLOOKUP(AC801,LISTS!$AU$2:$AV$1000,2,FALSE()),"")</f>
        <v/>
      </c>
      <c r="AI801" s="238" t="str">
        <f t="shared" si="63"/>
        <v>—</v>
      </c>
      <c r="AJ801" s="190" t="str">
        <f t="shared" si="64"/>
        <v>—</v>
      </c>
      <c r="AK801" s="157" t="str">
        <f t="shared" si="65"/>
        <v/>
      </c>
      <c r="AL801" s="160" t="str">
        <f t="shared" si="66"/>
        <v/>
      </c>
      <c r="AM801" s="210"/>
      <c r="AN801" s="209"/>
    </row>
    <row r="802" spans="1:40" ht="27.95" customHeight="1">
      <c r="A802" s="134" t="str">
        <f>IF(I802&lt;&gt;"",COUNTA($I$2:I802),"")</f>
        <v/>
      </c>
      <c r="B802" s="138" t="str">
        <f t="shared" si="67"/>
        <v/>
      </c>
      <c r="C802" s="93" t="str">
        <f t="array" ref="C802">IF(E802="","",IF(M802&lt;&gt;"",
M802&amp;"/"&amp;SUMPRODUCT((M$2:M802=M802)*1)&amp;" - "&amp;(ROW()-2),
"إداري/"&amp;SUMPRODUCT((M$2:M802="")*1)&amp;" - "&amp;(ROW()-2)))</f>
        <v/>
      </c>
      <c r="D802" s="141" t="str">
        <f>IF(AND(G802="",H802="",I802=""),"",IF(COUNTIFS(LISTS!$A$2:$A$67,G802,LISTS!$B$2:$B$67,H802,LISTS!$C$2:$C$67,I802)=0,"✗ هرم",IF(NOT(OR(Z802="ممتاز 100%",Z802="جيد 80%",Z802="مقبول 60%",Z802="خطر 40%",Z802="")),"✗ قائمة R",IF(NOT(OR(AA802="ممتاز 100%",AA802="جيد 85%",AA802="مقبول 70%",AA802="ضعيف 50%",AA802="")),"✗ قائمة S",IF(NOT(OR(AB802="مكتمل 100%",AB802="جزئي 60%",AB802="معلق 30%",AB802="مفتوح 0%",AB802="")),"✗ قائمة T",IF(NOT(OR(AC802="لا خصم 0",AC802="تأخير −5",AC802="عجز −10",AC802="جودة −15",AC802="امتثال −20",AC802="مخالفة −25",AC802="")),"✗ قائمة U",IF(AND(X802="لا",AC802&lt;&gt;"",AC802&lt;&gt;"لا خصم 0"),"✗ خصم",IF(AND(X802="نعم",AC802="لا خصم 0"),"✗ خصم",IF(AND(Z802="ممتاز 100%",AA802="ممتاز 100%",AB802&lt;&gt;"",AB802&lt;&gt;"مكتمل 100%"),"✗ إغلاق",IFERROR(IF(LEN(_xlfn.TEXTJOIN("، ",TRUE,IF(E802="","التاريخ",""),IF(F802="","الوقت",""),IF(G802="","المركز",""),IF(H802="","الدائرة",""),IF(I802="","القسم",""),IF(J802="","المسؤول",""),IF(K802="","نوع النشاط",""),IF(L802="","المشروع",""),IF(N802="","الممول",""),IF(V802="","الموضوع",""),IF(W802="","الملاحظة",""),IF(X802="","مشكلة",""),IF(Y802="","الإجراء",""),IF(Z802="","التنفيذ",""),IF(AA802="","الجودة",""),IF(AB802="","الإغلاق",""),IF(AC802="","الخصم",""),IF(AND(COUNTA($O802:$U802)&gt;0,O802=""),"مدير المشروع",""),IF(AND(COUNTA($O802:$U802)&gt;0,P802=""),"المستفيدين",""),IF(AND(COUNTA($O802:$U802)&gt;0,Q802=""),"المناطق",""),IF(AND(COUNTA($O802:$U802)&gt;0,R802=""),"الميزانية",""),IF(AND(COUNTA($O802:$U802)&gt;0,S802=""),"نسبة الجاهزية",""),IF(AND(COUNTA($O802:$U802)&gt;0,T802=""),"حالة الجاهزية",""),IF(AND(COUNTA($O802:$U802)&gt;0,U802=""),"التوصيات","")))&gt;0,"✗ ناقص: "&amp;_xlfn.TEXTJOIN("، ",TRUE,IF(E802="","التاريخ",""),IF(F802="","الوقت",""),IF(G802="","المركز",""),IF(H802="","الدائرة",""),IF(I802="","القسم",""),IF(J802="","المسؤول",""),IF(K802="","نوع النشاط",""),IF(L802="","المشروع",""),IF(N802="","الممول",""),IF(V802="","الموضوع",""),IF(W802="","الملاحظة",""),IF(X802="","مشكلة",""),IF(Y802="","الإجراء",""),IF(Z802="","التنفيذ",""),IF(AA802="","الجودة",""),IF(AB802="","الإغلاق",""),IF(AC802="","الخصم",""),IF(AND(COUNTA($O802:$U802)&gt;0,O802=""),"مدير المشروع",""),IF(AND(COUNTA($O802:$U802)&gt;0,P802=""),"المستفيدين",""),IF(AND(COUNTA($O802:$U802)&gt;0,Q802=""),"المناطق",""),IF(AND(COUNTA($O802:$U802)&gt;0,R802=""),"الميزانية",""),IF(AND(COUNTA($O802:$U802)&gt;0,S802=""),"نسبة الجاهزية",""),IF(AND(COUNTA($O802:$U802)&gt;0,T802=""),"حالة الجاهزية",""),IF(AND(COUNTA($O802:$U802)&gt;0,U802=""),"التوصيات","")),"✓"),"✓"))))))))))</f>
        <v/>
      </c>
      <c r="E802" s="235"/>
      <c r="F802" s="236"/>
      <c r="G802" s="90"/>
      <c r="H802" s="239"/>
      <c r="I802" s="89"/>
      <c r="J802" s="142"/>
      <c r="K802" s="90"/>
      <c r="L802" s="90"/>
      <c r="M802" s="90"/>
      <c r="N802" s="89"/>
      <c r="O802" s="200"/>
      <c r="P802" s="201"/>
      <c r="Q802" s="201"/>
      <c r="R802" s="237"/>
      <c r="S802" s="202"/>
      <c r="T802" s="200"/>
      <c r="U802" s="203"/>
      <c r="V802" s="89"/>
      <c r="W802" s="89"/>
      <c r="X802" s="145"/>
      <c r="Y802" s="89"/>
      <c r="Z802" s="90"/>
      <c r="AA802" s="90"/>
      <c r="AB802" s="90"/>
      <c r="AC802" s="90"/>
      <c r="AD802" s="92"/>
      <c r="AE802" s="149" t="str">
        <f>IFERROR(VLOOKUP(Z802,LISTS!$AL$2:$AM$1000,2,FALSE()),"")</f>
        <v/>
      </c>
      <c r="AF802" s="151" t="str">
        <f>IFERROR(VLOOKUP(AA802,LISTS!$AO$2:$AP$1000,2,FALSE()),"")</f>
        <v/>
      </c>
      <c r="AG802" s="152" t="str">
        <f>IFERROR(VLOOKUP(AB802,LISTS!$AR$2:$AS$1000,2,FALSE()),"")</f>
        <v/>
      </c>
      <c r="AH802" s="154" t="str">
        <f>IFERROR(VLOOKUP(AC802,LISTS!$AU$2:$AV$1000,2,FALSE()),"")</f>
        <v/>
      </c>
      <c r="AI802" s="238" t="str">
        <f t="shared" si="63"/>
        <v>—</v>
      </c>
      <c r="AJ802" s="190" t="str">
        <f t="shared" si="64"/>
        <v>—</v>
      </c>
      <c r="AK802" s="157" t="str">
        <f t="shared" si="65"/>
        <v/>
      </c>
      <c r="AL802" s="160" t="str">
        <f t="shared" si="66"/>
        <v/>
      </c>
      <c r="AM802" s="210"/>
      <c r="AN802" s="209"/>
    </row>
    <row r="803" spans="1:40" ht="27.95" customHeight="1">
      <c r="A803" s="134" t="str">
        <f>IF(I803&lt;&gt;"",COUNTA($I$2:I803),"")</f>
        <v/>
      </c>
      <c r="B803" s="138" t="str">
        <f t="shared" si="67"/>
        <v/>
      </c>
      <c r="C803" s="93" t="str">
        <f t="array" ref="C803">IF(E803="","",IF(M803&lt;&gt;"",
M803&amp;"/"&amp;SUMPRODUCT((M$2:M803=M803)*1)&amp;" - "&amp;(ROW()-2),
"إداري/"&amp;SUMPRODUCT((M$2:M803="")*1)&amp;" - "&amp;(ROW()-2)))</f>
        <v/>
      </c>
      <c r="D803" s="141" t="str">
        <f>IF(AND(G803="",H803="",I803=""),"",IF(COUNTIFS(LISTS!$A$2:$A$67,G803,LISTS!$B$2:$B$67,H803,LISTS!$C$2:$C$67,I803)=0,"✗ هرم",IF(NOT(OR(Z803="ممتاز 100%",Z803="جيد 80%",Z803="مقبول 60%",Z803="خطر 40%",Z803="")),"✗ قائمة R",IF(NOT(OR(AA803="ممتاز 100%",AA803="جيد 85%",AA803="مقبول 70%",AA803="ضعيف 50%",AA803="")),"✗ قائمة S",IF(NOT(OR(AB803="مكتمل 100%",AB803="جزئي 60%",AB803="معلق 30%",AB803="مفتوح 0%",AB803="")),"✗ قائمة T",IF(NOT(OR(AC803="لا خصم 0",AC803="تأخير −5",AC803="عجز −10",AC803="جودة −15",AC803="امتثال −20",AC803="مخالفة −25",AC803="")),"✗ قائمة U",IF(AND(X803="لا",AC803&lt;&gt;"",AC803&lt;&gt;"لا خصم 0"),"✗ خصم",IF(AND(X803="نعم",AC803="لا خصم 0"),"✗ خصم",IF(AND(Z803="ممتاز 100%",AA803="ممتاز 100%",AB803&lt;&gt;"",AB803&lt;&gt;"مكتمل 100%"),"✗ إغلاق",IFERROR(IF(LEN(_xlfn.TEXTJOIN("، ",TRUE,IF(E803="","التاريخ",""),IF(F803="","الوقت",""),IF(G803="","المركز",""),IF(H803="","الدائرة",""),IF(I803="","القسم",""),IF(J803="","المسؤول",""),IF(K803="","نوع النشاط",""),IF(L803="","المشروع",""),IF(N803="","الممول",""),IF(V803="","الموضوع",""),IF(W803="","الملاحظة",""),IF(X803="","مشكلة",""),IF(Y803="","الإجراء",""),IF(Z803="","التنفيذ",""),IF(AA803="","الجودة",""),IF(AB803="","الإغلاق",""),IF(AC803="","الخصم",""),IF(AND(COUNTA($O803:$U803)&gt;0,O803=""),"مدير المشروع",""),IF(AND(COUNTA($O803:$U803)&gt;0,P803=""),"المستفيدين",""),IF(AND(COUNTA($O803:$U803)&gt;0,Q803=""),"المناطق",""),IF(AND(COUNTA($O803:$U803)&gt;0,R803=""),"الميزانية",""),IF(AND(COUNTA($O803:$U803)&gt;0,S803=""),"نسبة الجاهزية",""),IF(AND(COUNTA($O803:$U803)&gt;0,T803=""),"حالة الجاهزية",""),IF(AND(COUNTA($O803:$U803)&gt;0,U803=""),"التوصيات","")))&gt;0,"✗ ناقص: "&amp;_xlfn.TEXTJOIN("، ",TRUE,IF(E803="","التاريخ",""),IF(F803="","الوقت",""),IF(G803="","المركز",""),IF(H803="","الدائرة",""),IF(I803="","القسم",""),IF(J803="","المسؤول",""),IF(K803="","نوع النشاط",""),IF(L803="","المشروع",""),IF(N803="","الممول",""),IF(V803="","الموضوع",""),IF(W803="","الملاحظة",""),IF(X803="","مشكلة",""),IF(Y803="","الإجراء",""),IF(Z803="","التنفيذ",""),IF(AA803="","الجودة",""),IF(AB803="","الإغلاق",""),IF(AC803="","الخصم",""),IF(AND(COUNTA($O803:$U803)&gt;0,O803=""),"مدير المشروع",""),IF(AND(COUNTA($O803:$U803)&gt;0,P803=""),"المستفيدين",""),IF(AND(COUNTA($O803:$U803)&gt;0,Q803=""),"المناطق",""),IF(AND(COUNTA($O803:$U803)&gt;0,R803=""),"الميزانية",""),IF(AND(COUNTA($O803:$U803)&gt;0,S803=""),"نسبة الجاهزية",""),IF(AND(COUNTA($O803:$U803)&gt;0,T803=""),"حالة الجاهزية",""),IF(AND(COUNTA($O803:$U803)&gt;0,U803=""),"التوصيات","")),"✓"),"✓"))))))))))</f>
        <v/>
      </c>
      <c r="E803" s="235"/>
      <c r="F803" s="236"/>
      <c r="G803" s="90"/>
      <c r="H803" s="239"/>
      <c r="I803" s="89"/>
      <c r="J803" s="142"/>
      <c r="K803" s="90"/>
      <c r="L803" s="90"/>
      <c r="M803" s="90"/>
      <c r="N803" s="89"/>
      <c r="O803" s="200"/>
      <c r="P803" s="201"/>
      <c r="Q803" s="201"/>
      <c r="R803" s="237"/>
      <c r="S803" s="202"/>
      <c r="T803" s="200"/>
      <c r="U803" s="203"/>
      <c r="V803" s="89"/>
      <c r="W803" s="89"/>
      <c r="X803" s="145"/>
      <c r="Y803" s="89"/>
      <c r="Z803" s="90"/>
      <c r="AA803" s="90"/>
      <c r="AB803" s="90"/>
      <c r="AC803" s="90"/>
      <c r="AD803" s="92"/>
      <c r="AE803" s="149" t="str">
        <f>IFERROR(VLOOKUP(Z803,LISTS!$AL$2:$AM$1000,2,FALSE()),"")</f>
        <v/>
      </c>
      <c r="AF803" s="151" t="str">
        <f>IFERROR(VLOOKUP(AA803,LISTS!$AO$2:$AP$1000,2,FALSE()),"")</f>
        <v/>
      </c>
      <c r="AG803" s="152" t="str">
        <f>IFERROR(VLOOKUP(AB803,LISTS!$AR$2:$AS$1000,2,FALSE()),"")</f>
        <v/>
      </c>
      <c r="AH803" s="154" t="str">
        <f>IFERROR(VLOOKUP(AC803,LISTS!$AU$2:$AV$1000,2,FALSE()),"")</f>
        <v/>
      </c>
      <c r="AI803" s="238" t="str">
        <f t="shared" si="63"/>
        <v>—</v>
      </c>
      <c r="AJ803" s="190" t="str">
        <f t="shared" si="64"/>
        <v>—</v>
      </c>
      <c r="AK803" s="157" t="str">
        <f t="shared" si="65"/>
        <v/>
      </c>
      <c r="AL803" s="160" t="str">
        <f t="shared" si="66"/>
        <v/>
      </c>
      <c r="AM803" s="210"/>
      <c r="AN803" s="209"/>
    </row>
    <row r="804" spans="1:40" ht="27.95" customHeight="1">
      <c r="A804" s="134" t="str">
        <f>IF(I804&lt;&gt;"",COUNTA($I$2:I804),"")</f>
        <v/>
      </c>
      <c r="B804" s="138" t="str">
        <f t="shared" si="67"/>
        <v/>
      </c>
      <c r="C804" s="93" t="str">
        <f t="array" ref="C804">IF(E804="","",IF(M804&lt;&gt;"",
M804&amp;"/"&amp;SUMPRODUCT((M$2:M804=M804)*1)&amp;" - "&amp;(ROW()-2),
"إداري/"&amp;SUMPRODUCT((M$2:M804="")*1)&amp;" - "&amp;(ROW()-2)))</f>
        <v/>
      </c>
      <c r="D804" s="141" t="str">
        <f>IF(AND(G804="",H804="",I804=""),"",IF(COUNTIFS(LISTS!$A$2:$A$67,G804,LISTS!$B$2:$B$67,H804,LISTS!$C$2:$C$67,I804)=0,"✗ هرم",IF(NOT(OR(Z804="ممتاز 100%",Z804="جيد 80%",Z804="مقبول 60%",Z804="خطر 40%",Z804="")),"✗ قائمة R",IF(NOT(OR(AA804="ممتاز 100%",AA804="جيد 85%",AA804="مقبول 70%",AA804="ضعيف 50%",AA804="")),"✗ قائمة S",IF(NOT(OR(AB804="مكتمل 100%",AB804="جزئي 60%",AB804="معلق 30%",AB804="مفتوح 0%",AB804="")),"✗ قائمة T",IF(NOT(OR(AC804="لا خصم 0",AC804="تأخير −5",AC804="عجز −10",AC804="جودة −15",AC804="امتثال −20",AC804="مخالفة −25",AC804="")),"✗ قائمة U",IF(AND(X804="لا",AC804&lt;&gt;"",AC804&lt;&gt;"لا خصم 0"),"✗ خصم",IF(AND(X804="نعم",AC804="لا خصم 0"),"✗ خصم",IF(AND(Z804="ممتاز 100%",AA804="ممتاز 100%",AB804&lt;&gt;"",AB804&lt;&gt;"مكتمل 100%"),"✗ إغلاق",IFERROR(IF(LEN(_xlfn.TEXTJOIN("، ",TRUE,IF(E804="","التاريخ",""),IF(F804="","الوقت",""),IF(G804="","المركز",""),IF(H804="","الدائرة",""),IF(I804="","القسم",""),IF(J804="","المسؤول",""),IF(K804="","نوع النشاط",""),IF(L804="","المشروع",""),IF(N804="","الممول",""),IF(V804="","الموضوع",""),IF(W804="","الملاحظة",""),IF(X804="","مشكلة",""),IF(Y804="","الإجراء",""),IF(Z804="","التنفيذ",""),IF(AA804="","الجودة",""),IF(AB804="","الإغلاق",""),IF(AC804="","الخصم",""),IF(AND(COUNTA($O804:$U804)&gt;0,O804=""),"مدير المشروع",""),IF(AND(COUNTA($O804:$U804)&gt;0,P804=""),"المستفيدين",""),IF(AND(COUNTA($O804:$U804)&gt;0,Q804=""),"المناطق",""),IF(AND(COUNTA($O804:$U804)&gt;0,R804=""),"الميزانية",""),IF(AND(COUNTA($O804:$U804)&gt;0,S804=""),"نسبة الجاهزية",""),IF(AND(COUNTA($O804:$U804)&gt;0,T804=""),"حالة الجاهزية",""),IF(AND(COUNTA($O804:$U804)&gt;0,U804=""),"التوصيات","")))&gt;0,"✗ ناقص: "&amp;_xlfn.TEXTJOIN("، ",TRUE,IF(E804="","التاريخ",""),IF(F804="","الوقت",""),IF(G804="","المركز",""),IF(H804="","الدائرة",""),IF(I804="","القسم",""),IF(J804="","المسؤول",""),IF(K804="","نوع النشاط",""),IF(L804="","المشروع",""),IF(N804="","الممول",""),IF(V804="","الموضوع",""),IF(W804="","الملاحظة",""),IF(X804="","مشكلة",""),IF(Y804="","الإجراء",""),IF(Z804="","التنفيذ",""),IF(AA804="","الجودة",""),IF(AB804="","الإغلاق",""),IF(AC804="","الخصم",""),IF(AND(COUNTA($O804:$U804)&gt;0,O804=""),"مدير المشروع",""),IF(AND(COUNTA($O804:$U804)&gt;0,P804=""),"المستفيدين",""),IF(AND(COUNTA($O804:$U804)&gt;0,Q804=""),"المناطق",""),IF(AND(COUNTA($O804:$U804)&gt;0,R804=""),"الميزانية",""),IF(AND(COUNTA($O804:$U804)&gt;0,S804=""),"نسبة الجاهزية",""),IF(AND(COUNTA($O804:$U804)&gt;0,T804=""),"حالة الجاهزية",""),IF(AND(COUNTA($O804:$U804)&gt;0,U804=""),"التوصيات","")),"✓"),"✓"))))))))))</f>
        <v/>
      </c>
      <c r="E804" s="235"/>
      <c r="F804" s="236"/>
      <c r="G804" s="90"/>
      <c r="H804" s="239"/>
      <c r="I804" s="89"/>
      <c r="J804" s="142"/>
      <c r="K804" s="90"/>
      <c r="L804" s="90"/>
      <c r="M804" s="90"/>
      <c r="N804" s="89"/>
      <c r="O804" s="200"/>
      <c r="P804" s="201"/>
      <c r="Q804" s="201"/>
      <c r="R804" s="237"/>
      <c r="S804" s="202"/>
      <c r="T804" s="200"/>
      <c r="U804" s="203"/>
      <c r="V804" s="89"/>
      <c r="W804" s="89"/>
      <c r="X804" s="145"/>
      <c r="Y804" s="89"/>
      <c r="Z804" s="90"/>
      <c r="AA804" s="90"/>
      <c r="AB804" s="90"/>
      <c r="AC804" s="90"/>
      <c r="AD804" s="92"/>
      <c r="AE804" s="149" t="str">
        <f>IFERROR(VLOOKUP(Z804,LISTS!$AL$2:$AM$1000,2,FALSE()),"")</f>
        <v/>
      </c>
      <c r="AF804" s="151" t="str">
        <f>IFERROR(VLOOKUP(AA804,LISTS!$AO$2:$AP$1000,2,FALSE()),"")</f>
        <v/>
      </c>
      <c r="AG804" s="152" t="str">
        <f>IFERROR(VLOOKUP(AB804,LISTS!$AR$2:$AS$1000,2,FALSE()),"")</f>
        <v/>
      </c>
      <c r="AH804" s="154" t="str">
        <f>IFERROR(VLOOKUP(AC804,LISTS!$AU$2:$AV$1000,2,FALSE()),"")</f>
        <v/>
      </c>
      <c r="AI804" s="238" t="str">
        <f t="shared" si="63"/>
        <v>—</v>
      </c>
      <c r="AJ804" s="190" t="str">
        <f t="shared" si="64"/>
        <v>—</v>
      </c>
      <c r="AK804" s="157" t="str">
        <f t="shared" si="65"/>
        <v/>
      </c>
      <c r="AL804" s="160" t="str">
        <f t="shared" si="66"/>
        <v/>
      </c>
      <c r="AM804" s="210"/>
      <c r="AN804" s="209"/>
    </row>
    <row r="805" spans="1:40" ht="27.95" customHeight="1">
      <c r="A805" s="134" t="str">
        <f>IF(I805&lt;&gt;"",COUNTA($I$2:I805),"")</f>
        <v/>
      </c>
      <c r="B805" s="138" t="str">
        <f t="shared" si="67"/>
        <v/>
      </c>
      <c r="C805" s="93" t="str">
        <f t="array" ref="C805">IF(E805="","",IF(M805&lt;&gt;"",
M805&amp;"/"&amp;SUMPRODUCT((M$2:M805=M805)*1)&amp;" - "&amp;(ROW()-2),
"إداري/"&amp;SUMPRODUCT((M$2:M805="")*1)&amp;" - "&amp;(ROW()-2)))</f>
        <v/>
      </c>
      <c r="D805" s="141" t="str">
        <f>IF(AND(G805="",H805="",I805=""),"",IF(COUNTIFS(LISTS!$A$2:$A$67,G805,LISTS!$B$2:$B$67,H805,LISTS!$C$2:$C$67,I805)=0,"✗ هرم",IF(NOT(OR(Z805="ممتاز 100%",Z805="جيد 80%",Z805="مقبول 60%",Z805="خطر 40%",Z805="")),"✗ قائمة R",IF(NOT(OR(AA805="ممتاز 100%",AA805="جيد 85%",AA805="مقبول 70%",AA805="ضعيف 50%",AA805="")),"✗ قائمة S",IF(NOT(OR(AB805="مكتمل 100%",AB805="جزئي 60%",AB805="معلق 30%",AB805="مفتوح 0%",AB805="")),"✗ قائمة T",IF(NOT(OR(AC805="لا خصم 0",AC805="تأخير −5",AC805="عجز −10",AC805="جودة −15",AC805="امتثال −20",AC805="مخالفة −25",AC805="")),"✗ قائمة U",IF(AND(X805="لا",AC805&lt;&gt;"",AC805&lt;&gt;"لا خصم 0"),"✗ خصم",IF(AND(X805="نعم",AC805="لا خصم 0"),"✗ خصم",IF(AND(Z805="ممتاز 100%",AA805="ممتاز 100%",AB805&lt;&gt;"",AB805&lt;&gt;"مكتمل 100%"),"✗ إغلاق",IFERROR(IF(LEN(_xlfn.TEXTJOIN("، ",TRUE,IF(E805="","التاريخ",""),IF(F805="","الوقت",""),IF(G805="","المركز",""),IF(H805="","الدائرة",""),IF(I805="","القسم",""),IF(J805="","المسؤول",""),IF(K805="","نوع النشاط",""),IF(L805="","المشروع",""),IF(N805="","الممول",""),IF(V805="","الموضوع",""),IF(W805="","الملاحظة",""),IF(X805="","مشكلة",""),IF(Y805="","الإجراء",""),IF(Z805="","التنفيذ",""),IF(AA805="","الجودة",""),IF(AB805="","الإغلاق",""),IF(AC805="","الخصم",""),IF(AND(COUNTA($O805:$U805)&gt;0,O805=""),"مدير المشروع",""),IF(AND(COUNTA($O805:$U805)&gt;0,P805=""),"المستفيدين",""),IF(AND(COUNTA($O805:$U805)&gt;0,Q805=""),"المناطق",""),IF(AND(COUNTA($O805:$U805)&gt;0,R805=""),"الميزانية",""),IF(AND(COUNTA($O805:$U805)&gt;0,S805=""),"نسبة الجاهزية",""),IF(AND(COUNTA($O805:$U805)&gt;0,T805=""),"حالة الجاهزية",""),IF(AND(COUNTA($O805:$U805)&gt;0,U805=""),"التوصيات","")))&gt;0,"✗ ناقص: "&amp;_xlfn.TEXTJOIN("، ",TRUE,IF(E805="","التاريخ",""),IF(F805="","الوقت",""),IF(G805="","المركز",""),IF(H805="","الدائرة",""),IF(I805="","القسم",""),IF(J805="","المسؤول",""),IF(K805="","نوع النشاط",""),IF(L805="","المشروع",""),IF(N805="","الممول",""),IF(V805="","الموضوع",""),IF(W805="","الملاحظة",""),IF(X805="","مشكلة",""),IF(Y805="","الإجراء",""),IF(Z805="","التنفيذ",""),IF(AA805="","الجودة",""),IF(AB805="","الإغلاق",""),IF(AC805="","الخصم",""),IF(AND(COUNTA($O805:$U805)&gt;0,O805=""),"مدير المشروع",""),IF(AND(COUNTA($O805:$U805)&gt;0,P805=""),"المستفيدين",""),IF(AND(COUNTA($O805:$U805)&gt;0,Q805=""),"المناطق",""),IF(AND(COUNTA($O805:$U805)&gt;0,R805=""),"الميزانية",""),IF(AND(COUNTA($O805:$U805)&gt;0,S805=""),"نسبة الجاهزية",""),IF(AND(COUNTA($O805:$U805)&gt;0,T805=""),"حالة الجاهزية",""),IF(AND(COUNTA($O805:$U805)&gt;0,U805=""),"التوصيات","")),"✓"),"✓"))))))))))</f>
        <v/>
      </c>
      <c r="E805" s="235"/>
      <c r="F805" s="236"/>
      <c r="G805" s="90"/>
      <c r="H805" s="239"/>
      <c r="I805" s="89"/>
      <c r="J805" s="142"/>
      <c r="K805" s="90"/>
      <c r="L805" s="90"/>
      <c r="M805" s="90"/>
      <c r="N805" s="89"/>
      <c r="O805" s="200"/>
      <c r="P805" s="201"/>
      <c r="Q805" s="201"/>
      <c r="R805" s="237"/>
      <c r="S805" s="202"/>
      <c r="T805" s="200"/>
      <c r="U805" s="203"/>
      <c r="V805" s="89"/>
      <c r="W805" s="89"/>
      <c r="X805" s="145"/>
      <c r="Y805" s="89"/>
      <c r="Z805" s="90"/>
      <c r="AA805" s="90"/>
      <c r="AB805" s="90"/>
      <c r="AC805" s="90"/>
      <c r="AD805" s="92"/>
      <c r="AE805" s="149" t="str">
        <f>IFERROR(VLOOKUP(Z805,LISTS!$AL$2:$AM$1000,2,FALSE()),"")</f>
        <v/>
      </c>
      <c r="AF805" s="151" t="str">
        <f>IFERROR(VLOOKUP(AA805,LISTS!$AO$2:$AP$1000,2,FALSE()),"")</f>
        <v/>
      </c>
      <c r="AG805" s="152" t="str">
        <f>IFERROR(VLOOKUP(AB805,LISTS!$AR$2:$AS$1000,2,FALSE()),"")</f>
        <v/>
      </c>
      <c r="AH805" s="154" t="str">
        <f>IFERROR(VLOOKUP(AC805,LISTS!$AU$2:$AV$1000,2,FALSE()),"")</f>
        <v/>
      </c>
      <c r="AI805" s="238" t="str">
        <f t="shared" si="63"/>
        <v>—</v>
      </c>
      <c r="AJ805" s="190" t="str">
        <f t="shared" si="64"/>
        <v>—</v>
      </c>
      <c r="AK805" s="157" t="str">
        <f t="shared" si="65"/>
        <v/>
      </c>
      <c r="AL805" s="160" t="str">
        <f t="shared" si="66"/>
        <v/>
      </c>
      <c r="AM805" s="210"/>
      <c r="AN805" s="209"/>
    </row>
    <row r="806" spans="1:40" ht="27.95" customHeight="1">
      <c r="A806" s="134" t="str">
        <f>IF(I806&lt;&gt;"",COUNTA($I$2:I806),"")</f>
        <v/>
      </c>
      <c r="B806" s="138" t="str">
        <f t="shared" si="67"/>
        <v/>
      </c>
      <c r="C806" s="93" t="str">
        <f t="array" ref="C806">IF(E806="","",IF(M806&lt;&gt;"",
M806&amp;"/"&amp;SUMPRODUCT((M$2:M806=M806)*1)&amp;" - "&amp;(ROW()-2),
"إداري/"&amp;SUMPRODUCT((M$2:M806="")*1)&amp;" - "&amp;(ROW()-2)))</f>
        <v/>
      </c>
      <c r="D806" s="141" t="str">
        <f>IF(AND(G806="",H806="",I806=""),"",IF(COUNTIFS(LISTS!$A$2:$A$67,G806,LISTS!$B$2:$B$67,H806,LISTS!$C$2:$C$67,I806)=0,"✗ هرم",IF(NOT(OR(Z806="ممتاز 100%",Z806="جيد 80%",Z806="مقبول 60%",Z806="خطر 40%",Z806="")),"✗ قائمة R",IF(NOT(OR(AA806="ممتاز 100%",AA806="جيد 85%",AA806="مقبول 70%",AA806="ضعيف 50%",AA806="")),"✗ قائمة S",IF(NOT(OR(AB806="مكتمل 100%",AB806="جزئي 60%",AB806="معلق 30%",AB806="مفتوح 0%",AB806="")),"✗ قائمة T",IF(NOT(OR(AC806="لا خصم 0",AC806="تأخير −5",AC806="عجز −10",AC806="جودة −15",AC806="امتثال −20",AC806="مخالفة −25",AC806="")),"✗ قائمة U",IF(AND(X806="لا",AC806&lt;&gt;"",AC806&lt;&gt;"لا خصم 0"),"✗ خصم",IF(AND(X806="نعم",AC806="لا خصم 0"),"✗ خصم",IF(AND(Z806="ممتاز 100%",AA806="ممتاز 100%",AB806&lt;&gt;"",AB806&lt;&gt;"مكتمل 100%"),"✗ إغلاق",IFERROR(IF(LEN(_xlfn.TEXTJOIN("، ",TRUE,IF(E806="","التاريخ",""),IF(F806="","الوقت",""),IF(G806="","المركز",""),IF(H806="","الدائرة",""),IF(I806="","القسم",""),IF(J806="","المسؤول",""),IF(K806="","نوع النشاط",""),IF(L806="","المشروع",""),IF(N806="","الممول",""),IF(V806="","الموضوع",""),IF(W806="","الملاحظة",""),IF(X806="","مشكلة",""),IF(Y806="","الإجراء",""),IF(Z806="","التنفيذ",""),IF(AA806="","الجودة",""),IF(AB806="","الإغلاق",""),IF(AC806="","الخصم",""),IF(AND(COUNTA($O806:$U806)&gt;0,O806=""),"مدير المشروع",""),IF(AND(COUNTA($O806:$U806)&gt;0,P806=""),"المستفيدين",""),IF(AND(COUNTA($O806:$U806)&gt;0,Q806=""),"المناطق",""),IF(AND(COUNTA($O806:$U806)&gt;0,R806=""),"الميزانية",""),IF(AND(COUNTA($O806:$U806)&gt;0,S806=""),"نسبة الجاهزية",""),IF(AND(COUNTA($O806:$U806)&gt;0,T806=""),"حالة الجاهزية",""),IF(AND(COUNTA($O806:$U806)&gt;0,U806=""),"التوصيات","")))&gt;0,"✗ ناقص: "&amp;_xlfn.TEXTJOIN("، ",TRUE,IF(E806="","التاريخ",""),IF(F806="","الوقت",""),IF(G806="","المركز",""),IF(H806="","الدائرة",""),IF(I806="","القسم",""),IF(J806="","المسؤول",""),IF(K806="","نوع النشاط",""),IF(L806="","المشروع",""),IF(N806="","الممول",""),IF(V806="","الموضوع",""),IF(W806="","الملاحظة",""),IF(X806="","مشكلة",""),IF(Y806="","الإجراء",""),IF(Z806="","التنفيذ",""),IF(AA806="","الجودة",""),IF(AB806="","الإغلاق",""),IF(AC806="","الخصم",""),IF(AND(COUNTA($O806:$U806)&gt;0,O806=""),"مدير المشروع",""),IF(AND(COUNTA($O806:$U806)&gt;0,P806=""),"المستفيدين",""),IF(AND(COUNTA($O806:$U806)&gt;0,Q806=""),"المناطق",""),IF(AND(COUNTA($O806:$U806)&gt;0,R806=""),"الميزانية",""),IF(AND(COUNTA($O806:$U806)&gt;0,S806=""),"نسبة الجاهزية",""),IF(AND(COUNTA($O806:$U806)&gt;0,T806=""),"حالة الجاهزية",""),IF(AND(COUNTA($O806:$U806)&gt;0,U806=""),"التوصيات","")),"✓"),"✓"))))))))))</f>
        <v/>
      </c>
      <c r="E806" s="235"/>
      <c r="F806" s="236"/>
      <c r="G806" s="90"/>
      <c r="H806" s="239"/>
      <c r="I806" s="89"/>
      <c r="J806" s="142"/>
      <c r="K806" s="90"/>
      <c r="L806" s="90"/>
      <c r="M806" s="90"/>
      <c r="N806" s="89"/>
      <c r="O806" s="200"/>
      <c r="P806" s="201"/>
      <c r="Q806" s="201"/>
      <c r="R806" s="237"/>
      <c r="S806" s="202"/>
      <c r="T806" s="200"/>
      <c r="U806" s="203"/>
      <c r="V806" s="89"/>
      <c r="W806" s="89"/>
      <c r="X806" s="145"/>
      <c r="Y806" s="89"/>
      <c r="Z806" s="90"/>
      <c r="AA806" s="90"/>
      <c r="AB806" s="90"/>
      <c r="AC806" s="90"/>
      <c r="AD806" s="92"/>
      <c r="AE806" s="149" t="str">
        <f>IFERROR(VLOOKUP(Z806,LISTS!$AL$2:$AM$1000,2,FALSE()),"")</f>
        <v/>
      </c>
      <c r="AF806" s="151" t="str">
        <f>IFERROR(VLOOKUP(AA806,LISTS!$AO$2:$AP$1000,2,FALSE()),"")</f>
        <v/>
      </c>
      <c r="AG806" s="152" t="str">
        <f>IFERROR(VLOOKUP(AB806,LISTS!$AR$2:$AS$1000,2,FALSE()),"")</f>
        <v/>
      </c>
      <c r="AH806" s="154" t="str">
        <f>IFERROR(VLOOKUP(AC806,LISTS!$AU$2:$AV$1000,2,FALSE()),"")</f>
        <v/>
      </c>
      <c r="AI806" s="238" t="str">
        <f t="shared" si="63"/>
        <v>—</v>
      </c>
      <c r="AJ806" s="190" t="str">
        <f t="shared" si="64"/>
        <v>—</v>
      </c>
      <c r="AK806" s="157" t="str">
        <f t="shared" si="65"/>
        <v/>
      </c>
      <c r="AL806" s="160" t="str">
        <f t="shared" si="66"/>
        <v/>
      </c>
      <c r="AM806" s="210"/>
      <c r="AN806" s="209"/>
    </row>
    <row r="807" spans="1:40" ht="27.95" customHeight="1">
      <c r="A807" s="134" t="str">
        <f>IF(I807&lt;&gt;"",COUNTA($I$2:I807),"")</f>
        <v/>
      </c>
      <c r="B807" s="138" t="str">
        <f t="shared" si="67"/>
        <v/>
      </c>
      <c r="C807" s="93" t="str">
        <f t="array" ref="C807">IF(E807="","",IF(M807&lt;&gt;"",
M807&amp;"/"&amp;SUMPRODUCT((M$2:M807=M807)*1)&amp;" - "&amp;(ROW()-2),
"إداري/"&amp;SUMPRODUCT((M$2:M807="")*1)&amp;" - "&amp;(ROW()-2)))</f>
        <v/>
      </c>
      <c r="D807" s="141" t="str">
        <f>IF(AND(G807="",H807="",I807=""),"",IF(COUNTIFS(LISTS!$A$2:$A$67,G807,LISTS!$B$2:$B$67,H807,LISTS!$C$2:$C$67,I807)=0,"✗ هرم",IF(NOT(OR(Z807="ممتاز 100%",Z807="جيد 80%",Z807="مقبول 60%",Z807="خطر 40%",Z807="")),"✗ قائمة R",IF(NOT(OR(AA807="ممتاز 100%",AA807="جيد 85%",AA807="مقبول 70%",AA807="ضعيف 50%",AA807="")),"✗ قائمة S",IF(NOT(OR(AB807="مكتمل 100%",AB807="جزئي 60%",AB807="معلق 30%",AB807="مفتوح 0%",AB807="")),"✗ قائمة T",IF(NOT(OR(AC807="لا خصم 0",AC807="تأخير −5",AC807="عجز −10",AC807="جودة −15",AC807="امتثال −20",AC807="مخالفة −25",AC807="")),"✗ قائمة U",IF(AND(X807="لا",AC807&lt;&gt;"",AC807&lt;&gt;"لا خصم 0"),"✗ خصم",IF(AND(X807="نعم",AC807="لا خصم 0"),"✗ خصم",IF(AND(Z807="ممتاز 100%",AA807="ممتاز 100%",AB807&lt;&gt;"",AB807&lt;&gt;"مكتمل 100%"),"✗ إغلاق",IFERROR(IF(LEN(_xlfn.TEXTJOIN("، ",TRUE,IF(E807="","التاريخ",""),IF(F807="","الوقت",""),IF(G807="","المركز",""),IF(H807="","الدائرة",""),IF(I807="","القسم",""),IF(J807="","المسؤول",""),IF(K807="","نوع النشاط",""),IF(L807="","المشروع",""),IF(N807="","الممول",""),IF(V807="","الموضوع",""),IF(W807="","الملاحظة",""),IF(X807="","مشكلة",""),IF(Y807="","الإجراء",""),IF(Z807="","التنفيذ",""),IF(AA807="","الجودة",""),IF(AB807="","الإغلاق",""),IF(AC807="","الخصم",""),IF(AND(COUNTA($O807:$U807)&gt;0,O807=""),"مدير المشروع",""),IF(AND(COUNTA($O807:$U807)&gt;0,P807=""),"المستفيدين",""),IF(AND(COUNTA($O807:$U807)&gt;0,Q807=""),"المناطق",""),IF(AND(COUNTA($O807:$U807)&gt;0,R807=""),"الميزانية",""),IF(AND(COUNTA($O807:$U807)&gt;0,S807=""),"نسبة الجاهزية",""),IF(AND(COUNTA($O807:$U807)&gt;0,T807=""),"حالة الجاهزية",""),IF(AND(COUNTA($O807:$U807)&gt;0,U807=""),"التوصيات","")))&gt;0,"✗ ناقص: "&amp;_xlfn.TEXTJOIN("، ",TRUE,IF(E807="","التاريخ",""),IF(F807="","الوقت",""),IF(G807="","المركز",""),IF(H807="","الدائرة",""),IF(I807="","القسم",""),IF(J807="","المسؤول",""),IF(K807="","نوع النشاط",""),IF(L807="","المشروع",""),IF(N807="","الممول",""),IF(V807="","الموضوع",""),IF(W807="","الملاحظة",""),IF(X807="","مشكلة",""),IF(Y807="","الإجراء",""),IF(Z807="","التنفيذ",""),IF(AA807="","الجودة",""),IF(AB807="","الإغلاق",""),IF(AC807="","الخصم",""),IF(AND(COUNTA($O807:$U807)&gt;0,O807=""),"مدير المشروع",""),IF(AND(COUNTA($O807:$U807)&gt;0,P807=""),"المستفيدين",""),IF(AND(COUNTA($O807:$U807)&gt;0,Q807=""),"المناطق",""),IF(AND(COUNTA($O807:$U807)&gt;0,R807=""),"الميزانية",""),IF(AND(COUNTA($O807:$U807)&gt;0,S807=""),"نسبة الجاهزية",""),IF(AND(COUNTA($O807:$U807)&gt;0,T807=""),"حالة الجاهزية",""),IF(AND(COUNTA($O807:$U807)&gt;0,U807=""),"التوصيات","")),"✓"),"✓"))))))))))</f>
        <v/>
      </c>
      <c r="E807" s="235"/>
      <c r="F807" s="236"/>
      <c r="G807" s="90"/>
      <c r="H807" s="239"/>
      <c r="I807" s="89"/>
      <c r="J807" s="142"/>
      <c r="K807" s="90"/>
      <c r="L807" s="90"/>
      <c r="M807" s="90"/>
      <c r="N807" s="89"/>
      <c r="O807" s="200"/>
      <c r="P807" s="201"/>
      <c r="Q807" s="201"/>
      <c r="R807" s="237"/>
      <c r="S807" s="202"/>
      <c r="T807" s="200"/>
      <c r="U807" s="203"/>
      <c r="V807" s="89"/>
      <c r="W807" s="89"/>
      <c r="X807" s="145"/>
      <c r="Y807" s="89"/>
      <c r="Z807" s="90"/>
      <c r="AA807" s="90"/>
      <c r="AB807" s="90"/>
      <c r="AC807" s="90"/>
      <c r="AD807" s="92"/>
      <c r="AE807" s="149" t="str">
        <f>IFERROR(VLOOKUP(Z807,LISTS!$AL$2:$AM$1000,2,FALSE()),"")</f>
        <v/>
      </c>
      <c r="AF807" s="151" t="str">
        <f>IFERROR(VLOOKUP(AA807,LISTS!$AO$2:$AP$1000,2,FALSE()),"")</f>
        <v/>
      </c>
      <c r="AG807" s="152" t="str">
        <f>IFERROR(VLOOKUP(AB807,LISTS!$AR$2:$AS$1000,2,FALSE()),"")</f>
        <v/>
      </c>
      <c r="AH807" s="154" t="str">
        <f>IFERROR(VLOOKUP(AC807,LISTS!$AU$2:$AV$1000,2,FALSE()),"")</f>
        <v/>
      </c>
      <c r="AI807" s="238" t="str">
        <f t="shared" si="63"/>
        <v>—</v>
      </c>
      <c r="AJ807" s="190" t="str">
        <f t="shared" si="64"/>
        <v>—</v>
      </c>
      <c r="AK807" s="157" t="str">
        <f t="shared" si="65"/>
        <v/>
      </c>
      <c r="AL807" s="160" t="str">
        <f t="shared" si="66"/>
        <v/>
      </c>
      <c r="AM807" s="210"/>
      <c r="AN807" s="209"/>
    </row>
    <row r="808" spans="1:40" ht="27.95" customHeight="1">
      <c r="A808" s="134" t="str">
        <f>IF(I808&lt;&gt;"",COUNTA($I$2:I808),"")</f>
        <v/>
      </c>
      <c r="B808" s="138" t="str">
        <f t="shared" si="67"/>
        <v/>
      </c>
      <c r="C808" s="93" t="str">
        <f t="array" ref="C808">IF(E808="","",IF(M808&lt;&gt;"",
M808&amp;"/"&amp;SUMPRODUCT((M$2:M808=M808)*1)&amp;" - "&amp;(ROW()-2),
"إداري/"&amp;SUMPRODUCT((M$2:M808="")*1)&amp;" - "&amp;(ROW()-2)))</f>
        <v/>
      </c>
      <c r="D808" s="141" t="str">
        <f>IF(AND(G808="",H808="",I808=""),"",IF(COUNTIFS(LISTS!$A$2:$A$67,G808,LISTS!$B$2:$B$67,H808,LISTS!$C$2:$C$67,I808)=0,"✗ هرم",IF(NOT(OR(Z808="ممتاز 100%",Z808="جيد 80%",Z808="مقبول 60%",Z808="خطر 40%",Z808="")),"✗ قائمة R",IF(NOT(OR(AA808="ممتاز 100%",AA808="جيد 85%",AA808="مقبول 70%",AA808="ضعيف 50%",AA808="")),"✗ قائمة S",IF(NOT(OR(AB808="مكتمل 100%",AB808="جزئي 60%",AB808="معلق 30%",AB808="مفتوح 0%",AB808="")),"✗ قائمة T",IF(NOT(OR(AC808="لا خصم 0",AC808="تأخير −5",AC808="عجز −10",AC808="جودة −15",AC808="امتثال −20",AC808="مخالفة −25",AC808="")),"✗ قائمة U",IF(AND(X808="لا",AC808&lt;&gt;"",AC808&lt;&gt;"لا خصم 0"),"✗ خصم",IF(AND(X808="نعم",AC808="لا خصم 0"),"✗ خصم",IF(AND(Z808="ممتاز 100%",AA808="ممتاز 100%",AB808&lt;&gt;"",AB808&lt;&gt;"مكتمل 100%"),"✗ إغلاق",IFERROR(IF(LEN(_xlfn.TEXTJOIN("، ",TRUE,IF(E808="","التاريخ",""),IF(F808="","الوقت",""),IF(G808="","المركز",""),IF(H808="","الدائرة",""),IF(I808="","القسم",""),IF(J808="","المسؤول",""),IF(K808="","نوع النشاط",""),IF(L808="","المشروع",""),IF(N808="","الممول",""),IF(V808="","الموضوع",""),IF(W808="","الملاحظة",""),IF(X808="","مشكلة",""),IF(Y808="","الإجراء",""),IF(Z808="","التنفيذ",""),IF(AA808="","الجودة",""),IF(AB808="","الإغلاق",""),IF(AC808="","الخصم",""),IF(AND(COUNTA($O808:$U808)&gt;0,O808=""),"مدير المشروع",""),IF(AND(COUNTA($O808:$U808)&gt;0,P808=""),"المستفيدين",""),IF(AND(COUNTA($O808:$U808)&gt;0,Q808=""),"المناطق",""),IF(AND(COUNTA($O808:$U808)&gt;0,R808=""),"الميزانية",""),IF(AND(COUNTA($O808:$U808)&gt;0,S808=""),"نسبة الجاهزية",""),IF(AND(COUNTA($O808:$U808)&gt;0,T808=""),"حالة الجاهزية",""),IF(AND(COUNTA($O808:$U808)&gt;0,U808=""),"التوصيات","")))&gt;0,"✗ ناقص: "&amp;_xlfn.TEXTJOIN("، ",TRUE,IF(E808="","التاريخ",""),IF(F808="","الوقت",""),IF(G808="","المركز",""),IF(H808="","الدائرة",""),IF(I808="","القسم",""),IF(J808="","المسؤول",""),IF(K808="","نوع النشاط",""),IF(L808="","المشروع",""),IF(N808="","الممول",""),IF(V808="","الموضوع",""),IF(W808="","الملاحظة",""),IF(X808="","مشكلة",""),IF(Y808="","الإجراء",""),IF(Z808="","التنفيذ",""),IF(AA808="","الجودة",""),IF(AB808="","الإغلاق",""),IF(AC808="","الخصم",""),IF(AND(COUNTA($O808:$U808)&gt;0,O808=""),"مدير المشروع",""),IF(AND(COUNTA($O808:$U808)&gt;0,P808=""),"المستفيدين",""),IF(AND(COUNTA($O808:$U808)&gt;0,Q808=""),"المناطق",""),IF(AND(COUNTA($O808:$U808)&gt;0,R808=""),"الميزانية",""),IF(AND(COUNTA($O808:$U808)&gt;0,S808=""),"نسبة الجاهزية",""),IF(AND(COUNTA($O808:$U808)&gt;0,T808=""),"حالة الجاهزية",""),IF(AND(COUNTA($O808:$U808)&gt;0,U808=""),"التوصيات","")),"✓"),"✓"))))))))))</f>
        <v/>
      </c>
      <c r="E808" s="235"/>
      <c r="F808" s="236"/>
      <c r="G808" s="90"/>
      <c r="H808" s="239"/>
      <c r="I808" s="89"/>
      <c r="J808" s="142"/>
      <c r="K808" s="90"/>
      <c r="L808" s="90"/>
      <c r="M808" s="90"/>
      <c r="N808" s="89"/>
      <c r="O808" s="200"/>
      <c r="P808" s="201"/>
      <c r="Q808" s="201"/>
      <c r="R808" s="237"/>
      <c r="S808" s="202"/>
      <c r="T808" s="200"/>
      <c r="U808" s="203"/>
      <c r="V808" s="89"/>
      <c r="W808" s="89"/>
      <c r="X808" s="145"/>
      <c r="Y808" s="89"/>
      <c r="Z808" s="90"/>
      <c r="AA808" s="90"/>
      <c r="AB808" s="90"/>
      <c r="AC808" s="90"/>
      <c r="AD808" s="92"/>
      <c r="AE808" s="149" t="str">
        <f>IFERROR(VLOOKUP(Z808,LISTS!$AL$2:$AM$1000,2,FALSE()),"")</f>
        <v/>
      </c>
      <c r="AF808" s="151" t="str">
        <f>IFERROR(VLOOKUP(AA808,LISTS!$AO$2:$AP$1000,2,FALSE()),"")</f>
        <v/>
      </c>
      <c r="AG808" s="152" t="str">
        <f>IFERROR(VLOOKUP(AB808,LISTS!$AR$2:$AS$1000,2,FALSE()),"")</f>
        <v/>
      </c>
      <c r="AH808" s="154" t="str">
        <f>IFERROR(VLOOKUP(AC808,LISTS!$AU$2:$AV$1000,2,FALSE()),"")</f>
        <v/>
      </c>
      <c r="AI808" s="238" t="str">
        <f t="shared" si="63"/>
        <v>—</v>
      </c>
      <c r="AJ808" s="190" t="str">
        <f t="shared" si="64"/>
        <v>—</v>
      </c>
      <c r="AK808" s="157" t="str">
        <f t="shared" si="65"/>
        <v/>
      </c>
      <c r="AL808" s="160" t="str">
        <f t="shared" si="66"/>
        <v/>
      </c>
      <c r="AM808" s="210"/>
      <c r="AN808" s="209"/>
    </row>
    <row r="809" spans="1:40" ht="27.95" customHeight="1">
      <c r="A809" s="134" t="str">
        <f>IF(I809&lt;&gt;"",COUNTA($I$2:I809),"")</f>
        <v/>
      </c>
      <c r="B809" s="138" t="str">
        <f t="shared" si="67"/>
        <v/>
      </c>
      <c r="C809" s="93" t="str">
        <f t="array" ref="C809">IF(E809="","",IF(M809&lt;&gt;"",
M809&amp;"/"&amp;SUMPRODUCT((M$2:M809=M809)*1)&amp;" - "&amp;(ROW()-2),
"إداري/"&amp;SUMPRODUCT((M$2:M809="")*1)&amp;" - "&amp;(ROW()-2)))</f>
        <v/>
      </c>
      <c r="D809" s="141" t="str">
        <f>IF(AND(G809="",H809="",I809=""),"",IF(COUNTIFS(LISTS!$A$2:$A$67,G809,LISTS!$B$2:$B$67,H809,LISTS!$C$2:$C$67,I809)=0,"✗ هرم",IF(NOT(OR(Z809="ممتاز 100%",Z809="جيد 80%",Z809="مقبول 60%",Z809="خطر 40%",Z809="")),"✗ قائمة R",IF(NOT(OR(AA809="ممتاز 100%",AA809="جيد 85%",AA809="مقبول 70%",AA809="ضعيف 50%",AA809="")),"✗ قائمة S",IF(NOT(OR(AB809="مكتمل 100%",AB809="جزئي 60%",AB809="معلق 30%",AB809="مفتوح 0%",AB809="")),"✗ قائمة T",IF(NOT(OR(AC809="لا خصم 0",AC809="تأخير −5",AC809="عجز −10",AC809="جودة −15",AC809="امتثال −20",AC809="مخالفة −25",AC809="")),"✗ قائمة U",IF(AND(X809="لا",AC809&lt;&gt;"",AC809&lt;&gt;"لا خصم 0"),"✗ خصم",IF(AND(X809="نعم",AC809="لا خصم 0"),"✗ خصم",IF(AND(Z809="ممتاز 100%",AA809="ممتاز 100%",AB809&lt;&gt;"",AB809&lt;&gt;"مكتمل 100%"),"✗ إغلاق",IFERROR(IF(LEN(_xlfn.TEXTJOIN("، ",TRUE,IF(E809="","التاريخ",""),IF(F809="","الوقت",""),IF(G809="","المركز",""),IF(H809="","الدائرة",""),IF(I809="","القسم",""),IF(J809="","المسؤول",""),IF(K809="","نوع النشاط",""),IF(L809="","المشروع",""),IF(N809="","الممول",""),IF(V809="","الموضوع",""),IF(W809="","الملاحظة",""),IF(X809="","مشكلة",""),IF(Y809="","الإجراء",""),IF(Z809="","التنفيذ",""),IF(AA809="","الجودة",""),IF(AB809="","الإغلاق",""),IF(AC809="","الخصم",""),IF(AND(COUNTA($O809:$U809)&gt;0,O809=""),"مدير المشروع",""),IF(AND(COUNTA($O809:$U809)&gt;0,P809=""),"المستفيدين",""),IF(AND(COUNTA($O809:$U809)&gt;0,Q809=""),"المناطق",""),IF(AND(COUNTA($O809:$U809)&gt;0,R809=""),"الميزانية",""),IF(AND(COUNTA($O809:$U809)&gt;0,S809=""),"نسبة الجاهزية",""),IF(AND(COUNTA($O809:$U809)&gt;0,T809=""),"حالة الجاهزية",""),IF(AND(COUNTA($O809:$U809)&gt;0,U809=""),"التوصيات","")))&gt;0,"✗ ناقص: "&amp;_xlfn.TEXTJOIN("، ",TRUE,IF(E809="","التاريخ",""),IF(F809="","الوقت",""),IF(G809="","المركز",""),IF(H809="","الدائرة",""),IF(I809="","القسم",""),IF(J809="","المسؤول",""),IF(K809="","نوع النشاط",""),IF(L809="","المشروع",""),IF(N809="","الممول",""),IF(V809="","الموضوع",""),IF(W809="","الملاحظة",""),IF(X809="","مشكلة",""),IF(Y809="","الإجراء",""),IF(Z809="","التنفيذ",""),IF(AA809="","الجودة",""),IF(AB809="","الإغلاق",""),IF(AC809="","الخصم",""),IF(AND(COUNTA($O809:$U809)&gt;0,O809=""),"مدير المشروع",""),IF(AND(COUNTA($O809:$U809)&gt;0,P809=""),"المستفيدين",""),IF(AND(COUNTA($O809:$U809)&gt;0,Q809=""),"المناطق",""),IF(AND(COUNTA($O809:$U809)&gt;0,R809=""),"الميزانية",""),IF(AND(COUNTA($O809:$U809)&gt;0,S809=""),"نسبة الجاهزية",""),IF(AND(COUNTA($O809:$U809)&gt;0,T809=""),"حالة الجاهزية",""),IF(AND(COUNTA($O809:$U809)&gt;0,U809=""),"التوصيات","")),"✓"),"✓"))))))))))</f>
        <v/>
      </c>
      <c r="E809" s="235"/>
      <c r="F809" s="236"/>
      <c r="G809" s="90"/>
      <c r="H809" s="239"/>
      <c r="I809" s="89"/>
      <c r="J809" s="142"/>
      <c r="K809" s="90"/>
      <c r="L809" s="90"/>
      <c r="M809" s="90"/>
      <c r="N809" s="89"/>
      <c r="O809" s="200"/>
      <c r="P809" s="201"/>
      <c r="Q809" s="201"/>
      <c r="R809" s="237"/>
      <c r="S809" s="202"/>
      <c r="T809" s="200"/>
      <c r="U809" s="203"/>
      <c r="V809" s="89"/>
      <c r="W809" s="89"/>
      <c r="X809" s="145"/>
      <c r="Y809" s="89"/>
      <c r="Z809" s="90"/>
      <c r="AA809" s="90"/>
      <c r="AB809" s="90"/>
      <c r="AC809" s="90"/>
      <c r="AD809" s="92"/>
      <c r="AE809" s="149" t="str">
        <f>IFERROR(VLOOKUP(Z809,LISTS!$AL$2:$AM$1000,2,FALSE()),"")</f>
        <v/>
      </c>
      <c r="AF809" s="151" t="str">
        <f>IFERROR(VLOOKUP(AA809,LISTS!$AO$2:$AP$1000,2,FALSE()),"")</f>
        <v/>
      </c>
      <c r="AG809" s="152" t="str">
        <f>IFERROR(VLOOKUP(AB809,LISTS!$AR$2:$AS$1000,2,FALSE()),"")</f>
        <v/>
      </c>
      <c r="AH809" s="154" t="str">
        <f>IFERROR(VLOOKUP(AC809,LISTS!$AU$2:$AV$1000,2,FALSE()),"")</f>
        <v/>
      </c>
      <c r="AI809" s="238" t="str">
        <f t="shared" si="63"/>
        <v>—</v>
      </c>
      <c r="AJ809" s="190" t="str">
        <f t="shared" si="64"/>
        <v>—</v>
      </c>
      <c r="AK809" s="157" t="str">
        <f t="shared" si="65"/>
        <v/>
      </c>
      <c r="AL809" s="160" t="str">
        <f t="shared" si="66"/>
        <v/>
      </c>
      <c r="AM809" s="210"/>
      <c r="AN809" s="209"/>
    </row>
    <row r="810" spans="1:40" ht="27.95" customHeight="1">
      <c r="A810" s="134" t="str">
        <f>IF(I810&lt;&gt;"",COUNTA($I$2:I810),"")</f>
        <v/>
      </c>
      <c r="B810" s="138" t="str">
        <f t="shared" si="67"/>
        <v/>
      </c>
      <c r="C810" s="93" t="str">
        <f t="array" ref="C810">IF(E810="","",IF(M810&lt;&gt;"",
M810&amp;"/"&amp;SUMPRODUCT((M$2:M810=M810)*1)&amp;" - "&amp;(ROW()-2),
"إداري/"&amp;SUMPRODUCT((M$2:M810="")*1)&amp;" - "&amp;(ROW()-2)))</f>
        <v/>
      </c>
      <c r="D810" s="141" t="str">
        <f>IF(AND(G810="",H810="",I810=""),"",IF(COUNTIFS(LISTS!$A$2:$A$67,G810,LISTS!$B$2:$B$67,H810,LISTS!$C$2:$C$67,I810)=0,"✗ هرم",IF(NOT(OR(Z810="ممتاز 100%",Z810="جيد 80%",Z810="مقبول 60%",Z810="خطر 40%",Z810="")),"✗ قائمة R",IF(NOT(OR(AA810="ممتاز 100%",AA810="جيد 85%",AA810="مقبول 70%",AA810="ضعيف 50%",AA810="")),"✗ قائمة S",IF(NOT(OR(AB810="مكتمل 100%",AB810="جزئي 60%",AB810="معلق 30%",AB810="مفتوح 0%",AB810="")),"✗ قائمة T",IF(NOT(OR(AC810="لا خصم 0",AC810="تأخير −5",AC810="عجز −10",AC810="جودة −15",AC810="امتثال −20",AC810="مخالفة −25",AC810="")),"✗ قائمة U",IF(AND(X810="لا",AC810&lt;&gt;"",AC810&lt;&gt;"لا خصم 0"),"✗ خصم",IF(AND(X810="نعم",AC810="لا خصم 0"),"✗ خصم",IF(AND(Z810="ممتاز 100%",AA810="ممتاز 100%",AB810&lt;&gt;"",AB810&lt;&gt;"مكتمل 100%"),"✗ إغلاق",IFERROR(IF(LEN(_xlfn.TEXTJOIN("، ",TRUE,IF(E810="","التاريخ",""),IF(F810="","الوقت",""),IF(G810="","المركز",""),IF(H810="","الدائرة",""),IF(I810="","القسم",""),IF(J810="","المسؤول",""),IF(K810="","نوع النشاط",""),IF(L810="","المشروع",""),IF(N810="","الممول",""),IF(V810="","الموضوع",""),IF(W810="","الملاحظة",""),IF(X810="","مشكلة",""),IF(Y810="","الإجراء",""),IF(Z810="","التنفيذ",""),IF(AA810="","الجودة",""),IF(AB810="","الإغلاق",""),IF(AC810="","الخصم",""),IF(AND(COUNTA($O810:$U810)&gt;0,O810=""),"مدير المشروع",""),IF(AND(COUNTA($O810:$U810)&gt;0,P810=""),"المستفيدين",""),IF(AND(COUNTA($O810:$U810)&gt;0,Q810=""),"المناطق",""),IF(AND(COUNTA($O810:$U810)&gt;0,R810=""),"الميزانية",""),IF(AND(COUNTA($O810:$U810)&gt;0,S810=""),"نسبة الجاهزية",""),IF(AND(COUNTA($O810:$U810)&gt;0,T810=""),"حالة الجاهزية",""),IF(AND(COUNTA($O810:$U810)&gt;0,U810=""),"التوصيات","")))&gt;0,"✗ ناقص: "&amp;_xlfn.TEXTJOIN("، ",TRUE,IF(E810="","التاريخ",""),IF(F810="","الوقت",""),IF(G810="","المركز",""),IF(H810="","الدائرة",""),IF(I810="","القسم",""),IF(J810="","المسؤول",""),IF(K810="","نوع النشاط",""),IF(L810="","المشروع",""),IF(N810="","الممول",""),IF(V810="","الموضوع",""),IF(W810="","الملاحظة",""),IF(X810="","مشكلة",""),IF(Y810="","الإجراء",""),IF(Z810="","التنفيذ",""),IF(AA810="","الجودة",""),IF(AB810="","الإغلاق",""),IF(AC810="","الخصم",""),IF(AND(COUNTA($O810:$U810)&gt;0,O810=""),"مدير المشروع",""),IF(AND(COUNTA($O810:$U810)&gt;0,P810=""),"المستفيدين",""),IF(AND(COUNTA($O810:$U810)&gt;0,Q810=""),"المناطق",""),IF(AND(COUNTA($O810:$U810)&gt;0,R810=""),"الميزانية",""),IF(AND(COUNTA($O810:$U810)&gt;0,S810=""),"نسبة الجاهزية",""),IF(AND(COUNTA($O810:$U810)&gt;0,T810=""),"حالة الجاهزية",""),IF(AND(COUNTA($O810:$U810)&gt;0,U810=""),"التوصيات","")),"✓"),"✓"))))))))))</f>
        <v/>
      </c>
      <c r="E810" s="235"/>
      <c r="F810" s="236"/>
      <c r="G810" s="90"/>
      <c r="H810" s="239"/>
      <c r="I810" s="89"/>
      <c r="J810" s="142"/>
      <c r="K810" s="90"/>
      <c r="L810" s="90"/>
      <c r="M810" s="90"/>
      <c r="N810" s="89"/>
      <c r="O810" s="200"/>
      <c r="P810" s="201"/>
      <c r="Q810" s="201"/>
      <c r="R810" s="237"/>
      <c r="S810" s="202"/>
      <c r="T810" s="200"/>
      <c r="U810" s="203"/>
      <c r="V810" s="89"/>
      <c r="W810" s="89"/>
      <c r="X810" s="145"/>
      <c r="Y810" s="89"/>
      <c r="Z810" s="90"/>
      <c r="AA810" s="90"/>
      <c r="AB810" s="90"/>
      <c r="AC810" s="90"/>
      <c r="AD810" s="92"/>
      <c r="AE810" s="149" t="str">
        <f>IFERROR(VLOOKUP(Z810,LISTS!$AL$2:$AM$1000,2,FALSE()),"")</f>
        <v/>
      </c>
      <c r="AF810" s="151" t="str">
        <f>IFERROR(VLOOKUP(AA810,LISTS!$AO$2:$AP$1000,2,FALSE()),"")</f>
        <v/>
      </c>
      <c r="AG810" s="152" t="str">
        <f>IFERROR(VLOOKUP(AB810,LISTS!$AR$2:$AS$1000,2,FALSE()),"")</f>
        <v/>
      </c>
      <c r="AH810" s="154" t="str">
        <f>IFERROR(VLOOKUP(AC810,LISTS!$AU$2:$AV$1000,2,FALSE()),"")</f>
        <v/>
      </c>
      <c r="AI810" s="238" t="str">
        <f t="shared" si="63"/>
        <v>—</v>
      </c>
      <c r="AJ810" s="190" t="str">
        <f t="shared" si="64"/>
        <v>—</v>
      </c>
      <c r="AK810" s="157" t="str">
        <f t="shared" si="65"/>
        <v/>
      </c>
      <c r="AL810" s="160" t="str">
        <f t="shared" si="66"/>
        <v/>
      </c>
      <c r="AM810" s="210"/>
      <c r="AN810" s="209"/>
    </row>
    <row r="811" spans="1:40" ht="27.95" customHeight="1">
      <c r="A811" s="134" t="str">
        <f>IF(I811&lt;&gt;"",COUNTA($I$2:I811),"")</f>
        <v/>
      </c>
      <c r="B811" s="138" t="str">
        <f t="shared" si="67"/>
        <v/>
      </c>
      <c r="C811" s="93" t="str">
        <f t="array" ref="C811">IF(E811="","",IF(M811&lt;&gt;"",
M811&amp;"/"&amp;SUMPRODUCT((M$2:M811=M811)*1)&amp;" - "&amp;(ROW()-2),
"إداري/"&amp;SUMPRODUCT((M$2:M811="")*1)&amp;" - "&amp;(ROW()-2)))</f>
        <v/>
      </c>
      <c r="D811" s="141" t="str">
        <f>IF(AND(G811="",H811="",I811=""),"",IF(COUNTIFS(LISTS!$A$2:$A$67,G811,LISTS!$B$2:$B$67,H811,LISTS!$C$2:$C$67,I811)=0,"✗ هرم",IF(NOT(OR(Z811="ممتاز 100%",Z811="جيد 80%",Z811="مقبول 60%",Z811="خطر 40%",Z811="")),"✗ قائمة R",IF(NOT(OR(AA811="ممتاز 100%",AA811="جيد 85%",AA811="مقبول 70%",AA811="ضعيف 50%",AA811="")),"✗ قائمة S",IF(NOT(OR(AB811="مكتمل 100%",AB811="جزئي 60%",AB811="معلق 30%",AB811="مفتوح 0%",AB811="")),"✗ قائمة T",IF(NOT(OR(AC811="لا خصم 0",AC811="تأخير −5",AC811="عجز −10",AC811="جودة −15",AC811="امتثال −20",AC811="مخالفة −25",AC811="")),"✗ قائمة U",IF(AND(X811="لا",AC811&lt;&gt;"",AC811&lt;&gt;"لا خصم 0"),"✗ خصم",IF(AND(X811="نعم",AC811="لا خصم 0"),"✗ خصم",IF(AND(Z811="ممتاز 100%",AA811="ممتاز 100%",AB811&lt;&gt;"",AB811&lt;&gt;"مكتمل 100%"),"✗ إغلاق",IFERROR(IF(LEN(_xlfn.TEXTJOIN("، ",TRUE,IF(E811="","التاريخ",""),IF(F811="","الوقت",""),IF(G811="","المركز",""),IF(H811="","الدائرة",""),IF(I811="","القسم",""),IF(J811="","المسؤول",""),IF(K811="","نوع النشاط",""),IF(L811="","المشروع",""),IF(N811="","الممول",""),IF(V811="","الموضوع",""),IF(W811="","الملاحظة",""),IF(X811="","مشكلة",""),IF(Y811="","الإجراء",""),IF(Z811="","التنفيذ",""),IF(AA811="","الجودة",""),IF(AB811="","الإغلاق",""),IF(AC811="","الخصم",""),IF(AND(COUNTA($O811:$U811)&gt;0,O811=""),"مدير المشروع",""),IF(AND(COUNTA($O811:$U811)&gt;0,P811=""),"المستفيدين",""),IF(AND(COUNTA($O811:$U811)&gt;0,Q811=""),"المناطق",""),IF(AND(COUNTA($O811:$U811)&gt;0,R811=""),"الميزانية",""),IF(AND(COUNTA($O811:$U811)&gt;0,S811=""),"نسبة الجاهزية",""),IF(AND(COUNTA($O811:$U811)&gt;0,T811=""),"حالة الجاهزية",""),IF(AND(COUNTA($O811:$U811)&gt;0,U811=""),"التوصيات","")))&gt;0,"✗ ناقص: "&amp;_xlfn.TEXTJOIN("، ",TRUE,IF(E811="","التاريخ",""),IF(F811="","الوقت",""),IF(G811="","المركز",""),IF(H811="","الدائرة",""),IF(I811="","القسم",""),IF(J811="","المسؤول",""),IF(K811="","نوع النشاط",""),IF(L811="","المشروع",""),IF(N811="","الممول",""),IF(V811="","الموضوع",""),IF(W811="","الملاحظة",""),IF(X811="","مشكلة",""),IF(Y811="","الإجراء",""),IF(Z811="","التنفيذ",""),IF(AA811="","الجودة",""),IF(AB811="","الإغلاق",""),IF(AC811="","الخصم",""),IF(AND(COUNTA($O811:$U811)&gt;0,O811=""),"مدير المشروع",""),IF(AND(COUNTA($O811:$U811)&gt;0,P811=""),"المستفيدين",""),IF(AND(COUNTA($O811:$U811)&gt;0,Q811=""),"المناطق",""),IF(AND(COUNTA($O811:$U811)&gt;0,R811=""),"الميزانية",""),IF(AND(COUNTA($O811:$U811)&gt;0,S811=""),"نسبة الجاهزية",""),IF(AND(COUNTA($O811:$U811)&gt;0,T811=""),"حالة الجاهزية",""),IF(AND(COUNTA($O811:$U811)&gt;0,U811=""),"التوصيات","")),"✓"),"✓"))))))))))</f>
        <v/>
      </c>
      <c r="E811" s="235"/>
      <c r="F811" s="236"/>
      <c r="G811" s="90"/>
      <c r="H811" s="239"/>
      <c r="I811" s="89"/>
      <c r="J811" s="142"/>
      <c r="K811" s="90"/>
      <c r="L811" s="90"/>
      <c r="M811" s="90"/>
      <c r="N811" s="89"/>
      <c r="O811" s="200"/>
      <c r="P811" s="201"/>
      <c r="Q811" s="201"/>
      <c r="R811" s="237"/>
      <c r="S811" s="202"/>
      <c r="T811" s="200"/>
      <c r="U811" s="203"/>
      <c r="V811" s="89"/>
      <c r="W811" s="89"/>
      <c r="X811" s="145"/>
      <c r="Y811" s="89"/>
      <c r="Z811" s="90"/>
      <c r="AA811" s="90"/>
      <c r="AB811" s="90"/>
      <c r="AC811" s="90"/>
      <c r="AD811" s="92"/>
      <c r="AE811" s="149" t="str">
        <f>IFERROR(VLOOKUP(Z811,LISTS!$AL$2:$AM$1000,2,FALSE()),"")</f>
        <v/>
      </c>
      <c r="AF811" s="151" t="str">
        <f>IFERROR(VLOOKUP(AA811,LISTS!$AO$2:$AP$1000,2,FALSE()),"")</f>
        <v/>
      </c>
      <c r="AG811" s="152" t="str">
        <f>IFERROR(VLOOKUP(AB811,LISTS!$AR$2:$AS$1000,2,FALSE()),"")</f>
        <v/>
      </c>
      <c r="AH811" s="154" t="str">
        <f>IFERROR(VLOOKUP(AC811,LISTS!$AU$2:$AV$1000,2,FALSE()),"")</f>
        <v/>
      </c>
      <c r="AI811" s="238" t="str">
        <f t="shared" si="63"/>
        <v>—</v>
      </c>
      <c r="AJ811" s="190" t="str">
        <f t="shared" si="64"/>
        <v>—</v>
      </c>
      <c r="AK811" s="157" t="str">
        <f t="shared" si="65"/>
        <v/>
      </c>
      <c r="AL811" s="160" t="str">
        <f t="shared" si="66"/>
        <v/>
      </c>
      <c r="AM811" s="210"/>
      <c r="AN811" s="209"/>
    </row>
    <row r="812" spans="1:40" ht="27.95" customHeight="1">
      <c r="A812" s="134" t="str">
        <f>IF(I812&lt;&gt;"",COUNTA($I$2:I812),"")</f>
        <v/>
      </c>
      <c r="B812" s="138" t="str">
        <f t="shared" si="67"/>
        <v/>
      </c>
      <c r="C812" s="93" t="str">
        <f t="array" ref="C812">IF(E812="","",IF(M812&lt;&gt;"",
M812&amp;"/"&amp;SUMPRODUCT((M$2:M812=M812)*1)&amp;" - "&amp;(ROW()-2),
"إداري/"&amp;SUMPRODUCT((M$2:M812="")*1)&amp;" - "&amp;(ROW()-2)))</f>
        <v/>
      </c>
      <c r="D812" s="141" t="str">
        <f>IF(AND(G812="",H812="",I812=""),"",IF(COUNTIFS(LISTS!$A$2:$A$67,G812,LISTS!$B$2:$B$67,H812,LISTS!$C$2:$C$67,I812)=0,"✗ هرم",IF(NOT(OR(Z812="ممتاز 100%",Z812="جيد 80%",Z812="مقبول 60%",Z812="خطر 40%",Z812="")),"✗ قائمة R",IF(NOT(OR(AA812="ممتاز 100%",AA812="جيد 85%",AA812="مقبول 70%",AA812="ضعيف 50%",AA812="")),"✗ قائمة S",IF(NOT(OR(AB812="مكتمل 100%",AB812="جزئي 60%",AB812="معلق 30%",AB812="مفتوح 0%",AB812="")),"✗ قائمة T",IF(NOT(OR(AC812="لا خصم 0",AC812="تأخير −5",AC812="عجز −10",AC812="جودة −15",AC812="امتثال −20",AC812="مخالفة −25",AC812="")),"✗ قائمة U",IF(AND(X812="لا",AC812&lt;&gt;"",AC812&lt;&gt;"لا خصم 0"),"✗ خصم",IF(AND(X812="نعم",AC812="لا خصم 0"),"✗ خصم",IF(AND(Z812="ممتاز 100%",AA812="ممتاز 100%",AB812&lt;&gt;"",AB812&lt;&gt;"مكتمل 100%"),"✗ إغلاق",IFERROR(IF(LEN(_xlfn.TEXTJOIN("، ",TRUE,IF(E812="","التاريخ",""),IF(F812="","الوقت",""),IF(G812="","المركز",""),IF(H812="","الدائرة",""),IF(I812="","القسم",""),IF(J812="","المسؤول",""),IF(K812="","نوع النشاط",""),IF(L812="","المشروع",""),IF(N812="","الممول",""),IF(V812="","الموضوع",""),IF(W812="","الملاحظة",""),IF(X812="","مشكلة",""),IF(Y812="","الإجراء",""),IF(Z812="","التنفيذ",""),IF(AA812="","الجودة",""),IF(AB812="","الإغلاق",""),IF(AC812="","الخصم",""),IF(AND(COUNTA($O812:$U812)&gt;0,O812=""),"مدير المشروع",""),IF(AND(COUNTA($O812:$U812)&gt;0,P812=""),"المستفيدين",""),IF(AND(COUNTA($O812:$U812)&gt;0,Q812=""),"المناطق",""),IF(AND(COUNTA($O812:$U812)&gt;0,R812=""),"الميزانية",""),IF(AND(COUNTA($O812:$U812)&gt;0,S812=""),"نسبة الجاهزية",""),IF(AND(COUNTA($O812:$U812)&gt;0,T812=""),"حالة الجاهزية",""),IF(AND(COUNTA($O812:$U812)&gt;0,U812=""),"التوصيات","")))&gt;0,"✗ ناقص: "&amp;_xlfn.TEXTJOIN("، ",TRUE,IF(E812="","التاريخ",""),IF(F812="","الوقت",""),IF(G812="","المركز",""),IF(H812="","الدائرة",""),IF(I812="","القسم",""),IF(J812="","المسؤول",""),IF(K812="","نوع النشاط",""),IF(L812="","المشروع",""),IF(N812="","الممول",""),IF(V812="","الموضوع",""),IF(W812="","الملاحظة",""),IF(X812="","مشكلة",""),IF(Y812="","الإجراء",""),IF(Z812="","التنفيذ",""),IF(AA812="","الجودة",""),IF(AB812="","الإغلاق",""),IF(AC812="","الخصم",""),IF(AND(COUNTA($O812:$U812)&gt;0,O812=""),"مدير المشروع",""),IF(AND(COUNTA($O812:$U812)&gt;0,P812=""),"المستفيدين",""),IF(AND(COUNTA($O812:$U812)&gt;0,Q812=""),"المناطق",""),IF(AND(COUNTA($O812:$U812)&gt;0,R812=""),"الميزانية",""),IF(AND(COUNTA($O812:$U812)&gt;0,S812=""),"نسبة الجاهزية",""),IF(AND(COUNTA($O812:$U812)&gt;0,T812=""),"حالة الجاهزية",""),IF(AND(COUNTA($O812:$U812)&gt;0,U812=""),"التوصيات","")),"✓"),"✓"))))))))))</f>
        <v/>
      </c>
      <c r="E812" s="235"/>
      <c r="F812" s="236"/>
      <c r="G812" s="90"/>
      <c r="H812" s="239"/>
      <c r="I812" s="89"/>
      <c r="J812" s="142"/>
      <c r="K812" s="90"/>
      <c r="L812" s="90"/>
      <c r="M812" s="90"/>
      <c r="N812" s="89"/>
      <c r="O812" s="200"/>
      <c r="P812" s="201"/>
      <c r="Q812" s="201"/>
      <c r="R812" s="237"/>
      <c r="S812" s="202"/>
      <c r="T812" s="200"/>
      <c r="U812" s="203"/>
      <c r="V812" s="89"/>
      <c r="W812" s="89"/>
      <c r="X812" s="145"/>
      <c r="Y812" s="89"/>
      <c r="Z812" s="90"/>
      <c r="AA812" s="90"/>
      <c r="AB812" s="90"/>
      <c r="AC812" s="90"/>
      <c r="AD812" s="92"/>
      <c r="AE812" s="149" t="str">
        <f>IFERROR(VLOOKUP(Z812,LISTS!$AL$2:$AM$1000,2,FALSE()),"")</f>
        <v/>
      </c>
      <c r="AF812" s="151" t="str">
        <f>IFERROR(VLOOKUP(AA812,LISTS!$AO$2:$AP$1000,2,FALSE()),"")</f>
        <v/>
      </c>
      <c r="AG812" s="152" t="str">
        <f>IFERROR(VLOOKUP(AB812,LISTS!$AR$2:$AS$1000,2,FALSE()),"")</f>
        <v/>
      </c>
      <c r="AH812" s="154" t="str">
        <f>IFERROR(VLOOKUP(AC812,LISTS!$AU$2:$AV$1000,2,FALSE()),"")</f>
        <v/>
      </c>
      <c r="AI812" s="238" t="str">
        <f t="shared" si="63"/>
        <v>—</v>
      </c>
      <c r="AJ812" s="190" t="str">
        <f t="shared" si="64"/>
        <v>—</v>
      </c>
      <c r="AK812" s="157" t="str">
        <f t="shared" si="65"/>
        <v/>
      </c>
      <c r="AL812" s="160" t="str">
        <f t="shared" si="66"/>
        <v/>
      </c>
      <c r="AM812" s="210"/>
      <c r="AN812" s="209"/>
    </row>
    <row r="813" spans="1:40" ht="27.95" customHeight="1">
      <c r="A813" s="134" t="str">
        <f>IF(I813&lt;&gt;"",COUNTA($I$2:I813),"")</f>
        <v/>
      </c>
      <c r="B813" s="138" t="str">
        <f t="shared" si="67"/>
        <v/>
      </c>
      <c r="C813" s="93" t="str">
        <f t="array" ref="C813">IF(E813="","",IF(M813&lt;&gt;"",
M813&amp;"/"&amp;SUMPRODUCT((M$2:M813=M813)*1)&amp;" - "&amp;(ROW()-2),
"إداري/"&amp;SUMPRODUCT((M$2:M813="")*1)&amp;" - "&amp;(ROW()-2)))</f>
        <v/>
      </c>
      <c r="D813" s="141" t="str">
        <f>IF(AND(G813="",H813="",I813=""),"",IF(COUNTIFS(LISTS!$A$2:$A$67,G813,LISTS!$B$2:$B$67,H813,LISTS!$C$2:$C$67,I813)=0,"✗ هرم",IF(NOT(OR(Z813="ممتاز 100%",Z813="جيد 80%",Z813="مقبول 60%",Z813="خطر 40%",Z813="")),"✗ قائمة R",IF(NOT(OR(AA813="ممتاز 100%",AA813="جيد 85%",AA813="مقبول 70%",AA813="ضعيف 50%",AA813="")),"✗ قائمة S",IF(NOT(OR(AB813="مكتمل 100%",AB813="جزئي 60%",AB813="معلق 30%",AB813="مفتوح 0%",AB813="")),"✗ قائمة T",IF(NOT(OR(AC813="لا خصم 0",AC813="تأخير −5",AC813="عجز −10",AC813="جودة −15",AC813="امتثال −20",AC813="مخالفة −25",AC813="")),"✗ قائمة U",IF(AND(X813="لا",AC813&lt;&gt;"",AC813&lt;&gt;"لا خصم 0"),"✗ خصم",IF(AND(X813="نعم",AC813="لا خصم 0"),"✗ خصم",IF(AND(Z813="ممتاز 100%",AA813="ممتاز 100%",AB813&lt;&gt;"",AB813&lt;&gt;"مكتمل 100%"),"✗ إغلاق",IFERROR(IF(LEN(_xlfn.TEXTJOIN("، ",TRUE,IF(E813="","التاريخ",""),IF(F813="","الوقت",""),IF(G813="","المركز",""),IF(H813="","الدائرة",""),IF(I813="","القسم",""),IF(J813="","المسؤول",""),IF(K813="","نوع النشاط",""),IF(L813="","المشروع",""),IF(N813="","الممول",""),IF(V813="","الموضوع",""),IF(W813="","الملاحظة",""),IF(X813="","مشكلة",""),IF(Y813="","الإجراء",""),IF(Z813="","التنفيذ",""),IF(AA813="","الجودة",""),IF(AB813="","الإغلاق",""),IF(AC813="","الخصم",""),IF(AND(COUNTA($O813:$U813)&gt;0,O813=""),"مدير المشروع",""),IF(AND(COUNTA($O813:$U813)&gt;0,P813=""),"المستفيدين",""),IF(AND(COUNTA($O813:$U813)&gt;0,Q813=""),"المناطق",""),IF(AND(COUNTA($O813:$U813)&gt;0,R813=""),"الميزانية",""),IF(AND(COUNTA($O813:$U813)&gt;0,S813=""),"نسبة الجاهزية",""),IF(AND(COUNTA($O813:$U813)&gt;0,T813=""),"حالة الجاهزية",""),IF(AND(COUNTA($O813:$U813)&gt;0,U813=""),"التوصيات","")))&gt;0,"✗ ناقص: "&amp;_xlfn.TEXTJOIN("، ",TRUE,IF(E813="","التاريخ",""),IF(F813="","الوقت",""),IF(G813="","المركز",""),IF(H813="","الدائرة",""),IF(I813="","القسم",""),IF(J813="","المسؤول",""),IF(K813="","نوع النشاط",""),IF(L813="","المشروع",""),IF(N813="","الممول",""),IF(V813="","الموضوع",""),IF(W813="","الملاحظة",""),IF(X813="","مشكلة",""),IF(Y813="","الإجراء",""),IF(Z813="","التنفيذ",""),IF(AA813="","الجودة",""),IF(AB813="","الإغلاق",""),IF(AC813="","الخصم",""),IF(AND(COUNTA($O813:$U813)&gt;0,O813=""),"مدير المشروع",""),IF(AND(COUNTA($O813:$U813)&gt;0,P813=""),"المستفيدين",""),IF(AND(COUNTA($O813:$U813)&gt;0,Q813=""),"المناطق",""),IF(AND(COUNTA($O813:$U813)&gt;0,R813=""),"الميزانية",""),IF(AND(COUNTA($O813:$U813)&gt;0,S813=""),"نسبة الجاهزية",""),IF(AND(COUNTA($O813:$U813)&gt;0,T813=""),"حالة الجاهزية",""),IF(AND(COUNTA($O813:$U813)&gt;0,U813=""),"التوصيات","")),"✓"),"✓"))))))))))</f>
        <v/>
      </c>
      <c r="E813" s="235"/>
      <c r="F813" s="236"/>
      <c r="G813" s="90"/>
      <c r="H813" s="239"/>
      <c r="I813" s="89"/>
      <c r="J813" s="142"/>
      <c r="K813" s="90"/>
      <c r="L813" s="90"/>
      <c r="M813" s="90"/>
      <c r="N813" s="89"/>
      <c r="O813" s="200"/>
      <c r="P813" s="201"/>
      <c r="Q813" s="201"/>
      <c r="R813" s="237"/>
      <c r="S813" s="202"/>
      <c r="T813" s="200"/>
      <c r="U813" s="203"/>
      <c r="V813" s="89"/>
      <c r="W813" s="89"/>
      <c r="X813" s="145"/>
      <c r="Y813" s="89"/>
      <c r="Z813" s="90"/>
      <c r="AA813" s="90"/>
      <c r="AB813" s="90"/>
      <c r="AC813" s="90"/>
      <c r="AD813" s="92"/>
      <c r="AE813" s="149" t="str">
        <f>IFERROR(VLOOKUP(Z813,LISTS!$AL$2:$AM$1000,2,FALSE()),"")</f>
        <v/>
      </c>
      <c r="AF813" s="151" t="str">
        <f>IFERROR(VLOOKUP(AA813,LISTS!$AO$2:$AP$1000,2,FALSE()),"")</f>
        <v/>
      </c>
      <c r="AG813" s="152" t="str">
        <f>IFERROR(VLOOKUP(AB813,LISTS!$AR$2:$AS$1000,2,FALSE()),"")</f>
        <v/>
      </c>
      <c r="AH813" s="154" t="str">
        <f>IFERROR(VLOOKUP(AC813,LISTS!$AU$2:$AV$1000,2,FALSE()),"")</f>
        <v/>
      </c>
      <c r="AI813" s="238" t="str">
        <f t="shared" si="63"/>
        <v>—</v>
      </c>
      <c r="AJ813" s="190" t="str">
        <f t="shared" si="64"/>
        <v>—</v>
      </c>
      <c r="AK813" s="157" t="str">
        <f t="shared" si="65"/>
        <v/>
      </c>
      <c r="AL813" s="160" t="str">
        <f t="shared" si="66"/>
        <v/>
      </c>
      <c r="AM813" s="210"/>
      <c r="AN813" s="209"/>
    </row>
    <row r="814" spans="1:40" ht="27.95" customHeight="1">
      <c r="A814" s="134" t="str">
        <f>IF(I814&lt;&gt;"",COUNTA($I$2:I814),"")</f>
        <v/>
      </c>
      <c r="B814" s="138" t="str">
        <f t="shared" si="67"/>
        <v/>
      </c>
      <c r="C814" s="93" t="str">
        <f t="array" ref="C814">IF(E814="","",IF(M814&lt;&gt;"",
M814&amp;"/"&amp;SUMPRODUCT((M$2:M814=M814)*1)&amp;" - "&amp;(ROW()-2),
"إداري/"&amp;SUMPRODUCT((M$2:M814="")*1)&amp;" - "&amp;(ROW()-2)))</f>
        <v/>
      </c>
      <c r="D814" s="141" t="str">
        <f>IF(AND(G814="",H814="",I814=""),"",IF(COUNTIFS(LISTS!$A$2:$A$67,G814,LISTS!$B$2:$B$67,H814,LISTS!$C$2:$C$67,I814)=0,"✗ هرم",IF(NOT(OR(Z814="ممتاز 100%",Z814="جيد 80%",Z814="مقبول 60%",Z814="خطر 40%",Z814="")),"✗ قائمة R",IF(NOT(OR(AA814="ممتاز 100%",AA814="جيد 85%",AA814="مقبول 70%",AA814="ضعيف 50%",AA814="")),"✗ قائمة S",IF(NOT(OR(AB814="مكتمل 100%",AB814="جزئي 60%",AB814="معلق 30%",AB814="مفتوح 0%",AB814="")),"✗ قائمة T",IF(NOT(OR(AC814="لا خصم 0",AC814="تأخير −5",AC814="عجز −10",AC814="جودة −15",AC814="امتثال −20",AC814="مخالفة −25",AC814="")),"✗ قائمة U",IF(AND(X814="لا",AC814&lt;&gt;"",AC814&lt;&gt;"لا خصم 0"),"✗ خصم",IF(AND(X814="نعم",AC814="لا خصم 0"),"✗ خصم",IF(AND(Z814="ممتاز 100%",AA814="ممتاز 100%",AB814&lt;&gt;"",AB814&lt;&gt;"مكتمل 100%"),"✗ إغلاق",IFERROR(IF(LEN(_xlfn.TEXTJOIN("، ",TRUE,IF(E814="","التاريخ",""),IF(F814="","الوقت",""),IF(G814="","المركز",""),IF(H814="","الدائرة",""),IF(I814="","القسم",""),IF(J814="","المسؤول",""),IF(K814="","نوع النشاط",""),IF(L814="","المشروع",""),IF(N814="","الممول",""),IF(V814="","الموضوع",""),IF(W814="","الملاحظة",""),IF(X814="","مشكلة",""),IF(Y814="","الإجراء",""),IF(Z814="","التنفيذ",""),IF(AA814="","الجودة",""),IF(AB814="","الإغلاق",""),IF(AC814="","الخصم",""),IF(AND(COUNTA($O814:$U814)&gt;0,O814=""),"مدير المشروع",""),IF(AND(COUNTA($O814:$U814)&gt;0,P814=""),"المستفيدين",""),IF(AND(COUNTA($O814:$U814)&gt;0,Q814=""),"المناطق",""),IF(AND(COUNTA($O814:$U814)&gt;0,R814=""),"الميزانية",""),IF(AND(COUNTA($O814:$U814)&gt;0,S814=""),"نسبة الجاهزية",""),IF(AND(COUNTA($O814:$U814)&gt;0,T814=""),"حالة الجاهزية",""),IF(AND(COUNTA($O814:$U814)&gt;0,U814=""),"التوصيات","")))&gt;0,"✗ ناقص: "&amp;_xlfn.TEXTJOIN("، ",TRUE,IF(E814="","التاريخ",""),IF(F814="","الوقت",""),IF(G814="","المركز",""),IF(H814="","الدائرة",""),IF(I814="","القسم",""),IF(J814="","المسؤول",""),IF(K814="","نوع النشاط",""),IF(L814="","المشروع",""),IF(N814="","الممول",""),IF(V814="","الموضوع",""),IF(W814="","الملاحظة",""),IF(X814="","مشكلة",""),IF(Y814="","الإجراء",""),IF(Z814="","التنفيذ",""),IF(AA814="","الجودة",""),IF(AB814="","الإغلاق",""),IF(AC814="","الخصم",""),IF(AND(COUNTA($O814:$U814)&gt;0,O814=""),"مدير المشروع",""),IF(AND(COUNTA($O814:$U814)&gt;0,P814=""),"المستفيدين",""),IF(AND(COUNTA($O814:$U814)&gt;0,Q814=""),"المناطق",""),IF(AND(COUNTA($O814:$U814)&gt;0,R814=""),"الميزانية",""),IF(AND(COUNTA($O814:$U814)&gt;0,S814=""),"نسبة الجاهزية",""),IF(AND(COUNTA($O814:$U814)&gt;0,T814=""),"حالة الجاهزية",""),IF(AND(COUNTA($O814:$U814)&gt;0,U814=""),"التوصيات","")),"✓"),"✓"))))))))))</f>
        <v/>
      </c>
      <c r="E814" s="235"/>
      <c r="F814" s="236"/>
      <c r="G814" s="90"/>
      <c r="H814" s="239"/>
      <c r="I814" s="89"/>
      <c r="J814" s="142"/>
      <c r="K814" s="90"/>
      <c r="L814" s="90"/>
      <c r="M814" s="90"/>
      <c r="N814" s="89"/>
      <c r="O814" s="200"/>
      <c r="P814" s="201"/>
      <c r="Q814" s="201"/>
      <c r="R814" s="237"/>
      <c r="S814" s="202"/>
      <c r="T814" s="200"/>
      <c r="U814" s="203"/>
      <c r="V814" s="89"/>
      <c r="W814" s="89"/>
      <c r="X814" s="145"/>
      <c r="Y814" s="89"/>
      <c r="Z814" s="90"/>
      <c r="AA814" s="90"/>
      <c r="AB814" s="90"/>
      <c r="AC814" s="90"/>
      <c r="AD814" s="92"/>
      <c r="AE814" s="149" t="str">
        <f>IFERROR(VLOOKUP(Z814,LISTS!$AL$2:$AM$1000,2,FALSE()),"")</f>
        <v/>
      </c>
      <c r="AF814" s="151" t="str">
        <f>IFERROR(VLOOKUP(AA814,LISTS!$AO$2:$AP$1000,2,FALSE()),"")</f>
        <v/>
      </c>
      <c r="AG814" s="152" t="str">
        <f>IFERROR(VLOOKUP(AB814,LISTS!$AR$2:$AS$1000,2,FALSE()),"")</f>
        <v/>
      </c>
      <c r="AH814" s="154" t="str">
        <f>IFERROR(VLOOKUP(AC814,LISTS!$AU$2:$AV$1000,2,FALSE()),"")</f>
        <v/>
      </c>
      <c r="AI814" s="238" t="str">
        <f t="shared" si="63"/>
        <v>—</v>
      </c>
      <c r="AJ814" s="190" t="str">
        <f t="shared" si="64"/>
        <v>—</v>
      </c>
      <c r="AK814" s="157" t="str">
        <f t="shared" si="65"/>
        <v/>
      </c>
      <c r="AL814" s="160" t="str">
        <f t="shared" si="66"/>
        <v/>
      </c>
      <c r="AM814" s="210"/>
      <c r="AN814" s="209"/>
    </row>
    <row r="815" spans="1:40" ht="27.95" customHeight="1">
      <c r="A815" s="134" t="str">
        <f>IF(I815&lt;&gt;"",COUNTA($I$2:I815),"")</f>
        <v/>
      </c>
      <c r="B815" s="138" t="str">
        <f t="shared" si="67"/>
        <v/>
      </c>
      <c r="C815" s="93" t="str">
        <f t="array" ref="C815">IF(E815="","",IF(M815&lt;&gt;"",
M815&amp;"/"&amp;SUMPRODUCT((M$2:M815=M815)*1)&amp;" - "&amp;(ROW()-2),
"إداري/"&amp;SUMPRODUCT((M$2:M815="")*1)&amp;" - "&amp;(ROW()-2)))</f>
        <v/>
      </c>
      <c r="D815" s="141" t="str">
        <f>IF(AND(G815="",H815="",I815=""),"",IF(COUNTIFS(LISTS!$A$2:$A$67,G815,LISTS!$B$2:$B$67,H815,LISTS!$C$2:$C$67,I815)=0,"✗ هرم",IF(NOT(OR(Z815="ممتاز 100%",Z815="جيد 80%",Z815="مقبول 60%",Z815="خطر 40%",Z815="")),"✗ قائمة R",IF(NOT(OR(AA815="ممتاز 100%",AA815="جيد 85%",AA815="مقبول 70%",AA815="ضعيف 50%",AA815="")),"✗ قائمة S",IF(NOT(OR(AB815="مكتمل 100%",AB815="جزئي 60%",AB815="معلق 30%",AB815="مفتوح 0%",AB815="")),"✗ قائمة T",IF(NOT(OR(AC815="لا خصم 0",AC815="تأخير −5",AC815="عجز −10",AC815="جودة −15",AC815="امتثال −20",AC815="مخالفة −25",AC815="")),"✗ قائمة U",IF(AND(X815="لا",AC815&lt;&gt;"",AC815&lt;&gt;"لا خصم 0"),"✗ خصم",IF(AND(X815="نعم",AC815="لا خصم 0"),"✗ خصم",IF(AND(Z815="ممتاز 100%",AA815="ممتاز 100%",AB815&lt;&gt;"",AB815&lt;&gt;"مكتمل 100%"),"✗ إغلاق",IFERROR(IF(LEN(_xlfn.TEXTJOIN("، ",TRUE,IF(E815="","التاريخ",""),IF(F815="","الوقت",""),IF(G815="","المركز",""),IF(H815="","الدائرة",""),IF(I815="","القسم",""),IF(J815="","المسؤول",""),IF(K815="","نوع النشاط",""),IF(L815="","المشروع",""),IF(N815="","الممول",""),IF(V815="","الموضوع",""),IF(W815="","الملاحظة",""),IF(X815="","مشكلة",""),IF(Y815="","الإجراء",""),IF(Z815="","التنفيذ",""),IF(AA815="","الجودة",""),IF(AB815="","الإغلاق",""),IF(AC815="","الخصم",""),IF(AND(COUNTA($O815:$U815)&gt;0,O815=""),"مدير المشروع",""),IF(AND(COUNTA($O815:$U815)&gt;0,P815=""),"المستفيدين",""),IF(AND(COUNTA($O815:$U815)&gt;0,Q815=""),"المناطق",""),IF(AND(COUNTA($O815:$U815)&gt;0,R815=""),"الميزانية",""),IF(AND(COUNTA($O815:$U815)&gt;0,S815=""),"نسبة الجاهزية",""),IF(AND(COUNTA($O815:$U815)&gt;0,T815=""),"حالة الجاهزية",""),IF(AND(COUNTA($O815:$U815)&gt;0,U815=""),"التوصيات","")))&gt;0,"✗ ناقص: "&amp;_xlfn.TEXTJOIN("، ",TRUE,IF(E815="","التاريخ",""),IF(F815="","الوقت",""),IF(G815="","المركز",""),IF(H815="","الدائرة",""),IF(I815="","القسم",""),IF(J815="","المسؤول",""),IF(K815="","نوع النشاط",""),IF(L815="","المشروع",""),IF(N815="","الممول",""),IF(V815="","الموضوع",""),IF(W815="","الملاحظة",""),IF(X815="","مشكلة",""),IF(Y815="","الإجراء",""),IF(Z815="","التنفيذ",""),IF(AA815="","الجودة",""),IF(AB815="","الإغلاق",""),IF(AC815="","الخصم",""),IF(AND(COUNTA($O815:$U815)&gt;0,O815=""),"مدير المشروع",""),IF(AND(COUNTA($O815:$U815)&gt;0,P815=""),"المستفيدين",""),IF(AND(COUNTA($O815:$U815)&gt;0,Q815=""),"المناطق",""),IF(AND(COUNTA($O815:$U815)&gt;0,R815=""),"الميزانية",""),IF(AND(COUNTA($O815:$U815)&gt;0,S815=""),"نسبة الجاهزية",""),IF(AND(COUNTA($O815:$U815)&gt;0,T815=""),"حالة الجاهزية",""),IF(AND(COUNTA($O815:$U815)&gt;0,U815=""),"التوصيات","")),"✓"),"✓"))))))))))</f>
        <v/>
      </c>
      <c r="E815" s="235"/>
      <c r="F815" s="236"/>
      <c r="G815" s="90"/>
      <c r="H815" s="239"/>
      <c r="I815" s="89"/>
      <c r="J815" s="142"/>
      <c r="K815" s="90"/>
      <c r="L815" s="90"/>
      <c r="M815" s="90"/>
      <c r="N815" s="89"/>
      <c r="O815" s="200"/>
      <c r="P815" s="201"/>
      <c r="Q815" s="201"/>
      <c r="R815" s="237"/>
      <c r="S815" s="202"/>
      <c r="T815" s="200"/>
      <c r="U815" s="203"/>
      <c r="V815" s="89"/>
      <c r="W815" s="89"/>
      <c r="X815" s="145"/>
      <c r="Y815" s="89"/>
      <c r="Z815" s="90"/>
      <c r="AA815" s="90"/>
      <c r="AB815" s="90"/>
      <c r="AC815" s="90"/>
      <c r="AD815" s="92"/>
      <c r="AE815" s="149" t="str">
        <f>IFERROR(VLOOKUP(Z815,LISTS!$AL$2:$AM$1000,2,FALSE()),"")</f>
        <v/>
      </c>
      <c r="AF815" s="151" t="str">
        <f>IFERROR(VLOOKUP(AA815,LISTS!$AO$2:$AP$1000,2,FALSE()),"")</f>
        <v/>
      </c>
      <c r="AG815" s="152" t="str">
        <f>IFERROR(VLOOKUP(AB815,LISTS!$AR$2:$AS$1000,2,FALSE()),"")</f>
        <v/>
      </c>
      <c r="AH815" s="154" t="str">
        <f>IFERROR(VLOOKUP(AC815,LISTS!$AU$2:$AV$1000,2,FALSE()),"")</f>
        <v/>
      </c>
      <c r="AI815" s="238" t="str">
        <f t="shared" si="63"/>
        <v>—</v>
      </c>
      <c r="AJ815" s="190" t="str">
        <f t="shared" si="64"/>
        <v>—</v>
      </c>
      <c r="AK815" s="157" t="str">
        <f t="shared" si="65"/>
        <v/>
      </c>
      <c r="AL815" s="160" t="str">
        <f t="shared" si="66"/>
        <v/>
      </c>
      <c r="AM815" s="210"/>
      <c r="AN815" s="209"/>
    </row>
    <row r="816" spans="1:40" ht="27.95" customHeight="1">
      <c r="A816" s="134" t="str">
        <f>IF(I816&lt;&gt;"",COUNTA($I$2:I816),"")</f>
        <v/>
      </c>
      <c r="B816" s="138" t="str">
        <f t="shared" si="67"/>
        <v/>
      </c>
      <c r="C816" s="93" t="str">
        <f t="array" ref="C816">IF(E816="","",IF(M816&lt;&gt;"",
M816&amp;"/"&amp;SUMPRODUCT((M$2:M816=M816)*1)&amp;" - "&amp;(ROW()-2),
"إداري/"&amp;SUMPRODUCT((M$2:M816="")*1)&amp;" - "&amp;(ROW()-2)))</f>
        <v/>
      </c>
      <c r="D816" s="141" t="str">
        <f>IF(AND(G816="",H816="",I816=""),"",IF(COUNTIFS(LISTS!$A$2:$A$67,G816,LISTS!$B$2:$B$67,H816,LISTS!$C$2:$C$67,I816)=0,"✗ هرم",IF(NOT(OR(Z816="ممتاز 100%",Z816="جيد 80%",Z816="مقبول 60%",Z816="خطر 40%",Z816="")),"✗ قائمة R",IF(NOT(OR(AA816="ممتاز 100%",AA816="جيد 85%",AA816="مقبول 70%",AA816="ضعيف 50%",AA816="")),"✗ قائمة S",IF(NOT(OR(AB816="مكتمل 100%",AB816="جزئي 60%",AB816="معلق 30%",AB816="مفتوح 0%",AB816="")),"✗ قائمة T",IF(NOT(OR(AC816="لا خصم 0",AC816="تأخير −5",AC816="عجز −10",AC816="جودة −15",AC816="امتثال −20",AC816="مخالفة −25",AC816="")),"✗ قائمة U",IF(AND(X816="لا",AC816&lt;&gt;"",AC816&lt;&gt;"لا خصم 0"),"✗ خصم",IF(AND(X816="نعم",AC816="لا خصم 0"),"✗ خصم",IF(AND(Z816="ممتاز 100%",AA816="ممتاز 100%",AB816&lt;&gt;"",AB816&lt;&gt;"مكتمل 100%"),"✗ إغلاق",IFERROR(IF(LEN(_xlfn.TEXTJOIN("، ",TRUE,IF(E816="","التاريخ",""),IF(F816="","الوقت",""),IF(G816="","المركز",""),IF(H816="","الدائرة",""),IF(I816="","القسم",""),IF(J816="","المسؤول",""),IF(K816="","نوع النشاط",""),IF(L816="","المشروع",""),IF(N816="","الممول",""),IF(V816="","الموضوع",""),IF(W816="","الملاحظة",""),IF(X816="","مشكلة",""),IF(Y816="","الإجراء",""),IF(Z816="","التنفيذ",""),IF(AA816="","الجودة",""),IF(AB816="","الإغلاق",""),IF(AC816="","الخصم",""),IF(AND(COUNTA($O816:$U816)&gt;0,O816=""),"مدير المشروع",""),IF(AND(COUNTA($O816:$U816)&gt;0,P816=""),"المستفيدين",""),IF(AND(COUNTA($O816:$U816)&gt;0,Q816=""),"المناطق",""),IF(AND(COUNTA($O816:$U816)&gt;0,R816=""),"الميزانية",""),IF(AND(COUNTA($O816:$U816)&gt;0,S816=""),"نسبة الجاهزية",""),IF(AND(COUNTA($O816:$U816)&gt;0,T816=""),"حالة الجاهزية",""),IF(AND(COUNTA($O816:$U816)&gt;0,U816=""),"التوصيات","")))&gt;0,"✗ ناقص: "&amp;_xlfn.TEXTJOIN("، ",TRUE,IF(E816="","التاريخ",""),IF(F816="","الوقت",""),IF(G816="","المركز",""),IF(H816="","الدائرة",""),IF(I816="","القسم",""),IF(J816="","المسؤول",""),IF(K816="","نوع النشاط",""),IF(L816="","المشروع",""),IF(N816="","الممول",""),IF(V816="","الموضوع",""),IF(W816="","الملاحظة",""),IF(X816="","مشكلة",""),IF(Y816="","الإجراء",""),IF(Z816="","التنفيذ",""),IF(AA816="","الجودة",""),IF(AB816="","الإغلاق",""),IF(AC816="","الخصم",""),IF(AND(COUNTA($O816:$U816)&gt;0,O816=""),"مدير المشروع",""),IF(AND(COUNTA($O816:$U816)&gt;0,P816=""),"المستفيدين",""),IF(AND(COUNTA($O816:$U816)&gt;0,Q816=""),"المناطق",""),IF(AND(COUNTA($O816:$U816)&gt;0,R816=""),"الميزانية",""),IF(AND(COUNTA($O816:$U816)&gt;0,S816=""),"نسبة الجاهزية",""),IF(AND(COUNTA($O816:$U816)&gt;0,T816=""),"حالة الجاهزية",""),IF(AND(COUNTA($O816:$U816)&gt;0,U816=""),"التوصيات","")),"✓"),"✓"))))))))))</f>
        <v/>
      </c>
      <c r="E816" s="235"/>
      <c r="F816" s="236"/>
      <c r="G816" s="90"/>
      <c r="H816" s="239"/>
      <c r="I816" s="89"/>
      <c r="J816" s="142"/>
      <c r="K816" s="90"/>
      <c r="L816" s="90"/>
      <c r="M816" s="90"/>
      <c r="N816" s="89"/>
      <c r="O816" s="200"/>
      <c r="P816" s="201"/>
      <c r="Q816" s="201"/>
      <c r="R816" s="237"/>
      <c r="S816" s="202"/>
      <c r="T816" s="200"/>
      <c r="U816" s="203"/>
      <c r="V816" s="89"/>
      <c r="W816" s="89"/>
      <c r="X816" s="145"/>
      <c r="Y816" s="89"/>
      <c r="Z816" s="90"/>
      <c r="AA816" s="90"/>
      <c r="AB816" s="90"/>
      <c r="AC816" s="90"/>
      <c r="AD816" s="92"/>
      <c r="AE816" s="149" t="str">
        <f>IFERROR(VLOOKUP(Z816,LISTS!$AL$2:$AM$1000,2,FALSE()),"")</f>
        <v/>
      </c>
      <c r="AF816" s="151" t="str">
        <f>IFERROR(VLOOKUP(AA816,LISTS!$AO$2:$AP$1000,2,FALSE()),"")</f>
        <v/>
      </c>
      <c r="AG816" s="152" t="str">
        <f>IFERROR(VLOOKUP(AB816,LISTS!$AR$2:$AS$1000,2,FALSE()),"")</f>
        <v/>
      </c>
      <c r="AH816" s="154" t="str">
        <f>IFERROR(VLOOKUP(AC816,LISTS!$AU$2:$AV$1000,2,FALSE()),"")</f>
        <v/>
      </c>
      <c r="AI816" s="238" t="str">
        <f t="shared" si="63"/>
        <v>—</v>
      </c>
      <c r="AJ816" s="190" t="str">
        <f t="shared" si="64"/>
        <v>—</v>
      </c>
      <c r="AK816" s="157" t="str">
        <f t="shared" si="65"/>
        <v/>
      </c>
      <c r="AL816" s="160" t="str">
        <f t="shared" si="66"/>
        <v/>
      </c>
      <c r="AM816" s="210"/>
      <c r="AN816" s="209"/>
    </row>
    <row r="817" spans="1:40" ht="27.95" customHeight="1">
      <c r="A817" s="134" t="str">
        <f>IF(I817&lt;&gt;"",COUNTA($I$2:I817),"")</f>
        <v/>
      </c>
      <c r="B817" s="138" t="str">
        <f t="shared" si="67"/>
        <v/>
      </c>
      <c r="C817" s="93" t="str">
        <f t="array" ref="C817">IF(E817="","",IF(M817&lt;&gt;"",
M817&amp;"/"&amp;SUMPRODUCT((M$2:M817=M817)*1)&amp;" - "&amp;(ROW()-2),
"إداري/"&amp;SUMPRODUCT((M$2:M817="")*1)&amp;" - "&amp;(ROW()-2)))</f>
        <v/>
      </c>
      <c r="D817" s="141" t="str">
        <f>IF(AND(G817="",H817="",I817=""),"",IF(COUNTIFS(LISTS!$A$2:$A$67,G817,LISTS!$B$2:$B$67,H817,LISTS!$C$2:$C$67,I817)=0,"✗ هرم",IF(NOT(OR(Z817="ممتاز 100%",Z817="جيد 80%",Z817="مقبول 60%",Z817="خطر 40%",Z817="")),"✗ قائمة R",IF(NOT(OR(AA817="ممتاز 100%",AA817="جيد 85%",AA817="مقبول 70%",AA817="ضعيف 50%",AA817="")),"✗ قائمة S",IF(NOT(OR(AB817="مكتمل 100%",AB817="جزئي 60%",AB817="معلق 30%",AB817="مفتوح 0%",AB817="")),"✗ قائمة T",IF(NOT(OR(AC817="لا خصم 0",AC817="تأخير −5",AC817="عجز −10",AC817="جودة −15",AC817="امتثال −20",AC817="مخالفة −25",AC817="")),"✗ قائمة U",IF(AND(X817="لا",AC817&lt;&gt;"",AC817&lt;&gt;"لا خصم 0"),"✗ خصم",IF(AND(X817="نعم",AC817="لا خصم 0"),"✗ خصم",IF(AND(Z817="ممتاز 100%",AA817="ممتاز 100%",AB817&lt;&gt;"",AB817&lt;&gt;"مكتمل 100%"),"✗ إغلاق",IFERROR(IF(LEN(_xlfn.TEXTJOIN("، ",TRUE,IF(E817="","التاريخ",""),IF(F817="","الوقت",""),IF(G817="","المركز",""),IF(H817="","الدائرة",""),IF(I817="","القسم",""),IF(J817="","المسؤول",""),IF(K817="","نوع النشاط",""),IF(L817="","المشروع",""),IF(N817="","الممول",""),IF(V817="","الموضوع",""),IF(W817="","الملاحظة",""),IF(X817="","مشكلة",""),IF(Y817="","الإجراء",""),IF(Z817="","التنفيذ",""),IF(AA817="","الجودة",""),IF(AB817="","الإغلاق",""),IF(AC817="","الخصم",""),IF(AND(COUNTA($O817:$U817)&gt;0,O817=""),"مدير المشروع",""),IF(AND(COUNTA($O817:$U817)&gt;0,P817=""),"المستفيدين",""),IF(AND(COUNTA($O817:$U817)&gt;0,Q817=""),"المناطق",""),IF(AND(COUNTA($O817:$U817)&gt;0,R817=""),"الميزانية",""),IF(AND(COUNTA($O817:$U817)&gt;0,S817=""),"نسبة الجاهزية",""),IF(AND(COUNTA($O817:$U817)&gt;0,T817=""),"حالة الجاهزية",""),IF(AND(COUNTA($O817:$U817)&gt;0,U817=""),"التوصيات","")))&gt;0,"✗ ناقص: "&amp;_xlfn.TEXTJOIN("، ",TRUE,IF(E817="","التاريخ",""),IF(F817="","الوقت",""),IF(G817="","المركز",""),IF(H817="","الدائرة",""),IF(I817="","القسم",""),IF(J817="","المسؤول",""),IF(K817="","نوع النشاط",""),IF(L817="","المشروع",""),IF(N817="","الممول",""),IF(V817="","الموضوع",""),IF(W817="","الملاحظة",""),IF(X817="","مشكلة",""),IF(Y817="","الإجراء",""),IF(Z817="","التنفيذ",""),IF(AA817="","الجودة",""),IF(AB817="","الإغلاق",""),IF(AC817="","الخصم",""),IF(AND(COUNTA($O817:$U817)&gt;0,O817=""),"مدير المشروع",""),IF(AND(COUNTA($O817:$U817)&gt;0,P817=""),"المستفيدين",""),IF(AND(COUNTA($O817:$U817)&gt;0,Q817=""),"المناطق",""),IF(AND(COUNTA($O817:$U817)&gt;0,R817=""),"الميزانية",""),IF(AND(COUNTA($O817:$U817)&gt;0,S817=""),"نسبة الجاهزية",""),IF(AND(COUNTA($O817:$U817)&gt;0,T817=""),"حالة الجاهزية",""),IF(AND(COUNTA($O817:$U817)&gt;0,U817=""),"التوصيات","")),"✓"),"✓"))))))))))</f>
        <v/>
      </c>
      <c r="E817" s="235"/>
      <c r="F817" s="236"/>
      <c r="G817" s="90"/>
      <c r="H817" s="239"/>
      <c r="I817" s="89"/>
      <c r="J817" s="142"/>
      <c r="K817" s="90"/>
      <c r="L817" s="90"/>
      <c r="M817" s="90"/>
      <c r="N817" s="89"/>
      <c r="O817" s="200"/>
      <c r="P817" s="201"/>
      <c r="Q817" s="201"/>
      <c r="R817" s="237"/>
      <c r="S817" s="202"/>
      <c r="T817" s="200"/>
      <c r="U817" s="203"/>
      <c r="V817" s="89"/>
      <c r="W817" s="89"/>
      <c r="X817" s="145"/>
      <c r="Y817" s="89"/>
      <c r="Z817" s="90"/>
      <c r="AA817" s="90"/>
      <c r="AB817" s="90"/>
      <c r="AC817" s="90"/>
      <c r="AD817" s="92"/>
      <c r="AE817" s="149" t="str">
        <f>IFERROR(VLOOKUP(Z817,LISTS!$AL$2:$AM$1000,2,FALSE()),"")</f>
        <v/>
      </c>
      <c r="AF817" s="151" t="str">
        <f>IFERROR(VLOOKUP(AA817,LISTS!$AO$2:$AP$1000,2,FALSE()),"")</f>
        <v/>
      </c>
      <c r="AG817" s="152" t="str">
        <f>IFERROR(VLOOKUP(AB817,LISTS!$AR$2:$AS$1000,2,FALSE()),"")</f>
        <v/>
      </c>
      <c r="AH817" s="154" t="str">
        <f>IFERROR(VLOOKUP(AC817,LISTS!$AU$2:$AV$1000,2,FALSE()),"")</f>
        <v/>
      </c>
      <c r="AI817" s="238" t="str">
        <f t="shared" si="63"/>
        <v>—</v>
      </c>
      <c r="AJ817" s="190" t="str">
        <f t="shared" si="64"/>
        <v>—</v>
      </c>
      <c r="AK817" s="157" t="str">
        <f t="shared" si="65"/>
        <v/>
      </c>
      <c r="AL817" s="160" t="str">
        <f t="shared" si="66"/>
        <v/>
      </c>
      <c r="AM817" s="210"/>
      <c r="AN817" s="209"/>
    </row>
    <row r="818" spans="1:40" ht="27.95" customHeight="1">
      <c r="A818" s="134" t="str">
        <f>IF(I818&lt;&gt;"",COUNTA($I$2:I818),"")</f>
        <v/>
      </c>
      <c r="B818" s="138" t="str">
        <f t="shared" si="67"/>
        <v/>
      </c>
      <c r="C818" s="93" t="str">
        <f t="array" ref="C818">IF(E818="","",IF(M818&lt;&gt;"",
M818&amp;"/"&amp;SUMPRODUCT((M$2:M818=M818)*1)&amp;" - "&amp;(ROW()-2),
"إداري/"&amp;SUMPRODUCT((M$2:M818="")*1)&amp;" - "&amp;(ROW()-2)))</f>
        <v/>
      </c>
      <c r="D818" s="141" t="str">
        <f>IF(AND(G818="",H818="",I818=""),"",IF(COUNTIFS(LISTS!$A$2:$A$67,G818,LISTS!$B$2:$B$67,H818,LISTS!$C$2:$C$67,I818)=0,"✗ هرم",IF(NOT(OR(Z818="ممتاز 100%",Z818="جيد 80%",Z818="مقبول 60%",Z818="خطر 40%",Z818="")),"✗ قائمة R",IF(NOT(OR(AA818="ممتاز 100%",AA818="جيد 85%",AA818="مقبول 70%",AA818="ضعيف 50%",AA818="")),"✗ قائمة S",IF(NOT(OR(AB818="مكتمل 100%",AB818="جزئي 60%",AB818="معلق 30%",AB818="مفتوح 0%",AB818="")),"✗ قائمة T",IF(NOT(OR(AC818="لا خصم 0",AC818="تأخير −5",AC818="عجز −10",AC818="جودة −15",AC818="امتثال −20",AC818="مخالفة −25",AC818="")),"✗ قائمة U",IF(AND(X818="لا",AC818&lt;&gt;"",AC818&lt;&gt;"لا خصم 0"),"✗ خصم",IF(AND(X818="نعم",AC818="لا خصم 0"),"✗ خصم",IF(AND(Z818="ممتاز 100%",AA818="ممتاز 100%",AB818&lt;&gt;"",AB818&lt;&gt;"مكتمل 100%"),"✗ إغلاق",IFERROR(IF(LEN(_xlfn.TEXTJOIN("، ",TRUE,IF(E818="","التاريخ",""),IF(F818="","الوقت",""),IF(G818="","المركز",""),IF(H818="","الدائرة",""),IF(I818="","القسم",""),IF(J818="","المسؤول",""),IF(K818="","نوع النشاط",""),IF(L818="","المشروع",""),IF(N818="","الممول",""),IF(V818="","الموضوع",""),IF(W818="","الملاحظة",""),IF(X818="","مشكلة",""),IF(Y818="","الإجراء",""),IF(Z818="","التنفيذ",""),IF(AA818="","الجودة",""),IF(AB818="","الإغلاق",""),IF(AC818="","الخصم",""),IF(AND(COUNTA($O818:$U818)&gt;0,O818=""),"مدير المشروع",""),IF(AND(COUNTA($O818:$U818)&gt;0,P818=""),"المستفيدين",""),IF(AND(COUNTA($O818:$U818)&gt;0,Q818=""),"المناطق",""),IF(AND(COUNTA($O818:$U818)&gt;0,R818=""),"الميزانية",""),IF(AND(COUNTA($O818:$U818)&gt;0,S818=""),"نسبة الجاهزية",""),IF(AND(COUNTA($O818:$U818)&gt;0,T818=""),"حالة الجاهزية",""),IF(AND(COUNTA($O818:$U818)&gt;0,U818=""),"التوصيات","")))&gt;0,"✗ ناقص: "&amp;_xlfn.TEXTJOIN("، ",TRUE,IF(E818="","التاريخ",""),IF(F818="","الوقت",""),IF(G818="","المركز",""),IF(H818="","الدائرة",""),IF(I818="","القسم",""),IF(J818="","المسؤول",""),IF(K818="","نوع النشاط",""),IF(L818="","المشروع",""),IF(N818="","الممول",""),IF(V818="","الموضوع",""),IF(W818="","الملاحظة",""),IF(X818="","مشكلة",""),IF(Y818="","الإجراء",""),IF(Z818="","التنفيذ",""),IF(AA818="","الجودة",""),IF(AB818="","الإغلاق",""),IF(AC818="","الخصم",""),IF(AND(COUNTA($O818:$U818)&gt;0,O818=""),"مدير المشروع",""),IF(AND(COUNTA($O818:$U818)&gt;0,P818=""),"المستفيدين",""),IF(AND(COUNTA($O818:$U818)&gt;0,Q818=""),"المناطق",""),IF(AND(COUNTA($O818:$U818)&gt;0,R818=""),"الميزانية",""),IF(AND(COUNTA($O818:$U818)&gt;0,S818=""),"نسبة الجاهزية",""),IF(AND(COUNTA($O818:$U818)&gt;0,T818=""),"حالة الجاهزية",""),IF(AND(COUNTA($O818:$U818)&gt;0,U818=""),"التوصيات","")),"✓"),"✓"))))))))))</f>
        <v/>
      </c>
      <c r="E818" s="235"/>
      <c r="F818" s="236"/>
      <c r="G818" s="90"/>
      <c r="H818" s="239"/>
      <c r="I818" s="89"/>
      <c r="J818" s="142"/>
      <c r="K818" s="90"/>
      <c r="L818" s="90"/>
      <c r="M818" s="90"/>
      <c r="N818" s="89"/>
      <c r="O818" s="200"/>
      <c r="P818" s="201"/>
      <c r="Q818" s="201"/>
      <c r="R818" s="237"/>
      <c r="S818" s="202"/>
      <c r="T818" s="200"/>
      <c r="U818" s="203"/>
      <c r="V818" s="89"/>
      <c r="W818" s="89"/>
      <c r="X818" s="145"/>
      <c r="Y818" s="89"/>
      <c r="Z818" s="90"/>
      <c r="AA818" s="90"/>
      <c r="AB818" s="90"/>
      <c r="AC818" s="90"/>
      <c r="AD818" s="92"/>
      <c r="AE818" s="149" t="str">
        <f>IFERROR(VLOOKUP(Z818,LISTS!$AL$2:$AM$1000,2,FALSE()),"")</f>
        <v/>
      </c>
      <c r="AF818" s="151" t="str">
        <f>IFERROR(VLOOKUP(AA818,LISTS!$AO$2:$AP$1000,2,FALSE()),"")</f>
        <v/>
      </c>
      <c r="AG818" s="152" t="str">
        <f>IFERROR(VLOOKUP(AB818,LISTS!$AR$2:$AS$1000,2,FALSE()),"")</f>
        <v/>
      </c>
      <c r="AH818" s="154" t="str">
        <f>IFERROR(VLOOKUP(AC818,LISTS!$AU$2:$AV$1000,2,FALSE()),"")</f>
        <v/>
      </c>
      <c r="AI818" s="238" t="str">
        <f t="shared" si="63"/>
        <v>—</v>
      </c>
      <c r="AJ818" s="190" t="str">
        <f t="shared" si="64"/>
        <v>—</v>
      </c>
      <c r="AK818" s="157" t="str">
        <f t="shared" si="65"/>
        <v/>
      </c>
      <c r="AL818" s="160" t="str">
        <f t="shared" si="66"/>
        <v/>
      </c>
      <c r="AM818" s="210"/>
      <c r="AN818" s="209"/>
    </row>
    <row r="819" spans="1:40" ht="27.95" customHeight="1">
      <c r="A819" s="134" t="str">
        <f>IF(I819&lt;&gt;"",COUNTA($I$2:I819),"")</f>
        <v/>
      </c>
      <c r="B819" s="138" t="str">
        <f t="shared" si="67"/>
        <v/>
      </c>
      <c r="C819" s="93" t="str">
        <f t="array" ref="C819">IF(E819="","",IF(M819&lt;&gt;"",
M819&amp;"/"&amp;SUMPRODUCT((M$2:M819=M819)*1)&amp;" - "&amp;(ROW()-2),
"إداري/"&amp;SUMPRODUCT((M$2:M819="")*1)&amp;" - "&amp;(ROW()-2)))</f>
        <v/>
      </c>
      <c r="D819" s="141" t="str">
        <f>IF(AND(G819="",H819="",I819=""),"",IF(COUNTIFS(LISTS!$A$2:$A$67,G819,LISTS!$B$2:$B$67,H819,LISTS!$C$2:$C$67,I819)=0,"✗ هرم",IF(NOT(OR(Z819="ممتاز 100%",Z819="جيد 80%",Z819="مقبول 60%",Z819="خطر 40%",Z819="")),"✗ قائمة R",IF(NOT(OR(AA819="ممتاز 100%",AA819="جيد 85%",AA819="مقبول 70%",AA819="ضعيف 50%",AA819="")),"✗ قائمة S",IF(NOT(OR(AB819="مكتمل 100%",AB819="جزئي 60%",AB819="معلق 30%",AB819="مفتوح 0%",AB819="")),"✗ قائمة T",IF(NOT(OR(AC819="لا خصم 0",AC819="تأخير −5",AC819="عجز −10",AC819="جودة −15",AC819="امتثال −20",AC819="مخالفة −25",AC819="")),"✗ قائمة U",IF(AND(X819="لا",AC819&lt;&gt;"",AC819&lt;&gt;"لا خصم 0"),"✗ خصم",IF(AND(X819="نعم",AC819="لا خصم 0"),"✗ خصم",IF(AND(Z819="ممتاز 100%",AA819="ممتاز 100%",AB819&lt;&gt;"",AB819&lt;&gt;"مكتمل 100%"),"✗ إغلاق",IFERROR(IF(LEN(_xlfn.TEXTJOIN("، ",TRUE,IF(E819="","التاريخ",""),IF(F819="","الوقت",""),IF(G819="","المركز",""),IF(H819="","الدائرة",""),IF(I819="","القسم",""),IF(J819="","المسؤول",""),IF(K819="","نوع النشاط",""),IF(L819="","المشروع",""),IF(N819="","الممول",""),IF(V819="","الموضوع",""),IF(W819="","الملاحظة",""),IF(X819="","مشكلة",""),IF(Y819="","الإجراء",""),IF(Z819="","التنفيذ",""),IF(AA819="","الجودة",""),IF(AB819="","الإغلاق",""),IF(AC819="","الخصم",""),IF(AND(COUNTA($O819:$U819)&gt;0,O819=""),"مدير المشروع",""),IF(AND(COUNTA($O819:$U819)&gt;0,P819=""),"المستفيدين",""),IF(AND(COUNTA($O819:$U819)&gt;0,Q819=""),"المناطق",""),IF(AND(COUNTA($O819:$U819)&gt;0,R819=""),"الميزانية",""),IF(AND(COUNTA($O819:$U819)&gt;0,S819=""),"نسبة الجاهزية",""),IF(AND(COUNTA($O819:$U819)&gt;0,T819=""),"حالة الجاهزية",""),IF(AND(COUNTA($O819:$U819)&gt;0,U819=""),"التوصيات","")))&gt;0,"✗ ناقص: "&amp;_xlfn.TEXTJOIN("، ",TRUE,IF(E819="","التاريخ",""),IF(F819="","الوقت",""),IF(G819="","المركز",""),IF(H819="","الدائرة",""),IF(I819="","القسم",""),IF(J819="","المسؤول",""),IF(K819="","نوع النشاط",""),IF(L819="","المشروع",""),IF(N819="","الممول",""),IF(V819="","الموضوع",""),IF(W819="","الملاحظة",""),IF(X819="","مشكلة",""),IF(Y819="","الإجراء",""),IF(Z819="","التنفيذ",""),IF(AA819="","الجودة",""),IF(AB819="","الإغلاق",""),IF(AC819="","الخصم",""),IF(AND(COUNTA($O819:$U819)&gt;0,O819=""),"مدير المشروع",""),IF(AND(COUNTA($O819:$U819)&gt;0,P819=""),"المستفيدين",""),IF(AND(COUNTA($O819:$U819)&gt;0,Q819=""),"المناطق",""),IF(AND(COUNTA($O819:$U819)&gt;0,R819=""),"الميزانية",""),IF(AND(COUNTA($O819:$U819)&gt;0,S819=""),"نسبة الجاهزية",""),IF(AND(COUNTA($O819:$U819)&gt;0,T819=""),"حالة الجاهزية",""),IF(AND(COUNTA($O819:$U819)&gt;0,U819=""),"التوصيات","")),"✓"),"✓"))))))))))</f>
        <v/>
      </c>
      <c r="E819" s="235"/>
      <c r="F819" s="236"/>
      <c r="G819" s="90"/>
      <c r="H819" s="239"/>
      <c r="I819" s="89"/>
      <c r="J819" s="142"/>
      <c r="K819" s="90"/>
      <c r="L819" s="90"/>
      <c r="M819" s="90"/>
      <c r="N819" s="89"/>
      <c r="O819" s="200"/>
      <c r="P819" s="201"/>
      <c r="Q819" s="201"/>
      <c r="R819" s="237"/>
      <c r="S819" s="202"/>
      <c r="T819" s="200"/>
      <c r="U819" s="203"/>
      <c r="V819" s="89"/>
      <c r="W819" s="89"/>
      <c r="X819" s="145"/>
      <c r="Y819" s="89"/>
      <c r="Z819" s="90"/>
      <c r="AA819" s="90"/>
      <c r="AB819" s="90"/>
      <c r="AC819" s="90"/>
      <c r="AD819" s="92"/>
      <c r="AE819" s="149" t="str">
        <f>IFERROR(VLOOKUP(Z819,LISTS!$AL$2:$AM$1000,2,FALSE()),"")</f>
        <v/>
      </c>
      <c r="AF819" s="151" t="str">
        <f>IFERROR(VLOOKUP(AA819,LISTS!$AO$2:$AP$1000,2,FALSE()),"")</f>
        <v/>
      </c>
      <c r="AG819" s="152" t="str">
        <f>IFERROR(VLOOKUP(AB819,LISTS!$AR$2:$AS$1000,2,FALSE()),"")</f>
        <v/>
      </c>
      <c r="AH819" s="154" t="str">
        <f>IFERROR(VLOOKUP(AC819,LISTS!$AU$2:$AV$1000,2,FALSE()),"")</f>
        <v/>
      </c>
      <c r="AI819" s="238" t="str">
        <f t="shared" si="63"/>
        <v>—</v>
      </c>
      <c r="AJ819" s="190" t="str">
        <f t="shared" si="64"/>
        <v>—</v>
      </c>
      <c r="AK819" s="157" t="str">
        <f t="shared" si="65"/>
        <v/>
      </c>
      <c r="AL819" s="160" t="str">
        <f t="shared" si="66"/>
        <v/>
      </c>
      <c r="AM819" s="210"/>
      <c r="AN819" s="209"/>
    </row>
    <row r="820" spans="1:40" ht="27.95" customHeight="1">
      <c r="A820" s="134" t="str">
        <f>IF(I820&lt;&gt;"",COUNTA($I$2:I820),"")</f>
        <v/>
      </c>
      <c r="B820" s="138" t="str">
        <f t="shared" si="67"/>
        <v/>
      </c>
      <c r="C820" s="93" t="str">
        <f t="array" ref="C820">IF(E820="","",IF(M820&lt;&gt;"",
M820&amp;"/"&amp;SUMPRODUCT((M$2:M820=M820)*1)&amp;" - "&amp;(ROW()-2),
"إداري/"&amp;SUMPRODUCT((M$2:M820="")*1)&amp;" - "&amp;(ROW()-2)))</f>
        <v/>
      </c>
      <c r="D820" s="141" t="str">
        <f>IF(AND(G820="",H820="",I820=""),"",IF(COUNTIFS(LISTS!$A$2:$A$67,G820,LISTS!$B$2:$B$67,H820,LISTS!$C$2:$C$67,I820)=0,"✗ هرم",IF(NOT(OR(Z820="ممتاز 100%",Z820="جيد 80%",Z820="مقبول 60%",Z820="خطر 40%",Z820="")),"✗ قائمة R",IF(NOT(OR(AA820="ممتاز 100%",AA820="جيد 85%",AA820="مقبول 70%",AA820="ضعيف 50%",AA820="")),"✗ قائمة S",IF(NOT(OR(AB820="مكتمل 100%",AB820="جزئي 60%",AB820="معلق 30%",AB820="مفتوح 0%",AB820="")),"✗ قائمة T",IF(NOT(OR(AC820="لا خصم 0",AC820="تأخير −5",AC820="عجز −10",AC820="جودة −15",AC820="امتثال −20",AC820="مخالفة −25",AC820="")),"✗ قائمة U",IF(AND(X820="لا",AC820&lt;&gt;"",AC820&lt;&gt;"لا خصم 0"),"✗ خصم",IF(AND(X820="نعم",AC820="لا خصم 0"),"✗ خصم",IF(AND(Z820="ممتاز 100%",AA820="ممتاز 100%",AB820&lt;&gt;"",AB820&lt;&gt;"مكتمل 100%"),"✗ إغلاق",IFERROR(IF(LEN(_xlfn.TEXTJOIN("، ",TRUE,IF(E820="","التاريخ",""),IF(F820="","الوقت",""),IF(G820="","المركز",""),IF(H820="","الدائرة",""),IF(I820="","القسم",""),IF(J820="","المسؤول",""),IF(K820="","نوع النشاط",""),IF(L820="","المشروع",""),IF(N820="","الممول",""),IF(V820="","الموضوع",""),IF(W820="","الملاحظة",""),IF(X820="","مشكلة",""),IF(Y820="","الإجراء",""),IF(Z820="","التنفيذ",""),IF(AA820="","الجودة",""),IF(AB820="","الإغلاق",""),IF(AC820="","الخصم",""),IF(AND(COUNTA($O820:$U820)&gt;0,O820=""),"مدير المشروع",""),IF(AND(COUNTA($O820:$U820)&gt;0,P820=""),"المستفيدين",""),IF(AND(COUNTA($O820:$U820)&gt;0,Q820=""),"المناطق",""),IF(AND(COUNTA($O820:$U820)&gt;0,R820=""),"الميزانية",""),IF(AND(COUNTA($O820:$U820)&gt;0,S820=""),"نسبة الجاهزية",""),IF(AND(COUNTA($O820:$U820)&gt;0,T820=""),"حالة الجاهزية",""),IF(AND(COUNTA($O820:$U820)&gt;0,U820=""),"التوصيات","")))&gt;0,"✗ ناقص: "&amp;_xlfn.TEXTJOIN("، ",TRUE,IF(E820="","التاريخ",""),IF(F820="","الوقت",""),IF(G820="","المركز",""),IF(H820="","الدائرة",""),IF(I820="","القسم",""),IF(J820="","المسؤول",""),IF(K820="","نوع النشاط",""),IF(L820="","المشروع",""),IF(N820="","الممول",""),IF(V820="","الموضوع",""),IF(W820="","الملاحظة",""),IF(X820="","مشكلة",""),IF(Y820="","الإجراء",""),IF(Z820="","التنفيذ",""),IF(AA820="","الجودة",""),IF(AB820="","الإغلاق",""),IF(AC820="","الخصم",""),IF(AND(COUNTA($O820:$U820)&gt;0,O820=""),"مدير المشروع",""),IF(AND(COUNTA($O820:$U820)&gt;0,P820=""),"المستفيدين",""),IF(AND(COUNTA($O820:$U820)&gt;0,Q820=""),"المناطق",""),IF(AND(COUNTA($O820:$U820)&gt;0,R820=""),"الميزانية",""),IF(AND(COUNTA($O820:$U820)&gt;0,S820=""),"نسبة الجاهزية",""),IF(AND(COUNTA($O820:$U820)&gt;0,T820=""),"حالة الجاهزية",""),IF(AND(COUNTA($O820:$U820)&gt;0,U820=""),"التوصيات","")),"✓"),"✓"))))))))))</f>
        <v/>
      </c>
      <c r="E820" s="235"/>
      <c r="F820" s="236"/>
      <c r="G820" s="90"/>
      <c r="H820" s="239"/>
      <c r="I820" s="89"/>
      <c r="J820" s="142"/>
      <c r="K820" s="90"/>
      <c r="L820" s="90"/>
      <c r="M820" s="90"/>
      <c r="N820" s="89"/>
      <c r="O820" s="200"/>
      <c r="P820" s="201"/>
      <c r="Q820" s="201"/>
      <c r="R820" s="237"/>
      <c r="S820" s="202"/>
      <c r="T820" s="200"/>
      <c r="U820" s="203"/>
      <c r="V820" s="89"/>
      <c r="W820" s="89"/>
      <c r="X820" s="145"/>
      <c r="Y820" s="89"/>
      <c r="Z820" s="90"/>
      <c r="AA820" s="90"/>
      <c r="AB820" s="90"/>
      <c r="AC820" s="90"/>
      <c r="AD820" s="92"/>
      <c r="AE820" s="149" t="str">
        <f>IFERROR(VLOOKUP(Z820,LISTS!$AL$2:$AM$1000,2,FALSE()),"")</f>
        <v/>
      </c>
      <c r="AF820" s="151" t="str">
        <f>IFERROR(VLOOKUP(AA820,LISTS!$AO$2:$AP$1000,2,FALSE()),"")</f>
        <v/>
      </c>
      <c r="AG820" s="152" t="str">
        <f>IFERROR(VLOOKUP(AB820,LISTS!$AR$2:$AS$1000,2,FALSE()),"")</f>
        <v/>
      </c>
      <c r="AH820" s="154" t="str">
        <f>IFERROR(VLOOKUP(AC820,LISTS!$AU$2:$AV$1000,2,FALSE()),"")</f>
        <v/>
      </c>
      <c r="AI820" s="238" t="str">
        <f t="shared" si="63"/>
        <v>—</v>
      </c>
      <c r="AJ820" s="190" t="str">
        <f t="shared" si="64"/>
        <v>—</v>
      </c>
      <c r="AK820" s="157" t="str">
        <f t="shared" si="65"/>
        <v/>
      </c>
      <c r="AL820" s="160" t="str">
        <f t="shared" si="66"/>
        <v/>
      </c>
      <c r="AM820" s="210"/>
      <c r="AN820" s="209"/>
    </row>
    <row r="821" spans="1:40" ht="27.95" customHeight="1">
      <c r="A821" s="134" t="str">
        <f>IF(I821&lt;&gt;"",COUNTA($I$2:I821),"")</f>
        <v/>
      </c>
      <c r="B821" s="138" t="str">
        <f t="shared" si="67"/>
        <v/>
      </c>
      <c r="C821" s="93" t="str">
        <f t="array" ref="C821">IF(E821="","",IF(M821&lt;&gt;"",
M821&amp;"/"&amp;SUMPRODUCT((M$2:M821=M821)*1)&amp;" - "&amp;(ROW()-2),
"إداري/"&amp;SUMPRODUCT((M$2:M821="")*1)&amp;" - "&amp;(ROW()-2)))</f>
        <v/>
      </c>
      <c r="D821" s="141" t="str">
        <f>IF(AND(G821="",H821="",I821=""),"",IF(COUNTIFS(LISTS!$A$2:$A$67,G821,LISTS!$B$2:$B$67,H821,LISTS!$C$2:$C$67,I821)=0,"✗ هرم",IF(NOT(OR(Z821="ممتاز 100%",Z821="جيد 80%",Z821="مقبول 60%",Z821="خطر 40%",Z821="")),"✗ قائمة R",IF(NOT(OR(AA821="ممتاز 100%",AA821="جيد 85%",AA821="مقبول 70%",AA821="ضعيف 50%",AA821="")),"✗ قائمة S",IF(NOT(OR(AB821="مكتمل 100%",AB821="جزئي 60%",AB821="معلق 30%",AB821="مفتوح 0%",AB821="")),"✗ قائمة T",IF(NOT(OR(AC821="لا خصم 0",AC821="تأخير −5",AC821="عجز −10",AC821="جودة −15",AC821="امتثال −20",AC821="مخالفة −25",AC821="")),"✗ قائمة U",IF(AND(X821="لا",AC821&lt;&gt;"",AC821&lt;&gt;"لا خصم 0"),"✗ خصم",IF(AND(X821="نعم",AC821="لا خصم 0"),"✗ خصم",IF(AND(Z821="ممتاز 100%",AA821="ممتاز 100%",AB821&lt;&gt;"",AB821&lt;&gt;"مكتمل 100%"),"✗ إغلاق",IFERROR(IF(LEN(_xlfn.TEXTJOIN("، ",TRUE,IF(E821="","التاريخ",""),IF(F821="","الوقت",""),IF(G821="","المركز",""),IF(H821="","الدائرة",""),IF(I821="","القسم",""),IF(J821="","المسؤول",""),IF(K821="","نوع النشاط",""),IF(L821="","المشروع",""),IF(N821="","الممول",""),IF(V821="","الموضوع",""),IF(W821="","الملاحظة",""),IF(X821="","مشكلة",""),IF(Y821="","الإجراء",""),IF(Z821="","التنفيذ",""),IF(AA821="","الجودة",""),IF(AB821="","الإغلاق",""),IF(AC821="","الخصم",""),IF(AND(COUNTA($O821:$U821)&gt;0,O821=""),"مدير المشروع",""),IF(AND(COUNTA($O821:$U821)&gt;0,P821=""),"المستفيدين",""),IF(AND(COUNTA($O821:$U821)&gt;0,Q821=""),"المناطق",""),IF(AND(COUNTA($O821:$U821)&gt;0,R821=""),"الميزانية",""),IF(AND(COUNTA($O821:$U821)&gt;0,S821=""),"نسبة الجاهزية",""),IF(AND(COUNTA($O821:$U821)&gt;0,T821=""),"حالة الجاهزية",""),IF(AND(COUNTA($O821:$U821)&gt;0,U821=""),"التوصيات","")))&gt;0,"✗ ناقص: "&amp;_xlfn.TEXTJOIN("، ",TRUE,IF(E821="","التاريخ",""),IF(F821="","الوقت",""),IF(G821="","المركز",""),IF(H821="","الدائرة",""),IF(I821="","القسم",""),IF(J821="","المسؤول",""),IF(K821="","نوع النشاط",""),IF(L821="","المشروع",""),IF(N821="","الممول",""),IF(V821="","الموضوع",""),IF(W821="","الملاحظة",""),IF(X821="","مشكلة",""),IF(Y821="","الإجراء",""),IF(Z821="","التنفيذ",""),IF(AA821="","الجودة",""),IF(AB821="","الإغلاق",""),IF(AC821="","الخصم",""),IF(AND(COUNTA($O821:$U821)&gt;0,O821=""),"مدير المشروع",""),IF(AND(COUNTA($O821:$U821)&gt;0,P821=""),"المستفيدين",""),IF(AND(COUNTA($O821:$U821)&gt;0,Q821=""),"المناطق",""),IF(AND(COUNTA($O821:$U821)&gt;0,R821=""),"الميزانية",""),IF(AND(COUNTA($O821:$U821)&gt;0,S821=""),"نسبة الجاهزية",""),IF(AND(COUNTA($O821:$U821)&gt;0,T821=""),"حالة الجاهزية",""),IF(AND(COUNTA($O821:$U821)&gt;0,U821=""),"التوصيات","")),"✓"),"✓"))))))))))</f>
        <v/>
      </c>
      <c r="E821" s="235"/>
      <c r="F821" s="236"/>
      <c r="G821" s="90"/>
      <c r="H821" s="239"/>
      <c r="I821" s="89"/>
      <c r="J821" s="142"/>
      <c r="K821" s="90"/>
      <c r="L821" s="90"/>
      <c r="M821" s="90"/>
      <c r="N821" s="89"/>
      <c r="O821" s="200"/>
      <c r="P821" s="201"/>
      <c r="Q821" s="201"/>
      <c r="R821" s="237"/>
      <c r="S821" s="202"/>
      <c r="T821" s="200"/>
      <c r="U821" s="203"/>
      <c r="V821" s="89"/>
      <c r="W821" s="89"/>
      <c r="X821" s="145"/>
      <c r="Y821" s="89"/>
      <c r="Z821" s="90"/>
      <c r="AA821" s="90"/>
      <c r="AB821" s="90"/>
      <c r="AC821" s="90"/>
      <c r="AD821" s="92"/>
      <c r="AE821" s="149" t="str">
        <f>IFERROR(VLOOKUP(Z821,LISTS!$AL$2:$AM$1000,2,FALSE()),"")</f>
        <v/>
      </c>
      <c r="AF821" s="151" t="str">
        <f>IFERROR(VLOOKUP(AA821,LISTS!$AO$2:$AP$1000,2,FALSE()),"")</f>
        <v/>
      </c>
      <c r="AG821" s="152" t="str">
        <f>IFERROR(VLOOKUP(AB821,LISTS!$AR$2:$AS$1000,2,FALSE()),"")</f>
        <v/>
      </c>
      <c r="AH821" s="154" t="str">
        <f>IFERROR(VLOOKUP(AC821,LISTS!$AU$2:$AV$1000,2,FALSE()),"")</f>
        <v/>
      </c>
      <c r="AI821" s="238" t="str">
        <f t="shared" si="63"/>
        <v>—</v>
      </c>
      <c r="AJ821" s="190" t="str">
        <f t="shared" si="64"/>
        <v>—</v>
      </c>
      <c r="AK821" s="157" t="str">
        <f t="shared" si="65"/>
        <v/>
      </c>
      <c r="AL821" s="160" t="str">
        <f t="shared" si="66"/>
        <v/>
      </c>
      <c r="AM821" s="210"/>
      <c r="AN821" s="209"/>
    </row>
    <row r="822" spans="1:40" ht="27.95" customHeight="1">
      <c r="A822" s="134" t="str">
        <f>IF(I822&lt;&gt;"",COUNTA($I$2:I822),"")</f>
        <v/>
      </c>
      <c r="B822" s="138" t="str">
        <f t="shared" si="67"/>
        <v/>
      </c>
      <c r="C822" s="93" t="str">
        <f t="array" ref="C822">IF(E822="","",IF(M822&lt;&gt;"",
M822&amp;"/"&amp;SUMPRODUCT((M$2:M822=M822)*1)&amp;" - "&amp;(ROW()-2),
"إداري/"&amp;SUMPRODUCT((M$2:M822="")*1)&amp;" - "&amp;(ROW()-2)))</f>
        <v/>
      </c>
      <c r="D822" s="141" t="str">
        <f>IF(AND(G822="",H822="",I822=""),"",IF(COUNTIFS(LISTS!$A$2:$A$67,G822,LISTS!$B$2:$B$67,H822,LISTS!$C$2:$C$67,I822)=0,"✗ هرم",IF(NOT(OR(Z822="ممتاز 100%",Z822="جيد 80%",Z822="مقبول 60%",Z822="خطر 40%",Z822="")),"✗ قائمة R",IF(NOT(OR(AA822="ممتاز 100%",AA822="جيد 85%",AA822="مقبول 70%",AA822="ضعيف 50%",AA822="")),"✗ قائمة S",IF(NOT(OR(AB822="مكتمل 100%",AB822="جزئي 60%",AB822="معلق 30%",AB822="مفتوح 0%",AB822="")),"✗ قائمة T",IF(NOT(OR(AC822="لا خصم 0",AC822="تأخير −5",AC822="عجز −10",AC822="جودة −15",AC822="امتثال −20",AC822="مخالفة −25",AC822="")),"✗ قائمة U",IF(AND(X822="لا",AC822&lt;&gt;"",AC822&lt;&gt;"لا خصم 0"),"✗ خصم",IF(AND(X822="نعم",AC822="لا خصم 0"),"✗ خصم",IF(AND(Z822="ممتاز 100%",AA822="ممتاز 100%",AB822&lt;&gt;"",AB822&lt;&gt;"مكتمل 100%"),"✗ إغلاق",IFERROR(IF(LEN(_xlfn.TEXTJOIN("، ",TRUE,IF(E822="","التاريخ",""),IF(F822="","الوقت",""),IF(G822="","المركز",""),IF(H822="","الدائرة",""),IF(I822="","القسم",""),IF(J822="","المسؤول",""),IF(K822="","نوع النشاط",""),IF(L822="","المشروع",""),IF(N822="","الممول",""),IF(V822="","الموضوع",""),IF(W822="","الملاحظة",""),IF(X822="","مشكلة",""),IF(Y822="","الإجراء",""),IF(Z822="","التنفيذ",""),IF(AA822="","الجودة",""),IF(AB822="","الإغلاق",""),IF(AC822="","الخصم",""),IF(AND(COUNTA($O822:$U822)&gt;0,O822=""),"مدير المشروع",""),IF(AND(COUNTA($O822:$U822)&gt;0,P822=""),"المستفيدين",""),IF(AND(COUNTA($O822:$U822)&gt;0,Q822=""),"المناطق",""),IF(AND(COUNTA($O822:$U822)&gt;0,R822=""),"الميزانية",""),IF(AND(COUNTA($O822:$U822)&gt;0,S822=""),"نسبة الجاهزية",""),IF(AND(COUNTA($O822:$U822)&gt;0,T822=""),"حالة الجاهزية",""),IF(AND(COUNTA($O822:$U822)&gt;0,U822=""),"التوصيات","")))&gt;0,"✗ ناقص: "&amp;_xlfn.TEXTJOIN("، ",TRUE,IF(E822="","التاريخ",""),IF(F822="","الوقت",""),IF(G822="","المركز",""),IF(H822="","الدائرة",""),IF(I822="","القسم",""),IF(J822="","المسؤول",""),IF(K822="","نوع النشاط",""),IF(L822="","المشروع",""),IF(N822="","الممول",""),IF(V822="","الموضوع",""),IF(W822="","الملاحظة",""),IF(X822="","مشكلة",""),IF(Y822="","الإجراء",""),IF(Z822="","التنفيذ",""),IF(AA822="","الجودة",""),IF(AB822="","الإغلاق",""),IF(AC822="","الخصم",""),IF(AND(COUNTA($O822:$U822)&gt;0,O822=""),"مدير المشروع",""),IF(AND(COUNTA($O822:$U822)&gt;0,P822=""),"المستفيدين",""),IF(AND(COUNTA($O822:$U822)&gt;0,Q822=""),"المناطق",""),IF(AND(COUNTA($O822:$U822)&gt;0,R822=""),"الميزانية",""),IF(AND(COUNTA($O822:$U822)&gt;0,S822=""),"نسبة الجاهزية",""),IF(AND(COUNTA($O822:$U822)&gt;0,T822=""),"حالة الجاهزية",""),IF(AND(COUNTA($O822:$U822)&gt;0,U822=""),"التوصيات","")),"✓"),"✓"))))))))))</f>
        <v/>
      </c>
      <c r="E822" s="235"/>
      <c r="F822" s="236"/>
      <c r="G822" s="90"/>
      <c r="H822" s="239"/>
      <c r="I822" s="89"/>
      <c r="J822" s="142"/>
      <c r="K822" s="90"/>
      <c r="L822" s="90"/>
      <c r="M822" s="90"/>
      <c r="N822" s="89"/>
      <c r="O822" s="200"/>
      <c r="P822" s="201"/>
      <c r="Q822" s="201"/>
      <c r="R822" s="237"/>
      <c r="S822" s="202"/>
      <c r="T822" s="200"/>
      <c r="U822" s="203"/>
      <c r="V822" s="89"/>
      <c r="W822" s="89"/>
      <c r="X822" s="145"/>
      <c r="Y822" s="89"/>
      <c r="Z822" s="90"/>
      <c r="AA822" s="90"/>
      <c r="AB822" s="90"/>
      <c r="AC822" s="90"/>
      <c r="AD822" s="92"/>
      <c r="AE822" s="149" t="str">
        <f>IFERROR(VLOOKUP(Z822,LISTS!$AL$2:$AM$1000,2,FALSE()),"")</f>
        <v/>
      </c>
      <c r="AF822" s="151" t="str">
        <f>IFERROR(VLOOKUP(AA822,LISTS!$AO$2:$AP$1000,2,FALSE()),"")</f>
        <v/>
      </c>
      <c r="AG822" s="152" t="str">
        <f>IFERROR(VLOOKUP(AB822,LISTS!$AR$2:$AS$1000,2,FALSE()),"")</f>
        <v/>
      </c>
      <c r="AH822" s="154" t="str">
        <f>IFERROR(VLOOKUP(AC822,LISTS!$AU$2:$AV$1000,2,FALSE()),"")</f>
        <v/>
      </c>
      <c r="AI822" s="238" t="str">
        <f t="shared" si="63"/>
        <v>—</v>
      </c>
      <c r="AJ822" s="190" t="str">
        <f t="shared" si="64"/>
        <v>—</v>
      </c>
      <c r="AK822" s="157" t="str">
        <f t="shared" si="65"/>
        <v/>
      </c>
      <c r="AL822" s="160" t="str">
        <f t="shared" si="66"/>
        <v/>
      </c>
      <c r="AM822" s="210"/>
      <c r="AN822" s="209"/>
    </row>
    <row r="823" spans="1:40" ht="27.95" customHeight="1">
      <c r="A823" s="134" t="str">
        <f>IF(I823&lt;&gt;"",COUNTA($I$2:I823),"")</f>
        <v/>
      </c>
      <c r="B823" s="138" t="str">
        <f t="shared" si="67"/>
        <v/>
      </c>
      <c r="C823" s="93" t="str">
        <f t="array" ref="C823">IF(E823="","",IF(M823&lt;&gt;"",
M823&amp;"/"&amp;SUMPRODUCT((M$2:M823=M823)*1)&amp;" - "&amp;(ROW()-2),
"إداري/"&amp;SUMPRODUCT((M$2:M823="")*1)&amp;" - "&amp;(ROW()-2)))</f>
        <v/>
      </c>
      <c r="D823" s="141" t="str">
        <f>IF(AND(G823="",H823="",I823=""),"",IF(COUNTIFS(LISTS!$A$2:$A$67,G823,LISTS!$B$2:$B$67,H823,LISTS!$C$2:$C$67,I823)=0,"✗ هرم",IF(NOT(OR(Z823="ممتاز 100%",Z823="جيد 80%",Z823="مقبول 60%",Z823="خطر 40%",Z823="")),"✗ قائمة R",IF(NOT(OR(AA823="ممتاز 100%",AA823="جيد 85%",AA823="مقبول 70%",AA823="ضعيف 50%",AA823="")),"✗ قائمة S",IF(NOT(OR(AB823="مكتمل 100%",AB823="جزئي 60%",AB823="معلق 30%",AB823="مفتوح 0%",AB823="")),"✗ قائمة T",IF(NOT(OR(AC823="لا خصم 0",AC823="تأخير −5",AC823="عجز −10",AC823="جودة −15",AC823="امتثال −20",AC823="مخالفة −25",AC823="")),"✗ قائمة U",IF(AND(X823="لا",AC823&lt;&gt;"",AC823&lt;&gt;"لا خصم 0"),"✗ خصم",IF(AND(X823="نعم",AC823="لا خصم 0"),"✗ خصم",IF(AND(Z823="ممتاز 100%",AA823="ممتاز 100%",AB823&lt;&gt;"",AB823&lt;&gt;"مكتمل 100%"),"✗ إغلاق",IFERROR(IF(LEN(_xlfn.TEXTJOIN("، ",TRUE,IF(E823="","التاريخ",""),IF(F823="","الوقت",""),IF(G823="","المركز",""),IF(H823="","الدائرة",""),IF(I823="","القسم",""),IF(J823="","المسؤول",""),IF(K823="","نوع النشاط",""),IF(L823="","المشروع",""),IF(N823="","الممول",""),IF(V823="","الموضوع",""),IF(W823="","الملاحظة",""),IF(X823="","مشكلة",""),IF(Y823="","الإجراء",""),IF(Z823="","التنفيذ",""),IF(AA823="","الجودة",""),IF(AB823="","الإغلاق",""),IF(AC823="","الخصم",""),IF(AND(COUNTA($O823:$U823)&gt;0,O823=""),"مدير المشروع",""),IF(AND(COUNTA($O823:$U823)&gt;0,P823=""),"المستفيدين",""),IF(AND(COUNTA($O823:$U823)&gt;0,Q823=""),"المناطق",""),IF(AND(COUNTA($O823:$U823)&gt;0,R823=""),"الميزانية",""),IF(AND(COUNTA($O823:$U823)&gt;0,S823=""),"نسبة الجاهزية",""),IF(AND(COUNTA($O823:$U823)&gt;0,T823=""),"حالة الجاهزية",""),IF(AND(COUNTA($O823:$U823)&gt;0,U823=""),"التوصيات","")))&gt;0,"✗ ناقص: "&amp;_xlfn.TEXTJOIN("، ",TRUE,IF(E823="","التاريخ",""),IF(F823="","الوقت",""),IF(G823="","المركز",""),IF(H823="","الدائرة",""),IF(I823="","القسم",""),IF(J823="","المسؤول",""),IF(K823="","نوع النشاط",""),IF(L823="","المشروع",""),IF(N823="","الممول",""),IF(V823="","الموضوع",""),IF(W823="","الملاحظة",""),IF(X823="","مشكلة",""),IF(Y823="","الإجراء",""),IF(Z823="","التنفيذ",""),IF(AA823="","الجودة",""),IF(AB823="","الإغلاق",""),IF(AC823="","الخصم",""),IF(AND(COUNTA($O823:$U823)&gt;0,O823=""),"مدير المشروع",""),IF(AND(COUNTA($O823:$U823)&gt;0,P823=""),"المستفيدين",""),IF(AND(COUNTA($O823:$U823)&gt;0,Q823=""),"المناطق",""),IF(AND(COUNTA($O823:$U823)&gt;0,R823=""),"الميزانية",""),IF(AND(COUNTA($O823:$U823)&gt;0,S823=""),"نسبة الجاهزية",""),IF(AND(COUNTA($O823:$U823)&gt;0,T823=""),"حالة الجاهزية",""),IF(AND(COUNTA($O823:$U823)&gt;0,U823=""),"التوصيات","")),"✓"),"✓"))))))))))</f>
        <v/>
      </c>
      <c r="E823" s="235"/>
      <c r="F823" s="236"/>
      <c r="G823" s="90"/>
      <c r="H823" s="239"/>
      <c r="I823" s="89"/>
      <c r="J823" s="142"/>
      <c r="K823" s="90"/>
      <c r="L823" s="90"/>
      <c r="M823" s="90"/>
      <c r="N823" s="89"/>
      <c r="O823" s="200"/>
      <c r="P823" s="201"/>
      <c r="Q823" s="201"/>
      <c r="R823" s="237"/>
      <c r="S823" s="202"/>
      <c r="T823" s="200"/>
      <c r="U823" s="203"/>
      <c r="V823" s="89"/>
      <c r="W823" s="89"/>
      <c r="X823" s="145"/>
      <c r="Y823" s="89"/>
      <c r="Z823" s="90"/>
      <c r="AA823" s="90"/>
      <c r="AB823" s="90"/>
      <c r="AC823" s="90"/>
      <c r="AD823" s="92"/>
      <c r="AE823" s="149" t="str">
        <f>IFERROR(VLOOKUP(Z823,LISTS!$AL$2:$AM$1000,2,FALSE()),"")</f>
        <v/>
      </c>
      <c r="AF823" s="151" t="str">
        <f>IFERROR(VLOOKUP(AA823,LISTS!$AO$2:$AP$1000,2,FALSE()),"")</f>
        <v/>
      </c>
      <c r="AG823" s="152" t="str">
        <f>IFERROR(VLOOKUP(AB823,LISTS!$AR$2:$AS$1000,2,FALSE()),"")</f>
        <v/>
      </c>
      <c r="AH823" s="154" t="str">
        <f>IFERROR(VLOOKUP(AC823,LISTS!$AU$2:$AV$1000,2,FALSE()),"")</f>
        <v/>
      </c>
      <c r="AI823" s="238" t="str">
        <f t="shared" si="63"/>
        <v>—</v>
      </c>
      <c r="AJ823" s="190" t="str">
        <f t="shared" si="64"/>
        <v>—</v>
      </c>
      <c r="AK823" s="157" t="str">
        <f t="shared" si="65"/>
        <v/>
      </c>
      <c r="AL823" s="160" t="str">
        <f t="shared" si="66"/>
        <v/>
      </c>
      <c r="AM823" s="210"/>
      <c r="AN823" s="209"/>
    </row>
    <row r="824" spans="1:40" ht="27.95" customHeight="1">
      <c r="A824" s="134" t="str">
        <f>IF(I824&lt;&gt;"",COUNTA($I$2:I824),"")</f>
        <v/>
      </c>
      <c r="B824" s="138" t="str">
        <f t="shared" si="67"/>
        <v/>
      </c>
      <c r="C824" s="93" t="str">
        <f t="array" ref="C824">IF(E824="","",IF(M824&lt;&gt;"",
M824&amp;"/"&amp;SUMPRODUCT((M$2:M824=M824)*1)&amp;" - "&amp;(ROW()-2),
"إداري/"&amp;SUMPRODUCT((M$2:M824="")*1)&amp;" - "&amp;(ROW()-2)))</f>
        <v/>
      </c>
      <c r="D824" s="141" t="str">
        <f>IF(AND(G824="",H824="",I824=""),"",IF(COUNTIFS(LISTS!$A$2:$A$67,G824,LISTS!$B$2:$B$67,H824,LISTS!$C$2:$C$67,I824)=0,"✗ هرم",IF(NOT(OR(Z824="ممتاز 100%",Z824="جيد 80%",Z824="مقبول 60%",Z824="خطر 40%",Z824="")),"✗ قائمة R",IF(NOT(OR(AA824="ممتاز 100%",AA824="جيد 85%",AA824="مقبول 70%",AA824="ضعيف 50%",AA824="")),"✗ قائمة S",IF(NOT(OR(AB824="مكتمل 100%",AB824="جزئي 60%",AB824="معلق 30%",AB824="مفتوح 0%",AB824="")),"✗ قائمة T",IF(NOT(OR(AC824="لا خصم 0",AC824="تأخير −5",AC824="عجز −10",AC824="جودة −15",AC824="امتثال −20",AC824="مخالفة −25",AC824="")),"✗ قائمة U",IF(AND(X824="لا",AC824&lt;&gt;"",AC824&lt;&gt;"لا خصم 0"),"✗ خصم",IF(AND(X824="نعم",AC824="لا خصم 0"),"✗ خصم",IF(AND(Z824="ممتاز 100%",AA824="ممتاز 100%",AB824&lt;&gt;"",AB824&lt;&gt;"مكتمل 100%"),"✗ إغلاق",IFERROR(IF(LEN(_xlfn.TEXTJOIN("، ",TRUE,IF(E824="","التاريخ",""),IF(F824="","الوقت",""),IF(G824="","المركز",""),IF(H824="","الدائرة",""),IF(I824="","القسم",""),IF(J824="","المسؤول",""),IF(K824="","نوع النشاط",""),IF(L824="","المشروع",""),IF(N824="","الممول",""),IF(V824="","الموضوع",""),IF(W824="","الملاحظة",""),IF(X824="","مشكلة",""),IF(Y824="","الإجراء",""),IF(Z824="","التنفيذ",""),IF(AA824="","الجودة",""),IF(AB824="","الإغلاق",""),IF(AC824="","الخصم",""),IF(AND(COUNTA($O824:$U824)&gt;0,O824=""),"مدير المشروع",""),IF(AND(COUNTA($O824:$U824)&gt;0,P824=""),"المستفيدين",""),IF(AND(COUNTA($O824:$U824)&gt;0,Q824=""),"المناطق",""),IF(AND(COUNTA($O824:$U824)&gt;0,R824=""),"الميزانية",""),IF(AND(COUNTA($O824:$U824)&gt;0,S824=""),"نسبة الجاهزية",""),IF(AND(COUNTA($O824:$U824)&gt;0,T824=""),"حالة الجاهزية",""),IF(AND(COUNTA($O824:$U824)&gt;0,U824=""),"التوصيات","")))&gt;0,"✗ ناقص: "&amp;_xlfn.TEXTJOIN("، ",TRUE,IF(E824="","التاريخ",""),IF(F824="","الوقت",""),IF(G824="","المركز",""),IF(H824="","الدائرة",""),IF(I824="","القسم",""),IF(J824="","المسؤول",""),IF(K824="","نوع النشاط",""),IF(L824="","المشروع",""),IF(N824="","الممول",""),IF(V824="","الموضوع",""),IF(W824="","الملاحظة",""),IF(X824="","مشكلة",""),IF(Y824="","الإجراء",""),IF(Z824="","التنفيذ",""),IF(AA824="","الجودة",""),IF(AB824="","الإغلاق",""),IF(AC824="","الخصم",""),IF(AND(COUNTA($O824:$U824)&gt;0,O824=""),"مدير المشروع",""),IF(AND(COUNTA($O824:$U824)&gt;0,P824=""),"المستفيدين",""),IF(AND(COUNTA($O824:$U824)&gt;0,Q824=""),"المناطق",""),IF(AND(COUNTA($O824:$U824)&gt;0,R824=""),"الميزانية",""),IF(AND(COUNTA($O824:$U824)&gt;0,S824=""),"نسبة الجاهزية",""),IF(AND(COUNTA($O824:$U824)&gt;0,T824=""),"حالة الجاهزية",""),IF(AND(COUNTA($O824:$U824)&gt;0,U824=""),"التوصيات","")),"✓"),"✓"))))))))))</f>
        <v/>
      </c>
      <c r="E824" s="235"/>
      <c r="F824" s="236"/>
      <c r="G824" s="90"/>
      <c r="H824" s="239"/>
      <c r="I824" s="89"/>
      <c r="J824" s="142"/>
      <c r="K824" s="90"/>
      <c r="L824" s="90"/>
      <c r="M824" s="90"/>
      <c r="N824" s="89"/>
      <c r="O824" s="200"/>
      <c r="P824" s="201"/>
      <c r="Q824" s="201"/>
      <c r="R824" s="237"/>
      <c r="S824" s="202"/>
      <c r="T824" s="200"/>
      <c r="U824" s="203"/>
      <c r="V824" s="89"/>
      <c r="W824" s="89"/>
      <c r="X824" s="145"/>
      <c r="Y824" s="89"/>
      <c r="Z824" s="90"/>
      <c r="AA824" s="90"/>
      <c r="AB824" s="90"/>
      <c r="AC824" s="90"/>
      <c r="AD824" s="92"/>
      <c r="AE824" s="149" t="str">
        <f>IFERROR(VLOOKUP(Z824,LISTS!$AL$2:$AM$1000,2,FALSE()),"")</f>
        <v/>
      </c>
      <c r="AF824" s="151" t="str">
        <f>IFERROR(VLOOKUP(AA824,LISTS!$AO$2:$AP$1000,2,FALSE()),"")</f>
        <v/>
      </c>
      <c r="AG824" s="152" t="str">
        <f>IFERROR(VLOOKUP(AB824,LISTS!$AR$2:$AS$1000,2,FALSE()),"")</f>
        <v/>
      </c>
      <c r="AH824" s="154" t="str">
        <f>IFERROR(VLOOKUP(AC824,LISTS!$AU$2:$AV$1000,2,FALSE()),"")</f>
        <v/>
      </c>
      <c r="AI824" s="238" t="str">
        <f t="shared" si="63"/>
        <v>—</v>
      </c>
      <c r="AJ824" s="190" t="str">
        <f t="shared" si="64"/>
        <v>—</v>
      </c>
      <c r="AK824" s="157" t="str">
        <f t="shared" si="65"/>
        <v/>
      </c>
      <c r="AL824" s="160" t="str">
        <f t="shared" si="66"/>
        <v/>
      </c>
      <c r="AM824" s="210"/>
      <c r="AN824" s="209"/>
    </row>
    <row r="825" spans="1:40" ht="27.95" customHeight="1">
      <c r="A825" s="134" t="str">
        <f>IF(I825&lt;&gt;"",COUNTA($I$2:I825),"")</f>
        <v/>
      </c>
      <c r="B825" s="138" t="str">
        <f t="shared" si="67"/>
        <v/>
      </c>
      <c r="C825" s="93" t="str">
        <f t="array" ref="C825">IF(E825="","",IF(M825&lt;&gt;"",
M825&amp;"/"&amp;SUMPRODUCT((M$2:M825=M825)*1)&amp;" - "&amp;(ROW()-2),
"إداري/"&amp;SUMPRODUCT((M$2:M825="")*1)&amp;" - "&amp;(ROW()-2)))</f>
        <v/>
      </c>
      <c r="D825" s="141" t="str">
        <f>IF(AND(G825="",H825="",I825=""),"",IF(COUNTIFS(LISTS!$A$2:$A$67,G825,LISTS!$B$2:$B$67,H825,LISTS!$C$2:$C$67,I825)=0,"✗ هرم",IF(NOT(OR(Z825="ممتاز 100%",Z825="جيد 80%",Z825="مقبول 60%",Z825="خطر 40%",Z825="")),"✗ قائمة R",IF(NOT(OR(AA825="ممتاز 100%",AA825="جيد 85%",AA825="مقبول 70%",AA825="ضعيف 50%",AA825="")),"✗ قائمة S",IF(NOT(OR(AB825="مكتمل 100%",AB825="جزئي 60%",AB825="معلق 30%",AB825="مفتوح 0%",AB825="")),"✗ قائمة T",IF(NOT(OR(AC825="لا خصم 0",AC825="تأخير −5",AC825="عجز −10",AC825="جودة −15",AC825="امتثال −20",AC825="مخالفة −25",AC825="")),"✗ قائمة U",IF(AND(X825="لا",AC825&lt;&gt;"",AC825&lt;&gt;"لا خصم 0"),"✗ خصم",IF(AND(X825="نعم",AC825="لا خصم 0"),"✗ خصم",IF(AND(Z825="ممتاز 100%",AA825="ممتاز 100%",AB825&lt;&gt;"",AB825&lt;&gt;"مكتمل 100%"),"✗ إغلاق",IFERROR(IF(LEN(_xlfn.TEXTJOIN("، ",TRUE,IF(E825="","التاريخ",""),IF(F825="","الوقت",""),IF(G825="","المركز",""),IF(H825="","الدائرة",""),IF(I825="","القسم",""),IF(J825="","المسؤول",""),IF(K825="","نوع النشاط",""),IF(L825="","المشروع",""),IF(N825="","الممول",""),IF(V825="","الموضوع",""),IF(W825="","الملاحظة",""),IF(X825="","مشكلة",""),IF(Y825="","الإجراء",""),IF(Z825="","التنفيذ",""),IF(AA825="","الجودة",""),IF(AB825="","الإغلاق",""),IF(AC825="","الخصم",""),IF(AND(COUNTA($O825:$U825)&gt;0,O825=""),"مدير المشروع",""),IF(AND(COUNTA($O825:$U825)&gt;0,P825=""),"المستفيدين",""),IF(AND(COUNTA($O825:$U825)&gt;0,Q825=""),"المناطق",""),IF(AND(COUNTA($O825:$U825)&gt;0,R825=""),"الميزانية",""),IF(AND(COUNTA($O825:$U825)&gt;0,S825=""),"نسبة الجاهزية",""),IF(AND(COUNTA($O825:$U825)&gt;0,T825=""),"حالة الجاهزية",""),IF(AND(COUNTA($O825:$U825)&gt;0,U825=""),"التوصيات","")))&gt;0,"✗ ناقص: "&amp;_xlfn.TEXTJOIN("، ",TRUE,IF(E825="","التاريخ",""),IF(F825="","الوقت",""),IF(G825="","المركز",""),IF(H825="","الدائرة",""),IF(I825="","القسم",""),IF(J825="","المسؤول",""),IF(K825="","نوع النشاط",""),IF(L825="","المشروع",""),IF(N825="","الممول",""),IF(V825="","الموضوع",""),IF(W825="","الملاحظة",""),IF(X825="","مشكلة",""),IF(Y825="","الإجراء",""),IF(Z825="","التنفيذ",""),IF(AA825="","الجودة",""),IF(AB825="","الإغلاق",""),IF(AC825="","الخصم",""),IF(AND(COUNTA($O825:$U825)&gt;0,O825=""),"مدير المشروع",""),IF(AND(COUNTA($O825:$U825)&gt;0,P825=""),"المستفيدين",""),IF(AND(COUNTA($O825:$U825)&gt;0,Q825=""),"المناطق",""),IF(AND(COUNTA($O825:$U825)&gt;0,R825=""),"الميزانية",""),IF(AND(COUNTA($O825:$U825)&gt;0,S825=""),"نسبة الجاهزية",""),IF(AND(COUNTA($O825:$U825)&gt;0,T825=""),"حالة الجاهزية",""),IF(AND(COUNTA($O825:$U825)&gt;0,U825=""),"التوصيات","")),"✓"),"✓"))))))))))</f>
        <v/>
      </c>
      <c r="E825" s="235"/>
      <c r="F825" s="236"/>
      <c r="G825" s="90"/>
      <c r="H825" s="239"/>
      <c r="I825" s="89"/>
      <c r="J825" s="142"/>
      <c r="K825" s="90"/>
      <c r="L825" s="90"/>
      <c r="M825" s="90"/>
      <c r="N825" s="89"/>
      <c r="O825" s="200"/>
      <c r="P825" s="201"/>
      <c r="Q825" s="201"/>
      <c r="R825" s="237"/>
      <c r="S825" s="202"/>
      <c r="T825" s="200"/>
      <c r="U825" s="203"/>
      <c r="V825" s="89"/>
      <c r="W825" s="89"/>
      <c r="X825" s="145"/>
      <c r="Y825" s="89"/>
      <c r="Z825" s="90"/>
      <c r="AA825" s="90"/>
      <c r="AB825" s="90"/>
      <c r="AC825" s="90"/>
      <c r="AD825" s="92"/>
      <c r="AE825" s="149" t="str">
        <f>IFERROR(VLOOKUP(Z825,LISTS!$AL$2:$AM$1000,2,FALSE()),"")</f>
        <v/>
      </c>
      <c r="AF825" s="151" t="str">
        <f>IFERROR(VLOOKUP(AA825,LISTS!$AO$2:$AP$1000,2,FALSE()),"")</f>
        <v/>
      </c>
      <c r="AG825" s="152" t="str">
        <f>IFERROR(VLOOKUP(AB825,LISTS!$AR$2:$AS$1000,2,FALSE()),"")</f>
        <v/>
      </c>
      <c r="AH825" s="154" t="str">
        <f>IFERROR(VLOOKUP(AC825,LISTS!$AU$2:$AV$1000,2,FALSE()),"")</f>
        <v/>
      </c>
      <c r="AI825" s="238" t="str">
        <f t="shared" si="63"/>
        <v>—</v>
      </c>
      <c r="AJ825" s="190" t="str">
        <f t="shared" si="64"/>
        <v>—</v>
      </c>
      <c r="AK825" s="157" t="str">
        <f t="shared" si="65"/>
        <v/>
      </c>
      <c r="AL825" s="160" t="str">
        <f t="shared" si="66"/>
        <v/>
      </c>
      <c r="AM825" s="210"/>
      <c r="AN825" s="209"/>
    </row>
    <row r="826" spans="1:40" ht="27.95" customHeight="1">
      <c r="A826" s="134" t="str">
        <f>IF(I826&lt;&gt;"",COUNTA($I$2:I826),"")</f>
        <v/>
      </c>
      <c r="B826" s="138" t="str">
        <f t="shared" si="67"/>
        <v/>
      </c>
      <c r="C826" s="93" t="str">
        <f t="array" ref="C826">IF(E826="","",IF(M826&lt;&gt;"",
M826&amp;"/"&amp;SUMPRODUCT((M$2:M826=M826)*1)&amp;" - "&amp;(ROW()-2),
"إداري/"&amp;SUMPRODUCT((M$2:M826="")*1)&amp;" - "&amp;(ROW()-2)))</f>
        <v/>
      </c>
      <c r="D826" s="141" t="str">
        <f>IF(AND(G826="",H826="",I826=""),"",IF(COUNTIFS(LISTS!$A$2:$A$67,G826,LISTS!$B$2:$B$67,H826,LISTS!$C$2:$C$67,I826)=0,"✗ هرم",IF(NOT(OR(Z826="ممتاز 100%",Z826="جيد 80%",Z826="مقبول 60%",Z826="خطر 40%",Z826="")),"✗ قائمة R",IF(NOT(OR(AA826="ممتاز 100%",AA826="جيد 85%",AA826="مقبول 70%",AA826="ضعيف 50%",AA826="")),"✗ قائمة S",IF(NOT(OR(AB826="مكتمل 100%",AB826="جزئي 60%",AB826="معلق 30%",AB826="مفتوح 0%",AB826="")),"✗ قائمة T",IF(NOT(OR(AC826="لا خصم 0",AC826="تأخير −5",AC826="عجز −10",AC826="جودة −15",AC826="امتثال −20",AC826="مخالفة −25",AC826="")),"✗ قائمة U",IF(AND(X826="لا",AC826&lt;&gt;"",AC826&lt;&gt;"لا خصم 0"),"✗ خصم",IF(AND(X826="نعم",AC826="لا خصم 0"),"✗ خصم",IF(AND(Z826="ممتاز 100%",AA826="ممتاز 100%",AB826&lt;&gt;"",AB826&lt;&gt;"مكتمل 100%"),"✗ إغلاق",IFERROR(IF(LEN(_xlfn.TEXTJOIN("، ",TRUE,IF(E826="","التاريخ",""),IF(F826="","الوقت",""),IF(G826="","المركز",""),IF(H826="","الدائرة",""),IF(I826="","القسم",""),IF(J826="","المسؤول",""),IF(K826="","نوع النشاط",""),IF(L826="","المشروع",""),IF(N826="","الممول",""),IF(V826="","الموضوع",""),IF(W826="","الملاحظة",""),IF(X826="","مشكلة",""),IF(Y826="","الإجراء",""),IF(Z826="","التنفيذ",""),IF(AA826="","الجودة",""),IF(AB826="","الإغلاق",""),IF(AC826="","الخصم",""),IF(AND(COUNTA($O826:$U826)&gt;0,O826=""),"مدير المشروع",""),IF(AND(COUNTA($O826:$U826)&gt;0,P826=""),"المستفيدين",""),IF(AND(COUNTA($O826:$U826)&gt;0,Q826=""),"المناطق",""),IF(AND(COUNTA($O826:$U826)&gt;0,R826=""),"الميزانية",""),IF(AND(COUNTA($O826:$U826)&gt;0,S826=""),"نسبة الجاهزية",""),IF(AND(COUNTA($O826:$U826)&gt;0,T826=""),"حالة الجاهزية",""),IF(AND(COUNTA($O826:$U826)&gt;0,U826=""),"التوصيات","")))&gt;0,"✗ ناقص: "&amp;_xlfn.TEXTJOIN("، ",TRUE,IF(E826="","التاريخ",""),IF(F826="","الوقت",""),IF(G826="","المركز",""),IF(H826="","الدائرة",""),IF(I826="","القسم",""),IF(J826="","المسؤول",""),IF(K826="","نوع النشاط",""),IF(L826="","المشروع",""),IF(N826="","الممول",""),IF(V826="","الموضوع",""),IF(W826="","الملاحظة",""),IF(X826="","مشكلة",""),IF(Y826="","الإجراء",""),IF(Z826="","التنفيذ",""),IF(AA826="","الجودة",""),IF(AB826="","الإغلاق",""),IF(AC826="","الخصم",""),IF(AND(COUNTA($O826:$U826)&gt;0,O826=""),"مدير المشروع",""),IF(AND(COUNTA($O826:$U826)&gt;0,P826=""),"المستفيدين",""),IF(AND(COUNTA($O826:$U826)&gt;0,Q826=""),"المناطق",""),IF(AND(COUNTA($O826:$U826)&gt;0,R826=""),"الميزانية",""),IF(AND(COUNTA($O826:$U826)&gt;0,S826=""),"نسبة الجاهزية",""),IF(AND(COUNTA($O826:$U826)&gt;0,T826=""),"حالة الجاهزية",""),IF(AND(COUNTA($O826:$U826)&gt;0,U826=""),"التوصيات","")),"✓"),"✓"))))))))))</f>
        <v/>
      </c>
      <c r="E826" s="235"/>
      <c r="F826" s="236"/>
      <c r="G826" s="90"/>
      <c r="H826" s="239"/>
      <c r="I826" s="89"/>
      <c r="J826" s="142"/>
      <c r="K826" s="90"/>
      <c r="L826" s="90"/>
      <c r="M826" s="90"/>
      <c r="N826" s="89"/>
      <c r="O826" s="200"/>
      <c r="P826" s="201"/>
      <c r="Q826" s="201"/>
      <c r="R826" s="237"/>
      <c r="S826" s="202"/>
      <c r="T826" s="200"/>
      <c r="U826" s="203"/>
      <c r="V826" s="89"/>
      <c r="W826" s="89"/>
      <c r="X826" s="145"/>
      <c r="Y826" s="89"/>
      <c r="Z826" s="90"/>
      <c r="AA826" s="90"/>
      <c r="AB826" s="90"/>
      <c r="AC826" s="90"/>
      <c r="AD826" s="92"/>
      <c r="AE826" s="149" t="str">
        <f>IFERROR(VLOOKUP(Z826,LISTS!$AL$2:$AM$1000,2,FALSE()),"")</f>
        <v/>
      </c>
      <c r="AF826" s="151" t="str">
        <f>IFERROR(VLOOKUP(AA826,LISTS!$AO$2:$AP$1000,2,FALSE()),"")</f>
        <v/>
      </c>
      <c r="AG826" s="152" t="str">
        <f>IFERROR(VLOOKUP(AB826,LISTS!$AR$2:$AS$1000,2,FALSE()),"")</f>
        <v/>
      </c>
      <c r="AH826" s="154" t="str">
        <f>IFERROR(VLOOKUP(AC826,LISTS!$AU$2:$AV$1000,2,FALSE()),"")</f>
        <v/>
      </c>
      <c r="AI826" s="238" t="str">
        <f t="shared" si="63"/>
        <v>—</v>
      </c>
      <c r="AJ826" s="190" t="str">
        <f t="shared" si="64"/>
        <v>—</v>
      </c>
      <c r="AK826" s="157" t="str">
        <f t="shared" si="65"/>
        <v/>
      </c>
      <c r="AL826" s="160" t="str">
        <f t="shared" si="66"/>
        <v/>
      </c>
      <c r="AM826" s="210"/>
      <c r="AN826" s="209"/>
    </row>
    <row r="827" spans="1:40" ht="27.95" customHeight="1">
      <c r="A827" s="134" t="str">
        <f>IF(I827&lt;&gt;"",COUNTA($I$2:I827),"")</f>
        <v/>
      </c>
      <c r="B827" s="138" t="str">
        <f t="shared" si="67"/>
        <v/>
      </c>
      <c r="C827" s="93" t="str">
        <f t="array" ref="C827">IF(E827="","",IF(M827&lt;&gt;"",
M827&amp;"/"&amp;SUMPRODUCT((M$2:M827=M827)*1)&amp;" - "&amp;(ROW()-2),
"إداري/"&amp;SUMPRODUCT((M$2:M827="")*1)&amp;" - "&amp;(ROW()-2)))</f>
        <v/>
      </c>
      <c r="D827" s="141" t="str">
        <f>IF(AND(G827="",H827="",I827=""),"",IF(COUNTIFS(LISTS!$A$2:$A$67,G827,LISTS!$B$2:$B$67,H827,LISTS!$C$2:$C$67,I827)=0,"✗ هرم",IF(NOT(OR(Z827="ممتاز 100%",Z827="جيد 80%",Z827="مقبول 60%",Z827="خطر 40%",Z827="")),"✗ قائمة R",IF(NOT(OR(AA827="ممتاز 100%",AA827="جيد 85%",AA827="مقبول 70%",AA827="ضعيف 50%",AA827="")),"✗ قائمة S",IF(NOT(OR(AB827="مكتمل 100%",AB827="جزئي 60%",AB827="معلق 30%",AB827="مفتوح 0%",AB827="")),"✗ قائمة T",IF(NOT(OR(AC827="لا خصم 0",AC827="تأخير −5",AC827="عجز −10",AC827="جودة −15",AC827="امتثال −20",AC827="مخالفة −25",AC827="")),"✗ قائمة U",IF(AND(X827="لا",AC827&lt;&gt;"",AC827&lt;&gt;"لا خصم 0"),"✗ خصم",IF(AND(X827="نعم",AC827="لا خصم 0"),"✗ خصم",IF(AND(Z827="ممتاز 100%",AA827="ممتاز 100%",AB827&lt;&gt;"",AB827&lt;&gt;"مكتمل 100%"),"✗ إغلاق",IFERROR(IF(LEN(_xlfn.TEXTJOIN("، ",TRUE,IF(E827="","التاريخ",""),IF(F827="","الوقت",""),IF(G827="","المركز",""),IF(H827="","الدائرة",""),IF(I827="","القسم",""),IF(J827="","المسؤول",""),IF(K827="","نوع النشاط",""),IF(L827="","المشروع",""),IF(N827="","الممول",""),IF(V827="","الموضوع",""),IF(W827="","الملاحظة",""),IF(X827="","مشكلة",""),IF(Y827="","الإجراء",""),IF(Z827="","التنفيذ",""),IF(AA827="","الجودة",""),IF(AB827="","الإغلاق",""),IF(AC827="","الخصم",""),IF(AND(COUNTA($O827:$U827)&gt;0,O827=""),"مدير المشروع",""),IF(AND(COUNTA($O827:$U827)&gt;0,P827=""),"المستفيدين",""),IF(AND(COUNTA($O827:$U827)&gt;0,Q827=""),"المناطق",""),IF(AND(COUNTA($O827:$U827)&gt;0,R827=""),"الميزانية",""),IF(AND(COUNTA($O827:$U827)&gt;0,S827=""),"نسبة الجاهزية",""),IF(AND(COUNTA($O827:$U827)&gt;0,T827=""),"حالة الجاهزية",""),IF(AND(COUNTA($O827:$U827)&gt;0,U827=""),"التوصيات","")))&gt;0,"✗ ناقص: "&amp;_xlfn.TEXTJOIN("، ",TRUE,IF(E827="","التاريخ",""),IF(F827="","الوقت",""),IF(G827="","المركز",""),IF(H827="","الدائرة",""),IF(I827="","القسم",""),IF(J827="","المسؤول",""),IF(K827="","نوع النشاط",""),IF(L827="","المشروع",""),IF(N827="","الممول",""),IF(V827="","الموضوع",""),IF(W827="","الملاحظة",""),IF(X827="","مشكلة",""),IF(Y827="","الإجراء",""),IF(Z827="","التنفيذ",""),IF(AA827="","الجودة",""),IF(AB827="","الإغلاق",""),IF(AC827="","الخصم",""),IF(AND(COUNTA($O827:$U827)&gt;0,O827=""),"مدير المشروع",""),IF(AND(COUNTA($O827:$U827)&gt;0,P827=""),"المستفيدين",""),IF(AND(COUNTA($O827:$U827)&gt;0,Q827=""),"المناطق",""),IF(AND(COUNTA($O827:$U827)&gt;0,R827=""),"الميزانية",""),IF(AND(COUNTA($O827:$U827)&gt;0,S827=""),"نسبة الجاهزية",""),IF(AND(COUNTA($O827:$U827)&gt;0,T827=""),"حالة الجاهزية",""),IF(AND(COUNTA($O827:$U827)&gt;0,U827=""),"التوصيات","")),"✓"),"✓"))))))))))</f>
        <v/>
      </c>
      <c r="E827" s="235"/>
      <c r="F827" s="236"/>
      <c r="G827" s="90"/>
      <c r="H827" s="239"/>
      <c r="I827" s="89"/>
      <c r="J827" s="142"/>
      <c r="K827" s="90"/>
      <c r="L827" s="90"/>
      <c r="M827" s="90"/>
      <c r="N827" s="89"/>
      <c r="O827" s="200"/>
      <c r="P827" s="201"/>
      <c r="Q827" s="201"/>
      <c r="R827" s="237"/>
      <c r="S827" s="202"/>
      <c r="T827" s="200"/>
      <c r="U827" s="203"/>
      <c r="V827" s="89"/>
      <c r="W827" s="89"/>
      <c r="X827" s="145"/>
      <c r="Y827" s="89"/>
      <c r="Z827" s="90"/>
      <c r="AA827" s="90"/>
      <c r="AB827" s="90"/>
      <c r="AC827" s="90"/>
      <c r="AD827" s="92"/>
      <c r="AE827" s="149" t="str">
        <f>IFERROR(VLOOKUP(Z827,LISTS!$AL$2:$AM$1000,2,FALSE()),"")</f>
        <v/>
      </c>
      <c r="AF827" s="151" t="str">
        <f>IFERROR(VLOOKUP(AA827,LISTS!$AO$2:$AP$1000,2,FALSE()),"")</f>
        <v/>
      </c>
      <c r="AG827" s="152" t="str">
        <f>IFERROR(VLOOKUP(AB827,LISTS!$AR$2:$AS$1000,2,FALSE()),"")</f>
        <v/>
      </c>
      <c r="AH827" s="154" t="str">
        <f>IFERROR(VLOOKUP(AC827,LISTS!$AU$2:$AV$1000,2,FALSE()),"")</f>
        <v/>
      </c>
      <c r="AI827" s="238" t="str">
        <f t="shared" si="63"/>
        <v>—</v>
      </c>
      <c r="AJ827" s="190" t="str">
        <f t="shared" si="64"/>
        <v>—</v>
      </c>
      <c r="AK827" s="157" t="str">
        <f t="shared" si="65"/>
        <v/>
      </c>
      <c r="AL827" s="160" t="str">
        <f t="shared" si="66"/>
        <v/>
      </c>
      <c r="AM827" s="210"/>
      <c r="AN827" s="209"/>
    </row>
    <row r="828" spans="1:40" ht="27.95" customHeight="1">
      <c r="A828" s="134" t="str">
        <f>IF(I828&lt;&gt;"",COUNTA($I$2:I828),"")</f>
        <v/>
      </c>
      <c r="B828" s="138" t="str">
        <f t="shared" si="67"/>
        <v/>
      </c>
      <c r="C828" s="93" t="str">
        <f t="array" ref="C828">IF(E828="","",IF(M828&lt;&gt;"",
M828&amp;"/"&amp;SUMPRODUCT((M$2:M828=M828)*1)&amp;" - "&amp;(ROW()-2),
"إداري/"&amp;SUMPRODUCT((M$2:M828="")*1)&amp;" - "&amp;(ROW()-2)))</f>
        <v/>
      </c>
      <c r="D828" s="141" t="str">
        <f>IF(AND(G828="",H828="",I828=""),"",IF(COUNTIFS(LISTS!$A$2:$A$67,G828,LISTS!$B$2:$B$67,H828,LISTS!$C$2:$C$67,I828)=0,"✗ هرم",IF(NOT(OR(Z828="ممتاز 100%",Z828="جيد 80%",Z828="مقبول 60%",Z828="خطر 40%",Z828="")),"✗ قائمة R",IF(NOT(OR(AA828="ممتاز 100%",AA828="جيد 85%",AA828="مقبول 70%",AA828="ضعيف 50%",AA828="")),"✗ قائمة S",IF(NOT(OR(AB828="مكتمل 100%",AB828="جزئي 60%",AB828="معلق 30%",AB828="مفتوح 0%",AB828="")),"✗ قائمة T",IF(NOT(OR(AC828="لا خصم 0",AC828="تأخير −5",AC828="عجز −10",AC828="جودة −15",AC828="امتثال −20",AC828="مخالفة −25",AC828="")),"✗ قائمة U",IF(AND(X828="لا",AC828&lt;&gt;"",AC828&lt;&gt;"لا خصم 0"),"✗ خصم",IF(AND(X828="نعم",AC828="لا خصم 0"),"✗ خصم",IF(AND(Z828="ممتاز 100%",AA828="ممتاز 100%",AB828&lt;&gt;"",AB828&lt;&gt;"مكتمل 100%"),"✗ إغلاق",IFERROR(IF(LEN(_xlfn.TEXTJOIN("، ",TRUE,IF(E828="","التاريخ",""),IF(F828="","الوقت",""),IF(G828="","المركز",""),IF(H828="","الدائرة",""),IF(I828="","القسم",""),IF(J828="","المسؤول",""),IF(K828="","نوع النشاط",""),IF(L828="","المشروع",""),IF(N828="","الممول",""),IF(V828="","الموضوع",""),IF(W828="","الملاحظة",""),IF(X828="","مشكلة",""),IF(Y828="","الإجراء",""),IF(Z828="","التنفيذ",""),IF(AA828="","الجودة",""),IF(AB828="","الإغلاق",""),IF(AC828="","الخصم",""),IF(AND(COUNTA($O828:$U828)&gt;0,O828=""),"مدير المشروع",""),IF(AND(COUNTA($O828:$U828)&gt;0,P828=""),"المستفيدين",""),IF(AND(COUNTA($O828:$U828)&gt;0,Q828=""),"المناطق",""),IF(AND(COUNTA($O828:$U828)&gt;0,R828=""),"الميزانية",""),IF(AND(COUNTA($O828:$U828)&gt;0,S828=""),"نسبة الجاهزية",""),IF(AND(COUNTA($O828:$U828)&gt;0,T828=""),"حالة الجاهزية",""),IF(AND(COUNTA($O828:$U828)&gt;0,U828=""),"التوصيات","")))&gt;0,"✗ ناقص: "&amp;_xlfn.TEXTJOIN("، ",TRUE,IF(E828="","التاريخ",""),IF(F828="","الوقت",""),IF(G828="","المركز",""),IF(H828="","الدائرة",""),IF(I828="","القسم",""),IF(J828="","المسؤول",""),IF(K828="","نوع النشاط",""),IF(L828="","المشروع",""),IF(N828="","الممول",""),IF(V828="","الموضوع",""),IF(W828="","الملاحظة",""),IF(X828="","مشكلة",""),IF(Y828="","الإجراء",""),IF(Z828="","التنفيذ",""),IF(AA828="","الجودة",""),IF(AB828="","الإغلاق",""),IF(AC828="","الخصم",""),IF(AND(COUNTA($O828:$U828)&gt;0,O828=""),"مدير المشروع",""),IF(AND(COUNTA($O828:$U828)&gt;0,P828=""),"المستفيدين",""),IF(AND(COUNTA($O828:$U828)&gt;0,Q828=""),"المناطق",""),IF(AND(COUNTA($O828:$U828)&gt;0,R828=""),"الميزانية",""),IF(AND(COUNTA($O828:$U828)&gt;0,S828=""),"نسبة الجاهزية",""),IF(AND(COUNTA($O828:$U828)&gt;0,T828=""),"حالة الجاهزية",""),IF(AND(COUNTA($O828:$U828)&gt;0,U828=""),"التوصيات","")),"✓"),"✓"))))))))))</f>
        <v/>
      </c>
      <c r="E828" s="235"/>
      <c r="F828" s="236"/>
      <c r="G828" s="90"/>
      <c r="H828" s="239"/>
      <c r="I828" s="89"/>
      <c r="J828" s="142"/>
      <c r="K828" s="90"/>
      <c r="L828" s="90"/>
      <c r="M828" s="90"/>
      <c r="N828" s="89"/>
      <c r="O828" s="200"/>
      <c r="P828" s="201"/>
      <c r="Q828" s="201"/>
      <c r="R828" s="237"/>
      <c r="S828" s="202"/>
      <c r="T828" s="200"/>
      <c r="U828" s="203"/>
      <c r="V828" s="89"/>
      <c r="W828" s="89"/>
      <c r="X828" s="145"/>
      <c r="Y828" s="89"/>
      <c r="Z828" s="90"/>
      <c r="AA828" s="90"/>
      <c r="AB828" s="90"/>
      <c r="AC828" s="90"/>
      <c r="AD828" s="92"/>
      <c r="AE828" s="149" t="str">
        <f>IFERROR(VLOOKUP(Z828,LISTS!$AL$2:$AM$1000,2,FALSE()),"")</f>
        <v/>
      </c>
      <c r="AF828" s="151" t="str">
        <f>IFERROR(VLOOKUP(AA828,LISTS!$AO$2:$AP$1000,2,FALSE()),"")</f>
        <v/>
      </c>
      <c r="AG828" s="152" t="str">
        <f>IFERROR(VLOOKUP(AB828,LISTS!$AR$2:$AS$1000,2,FALSE()),"")</f>
        <v/>
      </c>
      <c r="AH828" s="154" t="str">
        <f>IFERROR(VLOOKUP(AC828,LISTS!$AU$2:$AV$1000,2,FALSE()),"")</f>
        <v/>
      </c>
      <c r="AI828" s="238" t="str">
        <f t="shared" si="63"/>
        <v>—</v>
      </c>
      <c r="AJ828" s="190" t="str">
        <f t="shared" si="64"/>
        <v>—</v>
      </c>
      <c r="AK828" s="157" t="str">
        <f t="shared" si="65"/>
        <v/>
      </c>
      <c r="AL828" s="160" t="str">
        <f t="shared" si="66"/>
        <v/>
      </c>
      <c r="AM828" s="210"/>
      <c r="AN828" s="209"/>
    </row>
    <row r="829" spans="1:40" ht="27.95" customHeight="1">
      <c r="A829" s="134" t="str">
        <f>IF(I829&lt;&gt;"",COUNTA($I$2:I829),"")</f>
        <v/>
      </c>
      <c r="B829" s="138" t="str">
        <f t="shared" si="67"/>
        <v/>
      </c>
      <c r="C829" s="93" t="str">
        <f t="array" ref="C829">IF(E829="","",IF(M829&lt;&gt;"",
M829&amp;"/"&amp;SUMPRODUCT((M$2:M829=M829)*1)&amp;" - "&amp;(ROW()-2),
"إداري/"&amp;SUMPRODUCT((M$2:M829="")*1)&amp;" - "&amp;(ROW()-2)))</f>
        <v/>
      </c>
      <c r="D829" s="141" t="str">
        <f>IF(AND(G829="",H829="",I829=""),"",IF(COUNTIFS(LISTS!$A$2:$A$67,G829,LISTS!$B$2:$B$67,H829,LISTS!$C$2:$C$67,I829)=0,"✗ هرم",IF(NOT(OR(Z829="ممتاز 100%",Z829="جيد 80%",Z829="مقبول 60%",Z829="خطر 40%",Z829="")),"✗ قائمة R",IF(NOT(OR(AA829="ممتاز 100%",AA829="جيد 85%",AA829="مقبول 70%",AA829="ضعيف 50%",AA829="")),"✗ قائمة S",IF(NOT(OR(AB829="مكتمل 100%",AB829="جزئي 60%",AB829="معلق 30%",AB829="مفتوح 0%",AB829="")),"✗ قائمة T",IF(NOT(OR(AC829="لا خصم 0",AC829="تأخير −5",AC829="عجز −10",AC829="جودة −15",AC829="امتثال −20",AC829="مخالفة −25",AC829="")),"✗ قائمة U",IF(AND(X829="لا",AC829&lt;&gt;"",AC829&lt;&gt;"لا خصم 0"),"✗ خصم",IF(AND(X829="نعم",AC829="لا خصم 0"),"✗ خصم",IF(AND(Z829="ممتاز 100%",AA829="ممتاز 100%",AB829&lt;&gt;"",AB829&lt;&gt;"مكتمل 100%"),"✗ إغلاق",IFERROR(IF(LEN(_xlfn.TEXTJOIN("، ",TRUE,IF(E829="","التاريخ",""),IF(F829="","الوقت",""),IF(G829="","المركز",""),IF(H829="","الدائرة",""),IF(I829="","القسم",""),IF(J829="","المسؤول",""),IF(K829="","نوع النشاط",""),IF(L829="","المشروع",""),IF(N829="","الممول",""),IF(V829="","الموضوع",""),IF(W829="","الملاحظة",""),IF(X829="","مشكلة",""),IF(Y829="","الإجراء",""),IF(Z829="","التنفيذ",""),IF(AA829="","الجودة",""),IF(AB829="","الإغلاق",""),IF(AC829="","الخصم",""),IF(AND(COUNTA($O829:$U829)&gt;0,O829=""),"مدير المشروع",""),IF(AND(COUNTA($O829:$U829)&gt;0,P829=""),"المستفيدين",""),IF(AND(COUNTA($O829:$U829)&gt;0,Q829=""),"المناطق",""),IF(AND(COUNTA($O829:$U829)&gt;0,R829=""),"الميزانية",""),IF(AND(COUNTA($O829:$U829)&gt;0,S829=""),"نسبة الجاهزية",""),IF(AND(COUNTA($O829:$U829)&gt;0,T829=""),"حالة الجاهزية",""),IF(AND(COUNTA($O829:$U829)&gt;0,U829=""),"التوصيات","")))&gt;0,"✗ ناقص: "&amp;_xlfn.TEXTJOIN("، ",TRUE,IF(E829="","التاريخ",""),IF(F829="","الوقت",""),IF(G829="","المركز",""),IF(H829="","الدائرة",""),IF(I829="","القسم",""),IF(J829="","المسؤول",""),IF(K829="","نوع النشاط",""),IF(L829="","المشروع",""),IF(N829="","الممول",""),IF(V829="","الموضوع",""),IF(W829="","الملاحظة",""),IF(X829="","مشكلة",""),IF(Y829="","الإجراء",""),IF(Z829="","التنفيذ",""),IF(AA829="","الجودة",""),IF(AB829="","الإغلاق",""),IF(AC829="","الخصم",""),IF(AND(COUNTA($O829:$U829)&gt;0,O829=""),"مدير المشروع",""),IF(AND(COUNTA($O829:$U829)&gt;0,P829=""),"المستفيدين",""),IF(AND(COUNTA($O829:$U829)&gt;0,Q829=""),"المناطق",""),IF(AND(COUNTA($O829:$U829)&gt;0,R829=""),"الميزانية",""),IF(AND(COUNTA($O829:$U829)&gt;0,S829=""),"نسبة الجاهزية",""),IF(AND(COUNTA($O829:$U829)&gt;0,T829=""),"حالة الجاهزية",""),IF(AND(COUNTA($O829:$U829)&gt;0,U829=""),"التوصيات","")),"✓"),"✓"))))))))))</f>
        <v/>
      </c>
      <c r="E829" s="235"/>
      <c r="F829" s="236"/>
      <c r="G829" s="90"/>
      <c r="H829" s="239"/>
      <c r="I829" s="89"/>
      <c r="J829" s="142"/>
      <c r="K829" s="90"/>
      <c r="L829" s="90"/>
      <c r="M829" s="90"/>
      <c r="N829" s="89"/>
      <c r="O829" s="200"/>
      <c r="P829" s="201"/>
      <c r="Q829" s="201"/>
      <c r="R829" s="237"/>
      <c r="S829" s="202"/>
      <c r="T829" s="200"/>
      <c r="U829" s="203"/>
      <c r="V829" s="89"/>
      <c r="W829" s="89"/>
      <c r="X829" s="145"/>
      <c r="Y829" s="89"/>
      <c r="Z829" s="90"/>
      <c r="AA829" s="90"/>
      <c r="AB829" s="90"/>
      <c r="AC829" s="90"/>
      <c r="AD829" s="92"/>
      <c r="AE829" s="149" t="str">
        <f>IFERROR(VLOOKUP(Z829,LISTS!$AL$2:$AM$1000,2,FALSE()),"")</f>
        <v/>
      </c>
      <c r="AF829" s="151" t="str">
        <f>IFERROR(VLOOKUP(AA829,LISTS!$AO$2:$AP$1000,2,FALSE()),"")</f>
        <v/>
      </c>
      <c r="AG829" s="152" t="str">
        <f>IFERROR(VLOOKUP(AB829,LISTS!$AR$2:$AS$1000,2,FALSE()),"")</f>
        <v/>
      </c>
      <c r="AH829" s="154" t="str">
        <f>IFERROR(VLOOKUP(AC829,LISTS!$AU$2:$AV$1000,2,FALSE()),"")</f>
        <v/>
      </c>
      <c r="AI829" s="238" t="str">
        <f t="shared" si="63"/>
        <v>—</v>
      </c>
      <c r="AJ829" s="190" t="str">
        <f t="shared" si="64"/>
        <v>—</v>
      </c>
      <c r="AK829" s="157" t="str">
        <f t="shared" si="65"/>
        <v/>
      </c>
      <c r="AL829" s="160" t="str">
        <f t="shared" si="66"/>
        <v/>
      </c>
      <c r="AM829" s="210"/>
      <c r="AN829" s="209"/>
    </row>
    <row r="830" spans="1:40" ht="27.95" customHeight="1">
      <c r="A830" s="134" t="str">
        <f>IF(I830&lt;&gt;"",COUNTA($I$2:I830),"")</f>
        <v/>
      </c>
      <c r="B830" s="138" t="str">
        <f t="shared" si="67"/>
        <v/>
      </c>
      <c r="C830" s="93" t="str">
        <f t="array" ref="C830">IF(E830="","",IF(M830&lt;&gt;"",
M830&amp;"/"&amp;SUMPRODUCT((M$2:M830=M830)*1)&amp;" - "&amp;(ROW()-2),
"إداري/"&amp;SUMPRODUCT((M$2:M830="")*1)&amp;" - "&amp;(ROW()-2)))</f>
        <v/>
      </c>
      <c r="D830" s="141" t="str">
        <f>IF(AND(G830="",H830="",I830=""),"",IF(COUNTIFS(LISTS!$A$2:$A$67,G830,LISTS!$B$2:$B$67,H830,LISTS!$C$2:$C$67,I830)=0,"✗ هرم",IF(NOT(OR(Z830="ممتاز 100%",Z830="جيد 80%",Z830="مقبول 60%",Z830="خطر 40%",Z830="")),"✗ قائمة R",IF(NOT(OR(AA830="ممتاز 100%",AA830="جيد 85%",AA830="مقبول 70%",AA830="ضعيف 50%",AA830="")),"✗ قائمة S",IF(NOT(OR(AB830="مكتمل 100%",AB830="جزئي 60%",AB830="معلق 30%",AB830="مفتوح 0%",AB830="")),"✗ قائمة T",IF(NOT(OR(AC830="لا خصم 0",AC830="تأخير −5",AC830="عجز −10",AC830="جودة −15",AC830="امتثال −20",AC830="مخالفة −25",AC830="")),"✗ قائمة U",IF(AND(X830="لا",AC830&lt;&gt;"",AC830&lt;&gt;"لا خصم 0"),"✗ خصم",IF(AND(X830="نعم",AC830="لا خصم 0"),"✗ خصم",IF(AND(Z830="ممتاز 100%",AA830="ممتاز 100%",AB830&lt;&gt;"",AB830&lt;&gt;"مكتمل 100%"),"✗ إغلاق",IFERROR(IF(LEN(_xlfn.TEXTJOIN("، ",TRUE,IF(E830="","التاريخ",""),IF(F830="","الوقت",""),IF(G830="","المركز",""),IF(H830="","الدائرة",""),IF(I830="","القسم",""),IF(J830="","المسؤول",""),IF(K830="","نوع النشاط",""),IF(L830="","المشروع",""),IF(N830="","الممول",""),IF(V830="","الموضوع",""),IF(W830="","الملاحظة",""),IF(X830="","مشكلة",""),IF(Y830="","الإجراء",""),IF(Z830="","التنفيذ",""),IF(AA830="","الجودة",""),IF(AB830="","الإغلاق",""),IF(AC830="","الخصم",""),IF(AND(COUNTA($O830:$U830)&gt;0,O830=""),"مدير المشروع",""),IF(AND(COUNTA($O830:$U830)&gt;0,P830=""),"المستفيدين",""),IF(AND(COUNTA($O830:$U830)&gt;0,Q830=""),"المناطق",""),IF(AND(COUNTA($O830:$U830)&gt;0,R830=""),"الميزانية",""),IF(AND(COUNTA($O830:$U830)&gt;0,S830=""),"نسبة الجاهزية",""),IF(AND(COUNTA($O830:$U830)&gt;0,T830=""),"حالة الجاهزية",""),IF(AND(COUNTA($O830:$U830)&gt;0,U830=""),"التوصيات","")))&gt;0,"✗ ناقص: "&amp;_xlfn.TEXTJOIN("، ",TRUE,IF(E830="","التاريخ",""),IF(F830="","الوقت",""),IF(G830="","المركز",""),IF(H830="","الدائرة",""),IF(I830="","القسم",""),IF(J830="","المسؤول",""),IF(K830="","نوع النشاط",""),IF(L830="","المشروع",""),IF(N830="","الممول",""),IF(V830="","الموضوع",""),IF(W830="","الملاحظة",""),IF(X830="","مشكلة",""),IF(Y830="","الإجراء",""),IF(Z830="","التنفيذ",""),IF(AA830="","الجودة",""),IF(AB830="","الإغلاق",""),IF(AC830="","الخصم",""),IF(AND(COUNTA($O830:$U830)&gt;0,O830=""),"مدير المشروع",""),IF(AND(COUNTA($O830:$U830)&gt;0,P830=""),"المستفيدين",""),IF(AND(COUNTA($O830:$U830)&gt;0,Q830=""),"المناطق",""),IF(AND(COUNTA($O830:$U830)&gt;0,R830=""),"الميزانية",""),IF(AND(COUNTA($O830:$U830)&gt;0,S830=""),"نسبة الجاهزية",""),IF(AND(COUNTA($O830:$U830)&gt;0,T830=""),"حالة الجاهزية",""),IF(AND(COUNTA($O830:$U830)&gt;0,U830=""),"التوصيات","")),"✓"),"✓"))))))))))</f>
        <v/>
      </c>
      <c r="E830" s="235"/>
      <c r="F830" s="236"/>
      <c r="G830" s="90"/>
      <c r="H830" s="239"/>
      <c r="I830" s="89"/>
      <c r="J830" s="142"/>
      <c r="K830" s="90"/>
      <c r="L830" s="90"/>
      <c r="M830" s="90"/>
      <c r="N830" s="89"/>
      <c r="O830" s="200"/>
      <c r="P830" s="201"/>
      <c r="Q830" s="201"/>
      <c r="R830" s="237"/>
      <c r="S830" s="202"/>
      <c r="T830" s="200"/>
      <c r="U830" s="203"/>
      <c r="V830" s="89"/>
      <c r="W830" s="89"/>
      <c r="X830" s="145"/>
      <c r="Y830" s="89"/>
      <c r="Z830" s="90"/>
      <c r="AA830" s="90"/>
      <c r="AB830" s="90"/>
      <c r="AC830" s="90"/>
      <c r="AD830" s="92"/>
      <c r="AE830" s="149" t="str">
        <f>IFERROR(VLOOKUP(Z830,LISTS!$AL$2:$AM$1000,2,FALSE()),"")</f>
        <v/>
      </c>
      <c r="AF830" s="151" t="str">
        <f>IFERROR(VLOOKUP(AA830,LISTS!$AO$2:$AP$1000,2,FALSE()),"")</f>
        <v/>
      </c>
      <c r="AG830" s="152" t="str">
        <f>IFERROR(VLOOKUP(AB830,LISTS!$AR$2:$AS$1000,2,FALSE()),"")</f>
        <v/>
      </c>
      <c r="AH830" s="154" t="str">
        <f>IFERROR(VLOOKUP(AC830,LISTS!$AU$2:$AV$1000,2,FALSE()),"")</f>
        <v/>
      </c>
      <c r="AI830" s="238" t="str">
        <f t="shared" si="63"/>
        <v>—</v>
      </c>
      <c r="AJ830" s="190" t="str">
        <f t="shared" si="64"/>
        <v>—</v>
      </c>
      <c r="AK830" s="157" t="str">
        <f t="shared" si="65"/>
        <v/>
      </c>
      <c r="AL830" s="160" t="str">
        <f t="shared" si="66"/>
        <v/>
      </c>
      <c r="AM830" s="210"/>
      <c r="AN830" s="209"/>
    </row>
    <row r="831" spans="1:40" ht="27.95" customHeight="1">
      <c r="A831" s="134" t="str">
        <f>IF(I831&lt;&gt;"",COUNTA($I$2:I831),"")</f>
        <v/>
      </c>
      <c r="B831" s="138" t="str">
        <f t="shared" si="67"/>
        <v/>
      </c>
      <c r="C831" s="93" t="str">
        <f t="array" ref="C831">IF(E831="","",IF(M831&lt;&gt;"",
M831&amp;"/"&amp;SUMPRODUCT((M$2:M831=M831)*1)&amp;" - "&amp;(ROW()-2),
"إداري/"&amp;SUMPRODUCT((M$2:M831="")*1)&amp;" - "&amp;(ROW()-2)))</f>
        <v/>
      </c>
      <c r="D831" s="141" t="str">
        <f>IF(AND(G831="",H831="",I831=""),"",IF(COUNTIFS(LISTS!$A$2:$A$67,G831,LISTS!$B$2:$B$67,H831,LISTS!$C$2:$C$67,I831)=0,"✗ هرم",IF(NOT(OR(Z831="ممتاز 100%",Z831="جيد 80%",Z831="مقبول 60%",Z831="خطر 40%",Z831="")),"✗ قائمة R",IF(NOT(OR(AA831="ممتاز 100%",AA831="جيد 85%",AA831="مقبول 70%",AA831="ضعيف 50%",AA831="")),"✗ قائمة S",IF(NOT(OR(AB831="مكتمل 100%",AB831="جزئي 60%",AB831="معلق 30%",AB831="مفتوح 0%",AB831="")),"✗ قائمة T",IF(NOT(OR(AC831="لا خصم 0",AC831="تأخير −5",AC831="عجز −10",AC831="جودة −15",AC831="امتثال −20",AC831="مخالفة −25",AC831="")),"✗ قائمة U",IF(AND(X831="لا",AC831&lt;&gt;"",AC831&lt;&gt;"لا خصم 0"),"✗ خصم",IF(AND(X831="نعم",AC831="لا خصم 0"),"✗ خصم",IF(AND(Z831="ممتاز 100%",AA831="ممتاز 100%",AB831&lt;&gt;"",AB831&lt;&gt;"مكتمل 100%"),"✗ إغلاق",IFERROR(IF(LEN(_xlfn.TEXTJOIN("، ",TRUE,IF(E831="","التاريخ",""),IF(F831="","الوقت",""),IF(G831="","المركز",""),IF(H831="","الدائرة",""),IF(I831="","القسم",""),IF(J831="","المسؤول",""),IF(K831="","نوع النشاط",""),IF(L831="","المشروع",""),IF(N831="","الممول",""),IF(V831="","الموضوع",""),IF(W831="","الملاحظة",""),IF(X831="","مشكلة",""),IF(Y831="","الإجراء",""),IF(Z831="","التنفيذ",""),IF(AA831="","الجودة",""),IF(AB831="","الإغلاق",""),IF(AC831="","الخصم",""),IF(AND(COUNTA($O831:$U831)&gt;0,O831=""),"مدير المشروع",""),IF(AND(COUNTA($O831:$U831)&gt;0,P831=""),"المستفيدين",""),IF(AND(COUNTA($O831:$U831)&gt;0,Q831=""),"المناطق",""),IF(AND(COUNTA($O831:$U831)&gt;0,R831=""),"الميزانية",""),IF(AND(COUNTA($O831:$U831)&gt;0,S831=""),"نسبة الجاهزية",""),IF(AND(COUNTA($O831:$U831)&gt;0,T831=""),"حالة الجاهزية",""),IF(AND(COUNTA($O831:$U831)&gt;0,U831=""),"التوصيات","")))&gt;0,"✗ ناقص: "&amp;_xlfn.TEXTJOIN("، ",TRUE,IF(E831="","التاريخ",""),IF(F831="","الوقت",""),IF(G831="","المركز",""),IF(H831="","الدائرة",""),IF(I831="","القسم",""),IF(J831="","المسؤول",""),IF(K831="","نوع النشاط",""),IF(L831="","المشروع",""),IF(N831="","الممول",""),IF(V831="","الموضوع",""),IF(W831="","الملاحظة",""),IF(X831="","مشكلة",""),IF(Y831="","الإجراء",""),IF(Z831="","التنفيذ",""),IF(AA831="","الجودة",""),IF(AB831="","الإغلاق",""),IF(AC831="","الخصم",""),IF(AND(COUNTA($O831:$U831)&gt;0,O831=""),"مدير المشروع",""),IF(AND(COUNTA($O831:$U831)&gt;0,P831=""),"المستفيدين",""),IF(AND(COUNTA($O831:$U831)&gt;0,Q831=""),"المناطق",""),IF(AND(COUNTA($O831:$U831)&gt;0,R831=""),"الميزانية",""),IF(AND(COUNTA($O831:$U831)&gt;0,S831=""),"نسبة الجاهزية",""),IF(AND(COUNTA($O831:$U831)&gt;0,T831=""),"حالة الجاهزية",""),IF(AND(COUNTA($O831:$U831)&gt;0,U831=""),"التوصيات","")),"✓"),"✓"))))))))))</f>
        <v/>
      </c>
      <c r="E831" s="235"/>
      <c r="F831" s="236"/>
      <c r="G831" s="90"/>
      <c r="H831" s="239"/>
      <c r="I831" s="89"/>
      <c r="J831" s="142"/>
      <c r="K831" s="90"/>
      <c r="L831" s="90"/>
      <c r="M831" s="90"/>
      <c r="N831" s="89"/>
      <c r="O831" s="200"/>
      <c r="P831" s="201"/>
      <c r="Q831" s="201"/>
      <c r="R831" s="237"/>
      <c r="S831" s="202"/>
      <c r="T831" s="200"/>
      <c r="U831" s="203"/>
      <c r="V831" s="89"/>
      <c r="W831" s="89"/>
      <c r="X831" s="145"/>
      <c r="Y831" s="89"/>
      <c r="Z831" s="90"/>
      <c r="AA831" s="90"/>
      <c r="AB831" s="90"/>
      <c r="AC831" s="90"/>
      <c r="AD831" s="92"/>
      <c r="AE831" s="149" t="str">
        <f>IFERROR(VLOOKUP(Z831,LISTS!$AL$2:$AM$1000,2,FALSE()),"")</f>
        <v/>
      </c>
      <c r="AF831" s="151" t="str">
        <f>IFERROR(VLOOKUP(AA831,LISTS!$AO$2:$AP$1000,2,FALSE()),"")</f>
        <v/>
      </c>
      <c r="AG831" s="152" t="str">
        <f>IFERROR(VLOOKUP(AB831,LISTS!$AR$2:$AS$1000,2,FALSE()),"")</f>
        <v/>
      </c>
      <c r="AH831" s="154" t="str">
        <f>IFERROR(VLOOKUP(AC831,LISTS!$AU$2:$AV$1000,2,FALSE()),"")</f>
        <v/>
      </c>
      <c r="AI831" s="238" t="str">
        <f t="shared" si="63"/>
        <v>—</v>
      </c>
      <c r="AJ831" s="190" t="str">
        <f t="shared" si="64"/>
        <v>—</v>
      </c>
      <c r="AK831" s="157" t="str">
        <f t="shared" si="65"/>
        <v/>
      </c>
      <c r="AL831" s="160" t="str">
        <f t="shared" si="66"/>
        <v/>
      </c>
      <c r="AM831" s="210"/>
      <c r="AN831" s="209"/>
    </row>
    <row r="832" spans="1:40" ht="27.95" customHeight="1">
      <c r="A832" s="134" t="str">
        <f>IF(I832&lt;&gt;"",COUNTA($I$2:I832),"")</f>
        <v/>
      </c>
      <c r="B832" s="138" t="str">
        <f t="shared" si="67"/>
        <v/>
      </c>
      <c r="C832" s="93" t="str">
        <f t="array" ref="C832">IF(E832="","",IF(M832&lt;&gt;"",
M832&amp;"/"&amp;SUMPRODUCT((M$2:M832=M832)*1)&amp;" - "&amp;(ROW()-2),
"إداري/"&amp;SUMPRODUCT((M$2:M832="")*1)&amp;" - "&amp;(ROW()-2)))</f>
        <v/>
      </c>
      <c r="D832" s="141" t="str">
        <f>IF(AND(G832="",H832="",I832=""),"",IF(COUNTIFS(LISTS!$A$2:$A$67,G832,LISTS!$B$2:$B$67,H832,LISTS!$C$2:$C$67,I832)=0,"✗ هرم",IF(NOT(OR(Z832="ممتاز 100%",Z832="جيد 80%",Z832="مقبول 60%",Z832="خطر 40%",Z832="")),"✗ قائمة R",IF(NOT(OR(AA832="ممتاز 100%",AA832="جيد 85%",AA832="مقبول 70%",AA832="ضعيف 50%",AA832="")),"✗ قائمة S",IF(NOT(OR(AB832="مكتمل 100%",AB832="جزئي 60%",AB832="معلق 30%",AB832="مفتوح 0%",AB832="")),"✗ قائمة T",IF(NOT(OR(AC832="لا خصم 0",AC832="تأخير −5",AC832="عجز −10",AC832="جودة −15",AC832="امتثال −20",AC832="مخالفة −25",AC832="")),"✗ قائمة U",IF(AND(X832="لا",AC832&lt;&gt;"",AC832&lt;&gt;"لا خصم 0"),"✗ خصم",IF(AND(X832="نعم",AC832="لا خصم 0"),"✗ خصم",IF(AND(Z832="ممتاز 100%",AA832="ممتاز 100%",AB832&lt;&gt;"",AB832&lt;&gt;"مكتمل 100%"),"✗ إغلاق",IFERROR(IF(LEN(_xlfn.TEXTJOIN("، ",TRUE,IF(E832="","التاريخ",""),IF(F832="","الوقت",""),IF(G832="","المركز",""),IF(H832="","الدائرة",""),IF(I832="","القسم",""),IF(J832="","المسؤول",""),IF(K832="","نوع النشاط",""),IF(L832="","المشروع",""),IF(N832="","الممول",""),IF(V832="","الموضوع",""),IF(W832="","الملاحظة",""),IF(X832="","مشكلة",""),IF(Y832="","الإجراء",""),IF(Z832="","التنفيذ",""),IF(AA832="","الجودة",""),IF(AB832="","الإغلاق",""),IF(AC832="","الخصم",""),IF(AND(COUNTA($O832:$U832)&gt;0,O832=""),"مدير المشروع",""),IF(AND(COUNTA($O832:$U832)&gt;0,P832=""),"المستفيدين",""),IF(AND(COUNTA($O832:$U832)&gt;0,Q832=""),"المناطق",""),IF(AND(COUNTA($O832:$U832)&gt;0,R832=""),"الميزانية",""),IF(AND(COUNTA($O832:$U832)&gt;0,S832=""),"نسبة الجاهزية",""),IF(AND(COUNTA($O832:$U832)&gt;0,T832=""),"حالة الجاهزية",""),IF(AND(COUNTA($O832:$U832)&gt;0,U832=""),"التوصيات","")))&gt;0,"✗ ناقص: "&amp;_xlfn.TEXTJOIN("، ",TRUE,IF(E832="","التاريخ",""),IF(F832="","الوقت",""),IF(G832="","المركز",""),IF(H832="","الدائرة",""),IF(I832="","القسم",""),IF(J832="","المسؤول",""),IF(K832="","نوع النشاط",""),IF(L832="","المشروع",""),IF(N832="","الممول",""),IF(V832="","الموضوع",""),IF(W832="","الملاحظة",""),IF(X832="","مشكلة",""),IF(Y832="","الإجراء",""),IF(Z832="","التنفيذ",""),IF(AA832="","الجودة",""),IF(AB832="","الإغلاق",""),IF(AC832="","الخصم",""),IF(AND(COUNTA($O832:$U832)&gt;0,O832=""),"مدير المشروع",""),IF(AND(COUNTA($O832:$U832)&gt;0,P832=""),"المستفيدين",""),IF(AND(COUNTA($O832:$U832)&gt;0,Q832=""),"المناطق",""),IF(AND(COUNTA($O832:$U832)&gt;0,R832=""),"الميزانية",""),IF(AND(COUNTA($O832:$U832)&gt;0,S832=""),"نسبة الجاهزية",""),IF(AND(COUNTA($O832:$U832)&gt;0,T832=""),"حالة الجاهزية",""),IF(AND(COUNTA($O832:$U832)&gt;0,U832=""),"التوصيات","")),"✓"),"✓"))))))))))</f>
        <v/>
      </c>
      <c r="E832" s="235"/>
      <c r="F832" s="236"/>
      <c r="G832" s="90"/>
      <c r="H832" s="239"/>
      <c r="I832" s="89"/>
      <c r="J832" s="142"/>
      <c r="K832" s="90"/>
      <c r="L832" s="90"/>
      <c r="M832" s="90"/>
      <c r="N832" s="89"/>
      <c r="O832" s="200"/>
      <c r="P832" s="201"/>
      <c r="Q832" s="201"/>
      <c r="R832" s="237"/>
      <c r="S832" s="202"/>
      <c r="T832" s="200"/>
      <c r="U832" s="203"/>
      <c r="V832" s="89"/>
      <c r="W832" s="89"/>
      <c r="X832" s="145"/>
      <c r="Y832" s="89"/>
      <c r="Z832" s="90"/>
      <c r="AA832" s="90"/>
      <c r="AB832" s="90"/>
      <c r="AC832" s="90"/>
      <c r="AD832" s="92"/>
      <c r="AE832" s="149" t="str">
        <f>IFERROR(VLOOKUP(Z832,LISTS!$AL$2:$AM$1000,2,FALSE()),"")</f>
        <v/>
      </c>
      <c r="AF832" s="151" t="str">
        <f>IFERROR(VLOOKUP(AA832,LISTS!$AO$2:$AP$1000,2,FALSE()),"")</f>
        <v/>
      </c>
      <c r="AG832" s="152" t="str">
        <f>IFERROR(VLOOKUP(AB832,LISTS!$AR$2:$AS$1000,2,FALSE()),"")</f>
        <v/>
      </c>
      <c r="AH832" s="154" t="str">
        <f>IFERROR(VLOOKUP(AC832,LISTS!$AU$2:$AV$1000,2,FALSE()),"")</f>
        <v/>
      </c>
      <c r="AI832" s="238" t="str">
        <f t="shared" si="63"/>
        <v>—</v>
      </c>
      <c r="AJ832" s="190" t="str">
        <f t="shared" si="64"/>
        <v>—</v>
      </c>
      <c r="AK832" s="157" t="str">
        <f t="shared" si="65"/>
        <v/>
      </c>
      <c r="AL832" s="160" t="str">
        <f t="shared" si="66"/>
        <v/>
      </c>
      <c r="AM832" s="210"/>
      <c r="AN832" s="209"/>
    </row>
    <row r="833" spans="1:40" ht="27.95" customHeight="1">
      <c r="A833" s="134" t="str">
        <f>IF(I833&lt;&gt;"",COUNTA($I$2:I833),"")</f>
        <v/>
      </c>
      <c r="B833" s="138" t="str">
        <f t="shared" si="67"/>
        <v/>
      </c>
      <c r="C833" s="93" t="str">
        <f t="array" ref="C833">IF(E833="","",IF(M833&lt;&gt;"",
M833&amp;"/"&amp;SUMPRODUCT((M$2:M833=M833)*1)&amp;" - "&amp;(ROW()-2),
"إداري/"&amp;SUMPRODUCT((M$2:M833="")*1)&amp;" - "&amp;(ROW()-2)))</f>
        <v/>
      </c>
      <c r="D833" s="141" t="str">
        <f>IF(AND(G833="",H833="",I833=""),"",IF(COUNTIFS(LISTS!$A$2:$A$67,G833,LISTS!$B$2:$B$67,H833,LISTS!$C$2:$C$67,I833)=0,"✗ هرم",IF(NOT(OR(Z833="ممتاز 100%",Z833="جيد 80%",Z833="مقبول 60%",Z833="خطر 40%",Z833="")),"✗ قائمة R",IF(NOT(OR(AA833="ممتاز 100%",AA833="جيد 85%",AA833="مقبول 70%",AA833="ضعيف 50%",AA833="")),"✗ قائمة S",IF(NOT(OR(AB833="مكتمل 100%",AB833="جزئي 60%",AB833="معلق 30%",AB833="مفتوح 0%",AB833="")),"✗ قائمة T",IF(NOT(OR(AC833="لا خصم 0",AC833="تأخير −5",AC833="عجز −10",AC833="جودة −15",AC833="امتثال −20",AC833="مخالفة −25",AC833="")),"✗ قائمة U",IF(AND(X833="لا",AC833&lt;&gt;"",AC833&lt;&gt;"لا خصم 0"),"✗ خصم",IF(AND(X833="نعم",AC833="لا خصم 0"),"✗ خصم",IF(AND(Z833="ممتاز 100%",AA833="ممتاز 100%",AB833&lt;&gt;"",AB833&lt;&gt;"مكتمل 100%"),"✗ إغلاق",IFERROR(IF(LEN(_xlfn.TEXTJOIN("، ",TRUE,IF(E833="","التاريخ",""),IF(F833="","الوقت",""),IF(G833="","المركز",""),IF(H833="","الدائرة",""),IF(I833="","القسم",""),IF(J833="","المسؤول",""),IF(K833="","نوع النشاط",""),IF(L833="","المشروع",""),IF(N833="","الممول",""),IF(V833="","الموضوع",""),IF(W833="","الملاحظة",""),IF(X833="","مشكلة",""),IF(Y833="","الإجراء",""),IF(Z833="","التنفيذ",""),IF(AA833="","الجودة",""),IF(AB833="","الإغلاق",""),IF(AC833="","الخصم",""),IF(AND(COUNTA($O833:$U833)&gt;0,O833=""),"مدير المشروع",""),IF(AND(COUNTA($O833:$U833)&gt;0,P833=""),"المستفيدين",""),IF(AND(COUNTA($O833:$U833)&gt;0,Q833=""),"المناطق",""),IF(AND(COUNTA($O833:$U833)&gt;0,R833=""),"الميزانية",""),IF(AND(COUNTA($O833:$U833)&gt;0,S833=""),"نسبة الجاهزية",""),IF(AND(COUNTA($O833:$U833)&gt;0,T833=""),"حالة الجاهزية",""),IF(AND(COUNTA($O833:$U833)&gt;0,U833=""),"التوصيات","")))&gt;0,"✗ ناقص: "&amp;_xlfn.TEXTJOIN("، ",TRUE,IF(E833="","التاريخ",""),IF(F833="","الوقت",""),IF(G833="","المركز",""),IF(H833="","الدائرة",""),IF(I833="","القسم",""),IF(J833="","المسؤول",""),IF(K833="","نوع النشاط",""),IF(L833="","المشروع",""),IF(N833="","الممول",""),IF(V833="","الموضوع",""),IF(W833="","الملاحظة",""),IF(X833="","مشكلة",""),IF(Y833="","الإجراء",""),IF(Z833="","التنفيذ",""),IF(AA833="","الجودة",""),IF(AB833="","الإغلاق",""),IF(AC833="","الخصم",""),IF(AND(COUNTA($O833:$U833)&gt;0,O833=""),"مدير المشروع",""),IF(AND(COUNTA($O833:$U833)&gt;0,P833=""),"المستفيدين",""),IF(AND(COUNTA($O833:$U833)&gt;0,Q833=""),"المناطق",""),IF(AND(COUNTA($O833:$U833)&gt;0,R833=""),"الميزانية",""),IF(AND(COUNTA($O833:$U833)&gt;0,S833=""),"نسبة الجاهزية",""),IF(AND(COUNTA($O833:$U833)&gt;0,T833=""),"حالة الجاهزية",""),IF(AND(COUNTA($O833:$U833)&gt;0,U833=""),"التوصيات","")),"✓"),"✓"))))))))))</f>
        <v/>
      </c>
      <c r="E833" s="235"/>
      <c r="F833" s="236"/>
      <c r="G833" s="90"/>
      <c r="H833" s="239"/>
      <c r="I833" s="89"/>
      <c r="J833" s="142"/>
      <c r="K833" s="90"/>
      <c r="L833" s="90"/>
      <c r="M833" s="90"/>
      <c r="N833" s="89"/>
      <c r="O833" s="200"/>
      <c r="P833" s="201"/>
      <c r="Q833" s="201"/>
      <c r="R833" s="237"/>
      <c r="S833" s="202"/>
      <c r="T833" s="200"/>
      <c r="U833" s="203"/>
      <c r="V833" s="89"/>
      <c r="W833" s="89"/>
      <c r="X833" s="145"/>
      <c r="Y833" s="89"/>
      <c r="Z833" s="90"/>
      <c r="AA833" s="90"/>
      <c r="AB833" s="90"/>
      <c r="AC833" s="90"/>
      <c r="AD833" s="92"/>
      <c r="AE833" s="149" t="str">
        <f>IFERROR(VLOOKUP(Z833,LISTS!$AL$2:$AM$1000,2,FALSE()),"")</f>
        <v/>
      </c>
      <c r="AF833" s="151" t="str">
        <f>IFERROR(VLOOKUP(AA833,LISTS!$AO$2:$AP$1000,2,FALSE()),"")</f>
        <v/>
      </c>
      <c r="AG833" s="152" t="str">
        <f>IFERROR(VLOOKUP(AB833,LISTS!$AR$2:$AS$1000,2,FALSE()),"")</f>
        <v/>
      </c>
      <c r="AH833" s="154" t="str">
        <f>IFERROR(VLOOKUP(AC833,LISTS!$AU$2:$AV$1000,2,FALSE()),"")</f>
        <v/>
      </c>
      <c r="AI833" s="238" t="str">
        <f t="shared" si="63"/>
        <v>—</v>
      </c>
      <c r="AJ833" s="190" t="str">
        <f t="shared" si="64"/>
        <v>—</v>
      </c>
      <c r="AK833" s="157" t="str">
        <f t="shared" si="65"/>
        <v/>
      </c>
      <c r="AL833" s="160" t="str">
        <f t="shared" si="66"/>
        <v/>
      </c>
      <c r="AM833" s="210"/>
      <c r="AN833" s="209"/>
    </row>
    <row r="834" spans="1:40" ht="27.95" customHeight="1">
      <c r="A834" s="134" t="str">
        <f>IF(I834&lt;&gt;"",COUNTA($I$2:I834),"")</f>
        <v/>
      </c>
      <c r="B834" s="138" t="str">
        <f t="shared" si="67"/>
        <v/>
      </c>
      <c r="C834" s="93" t="str">
        <f t="array" ref="C834">IF(E834="","",IF(M834&lt;&gt;"",
M834&amp;"/"&amp;SUMPRODUCT((M$2:M834=M834)*1)&amp;" - "&amp;(ROW()-2),
"إداري/"&amp;SUMPRODUCT((M$2:M834="")*1)&amp;" - "&amp;(ROW()-2)))</f>
        <v/>
      </c>
      <c r="D834" s="141" t="str">
        <f>IF(AND(G834="",H834="",I834=""),"",IF(COUNTIFS(LISTS!$A$2:$A$67,G834,LISTS!$B$2:$B$67,H834,LISTS!$C$2:$C$67,I834)=0,"✗ هرم",IF(NOT(OR(Z834="ممتاز 100%",Z834="جيد 80%",Z834="مقبول 60%",Z834="خطر 40%",Z834="")),"✗ قائمة R",IF(NOT(OR(AA834="ممتاز 100%",AA834="جيد 85%",AA834="مقبول 70%",AA834="ضعيف 50%",AA834="")),"✗ قائمة S",IF(NOT(OR(AB834="مكتمل 100%",AB834="جزئي 60%",AB834="معلق 30%",AB834="مفتوح 0%",AB834="")),"✗ قائمة T",IF(NOT(OR(AC834="لا خصم 0",AC834="تأخير −5",AC834="عجز −10",AC834="جودة −15",AC834="امتثال −20",AC834="مخالفة −25",AC834="")),"✗ قائمة U",IF(AND(X834="لا",AC834&lt;&gt;"",AC834&lt;&gt;"لا خصم 0"),"✗ خصم",IF(AND(X834="نعم",AC834="لا خصم 0"),"✗ خصم",IF(AND(Z834="ممتاز 100%",AA834="ممتاز 100%",AB834&lt;&gt;"",AB834&lt;&gt;"مكتمل 100%"),"✗ إغلاق",IFERROR(IF(LEN(_xlfn.TEXTJOIN("، ",TRUE,IF(E834="","التاريخ",""),IF(F834="","الوقت",""),IF(G834="","المركز",""),IF(H834="","الدائرة",""),IF(I834="","القسم",""),IF(J834="","المسؤول",""),IF(K834="","نوع النشاط",""),IF(L834="","المشروع",""),IF(N834="","الممول",""),IF(V834="","الموضوع",""),IF(W834="","الملاحظة",""),IF(X834="","مشكلة",""),IF(Y834="","الإجراء",""),IF(Z834="","التنفيذ",""),IF(AA834="","الجودة",""),IF(AB834="","الإغلاق",""),IF(AC834="","الخصم",""),IF(AND(COUNTA($O834:$U834)&gt;0,O834=""),"مدير المشروع",""),IF(AND(COUNTA($O834:$U834)&gt;0,P834=""),"المستفيدين",""),IF(AND(COUNTA($O834:$U834)&gt;0,Q834=""),"المناطق",""),IF(AND(COUNTA($O834:$U834)&gt;0,R834=""),"الميزانية",""),IF(AND(COUNTA($O834:$U834)&gt;0,S834=""),"نسبة الجاهزية",""),IF(AND(COUNTA($O834:$U834)&gt;0,T834=""),"حالة الجاهزية",""),IF(AND(COUNTA($O834:$U834)&gt;0,U834=""),"التوصيات","")))&gt;0,"✗ ناقص: "&amp;_xlfn.TEXTJOIN("، ",TRUE,IF(E834="","التاريخ",""),IF(F834="","الوقت",""),IF(G834="","المركز",""),IF(H834="","الدائرة",""),IF(I834="","القسم",""),IF(J834="","المسؤول",""),IF(K834="","نوع النشاط",""),IF(L834="","المشروع",""),IF(N834="","الممول",""),IF(V834="","الموضوع",""),IF(W834="","الملاحظة",""),IF(X834="","مشكلة",""),IF(Y834="","الإجراء",""),IF(Z834="","التنفيذ",""),IF(AA834="","الجودة",""),IF(AB834="","الإغلاق",""),IF(AC834="","الخصم",""),IF(AND(COUNTA($O834:$U834)&gt;0,O834=""),"مدير المشروع",""),IF(AND(COUNTA($O834:$U834)&gt;0,P834=""),"المستفيدين",""),IF(AND(COUNTA($O834:$U834)&gt;0,Q834=""),"المناطق",""),IF(AND(COUNTA($O834:$U834)&gt;0,R834=""),"الميزانية",""),IF(AND(COUNTA($O834:$U834)&gt;0,S834=""),"نسبة الجاهزية",""),IF(AND(COUNTA($O834:$U834)&gt;0,T834=""),"حالة الجاهزية",""),IF(AND(COUNTA($O834:$U834)&gt;0,U834=""),"التوصيات","")),"✓"),"✓"))))))))))</f>
        <v/>
      </c>
      <c r="E834" s="235"/>
      <c r="F834" s="236"/>
      <c r="G834" s="90"/>
      <c r="H834" s="239"/>
      <c r="I834" s="89"/>
      <c r="J834" s="142"/>
      <c r="K834" s="90"/>
      <c r="L834" s="90"/>
      <c r="M834" s="90"/>
      <c r="N834" s="89"/>
      <c r="O834" s="200"/>
      <c r="P834" s="201"/>
      <c r="Q834" s="201"/>
      <c r="R834" s="237"/>
      <c r="S834" s="202"/>
      <c r="T834" s="200"/>
      <c r="U834" s="203"/>
      <c r="V834" s="89"/>
      <c r="W834" s="89"/>
      <c r="X834" s="145"/>
      <c r="Y834" s="89"/>
      <c r="Z834" s="90"/>
      <c r="AA834" s="90"/>
      <c r="AB834" s="90"/>
      <c r="AC834" s="90"/>
      <c r="AD834" s="92"/>
      <c r="AE834" s="149" t="str">
        <f>IFERROR(VLOOKUP(Z834,LISTS!$AL$2:$AM$1000,2,FALSE()),"")</f>
        <v/>
      </c>
      <c r="AF834" s="151" t="str">
        <f>IFERROR(VLOOKUP(AA834,LISTS!$AO$2:$AP$1000,2,FALSE()),"")</f>
        <v/>
      </c>
      <c r="AG834" s="152" t="str">
        <f>IFERROR(VLOOKUP(AB834,LISTS!$AR$2:$AS$1000,2,FALSE()),"")</f>
        <v/>
      </c>
      <c r="AH834" s="154" t="str">
        <f>IFERROR(VLOOKUP(AC834,LISTS!$AU$2:$AV$1000,2,FALSE()),"")</f>
        <v/>
      </c>
      <c r="AI834" s="238" t="str">
        <f t="shared" ref="AI834:AI897" si="68">IF(OR(AE834="",AF834="",AG834=""),"—",IFERROR(ROUND(AE834*0.4+AF834*0.3+AG834*0.3-IF(ISNUMBER(AH834),AH834,0),1),"⚠️"))</f>
        <v>—</v>
      </c>
      <c r="AJ834" s="190" t="str">
        <f t="shared" ref="AJ834:AJ897" si="69">IF(AI834="—","—",IF(NOT(ISNUMBER(AI834)),"⚠️",IF(AI834&gt;=98,"🌟 ممتاز جدًا",IF(AI834&gt;=90,"⭐ ممتاز",IF(AI834&gt;=75,"🟢 جيد",IF(AI834&gt;=60,"🟡 مقبول",IF(AI834&gt;=40,"🔴 ضعيف","🚨 خطر شديد")))))))</f>
        <v>—</v>
      </c>
      <c r="AK834" s="157" t="str">
        <f t="shared" si="65"/>
        <v/>
      </c>
      <c r="AL834" s="160" t="str">
        <f t="shared" si="66"/>
        <v/>
      </c>
      <c r="AM834" s="210"/>
      <c r="AN834" s="209"/>
    </row>
    <row r="835" spans="1:40" ht="27.95" customHeight="1">
      <c r="A835" s="134" t="str">
        <f>IF(I835&lt;&gt;"",COUNTA($I$2:I835),"")</f>
        <v/>
      </c>
      <c r="B835" s="138" t="str">
        <f t="shared" si="67"/>
        <v/>
      </c>
      <c r="C835" s="93" t="str">
        <f t="array" ref="C835">IF(E835="","",IF(M835&lt;&gt;"",
M835&amp;"/"&amp;SUMPRODUCT((M$2:M835=M835)*1)&amp;" - "&amp;(ROW()-2),
"إداري/"&amp;SUMPRODUCT((M$2:M835="")*1)&amp;" - "&amp;(ROW()-2)))</f>
        <v/>
      </c>
      <c r="D835" s="141" t="str">
        <f>IF(AND(G835="",H835="",I835=""),"",IF(COUNTIFS(LISTS!$A$2:$A$67,G835,LISTS!$B$2:$B$67,H835,LISTS!$C$2:$C$67,I835)=0,"✗ هرم",IF(NOT(OR(Z835="ممتاز 100%",Z835="جيد 80%",Z835="مقبول 60%",Z835="خطر 40%",Z835="")),"✗ قائمة R",IF(NOT(OR(AA835="ممتاز 100%",AA835="جيد 85%",AA835="مقبول 70%",AA835="ضعيف 50%",AA835="")),"✗ قائمة S",IF(NOT(OR(AB835="مكتمل 100%",AB835="جزئي 60%",AB835="معلق 30%",AB835="مفتوح 0%",AB835="")),"✗ قائمة T",IF(NOT(OR(AC835="لا خصم 0",AC835="تأخير −5",AC835="عجز −10",AC835="جودة −15",AC835="امتثال −20",AC835="مخالفة −25",AC835="")),"✗ قائمة U",IF(AND(X835="لا",AC835&lt;&gt;"",AC835&lt;&gt;"لا خصم 0"),"✗ خصم",IF(AND(X835="نعم",AC835="لا خصم 0"),"✗ خصم",IF(AND(Z835="ممتاز 100%",AA835="ممتاز 100%",AB835&lt;&gt;"",AB835&lt;&gt;"مكتمل 100%"),"✗ إغلاق",IFERROR(IF(LEN(_xlfn.TEXTJOIN("، ",TRUE,IF(E835="","التاريخ",""),IF(F835="","الوقت",""),IF(G835="","المركز",""),IF(H835="","الدائرة",""),IF(I835="","القسم",""),IF(J835="","المسؤول",""),IF(K835="","نوع النشاط",""),IF(L835="","المشروع",""),IF(N835="","الممول",""),IF(V835="","الموضوع",""),IF(W835="","الملاحظة",""),IF(X835="","مشكلة",""),IF(Y835="","الإجراء",""),IF(Z835="","التنفيذ",""),IF(AA835="","الجودة",""),IF(AB835="","الإغلاق",""),IF(AC835="","الخصم",""),IF(AND(COUNTA($O835:$U835)&gt;0,O835=""),"مدير المشروع",""),IF(AND(COUNTA($O835:$U835)&gt;0,P835=""),"المستفيدين",""),IF(AND(COUNTA($O835:$U835)&gt;0,Q835=""),"المناطق",""),IF(AND(COUNTA($O835:$U835)&gt;0,R835=""),"الميزانية",""),IF(AND(COUNTA($O835:$U835)&gt;0,S835=""),"نسبة الجاهزية",""),IF(AND(COUNTA($O835:$U835)&gt;0,T835=""),"حالة الجاهزية",""),IF(AND(COUNTA($O835:$U835)&gt;0,U835=""),"التوصيات","")))&gt;0,"✗ ناقص: "&amp;_xlfn.TEXTJOIN("، ",TRUE,IF(E835="","التاريخ",""),IF(F835="","الوقت",""),IF(G835="","المركز",""),IF(H835="","الدائرة",""),IF(I835="","القسم",""),IF(J835="","المسؤول",""),IF(K835="","نوع النشاط",""),IF(L835="","المشروع",""),IF(N835="","الممول",""),IF(V835="","الموضوع",""),IF(W835="","الملاحظة",""),IF(X835="","مشكلة",""),IF(Y835="","الإجراء",""),IF(Z835="","التنفيذ",""),IF(AA835="","الجودة",""),IF(AB835="","الإغلاق",""),IF(AC835="","الخصم",""),IF(AND(COUNTA($O835:$U835)&gt;0,O835=""),"مدير المشروع",""),IF(AND(COUNTA($O835:$U835)&gt;0,P835=""),"المستفيدين",""),IF(AND(COUNTA($O835:$U835)&gt;0,Q835=""),"المناطق",""),IF(AND(COUNTA($O835:$U835)&gt;0,R835=""),"الميزانية",""),IF(AND(COUNTA($O835:$U835)&gt;0,S835=""),"نسبة الجاهزية",""),IF(AND(COUNTA($O835:$U835)&gt;0,T835=""),"حالة الجاهزية",""),IF(AND(COUNTA($O835:$U835)&gt;0,U835=""),"التوصيات","")),"✓"),"✓"))))))))))</f>
        <v/>
      </c>
      <c r="E835" s="235"/>
      <c r="F835" s="236"/>
      <c r="G835" s="90"/>
      <c r="H835" s="239"/>
      <c r="I835" s="89"/>
      <c r="J835" s="142"/>
      <c r="K835" s="90"/>
      <c r="L835" s="90"/>
      <c r="M835" s="90"/>
      <c r="N835" s="89"/>
      <c r="O835" s="200"/>
      <c r="P835" s="201"/>
      <c r="Q835" s="201"/>
      <c r="R835" s="237"/>
      <c r="S835" s="202"/>
      <c r="T835" s="200"/>
      <c r="U835" s="203"/>
      <c r="V835" s="89"/>
      <c r="W835" s="89"/>
      <c r="X835" s="145"/>
      <c r="Y835" s="89"/>
      <c r="Z835" s="90"/>
      <c r="AA835" s="90"/>
      <c r="AB835" s="90"/>
      <c r="AC835" s="90"/>
      <c r="AD835" s="92"/>
      <c r="AE835" s="149" t="str">
        <f>IFERROR(VLOOKUP(Z835,LISTS!$AL$2:$AM$1000,2,FALSE()),"")</f>
        <v/>
      </c>
      <c r="AF835" s="151" t="str">
        <f>IFERROR(VLOOKUP(AA835,LISTS!$AO$2:$AP$1000,2,FALSE()),"")</f>
        <v/>
      </c>
      <c r="AG835" s="152" t="str">
        <f>IFERROR(VLOOKUP(AB835,LISTS!$AR$2:$AS$1000,2,FALSE()),"")</f>
        <v/>
      </c>
      <c r="AH835" s="154" t="str">
        <f>IFERROR(VLOOKUP(AC835,LISTS!$AU$2:$AV$1000,2,FALSE()),"")</f>
        <v/>
      </c>
      <c r="AI835" s="238" t="str">
        <f t="shared" si="68"/>
        <v>—</v>
      </c>
      <c r="AJ835" s="190" t="str">
        <f t="shared" si="69"/>
        <v>—</v>
      </c>
      <c r="AK835" s="157" t="str">
        <f t="shared" si="65"/>
        <v/>
      </c>
      <c r="AL835" s="160" t="str">
        <f t="shared" si="66"/>
        <v/>
      </c>
      <c r="AM835" s="210"/>
      <c r="AN835" s="209"/>
    </row>
    <row r="836" spans="1:40" ht="27.95" customHeight="1">
      <c r="A836" s="134" t="str">
        <f>IF(I836&lt;&gt;"",COUNTA($I$2:I836),"")</f>
        <v/>
      </c>
      <c r="B836" s="138" t="str">
        <f t="shared" si="67"/>
        <v/>
      </c>
      <c r="C836" s="93" t="str">
        <f t="array" ref="C836">IF(E836="","",IF(M836&lt;&gt;"",
M836&amp;"/"&amp;SUMPRODUCT((M$2:M836=M836)*1)&amp;" - "&amp;(ROW()-2),
"إداري/"&amp;SUMPRODUCT((M$2:M836="")*1)&amp;" - "&amp;(ROW()-2)))</f>
        <v/>
      </c>
      <c r="D836" s="141" t="str">
        <f>IF(AND(G836="",H836="",I836=""),"",IF(COUNTIFS(LISTS!$A$2:$A$67,G836,LISTS!$B$2:$B$67,H836,LISTS!$C$2:$C$67,I836)=0,"✗ هرم",IF(NOT(OR(Z836="ممتاز 100%",Z836="جيد 80%",Z836="مقبول 60%",Z836="خطر 40%",Z836="")),"✗ قائمة R",IF(NOT(OR(AA836="ممتاز 100%",AA836="جيد 85%",AA836="مقبول 70%",AA836="ضعيف 50%",AA836="")),"✗ قائمة S",IF(NOT(OR(AB836="مكتمل 100%",AB836="جزئي 60%",AB836="معلق 30%",AB836="مفتوح 0%",AB836="")),"✗ قائمة T",IF(NOT(OR(AC836="لا خصم 0",AC836="تأخير −5",AC836="عجز −10",AC836="جودة −15",AC836="امتثال −20",AC836="مخالفة −25",AC836="")),"✗ قائمة U",IF(AND(X836="لا",AC836&lt;&gt;"",AC836&lt;&gt;"لا خصم 0"),"✗ خصم",IF(AND(X836="نعم",AC836="لا خصم 0"),"✗ خصم",IF(AND(Z836="ممتاز 100%",AA836="ممتاز 100%",AB836&lt;&gt;"",AB836&lt;&gt;"مكتمل 100%"),"✗ إغلاق",IFERROR(IF(LEN(_xlfn.TEXTJOIN("، ",TRUE,IF(E836="","التاريخ",""),IF(F836="","الوقت",""),IF(G836="","المركز",""),IF(H836="","الدائرة",""),IF(I836="","القسم",""),IF(J836="","المسؤول",""),IF(K836="","نوع النشاط",""),IF(L836="","المشروع",""),IF(N836="","الممول",""),IF(V836="","الموضوع",""),IF(W836="","الملاحظة",""),IF(X836="","مشكلة",""),IF(Y836="","الإجراء",""),IF(Z836="","التنفيذ",""),IF(AA836="","الجودة",""),IF(AB836="","الإغلاق",""),IF(AC836="","الخصم",""),IF(AND(COUNTA($O836:$U836)&gt;0,O836=""),"مدير المشروع",""),IF(AND(COUNTA($O836:$U836)&gt;0,P836=""),"المستفيدين",""),IF(AND(COUNTA($O836:$U836)&gt;0,Q836=""),"المناطق",""),IF(AND(COUNTA($O836:$U836)&gt;0,R836=""),"الميزانية",""),IF(AND(COUNTA($O836:$U836)&gt;0,S836=""),"نسبة الجاهزية",""),IF(AND(COUNTA($O836:$U836)&gt;0,T836=""),"حالة الجاهزية",""),IF(AND(COUNTA($O836:$U836)&gt;0,U836=""),"التوصيات","")))&gt;0,"✗ ناقص: "&amp;_xlfn.TEXTJOIN("، ",TRUE,IF(E836="","التاريخ",""),IF(F836="","الوقت",""),IF(G836="","المركز",""),IF(H836="","الدائرة",""),IF(I836="","القسم",""),IF(J836="","المسؤول",""),IF(K836="","نوع النشاط",""),IF(L836="","المشروع",""),IF(N836="","الممول",""),IF(V836="","الموضوع",""),IF(W836="","الملاحظة",""),IF(X836="","مشكلة",""),IF(Y836="","الإجراء",""),IF(Z836="","التنفيذ",""),IF(AA836="","الجودة",""),IF(AB836="","الإغلاق",""),IF(AC836="","الخصم",""),IF(AND(COUNTA($O836:$U836)&gt;0,O836=""),"مدير المشروع",""),IF(AND(COUNTA($O836:$U836)&gt;0,P836=""),"المستفيدين",""),IF(AND(COUNTA($O836:$U836)&gt;0,Q836=""),"المناطق",""),IF(AND(COUNTA($O836:$U836)&gt;0,R836=""),"الميزانية",""),IF(AND(COUNTA($O836:$U836)&gt;0,S836=""),"نسبة الجاهزية",""),IF(AND(COUNTA($O836:$U836)&gt;0,T836=""),"حالة الجاهزية",""),IF(AND(COUNTA($O836:$U836)&gt;0,U836=""),"التوصيات","")),"✓"),"✓"))))))))))</f>
        <v/>
      </c>
      <c r="E836" s="235"/>
      <c r="F836" s="236"/>
      <c r="G836" s="90"/>
      <c r="H836" s="239"/>
      <c r="I836" s="89"/>
      <c r="J836" s="142"/>
      <c r="K836" s="90"/>
      <c r="L836" s="90"/>
      <c r="M836" s="90"/>
      <c r="N836" s="89"/>
      <c r="O836" s="200"/>
      <c r="P836" s="201"/>
      <c r="Q836" s="201"/>
      <c r="R836" s="237"/>
      <c r="S836" s="202"/>
      <c r="T836" s="200"/>
      <c r="U836" s="203"/>
      <c r="V836" s="89"/>
      <c r="W836" s="89"/>
      <c r="X836" s="145"/>
      <c r="Y836" s="89"/>
      <c r="Z836" s="90"/>
      <c r="AA836" s="90"/>
      <c r="AB836" s="90"/>
      <c r="AC836" s="90"/>
      <c r="AD836" s="92"/>
      <c r="AE836" s="149" t="str">
        <f>IFERROR(VLOOKUP(Z836,LISTS!$AL$2:$AM$1000,2,FALSE()),"")</f>
        <v/>
      </c>
      <c r="AF836" s="151" t="str">
        <f>IFERROR(VLOOKUP(AA836,LISTS!$AO$2:$AP$1000,2,FALSE()),"")</f>
        <v/>
      </c>
      <c r="AG836" s="152" t="str">
        <f>IFERROR(VLOOKUP(AB836,LISTS!$AR$2:$AS$1000,2,FALSE()),"")</f>
        <v/>
      </c>
      <c r="AH836" s="154" t="str">
        <f>IFERROR(VLOOKUP(AC836,LISTS!$AU$2:$AV$1000,2,FALSE()),"")</f>
        <v/>
      </c>
      <c r="AI836" s="238" t="str">
        <f t="shared" si="68"/>
        <v>—</v>
      </c>
      <c r="AJ836" s="190" t="str">
        <f t="shared" si="69"/>
        <v>—</v>
      </c>
      <c r="AK836" s="157" t="str">
        <f t="shared" si="65"/>
        <v/>
      </c>
      <c r="AL836" s="160" t="str">
        <f t="shared" si="66"/>
        <v/>
      </c>
      <c r="AM836" s="210"/>
      <c r="AN836" s="209"/>
    </row>
    <row r="837" spans="1:40" ht="27.95" customHeight="1">
      <c r="A837" s="134" t="str">
        <f>IF(I837&lt;&gt;"",COUNTA($I$2:I837),"")</f>
        <v/>
      </c>
      <c r="B837" s="138" t="str">
        <f t="shared" si="67"/>
        <v/>
      </c>
      <c r="C837" s="93" t="str">
        <f t="array" ref="C837">IF(E837="","",IF(M837&lt;&gt;"",
M837&amp;"/"&amp;SUMPRODUCT((M$2:M837=M837)*1)&amp;" - "&amp;(ROW()-2),
"إداري/"&amp;SUMPRODUCT((M$2:M837="")*1)&amp;" - "&amp;(ROW()-2)))</f>
        <v/>
      </c>
      <c r="D837" s="141" t="str">
        <f>IF(AND(G837="",H837="",I837=""),"",IF(COUNTIFS(LISTS!$A$2:$A$67,G837,LISTS!$B$2:$B$67,H837,LISTS!$C$2:$C$67,I837)=0,"✗ هرم",IF(NOT(OR(Z837="ممتاز 100%",Z837="جيد 80%",Z837="مقبول 60%",Z837="خطر 40%",Z837="")),"✗ قائمة R",IF(NOT(OR(AA837="ممتاز 100%",AA837="جيد 85%",AA837="مقبول 70%",AA837="ضعيف 50%",AA837="")),"✗ قائمة S",IF(NOT(OR(AB837="مكتمل 100%",AB837="جزئي 60%",AB837="معلق 30%",AB837="مفتوح 0%",AB837="")),"✗ قائمة T",IF(NOT(OR(AC837="لا خصم 0",AC837="تأخير −5",AC837="عجز −10",AC837="جودة −15",AC837="امتثال −20",AC837="مخالفة −25",AC837="")),"✗ قائمة U",IF(AND(X837="لا",AC837&lt;&gt;"",AC837&lt;&gt;"لا خصم 0"),"✗ خصم",IF(AND(X837="نعم",AC837="لا خصم 0"),"✗ خصم",IF(AND(Z837="ممتاز 100%",AA837="ممتاز 100%",AB837&lt;&gt;"",AB837&lt;&gt;"مكتمل 100%"),"✗ إغلاق",IFERROR(IF(LEN(_xlfn.TEXTJOIN("، ",TRUE,IF(E837="","التاريخ",""),IF(F837="","الوقت",""),IF(G837="","المركز",""),IF(H837="","الدائرة",""),IF(I837="","القسم",""),IF(J837="","المسؤول",""),IF(K837="","نوع النشاط",""),IF(L837="","المشروع",""),IF(N837="","الممول",""),IF(V837="","الموضوع",""),IF(W837="","الملاحظة",""),IF(X837="","مشكلة",""),IF(Y837="","الإجراء",""),IF(Z837="","التنفيذ",""),IF(AA837="","الجودة",""),IF(AB837="","الإغلاق",""),IF(AC837="","الخصم",""),IF(AND(COUNTA($O837:$U837)&gt;0,O837=""),"مدير المشروع",""),IF(AND(COUNTA($O837:$U837)&gt;0,P837=""),"المستفيدين",""),IF(AND(COUNTA($O837:$U837)&gt;0,Q837=""),"المناطق",""),IF(AND(COUNTA($O837:$U837)&gt;0,R837=""),"الميزانية",""),IF(AND(COUNTA($O837:$U837)&gt;0,S837=""),"نسبة الجاهزية",""),IF(AND(COUNTA($O837:$U837)&gt;0,T837=""),"حالة الجاهزية",""),IF(AND(COUNTA($O837:$U837)&gt;0,U837=""),"التوصيات","")))&gt;0,"✗ ناقص: "&amp;_xlfn.TEXTJOIN("، ",TRUE,IF(E837="","التاريخ",""),IF(F837="","الوقت",""),IF(G837="","المركز",""),IF(H837="","الدائرة",""),IF(I837="","القسم",""),IF(J837="","المسؤول",""),IF(K837="","نوع النشاط",""),IF(L837="","المشروع",""),IF(N837="","الممول",""),IF(V837="","الموضوع",""),IF(W837="","الملاحظة",""),IF(X837="","مشكلة",""),IF(Y837="","الإجراء",""),IF(Z837="","التنفيذ",""),IF(AA837="","الجودة",""),IF(AB837="","الإغلاق",""),IF(AC837="","الخصم",""),IF(AND(COUNTA($O837:$U837)&gt;0,O837=""),"مدير المشروع",""),IF(AND(COUNTA($O837:$U837)&gt;0,P837=""),"المستفيدين",""),IF(AND(COUNTA($O837:$U837)&gt;0,Q837=""),"المناطق",""),IF(AND(COUNTA($O837:$U837)&gt;0,R837=""),"الميزانية",""),IF(AND(COUNTA($O837:$U837)&gt;0,S837=""),"نسبة الجاهزية",""),IF(AND(COUNTA($O837:$U837)&gt;0,T837=""),"حالة الجاهزية",""),IF(AND(COUNTA($O837:$U837)&gt;0,U837=""),"التوصيات","")),"✓"),"✓"))))))))))</f>
        <v/>
      </c>
      <c r="E837" s="235"/>
      <c r="F837" s="236"/>
      <c r="G837" s="90"/>
      <c r="H837" s="239"/>
      <c r="I837" s="89"/>
      <c r="J837" s="142"/>
      <c r="K837" s="90"/>
      <c r="L837" s="90"/>
      <c r="M837" s="90"/>
      <c r="N837" s="89"/>
      <c r="O837" s="200"/>
      <c r="P837" s="201"/>
      <c r="Q837" s="201"/>
      <c r="R837" s="237"/>
      <c r="S837" s="202"/>
      <c r="T837" s="200"/>
      <c r="U837" s="203"/>
      <c r="V837" s="89"/>
      <c r="W837" s="89"/>
      <c r="X837" s="145"/>
      <c r="Y837" s="89"/>
      <c r="Z837" s="90"/>
      <c r="AA837" s="90"/>
      <c r="AB837" s="90"/>
      <c r="AC837" s="90"/>
      <c r="AD837" s="92"/>
      <c r="AE837" s="149" t="str">
        <f>IFERROR(VLOOKUP(Z837,LISTS!$AL$2:$AM$1000,2,FALSE()),"")</f>
        <v/>
      </c>
      <c r="AF837" s="151" t="str">
        <f>IFERROR(VLOOKUP(AA837,LISTS!$AO$2:$AP$1000,2,FALSE()),"")</f>
        <v/>
      </c>
      <c r="AG837" s="152" t="str">
        <f>IFERROR(VLOOKUP(AB837,LISTS!$AR$2:$AS$1000,2,FALSE()),"")</f>
        <v/>
      </c>
      <c r="AH837" s="154" t="str">
        <f>IFERROR(VLOOKUP(AC837,LISTS!$AU$2:$AV$1000,2,FALSE()),"")</f>
        <v/>
      </c>
      <c r="AI837" s="238" t="str">
        <f t="shared" si="68"/>
        <v>—</v>
      </c>
      <c r="AJ837" s="190" t="str">
        <f t="shared" si="69"/>
        <v>—</v>
      </c>
      <c r="AK837" s="157" t="str">
        <f t="shared" si="65"/>
        <v/>
      </c>
      <c r="AL837" s="160" t="str">
        <f t="shared" si="66"/>
        <v/>
      </c>
      <c r="AM837" s="210"/>
      <c r="AN837" s="209"/>
    </row>
    <row r="838" spans="1:40" ht="27.95" customHeight="1">
      <c r="A838" s="134" t="str">
        <f>IF(I838&lt;&gt;"",COUNTA($I$2:I838),"")</f>
        <v/>
      </c>
      <c r="B838" s="138" t="str">
        <f t="shared" si="67"/>
        <v/>
      </c>
      <c r="C838" s="93" t="str">
        <f t="array" ref="C838">IF(E838="","",IF(M838&lt;&gt;"",
M838&amp;"/"&amp;SUMPRODUCT((M$2:M838=M838)*1)&amp;" - "&amp;(ROW()-2),
"إداري/"&amp;SUMPRODUCT((M$2:M838="")*1)&amp;" - "&amp;(ROW()-2)))</f>
        <v/>
      </c>
      <c r="D838" s="141" t="str">
        <f>IF(AND(G838="",H838="",I838=""),"",IF(COUNTIFS(LISTS!$A$2:$A$67,G838,LISTS!$B$2:$B$67,H838,LISTS!$C$2:$C$67,I838)=0,"✗ هرم",IF(NOT(OR(Z838="ممتاز 100%",Z838="جيد 80%",Z838="مقبول 60%",Z838="خطر 40%",Z838="")),"✗ قائمة R",IF(NOT(OR(AA838="ممتاز 100%",AA838="جيد 85%",AA838="مقبول 70%",AA838="ضعيف 50%",AA838="")),"✗ قائمة S",IF(NOT(OR(AB838="مكتمل 100%",AB838="جزئي 60%",AB838="معلق 30%",AB838="مفتوح 0%",AB838="")),"✗ قائمة T",IF(NOT(OR(AC838="لا خصم 0",AC838="تأخير −5",AC838="عجز −10",AC838="جودة −15",AC838="امتثال −20",AC838="مخالفة −25",AC838="")),"✗ قائمة U",IF(AND(X838="لا",AC838&lt;&gt;"",AC838&lt;&gt;"لا خصم 0"),"✗ خصم",IF(AND(X838="نعم",AC838="لا خصم 0"),"✗ خصم",IF(AND(Z838="ممتاز 100%",AA838="ممتاز 100%",AB838&lt;&gt;"",AB838&lt;&gt;"مكتمل 100%"),"✗ إغلاق",IFERROR(IF(LEN(_xlfn.TEXTJOIN("، ",TRUE,IF(E838="","التاريخ",""),IF(F838="","الوقت",""),IF(G838="","المركز",""),IF(H838="","الدائرة",""),IF(I838="","القسم",""),IF(J838="","المسؤول",""),IF(K838="","نوع النشاط",""),IF(L838="","المشروع",""),IF(N838="","الممول",""),IF(V838="","الموضوع",""),IF(W838="","الملاحظة",""),IF(X838="","مشكلة",""),IF(Y838="","الإجراء",""),IF(Z838="","التنفيذ",""),IF(AA838="","الجودة",""),IF(AB838="","الإغلاق",""),IF(AC838="","الخصم",""),IF(AND(COUNTA($O838:$U838)&gt;0,O838=""),"مدير المشروع",""),IF(AND(COUNTA($O838:$U838)&gt;0,P838=""),"المستفيدين",""),IF(AND(COUNTA($O838:$U838)&gt;0,Q838=""),"المناطق",""),IF(AND(COUNTA($O838:$U838)&gt;0,R838=""),"الميزانية",""),IF(AND(COUNTA($O838:$U838)&gt;0,S838=""),"نسبة الجاهزية",""),IF(AND(COUNTA($O838:$U838)&gt;0,T838=""),"حالة الجاهزية",""),IF(AND(COUNTA($O838:$U838)&gt;0,U838=""),"التوصيات","")))&gt;0,"✗ ناقص: "&amp;_xlfn.TEXTJOIN("، ",TRUE,IF(E838="","التاريخ",""),IF(F838="","الوقت",""),IF(G838="","المركز",""),IF(H838="","الدائرة",""),IF(I838="","القسم",""),IF(J838="","المسؤول",""),IF(K838="","نوع النشاط",""),IF(L838="","المشروع",""),IF(N838="","الممول",""),IF(V838="","الموضوع",""),IF(W838="","الملاحظة",""),IF(X838="","مشكلة",""),IF(Y838="","الإجراء",""),IF(Z838="","التنفيذ",""),IF(AA838="","الجودة",""),IF(AB838="","الإغلاق",""),IF(AC838="","الخصم",""),IF(AND(COUNTA($O838:$U838)&gt;0,O838=""),"مدير المشروع",""),IF(AND(COUNTA($O838:$U838)&gt;0,P838=""),"المستفيدين",""),IF(AND(COUNTA($O838:$U838)&gt;0,Q838=""),"المناطق",""),IF(AND(COUNTA($O838:$U838)&gt;0,R838=""),"الميزانية",""),IF(AND(COUNTA($O838:$U838)&gt;0,S838=""),"نسبة الجاهزية",""),IF(AND(COUNTA($O838:$U838)&gt;0,T838=""),"حالة الجاهزية",""),IF(AND(COUNTA($O838:$U838)&gt;0,U838=""),"التوصيات","")),"✓"),"✓"))))))))))</f>
        <v/>
      </c>
      <c r="E838" s="235"/>
      <c r="F838" s="236"/>
      <c r="G838" s="90"/>
      <c r="H838" s="239"/>
      <c r="I838" s="89"/>
      <c r="J838" s="142"/>
      <c r="K838" s="90"/>
      <c r="L838" s="90"/>
      <c r="M838" s="90"/>
      <c r="N838" s="89"/>
      <c r="O838" s="200"/>
      <c r="P838" s="201"/>
      <c r="Q838" s="201"/>
      <c r="R838" s="237"/>
      <c r="S838" s="202"/>
      <c r="T838" s="200"/>
      <c r="U838" s="203"/>
      <c r="V838" s="89"/>
      <c r="W838" s="89"/>
      <c r="X838" s="145"/>
      <c r="Y838" s="89"/>
      <c r="Z838" s="90"/>
      <c r="AA838" s="90"/>
      <c r="AB838" s="90"/>
      <c r="AC838" s="90"/>
      <c r="AD838" s="92"/>
      <c r="AE838" s="149" t="str">
        <f>IFERROR(VLOOKUP(Z838,LISTS!$AL$2:$AM$1000,2,FALSE()),"")</f>
        <v/>
      </c>
      <c r="AF838" s="151" t="str">
        <f>IFERROR(VLOOKUP(AA838,LISTS!$AO$2:$AP$1000,2,FALSE()),"")</f>
        <v/>
      </c>
      <c r="AG838" s="152" t="str">
        <f>IFERROR(VLOOKUP(AB838,LISTS!$AR$2:$AS$1000,2,FALSE()),"")</f>
        <v/>
      </c>
      <c r="AH838" s="154" t="str">
        <f>IFERROR(VLOOKUP(AC838,LISTS!$AU$2:$AV$1000,2,FALSE()),"")</f>
        <v/>
      </c>
      <c r="AI838" s="238" t="str">
        <f t="shared" si="68"/>
        <v>—</v>
      </c>
      <c r="AJ838" s="190" t="str">
        <f t="shared" si="69"/>
        <v>—</v>
      </c>
      <c r="AK838" s="157" t="str">
        <f t="shared" si="65"/>
        <v/>
      </c>
      <c r="AL838" s="160" t="str">
        <f t="shared" si="66"/>
        <v/>
      </c>
      <c r="AM838" s="210"/>
      <c r="AN838" s="209"/>
    </row>
    <row r="839" spans="1:40" ht="27.95" customHeight="1">
      <c r="A839" s="134" t="str">
        <f>IF(I839&lt;&gt;"",COUNTA($I$2:I839),"")</f>
        <v/>
      </c>
      <c r="B839" s="138" t="str">
        <f t="shared" si="67"/>
        <v/>
      </c>
      <c r="C839" s="93" t="str">
        <f t="array" ref="C839">IF(E839="","",IF(M839&lt;&gt;"",
M839&amp;"/"&amp;SUMPRODUCT((M$2:M839=M839)*1)&amp;" - "&amp;(ROW()-2),
"إداري/"&amp;SUMPRODUCT((M$2:M839="")*1)&amp;" - "&amp;(ROW()-2)))</f>
        <v/>
      </c>
      <c r="D839" s="141" t="str">
        <f>IF(AND(G839="",H839="",I839=""),"",IF(COUNTIFS(LISTS!$A$2:$A$67,G839,LISTS!$B$2:$B$67,H839,LISTS!$C$2:$C$67,I839)=0,"✗ هرم",IF(NOT(OR(Z839="ممتاز 100%",Z839="جيد 80%",Z839="مقبول 60%",Z839="خطر 40%",Z839="")),"✗ قائمة R",IF(NOT(OR(AA839="ممتاز 100%",AA839="جيد 85%",AA839="مقبول 70%",AA839="ضعيف 50%",AA839="")),"✗ قائمة S",IF(NOT(OR(AB839="مكتمل 100%",AB839="جزئي 60%",AB839="معلق 30%",AB839="مفتوح 0%",AB839="")),"✗ قائمة T",IF(NOT(OR(AC839="لا خصم 0",AC839="تأخير −5",AC839="عجز −10",AC839="جودة −15",AC839="امتثال −20",AC839="مخالفة −25",AC839="")),"✗ قائمة U",IF(AND(X839="لا",AC839&lt;&gt;"",AC839&lt;&gt;"لا خصم 0"),"✗ خصم",IF(AND(X839="نعم",AC839="لا خصم 0"),"✗ خصم",IF(AND(Z839="ممتاز 100%",AA839="ممتاز 100%",AB839&lt;&gt;"",AB839&lt;&gt;"مكتمل 100%"),"✗ إغلاق",IFERROR(IF(LEN(_xlfn.TEXTJOIN("، ",TRUE,IF(E839="","التاريخ",""),IF(F839="","الوقت",""),IF(G839="","المركز",""),IF(H839="","الدائرة",""),IF(I839="","القسم",""),IF(J839="","المسؤول",""),IF(K839="","نوع النشاط",""),IF(L839="","المشروع",""),IF(N839="","الممول",""),IF(V839="","الموضوع",""),IF(W839="","الملاحظة",""),IF(X839="","مشكلة",""),IF(Y839="","الإجراء",""),IF(Z839="","التنفيذ",""),IF(AA839="","الجودة",""),IF(AB839="","الإغلاق",""),IF(AC839="","الخصم",""),IF(AND(COUNTA($O839:$U839)&gt;0,O839=""),"مدير المشروع",""),IF(AND(COUNTA($O839:$U839)&gt;0,P839=""),"المستفيدين",""),IF(AND(COUNTA($O839:$U839)&gt;0,Q839=""),"المناطق",""),IF(AND(COUNTA($O839:$U839)&gt;0,R839=""),"الميزانية",""),IF(AND(COUNTA($O839:$U839)&gt;0,S839=""),"نسبة الجاهزية",""),IF(AND(COUNTA($O839:$U839)&gt;0,T839=""),"حالة الجاهزية",""),IF(AND(COUNTA($O839:$U839)&gt;0,U839=""),"التوصيات","")))&gt;0,"✗ ناقص: "&amp;_xlfn.TEXTJOIN("، ",TRUE,IF(E839="","التاريخ",""),IF(F839="","الوقت",""),IF(G839="","المركز",""),IF(H839="","الدائرة",""),IF(I839="","القسم",""),IF(J839="","المسؤول",""),IF(K839="","نوع النشاط",""),IF(L839="","المشروع",""),IF(N839="","الممول",""),IF(V839="","الموضوع",""),IF(W839="","الملاحظة",""),IF(X839="","مشكلة",""),IF(Y839="","الإجراء",""),IF(Z839="","التنفيذ",""),IF(AA839="","الجودة",""),IF(AB839="","الإغلاق",""),IF(AC839="","الخصم",""),IF(AND(COUNTA($O839:$U839)&gt;0,O839=""),"مدير المشروع",""),IF(AND(COUNTA($O839:$U839)&gt;0,P839=""),"المستفيدين",""),IF(AND(COUNTA($O839:$U839)&gt;0,Q839=""),"المناطق",""),IF(AND(COUNTA($O839:$U839)&gt;0,R839=""),"الميزانية",""),IF(AND(COUNTA($O839:$U839)&gt;0,S839=""),"نسبة الجاهزية",""),IF(AND(COUNTA($O839:$U839)&gt;0,T839=""),"حالة الجاهزية",""),IF(AND(COUNTA($O839:$U839)&gt;0,U839=""),"التوصيات","")),"✓"),"✓"))))))))))</f>
        <v/>
      </c>
      <c r="E839" s="235"/>
      <c r="F839" s="236"/>
      <c r="G839" s="90"/>
      <c r="H839" s="239"/>
      <c r="I839" s="89"/>
      <c r="J839" s="142"/>
      <c r="K839" s="90"/>
      <c r="L839" s="90"/>
      <c r="M839" s="90"/>
      <c r="N839" s="89"/>
      <c r="O839" s="200"/>
      <c r="P839" s="201"/>
      <c r="Q839" s="201"/>
      <c r="R839" s="237"/>
      <c r="S839" s="202"/>
      <c r="T839" s="200"/>
      <c r="U839" s="203"/>
      <c r="V839" s="89"/>
      <c r="W839" s="89"/>
      <c r="X839" s="145"/>
      <c r="Y839" s="89"/>
      <c r="Z839" s="90"/>
      <c r="AA839" s="90"/>
      <c r="AB839" s="90"/>
      <c r="AC839" s="90"/>
      <c r="AD839" s="92"/>
      <c r="AE839" s="149" t="str">
        <f>IFERROR(VLOOKUP(Z839,LISTS!$AL$2:$AM$1000,2,FALSE()),"")</f>
        <v/>
      </c>
      <c r="AF839" s="151" t="str">
        <f>IFERROR(VLOOKUP(AA839,LISTS!$AO$2:$AP$1000,2,FALSE()),"")</f>
        <v/>
      </c>
      <c r="AG839" s="152" t="str">
        <f>IFERROR(VLOOKUP(AB839,LISTS!$AR$2:$AS$1000,2,FALSE()),"")</f>
        <v/>
      </c>
      <c r="AH839" s="154" t="str">
        <f>IFERROR(VLOOKUP(AC839,LISTS!$AU$2:$AV$1000,2,FALSE()),"")</f>
        <v/>
      </c>
      <c r="AI839" s="238" t="str">
        <f t="shared" si="68"/>
        <v>—</v>
      </c>
      <c r="AJ839" s="190" t="str">
        <f t="shared" si="69"/>
        <v>—</v>
      </c>
      <c r="AK839" s="157" t="str">
        <f t="shared" si="65"/>
        <v/>
      </c>
      <c r="AL839" s="160" t="str">
        <f t="shared" si="66"/>
        <v/>
      </c>
      <c r="AM839" s="210"/>
      <c r="AN839" s="209"/>
    </row>
    <row r="840" spans="1:40" ht="27.95" customHeight="1">
      <c r="A840" s="134" t="str">
        <f>IF(I840&lt;&gt;"",COUNTA($I$2:I840),"")</f>
        <v/>
      </c>
      <c r="B840" s="138" t="str">
        <f t="shared" si="67"/>
        <v/>
      </c>
      <c r="C840" s="93" t="str">
        <f t="array" ref="C840">IF(E840="","",IF(M840&lt;&gt;"",
M840&amp;"/"&amp;SUMPRODUCT((M$2:M840=M840)*1)&amp;" - "&amp;(ROW()-2),
"إداري/"&amp;SUMPRODUCT((M$2:M840="")*1)&amp;" - "&amp;(ROW()-2)))</f>
        <v/>
      </c>
      <c r="D840" s="141" t="str">
        <f>IF(AND(G840="",H840="",I840=""),"",IF(COUNTIFS(LISTS!$A$2:$A$67,G840,LISTS!$B$2:$B$67,H840,LISTS!$C$2:$C$67,I840)=0,"✗ هرم",IF(NOT(OR(Z840="ممتاز 100%",Z840="جيد 80%",Z840="مقبول 60%",Z840="خطر 40%",Z840="")),"✗ قائمة R",IF(NOT(OR(AA840="ممتاز 100%",AA840="جيد 85%",AA840="مقبول 70%",AA840="ضعيف 50%",AA840="")),"✗ قائمة S",IF(NOT(OR(AB840="مكتمل 100%",AB840="جزئي 60%",AB840="معلق 30%",AB840="مفتوح 0%",AB840="")),"✗ قائمة T",IF(NOT(OR(AC840="لا خصم 0",AC840="تأخير −5",AC840="عجز −10",AC840="جودة −15",AC840="امتثال −20",AC840="مخالفة −25",AC840="")),"✗ قائمة U",IF(AND(X840="لا",AC840&lt;&gt;"",AC840&lt;&gt;"لا خصم 0"),"✗ خصم",IF(AND(X840="نعم",AC840="لا خصم 0"),"✗ خصم",IF(AND(Z840="ممتاز 100%",AA840="ممتاز 100%",AB840&lt;&gt;"",AB840&lt;&gt;"مكتمل 100%"),"✗ إغلاق",IFERROR(IF(LEN(_xlfn.TEXTJOIN("، ",TRUE,IF(E840="","التاريخ",""),IF(F840="","الوقت",""),IF(G840="","المركز",""),IF(H840="","الدائرة",""),IF(I840="","القسم",""),IF(J840="","المسؤول",""),IF(K840="","نوع النشاط",""),IF(L840="","المشروع",""),IF(N840="","الممول",""),IF(V840="","الموضوع",""),IF(W840="","الملاحظة",""),IF(X840="","مشكلة",""),IF(Y840="","الإجراء",""),IF(Z840="","التنفيذ",""),IF(AA840="","الجودة",""),IF(AB840="","الإغلاق",""),IF(AC840="","الخصم",""),IF(AND(COUNTA($O840:$U840)&gt;0,O840=""),"مدير المشروع",""),IF(AND(COUNTA($O840:$U840)&gt;0,P840=""),"المستفيدين",""),IF(AND(COUNTA($O840:$U840)&gt;0,Q840=""),"المناطق",""),IF(AND(COUNTA($O840:$U840)&gt;0,R840=""),"الميزانية",""),IF(AND(COUNTA($O840:$U840)&gt;0,S840=""),"نسبة الجاهزية",""),IF(AND(COUNTA($O840:$U840)&gt;0,T840=""),"حالة الجاهزية",""),IF(AND(COUNTA($O840:$U840)&gt;0,U840=""),"التوصيات","")))&gt;0,"✗ ناقص: "&amp;_xlfn.TEXTJOIN("، ",TRUE,IF(E840="","التاريخ",""),IF(F840="","الوقت",""),IF(G840="","المركز",""),IF(H840="","الدائرة",""),IF(I840="","القسم",""),IF(J840="","المسؤول",""),IF(K840="","نوع النشاط",""),IF(L840="","المشروع",""),IF(N840="","الممول",""),IF(V840="","الموضوع",""),IF(W840="","الملاحظة",""),IF(X840="","مشكلة",""),IF(Y840="","الإجراء",""),IF(Z840="","التنفيذ",""),IF(AA840="","الجودة",""),IF(AB840="","الإغلاق",""),IF(AC840="","الخصم",""),IF(AND(COUNTA($O840:$U840)&gt;0,O840=""),"مدير المشروع",""),IF(AND(COUNTA($O840:$U840)&gt;0,P840=""),"المستفيدين",""),IF(AND(COUNTA($O840:$U840)&gt;0,Q840=""),"المناطق",""),IF(AND(COUNTA($O840:$U840)&gt;0,R840=""),"الميزانية",""),IF(AND(COUNTA($O840:$U840)&gt;0,S840=""),"نسبة الجاهزية",""),IF(AND(COUNTA($O840:$U840)&gt;0,T840=""),"حالة الجاهزية",""),IF(AND(COUNTA($O840:$U840)&gt;0,U840=""),"التوصيات","")),"✓"),"✓"))))))))))</f>
        <v/>
      </c>
      <c r="E840" s="235"/>
      <c r="F840" s="236"/>
      <c r="G840" s="90"/>
      <c r="H840" s="239"/>
      <c r="I840" s="89"/>
      <c r="J840" s="142"/>
      <c r="K840" s="90"/>
      <c r="L840" s="90"/>
      <c r="M840" s="90"/>
      <c r="N840" s="89"/>
      <c r="O840" s="200"/>
      <c r="P840" s="201"/>
      <c r="Q840" s="201"/>
      <c r="R840" s="237"/>
      <c r="S840" s="202"/>
      <c r="T840" s="200"/>
      <c r="U840" s="203"/>
      <c r="V840" s="89"/>
      <c r="W840" s="89"/>
      <c r="X840" s="145"/>
      <c r="Y840" s="89"/>
      <c r="Z840" s="90"/>
      <c r="AA840" s="90"/>
      <c r="AB840" s="90"/>
      <c r="AC840" s="90"/>
      <c r="AD840" s="92"/>
      <c r="AE840" s="149" t="str">
        <f>IFERROR(VLOOKUP(Z840,LISTS!$AL$2:$AM$1000,2,FALSE()),"")</f>
        <v/>
      </c>
      <c r="AF840" s="151" t="str">
        <f>IFERROR(VLOOKUP(AA840,LISTS!$AO$2:$AP$1000,2,FALSE()),"")</f>
        <v/>
      </c>
      <c r="AG840" s="152" t="str">
        <f>IFERROR(VLOOKUP(AB840,LISTS!$AR$2:$AS$1000,2,FALSE()),"")</f>
        <v/>
      </c>
      <c r="AH840" s="154" t="str">
        <f>IFERROR(VLOOKUP(AC840,LISTS!$AU$2:$AV$1000,2,FALSE()),"")</f>
        <v/>
      </c>
      <c r="AI840" s="238" t="str">
        <f t="shared" si="68"/>
        <v>—</v>
      </c>
      <c r="AJ840" s="190" t="str">
        <f t="shared" si="69"/>
        <v>—</v>
      </c>
      <c r="AK840" s="157" t="str">
        <f t="shared" si="65"/>
        <v/>
      </c>
      <c r="AL840" s="160" t="str">
        <f t="shared" si="66"/>
        <v/>
      </c>
      <c r="AM840" s="210"/>
      <c r="AN840" s="209"/>
    </row>
    <row r="841" spans="1:40" ht="27.95" customHeight="1">
      <c r="A841" s="134" t="str">
        <f>IF(I841&lt;&gt;"",COUNTA($I$2:I841),"")</f>
        <v/>
      </c>
      <c r="B841" s="138" t="str">
        <f t="shared" si="67"/>
        <v/>
      </c>
      <c r="C841" s="93" t="str">
        <f t="array" ref="C841">IF(E841="","",IF(M841&lt;&gt;"",
M841&amp;"/"&amp;SUMPRODUCT((M$2:M841=M841)*1)&amp;" - "&amp;(ROW()-2),
"إداري/"&amp;SUMPRODUCT((M$2:M841="")*1)&amp;" - "&amp;(ROW()-2)))</f>
        <v/>
      </c>
      <c r="D841" s="141" t="str">
        <f>IF(AND(G841="",H841="",I841=""),"",IF(COUNTIFS(LISTS!$A$2:$A$67,G841,LISTS!$B$2:$B$67,H841,LISTS!$C$2:$C$67,I841)=0,"✗ هرم",IF(NOT(OR(Z841="ممتاز 100%",Z841="جيد 80%",Z841="مقبول 60%",Z841="خطر 40%",Z841="")),"✗ قائمة R",IF(NOT(OR(AA841="ممتاز 100%",AA841="جيد 85%",AA841="مقبول 70%",AA841="ضعيف 50%",AA841="")),"✗ قائمة S",IF(NOT(OR(AB841="مكتمل 100%",AB841="جزئي 60%",AB841="معلق 30%",AB841="مفتوح 0%",AB841="")),"✗ قائمة T",IF(NOT(OR(AC841="لا خصم 0",AC841="تأخير −5",AC841="عجز −10",AC841="جودة −15",AC841="امتثال −20",AC841="مخالفة −25",AC841="")),"✗ قائمة U",IF(AND(X841="لا",AC841&lt;&gt;"",AC841&lt;&gt;"لا خصم 0"),"✗ خصم",IF(AND(X841="نعم",AC841="لا خصم 0"),"✗ خصم",IF(AND(Z841="ممتاز 100%",AA841="ممتاز 100%",AB841&lt;&gt;"",AB841&lt;&gt;"مكتمل 100%"),"✗ إغلاق",IFERROR(IF(LEN(_xlfn.TEXTJOIN("، ",TRUE,IF(E841="","التاريخ",""),IF(F841="","الوقت",""),IF(G841="","المركز",""),IF(H841="","الدائرة",""),IF(I841="","القسم",""),IF(J841="","المسؤول",""),IF(K841="","نوع النشاط",""),IF(L841="","المشروع",""),IF(N841="","الممول",""),IF(V841="","الموضوع",""),IF(W841="","الملاحظة",""),IF(X841="","مشكلة",""),IF(Y841="","الإجراء",""),IF(Z841="","التنفيذ",""),IF(AA841="","الجودة",""),IF(AB841="","الإغلاق",""),IF(AC841="","الخصم",""),IF(AND(COUNTA($O841:$U841)&gt;0,O841=""),"مدير المشروع",""),IF(AND(COUNTA($O841:$U841)&gt;0,P841=""),"المستفيدين",""),IF(AND(COUNTA($O841:$U841)&gt;0,Q841=""),"المناطق",""),IF(AND(COUNTA($O841:$U841)&gt;0,R841=""),"الميزانية",""),IF(AND(COUNTA($O841:$U841)&gt;0,S841=""),"نسبة الجاهزية",""),IF(AND(COUNTA($O841:$U841)&gt;0,T841=""),"حالة الجاهزية",""),IF(AND(COUNTA($O841:$U841)&gt;0,U841=""),"التوصيات","")))&gt;0,"✗ ناقص: "&amp;_xlfn.TEXTJOIN("، ",TRUE,IF(E841="","التاريخ",""),IF(F841="","الوقت",""),IF(G841="","المركز",""),IF(H841="","الدائرة",""),IF(I841="","القسم",""),IF(J841="","المسؤول",""),IF(K841="","نوع النشاط",""),IF(L841="","المشروع",""),IF(N841="","الممول",""),IF(V841="","الموضوع",""),IF(W841="","الملاحظة",""),IF(X841="","مشكلة",""),IF(Y841="","الإجراء",""),IF(Z841="","التنفيذ",""),IF(AA841="","الجودة",""),IF(AB841="","الإغلاق",""),IF(AC841="","الخصم",""),IF(AND(COUNTA($O841:$U841)&gt;0,O841=""),"مدير المشروع",""),IF(AND(COUNTA($O841:$U841)&gt;0,P841=""),"المستفيدين",""),IF(AND(COUNTA($O841:$U841)&gt;0,Q841=""),"المناطق",""),IF(AND(COUNTA($O841:$U841)&gt;0,R841=""),"الميزانية",""),IF(AND(COUNTA($O841:$U841)&gt;0,S841=""),"نسبة الجاهزية",""),IF(AND(COUNTA($O841:$U841)&gt;0,T841=""),"حالة الجاهزية",""),IF(AND(COUNTA($O841:$U841)&gt;0,U841=""),"التوصيات","")),"✓"),"✓"))))))))))</f>
        <v/>
      </c>
      <c r="E841" s="235"/>
      <c r="F841" s="236"/>
      <c r="G841" s="90"/>
      <c r="H841" s="239"/>
      <c r="I841" s="89"/>
      <c r="J841" s="142"/>
      <c r="K841" s="90"/>
      <c r="L841" s="90"/>
      <c r="M841" s="90"/>
      <c r="N841" s="89"/>
      <c r="O841" s="200"/>
      <c r="P841" s="201"/>
      <c r="Q841" s="201"/>
      <c r="R841" s="237"/>
      <c r="S841" s="202"/>
      <c r="T841" s="200"/>
      <c r="U841" s="203"/>
      <c r="V841" s="89"/>
      <c r="W841" s="89"/>
      <c r="X841" s="145"/>
      <c r="Y841" s="89"/>
      <c r="Z841" s="90"/>
      <c r="AA841" s="90"/>
      <c r="AB841" s="90"/>
      <c r="AC841" s="90"/>
      <c r="AD841" s="92"/>
      <c r="AE841" s="149" t="str">
        <f>IFERROR(VLOOKUP(Z841,LISTS!$AL$2:$AM$1000,2,FALSE()),"")</f>
        <v/>
      </c>
      <c r="AF841" s="151" t="str">
        <f>IFERROR(VLOOKUP(AA841,LISTS!$AO$2:$AP$1000,2,FALSE()),"")</f>
        <v/>
      </c>
      <c r="AG841" s="152" t="str">
        <f>IFERROR(VLOOKUP(AB841,LISTS!$AR$2:$AS$1000,2,FALSE()),"")</f>
        <v/>
      </c>
      <c r="AH841" s="154" t="str">
        <f>IFERROR(VLOOKUP(AC841,LISTS!$AU$2:$AV$1000,2,FALSE()),"")</f>
        <v/>
      </c>
      <c r="AI841" s="238" t="str">
        <f t="shared" si="68"/>
        <v>—</v>
      </c>
      <c r="AJ841" s="190" t="str">
        <f t="shared" si="69"/>
        <v>—</v>
      </c>
      <c r="AK841" s="157" t="str">
        <f t="shared" si="65"/>
        <v/>
      </c>
      <c r="AL841" s="160" t="str">
        <f t="shared" si="66"/>
        <v/>
      </c>
      <c r="AM841" s="210"/>
      <c r="AN841" s="209"/>
    </row>
    <row r="842" spans="1:40" ht="27.95" customHeight="1">
      <c r="A842" s="134" t="str">
        <f>IF(I842&lt;&gt;"",COUNTA($I$2:I842),"")</f>
        <v/>
      </c>
      <c r="B842" s="138" t="str">
        <f t="shared" si="67"/>
        <v/>
      </c>
      <c r="C842" s="93" t="str">
        <f t="array" ref="C842">IF(E842="","",IF(M842&lt;&gt;"",
M842&amp;"/"&amp;SUMPRODUCT((M$2:M842=M842)*1)&amp;" - "&amp;(ROW()-2),
"إداري/"&amp;SUMPRODUCT((M$2:M842="")*1)&amp;" - "&amp;(ROW()-2)))</f>
        <v/>
      </c>
      <c r="D842" s="141" t="str">
        <f>IF(AND(G842="",H842="",I842=""),"",IF(COUNTIFS(LISTS!$A$2:$A$67,G842,LISTS!$B$2:$B$67,H842,LISTS!$C$2:$C$67,I842)=0,"✗ هرم",IF(NOT(OR(Z842="ممتاز 100%",Z842="جيد 80%",Z842="مقبول 60%",Z842="خطر 40%",Z842="")),"✗ قائمة R",IF(NOT(OR(AA842="ممتاز 100%",AA842="جيد 85%",AA842="مقبول 70%",AA842="ضعيف 50%",AA842="")),"✗ قائمة S",IF(NOT(OR(AB842="مكتمل 100%",AB842="جزئي 60%",AB842="معلق 30%",AB842="مفتوح 0%",AB842="")),"✗ قائمة T",IF(NOT(OR(AC842="لا خصم 0",AC842="تأخير −5",AC842="عجز −10",AC842="جودة −15",AC842="امتثال −20",AC842="مخالفة −25",AC842="")),"✗ قائمة U",IF(AND(X842="لا",AC842&lt;&gt;"",AC842&lt;&gt;"لا خصم 0"),"✗ خصم",IF(AND(X842="نعم",AC842="لا خصم 0"),"✗ خصم",IF(AND(Z842="ممتاز 100%",AA842="ممتاز 100%",AB842&lt;&gt;"",AB842&lt;&gt;"مكتمل 100%"),"✗ إغلاق",IFERROR(IF(LEN(_xlfn.TEXTJOIN("، ",TRUE,IF(E842="","التاريخ",""),IF(F842="","الوقت",""),IF(G842="","المركز",""),IF(H842="","الدائرة",""),IF(I842="","القسم",""),IF(J842="","المسؤول",""),IF(K842="","نوع النشاط",""),IF(L842="","المشروع",""),IF(N842="","الممول",""),IF(V842="","الموضوع",""),IF(W842="","الملاحظة",""),IF(X842="","مشكلة",""),IF(Y842="","الإجراء",""),IF(Z842="","التنفيذ",""),IF(AA842="","الجودة",""),IF(AB842="","الإغلاق",""),IF(AC842="","الخصم",""),IF(AND(COUNTA($O842:$U842)&gt;0,O842=""),"مدير المشروع",""),IF(AND(COUNTA($O842:$U842)&gt;0,P842=""),"المستفيدين",""),IF(AND(COUNTA($O842:$U842)&gt;0,Q842=""),"المناطق",""),IF(AND(COUNTA($O842:$U842)&gt;0,R842=""),"الميزانية",""),IF(AND(COUNTA($O842:$U842)&gt;0,S842=""),"نسبة الجاهزية",""),IF(AND(COUNTA($O842:$U842)&gt;0,T842=""),"حالة الجاهزية",""),IF(AND(COUNTA($O842:$U842)&gt;0,U842=""),"التوصيات","")))&gt;0,"✗ ناقص: "&amp;_xlfn.TEXTJOIN("، ",TRUE,IF(E842="","التاريخ",""),IF(F842="","الوقت",""),IF(G842="","المركز",""),IF(H842="","الدائرة",""),IF(I842="","القسم",""),IF(J842="","المسؤول",""),IF(K842="","نوع النشاط",""),IF(L842="","المشروع",""),IF(N842="","الممول",""),IF(V842="","الموضوع",""),IF(W842="","الملاحظة",""),IF(X842="","مشكلة",""),IF(Y842="","الإجراء",""),IF(Z842="","التنفيذ",""),IF(AA842="","الجودة",""),IF(AB842="","الإغلاق",""),IF(AC842="","الخصم",""),IF(AND(COUNTA($O842:$U842)&gt;0,O842=""),"مدير المشروع",""),IF(AND(COUNTA($O842:$U842)&gt;0,P842=""),"المستفيدين",""),IF(AND(COUNTA($O842:$U842)&gt;0,Q842=""),"المناطق",""),IF(AND(COUNTA($O842:$U842)&gt;0,R842=""),"الميزانية",""),IF(AND(COUNTA($O842:$U842)&gt;0,S842=""),"نسبة الجاهزية",""),IF(AND(COUNTA($O842:$U842)&gt;0,T842=""),"حالة الجاهزية",""),IF(AND(COUNTA($O842:$U842)&gt;0,U842=""),"التوصيات","")),"✓"),"✓"))))))))))</f>
        <v/>
      </c>
      <c r="E842" s="235"/>
      <c r="F842" s="236"/>
      <c r="G842" s="90"/>
      <c r="H842" s="239"/>
      <c r="I842" s="89"/>
      <c r="J842" s="142"/>
      <c r="K842" s="90"/>
      <c r="L842" s="90"/>
      <c r="M842" s="90"/>
      <c r="N842" s="89"/>
      <c r="O842" s="200"/>
      <c r="P842" s="201"/>
      <c r="Q842" s="201"/>
      <c r="R842" s="237"/>
      <c r="S842" s="202"/>
      <c r="T842" s="200"/>
      <c r="U842" s="203"/>
      <c r="V842" s="89"/>
      <c r="W842" s="89"/>
      <c r="X842" s="145"/>
      <c r="Y842" s="89"/>
      <c r="Z842" s="90"/>
      <c r="AA842" s="90"/>
      <c r="AB842" s="90"/>
      <c r="AC842" s="90"/>
      <c r="AD842" s="92"/>
      <c r="AE842" s="149" t="str">
        <f>IFERROR(VLOOKUP(Z842,LISTS!$AL$2:$AM$1000,2,FALSE()),"")</f>
        <v/>
      </c>
      <c r="AF842" s="151" t="str">
        <f>IFERROR(VLOOKUP(AA842,LISTS!$AO$2:$AP$1000,2,FALSE()),"")</f>
        <v/>
      </c>
      <c r="AG842" s="152" t="str">
        <f>IFERROR(VLOOKUP(AB842,LISTS!$AR$2:$AS$1000,2,FALSE()),"")</f>
        <v/>
      </c>
      <c r="AH842" s="154" t="str">
        <f>IFERROR(VLOOKUP(AC842,LISTS!$AU$2:$AV$1000,2,FALSE()),"")</f>
        <v/>
      </c>
      <c r="AI842" s="238" t="str">
        <f t="shared" si="68"/>
        <v>—</v>
      </c>
      <c r="AJ842" s="190" t="str">
        <f t="shared" si="69"/>
        <v>—</v>
      </c>
      <c r="AK842" s="157" t="str">
        <f t="shared" si="65"/>
        <v/>
      </c>
      <c r="AL842" s="160" t="str">
        <f t="shared" si="66"/>
        <v/>
      </c>
      <c r="AM842" s="210"/>
      <c r="AN842" s="209"/>
    </row>
    <row r="843" spans="1:40" ht="27.95" customHeight="1">
      <c r="A843" s="134" t="str">
        <f>IF(I843&lt;&gt;"",COUNTA($I$2:I843),"")</f>
        <v/>
      </c>
      <c r="B843" s="138" t="str">
        <f t="shared" si="67"/>
        <v/>
      </c>
      <c r="C843" s="93" t="str">
        <f t="array" ref="C843">IF(E843="","",IF(M843&lt;&gt;"",
M843&amp;"/"&amp;SUMPRODUCT((M$2:M843=M843)*1)&amp;" - "&amp;(ROW()-2),
"إداري/"&amp;SUMPRODUCT((M$2:M843="")*1)&amp;" - "&amp;(ROW()-2)))</f>
        <v/>
      </c>
      <c r="D843" s="141" t="str">
        <f>IF(AND(G843="",H843="",I843=""),"",IF(COUNTIFS(LISTS!$A$2:$A$67,G843,LISTS!$B$2:$B$67,H843,LISTS!$C$2:$C$67,I843)=0,"✗ هرم",IF(NOT(OR(Z843="ممتاز 100%",Z843="جيد 80%",Z843="مقبول 60%",Z843="خطر 40%",Z843="")),"✗ قائمة R",IF(NOT(OR(AA843="ممتاز 100%",AA843="جيد 85%",AA843="مقبول 70%",AA843="ضعيف 50%",AA843="")),"✗ قائمة S",IF(NOT(OR(AB843="مكتمل 100%",AB843="جزئي 60%",AB843="معلق 30%",AB843="مفتوح 0%",AB843="")),"✗ قائمة T",IF(NOT(OR(AC843="لا خصم 0",AC843="تأخير −5",AC843="عجز −10",AC843="جودة −15",AC843="امتثال −20",AC843="مخالفة −25",AC843="")),"✗ قائمة U",IF(AND(X843="لا",AC843&lt;&gt;"",AC843&lt;&gt;"لا خصم 0"),"✗ خصم",IF(AND(X843="نعم",AC843="لا خصم 0"),"✗ خصم",IF(AND(Z843="ممتاز 100%",AA843="ممتاز 100%",AB843&lt;&gt;"",AB843&lt;&gt;"مكتمل 100%"),"✗ إغلاق",IFERROR(IF(LEN(_xlfn.TEXTJOIN("، ",TRUE,IF(E843="","التاريخ",""),IF(F843="","الوقت",""),IF(G843="","المركز",""),IF(H843="","الدائرة",""),IF(I843="","القسم",""),IF(J843="","المسؤول",""),IF(K843="","نوع النشاط",""),IF(L843="","المشروع",""),IF(N843="","الممول",""),IF(V843="","الموضوع",""),IF(W843="","الملاحظة",""),IF(X843="","مشكلة",""),IF(Y843="","الإجراء",""),IF(Z843="","التنفيذ",""),IF(AA843="","الجودة",""),IF(AB843="","الإغلاق",""),IF(AC843="","الخصم",""),IF(AND(COUNTA($O843:$U843)&gt;0,O843=""),"مدير المشروع",""),IF(AND(COUNTA($O843:$U843)&gt;0,P843=""),"المستفيدين",""),IF(AND(COUNTA($O843:$U843)&gt;0,Q843=""),"المناطق",""),IF(AND(COUNTA($O843:$U843)&gt;0,R843=""),"الميزانية",""),IF(AND(COUNTA($O843:$U843)&gt;0,S843=""),"نسبة الجاهزية",""),IF(AND(COUNTA($O843:$U843)&gt;0,T843=""),"حالة الجاهزية",""),IF(AND(COUNTA($O843:$U843)&gt;0,U843=""),"التوصيات","")))&gt;0,"✗ ناقص: "&amp;_xlfn.TEXTJOIN("، ",TRUE,IF(E843="","التاريخ",""),IF(F843="","الوقت",""),IF(G843="","المركز",""),IF(H843="","الدائرة",""),IF(I843="","القسم",""),IF(J843="","المسؤول",""),IF(K843="","نوع النشاط",""),IF(L843="","المشروع",""),IF(N843="","الممول",""),IF(V843="","الموضوع",""),IF(W843="","الملاحظة",""),IF(X843="","مشكلة",""),IF(Y843="","الإجراء",""),IF(Z843="","التنفيذ",""),IF(AA843="","الجودة",""),IF(AB843="","الإغلاق",""),IF(AC843="","الخصم",""),IF(AND(COUNTA($O843:$U843)&gt;0,O843=""),"مدير المشروع",""),IF(AND(COUNTA($O843:$U843)&gt;0,P843=""),"المستفيدين",""),IF(AND(COUNTA($O843:$U843)&gt;0,Q843=""),"المناطق",""),IF(AND(COUNTA($O843:$U843)&gt;0,R843=""),"الميزانية",""),IF(AND(COUNTA($O843:$U843)&gt;0,S843=""),"نسبة الجاهزية",""),IF(AND(COUNTA($O843:$U843)&gt;0,T843=""),"حالة الجاهزية",""),IF(AND(COUNTA($O843:$U843)&gt;0,U843=""),"التوصيات","")),"✓"),"✓"))))))))))</f>
        <v/>
      </c>
      <c r="E843" s="235"/>
      <c r="F843" s="236"/>
      <c r="G843" s="90"/>
      <c r="H843" s="239"/>
      <c r="I843" s="89"/>
      <c r="J843" s="142"/>
      <c r="K843" s="90"/>
      <c r="L843" s="90"/>
      <c r="M843" s="90"/>
      <c r="N843" s="89"/>
      <c r="O843" s="200"/>
      <c r="P843" s="201"/>
      <c r="Q843" s="201"/>
      <c r="R843" s="237"/>
      <c r="S843" s="202"/>
      <c r="T843" s="200"/>
      <c r="U843" s="203"/>
      <c r="V843" s="89"/>
      <c r="W843" s="89"/>
      <c r="X843" s="145"/>
      <c r="Y843" s="89"/>
      <c r="Z843" s="90"/>
      <c r="AA843" s="90"/>
      <c r="AB843" s="90"/>
      <c r="AC843" s="90"/>
      <c r="AD843" s="92"/>
      <c r="AE843" s="149" t="str">
        <f>IFERROR(VLOOKUP(Z843,LISTS!$AL$2:$AM$1000,2,FALSE()),"")</f>
        <v/>
      </c>
      <c r="AF843" s="151" t="str">
        <f>IFERROR(VLOOKUP(AA843,LISTS!$AO$2:$AP$1000,2,FALSE()),"")</f>
        <v/>
      </c>
      <c r="AG843" s="152" t="str">
        <f>IFERROR(VLOOKUP(AB843,LISTS!$AR$2:$AS$1000,2,FALSE()),"")</f>
        <v/>
      </c>
      <c r="AH843" s="154" t="str">
        <f>IFERROR(VLOOKUP(AC843,LISTS!$AU$2:$AV$1000,2,FALSE()),"")</f>
        <v/>
      </c>
      <c r="AI843" s="238" t="str">
        <f t="shared" si="68"/>
        <v>—</v>
      </c>
      <c r="AJ843" s="190" t="str">
        <f t="shared" si="69"/>
        <v>—</v>
      </c>
      <c r="AK843" s="157" t="str">
        <f t="shared" si="65"/>
        <v/>
      </c>
      <c r="AL843" s="160" t="str">
        <f t="shared" si="66"/>
        <v/>
      </c>
      <c r="AM843" s="210"/>
      <c r="AN843" s="209"/>
    </row>
    <row r="844" spans="1:40" ht="27.95" customHeight="1">
      <c r="A844" s="134" t="str">
        <f>IF(I844&lt;&gt;"",COUNTA($I$2:I844),"")</f>
        <v/>
      </c>
      <c r="B844" s="138" t="str">
        <f t="shared" si="67"/>
        <v/>
      </c>
      <c r="C844" s="93" t="str">
        <f t="array" ref="C844">IF(E844="","",IF(M844&lt;&gt;"",
M844&amp;"/"&amp;SUMPRODUCT((M$2:M844=M844)*1)&amp;" - "&amp;(ROW()-2),
"إداري/"&amp;SUMPRODUCT((M$2:M844="")*1)&amp;" - "&amp;(ROW()-2)))</f>
        <v/>
      </c>
      <c r="D844" s="141" t="str">
        <f>IF(AND(G844="",H844="",I844=""),"",IF(COUNTIFS(LISTS!$A$2:$A$67,G844,LISTS!$B$2:$B$67,H844,LISTS!$C$2:$C$67,I844)=0,"✗ هرم",IF(NOT(OR(Z844="ممتاز 100%",Z844="جيد 80%",Z844="مقبول 60%",Z844="خطر 40%",Z844="")),"✗ قائمة R",IF(NOT(OR(AA844="ممتاز 100%",AA844="جيد 85%",AA844="مقبول 70%",AA844="ضعيف 50%",AA844="")),"✗ قائمة S",IF(NOT(OR(AB844="مكتمل 100%",AB844="جزئي 60%",AB844="معلق 30%",AB844="مفتوح 0%",AB844="")),"✗ قائمة T",IF(NOT(OR(AC844="لا خصم 0",AC844="تأخير −5",AC844="عجز −10",AC844="جودة −15",AC844="امتثال −20",AC844="مخالفة −25",AC844="")),"✗ قائمة U",IF(AND(X844="لا",AC844&lt;&gt;"",AC844&lt;&gt;"لا خصم 0"),"✗ خصم",IF(AND(X844="نعم",AC844="لا خصم 0"),"✗ خصم",IF(AND(Z844="ممتاز 100%",AA844="ممتاز 100%",AB844&lt;&gt;"",AB844&lt;&gt;"مكتمل 100%"),"✗ إغلاق",IFERROR(IF(LEN(_xlfn.TEXTJOIN("، ",TRUE,IF(E844="","التاريخ",""),IF(F844="","الوقت",""),IF(G844="","المركز",""),IF(H844="","الدائرة",""),IF(I844="","القسم",""),IF(J844="","المسؤول",""),IF(K844="","نوع النشاط",""),IF(L844="","المشروع",""),IF(N844="","الممول",""),IF(V844="","الموضوع",""),IF(W844="","الملاحظة",""),IF(X844="","مشكلة",""),IF(Y844="","الإجراء",""),IF(Z844="","التنفيذ",""),IF(AA844="","الجودة",""),IF(AB844="","الإغلاق",""),IF(AC844="","الخصم",""),IF(AND(COUNTA($O844:$U844)&gt;0,O844=""),"مدير المشروع",""),IF(AND(COUNTA($O844:$U844)&gt;0,P844=""),"المستفيدين",""),IF(AND(COUNTA($O844:$U844)&gt;0,Q844=""),"المناطق",""),IF(AND(COUNTA($O844:$U844)&gt;0,R844=""),"الميزانية",""),IF(AND(COUNTA($O844:$U844)&gt;0,S844=""),"نسبة الجاهزية",""),IF(AND(COUNTA($O844:$U844)&gt;0,T844=""),"حالة الجاهزية",""),IF(AND(COUNTA($O844:$U844)&gt;0,U844=""),"التوصيات","")))&gt;0,"✗ ناقص: "&amp;_xlfn.TEXTJOIN("، ",TRUE,IF(E844="","التاريخ",""),IF(F844="","الوقت",""),IF(G844="","المركز",""),IF(H844="","الدائرة",""),IF(I844="","القسم",""),IF(J844="","المسؤول",""),IF(K844="","نوع النشاط",""),IF(L844="","المشروع",""),IF(N844="","الممول",""),IF(V844="","الموضوع",""),IF(W844="","الملاحظة",""),IF(X844="","مشكلة",""),IF(Y844="","الإجراء",""),IF(Z844="","التنفيذ",""),IF(AA844="","الجودة",""),IF(AB844="","الإغلاق",""),IF(AC844="","الخصم",""),IF(AND(COUNTA($O844:$U844)&gt;0,O844=""),"مدير المشروع",""),IF(AND(COUNTA($O844:$U844)&gt;0,P844=""),"المستفيدين",""),IF(AND(COUNTA($O844:$U844)&gt;0,Q844=""),"المناطق",""),IF(AND(COUNTA($O844:$U844)&gt;0,R844=""),"الميزانية",""),IF(AND(COUNTA($O844:$U844)&gt;0,S844=""),"نسبة الجاهزية",""),IF(AND(COUNTA($O844:$U844)&gt;0,T844=""),"حالة الجاهزية",""),IF(AND(COUNTA($O844:$U844)&gt;0,U844=""),"التوصيات","")),"✓"),"✓"))))))))))</f>
        <v/>
      </c>
      <c r="E844" s="235"/>
      <c r="F844" s="236"/>
      <c r="G844" s="90"/>
      <c r="H844" s="239"/>
      <c r="I844" s="89"/>
      <c r="J844" s="142"/>
      <c r="K844" s="90"/>
      <c r="L844" s="90"/>
      <c r="M844" s="90"/>
      <c r="N844" s="89"/>
      <c r="O844" s="200"/>
      <c r="P844" s="201"/>
      <c r="Q844" s="201"/>
      <c r="R844" s="237"/>
      <c r="S844" s="202"/>
      <c r="T844" s="200"/>
      <c r="U844" s="203"/>
      <c r="V844" s="89"/>
      <c r="W844" s="89"/>
      <c r="X844" s="145"/>
      <c r="Y844" s="89"/>
      <c r="Z844" s="90"/>
      <c r="AA844" s="90"/>
      <c r="AB844" s="90"/>
      <c r="AC844" s="90"/>
      <c r="AD844" s="92"/>
      <c r="AE844" s="149" t="str">
        <f>IFERROR(VLOOKUP(Z844,LISTS!$AL$2:$AM$1000,2,FALSE()),"")</f>
        <v/>
      </c>
      <c r="AF844" s="151" t="str">
        <f>IFERROR(VLOOKUP(AA844,LISTS!$AO$2:$AP$1000,2,FALSE()),"")</f>
        <v/>
      </c>
      <c r="AG844" s="152" t="str">
        <f>IFERROR(VLOOKUP(AB844,LISTS!$AR$2:$AS$1000,2,FALSE()),"")</f>
        <v/>
      </c>
      <c r="AH844" s="154" t="str">
        <f>IFERROR(VLOOKUP(AC844,LISTS!$AU$2:$AV$1000,2,FALSE()),"")</f>
        <v/>
      </c>
      <c r="AI844" s="238" t="str">
        <f t="shared" si="68"/>
        <v>—</v>
      </c>
      <c r="AJ844" s="190" t="str">
        <f t="shared" si="69"/>
        <v>—</v>
      </c>
      <c r="AK844" s="157" t="str">
        <f t="shared" si="65"/>
        <v/>
      </c>
      <c r="AL844" s="160" t="str">
        <f t="shared" si="66"/>
        <v/>
      </c>
      <c r="AM844" s="210"/>
      <c r="AN844" s="209"/>
    </row>
    <row r="845" spans="1:40" ht="27.95" customHeight="1">
      <c r="A845" s="134" t="str">
        <f>IF(I845&lt;&gt;"",COUNTA($I$2:I845),"")</f>
        <v/>
      </c>
      <c r="B845" s="138" t="str">
        <f t="shared" si="67"/>
        <v/>
      </c>
      <c r="C845" s="93" t="str">
        <f t="array" ref="C845">IF(E845="","",IF(M845&lt;&gt;"",
M845&amp;"/"&amp;SUMPRODUCT((M$2:M845=M845)*1)&amp;" - "&amp;(ROW()-2),
"إداري/"&amp;SUMPRODUCT((M$2:M845="")*1)&amp;" - "&amp;(ROW()-2)))</f>
        <v/>
      </c>
      <c r="D845" s="141" t="str">
        <f>IF(AND(G845="",H845="",I845=""),"",IF(COUNTIFS(LISTS!$A$2:$A$67,G845,LISTS!$B$2:$B$67,H845,LISTS!$C$2:$C$67,I845)=0,"✗ هرم",IF(NOT(OR(Z845="ممتاز 100%",Z845="جيد 80%",Z845="مقبول 60%",Z845="خطر 40%",Z845="")),"✗ قائمة R",IF(NOT(OR(AA845="ممتاز 100%",AA845="جيد 85%",AA845="مقبول 70%",AA845="ضعيف 50%",AA845="")),"✗ قائمة S",IF(NOT(OR(AB845="مكتمل 100%",AB845="جزئي 60%",AB845="معلق 30%",AB845="مفتوح 0%",AB845="")),"✗ قائمة T",IF(NOT(OR(AC845="لا خصم 0",AC845="تأخير −5",AC845="عجز −10",AC845="جودة −15",AC845="امتثال −20",AC845="مخالفة −25",AC845="")),"✗ قائمة U",IF(AND(X845="لا",AC845&lt;&gt;"",AC845&lt;&gt;"لا خصم 0"),"✗ خصم",IF(AND(X845="نعم",AC845="لا خصم 0"),"✗ خصم",IF(AND(Z845="ممتاز 100%",AA845="ممتاز 100%",AB845&lt;&gt;"",AB845&lt;&gt;"مكتمل 100%"),"✗ إغلاق",IFERROR(IF(LEN(_xlfn.TEXTJOIN("، ",TRUE,IF(E845="","التاريخ",""),IF(F845="","الوقت",""),IF(G845="","المركز",""),IF(H845="","الدائرة",""),IF(I845="","القسم",""),IF(J845="","المسؤول",""),IF(K845="","نوع النشاط",""),IF(L845="","المشروع",""),IF(N845="","الممول",""),IF(V845="","الموضوع",""),IF(W845="","الملاحظة",""),IF(X845="","مشكلة",""),IF(Y845="","الإجراء",""),IF(Z845="","التنفيذ",""),IF(AA845="","الجودة",""),IF(AB845="","الإغلاق",""),IF(AC845="","الخصم",""),IF(AND(COUNTA($O845:$U845)&gt;0,O845=""),"مدير المشروع",""),IF(AND(COUNTA($O845:$U845)&gt;0,P845=""),"المستفيدين",""),IF(AND(COUNTA($O845:$U845)&gt;0,Q845=""),"المناطق",""),IF(AND(COUNTA($O845:$U845)&gt;0,R845=""),"الميزانية",""),IF(AND(COUNTA($O845:$U845)&gt;0,S845=""),"نسبة الجاهزية",""),IF(AND(COUNTA($O845:$U845)&gt;0,T845=""),"حالة الجاهزية",""),IF(AND(COUNTA($O845:$U845)&gt;0,U845=""),"التوصيات","")))&gt;0,"✗ ناقص: "&amp;_xlfn.TEXTJOIN("، ",TRUE,IF(E845="","التاريخ",""),IF(F845="","الوقت",""),IF(G845="","المركز",""),IF(H845="","الدائرة",""),IF(I845="","القسم",""),IF(J845="","المسؤول",""),IF(K845="","نوع النشاط",""),IF(L845="","المشروع",""),IF(N845="","الممول",""),IF(V845="","الموضوع",""),IF(W845="","الملاحظة",""),IF(X845="","مشكلة",""),IF(Y845="","الإجراء",""),IF(Z845="","التنفيذ",""),IF(AA845="","الجودة",""),IF(AB845="","الإغلاق",""),IF(AC845="","الخصم",""),IF(AND(COUNTA($O845:$U845)&gt;0,O845=""),"مدير المشروع",""),IF(AND(COUNTA($O845:$U845)&gt;0,P845=""),"المستفيدين",""),IF(AND(COUNTA($O845:$U845)&gt;0,Q845=""),"المناطق",""),IF(AND(COUNTA($O845:$U845)&gt;0,R845=""),"الميزانية",""),IF(AND(COUNTA($O845:$U845)&gt;0,S845=""),"نسبة الجاهزية",""),IF(AND(COUNTA($O845:$U845)&gt;0,T845=""),"حالة الجاهزية",""),IF(AND(COUNTA($O845:$U845)&gt;0,U845=""),"التوصيات","")),"✓"),"✓"))))))))))</f>
        <v/>
      </c>
      <c r="E845" s="235"/>
      <c r="F845" s="236"/>
      <c r="G845" s="90"/>
      <c r="H845" s="239"/>
      <c r="I845" s="89"/>
      <c r="J845" s="142"/>
      <c r="K845" s="90"/>
      <c r="L845" s="90"/>
      <c r="M845" s="90"/>
      <c r="N845" s="89"/>
      <c r="O845" s="200"/>
      <c r="P845" s="201"/>
      <c r="Q845" s="201"/>
      <c r="R845" s="237"/>
      <c r="S845" s="202"/>
      <c r="T845" s="200"/>
      <c r="U845" s="203"/>
      <c r="V845" s="89"/>
      <c r="W845" s="89"/>
      <c r="X845" s="145"/>
      <c r="Y845" s="89"/>
      <c r="Z845" s="90"/>
      <c r="AA845" s="90"/>
      <c r="AB845" s="90"/>
      <c r="AC845" s="90"/>
      <c r="AD845" s="92"/>
      <c r="AE845" s="149" t="str">
        <f>IFERROR(VLOOKUP(Z845,LISTS!$AL$2:$AM$1000,2,FALSE()),"")</f>
        <v/>
      </c>
      <c r="AF845" s="151" t="str">
        <f>IFERROR(VLOOKUP(AA845,LISTS!$AO$2:$AP$1000,2,FALSE()),"")</f>
        <v/>
      </c>
      <c r="AG845" s="152" t="str">
        <f>IFERROR(VLOOKUP(AB845,LISTS!$AR$2:$AS$1000,2,FALSE()),"")</f>
        <v/>
      </c>
      <c r="AH845" s="154" t="str">
        <f>IFERROR(VLOOKUP(AC845,LISTS!$AU$2:$AV$1000,2,FALSE()),"")</f>
        <v/>
      </c>
      <c r="AI845" s="238" t="str">
        <f t="shared" si="68"/>
        <v>—</v>
      </c>
      <c r="AJ845" s="190" t="str">
        <f t="shared" si="69"/>
        <v>—</v>
      </c>
      <c r="AK845" s="157" t="str">
        <f t="shared" si="65"/>
        <v/>
      </c>
      <c r="AL845" s="160" t="str">
        <f t="shared" si="66"/>
        <v/>
      </c>
      <c r="AM845" s="210"/>
      <c r="AN845" s="209"/>
    </row>
    <row r="846" spans="1:40" ht="27.95" customHeight="1">
      <c r="A846" s="134" t="str">
        <f>IF(I846&lt;&gt;"",COUNTA($I$2:I846),"")</f>
        <v/>
      </c>
      <c r="B846" s="138" t="str">
        <f t="shared" si="67"/>
        <v/>
      </c>
      <c r="C846" s="93" t="str">
        <f t="array" ref="C846">IF(E846="","",IF(M846&lt;&gt;"",
M846&amp;"/"&amp;SUMPRODUCT((M$2:M846=M846)*1)&amp;" - "&amp;(ROW()-2),
"إداري/"&amp;SUMPRODUCT((M$2:M846="")*1)&amp;" - "&amp;(ROW()-2)))</f>
        <v/>
      </c>
      <c r="D846" s="141" t="str">
        <f>IF(AND(G846="",H846="",I846=""),"",IF(COUNTIFS(LISTS!$A$2:$A$67,G846,LISTS!$B$2:$B$67,H846,LISTS!$C$2:$C$67,I846)=0,"✗ هرم",IF(NOT(OR(Z846="ممتاز 100%",Z846="جيد 80%",Z846="مقبول 60%",Z846="خطر 40%",Z846="")),"✗ قائمة R",IF(NOT(OR(AA846="ممتاز 100%",AA846="جيد 85%",AA846="مقبول 70%",AA846="ضعيف 50%",AA846="")),"✗ قائمة S",IF(NOT(OR(AB846="مكتمل 100%",AB846="جزئي 60%",AB846="معلق 30%",AB846="مفتوح 0%",AB846="")),"✗ قائمة T",IF(NOT(OR(AC846="لا خصم 0",AC846="تأخير −5",AC846="عجز −10",AC846="جودة −15",AC846="امتثال −20",AC846="مخالفة −25",AC846="")),"✗ قائمة U",IF(AND(X846="لا",AC846&lt;&gt;"",AC846&lt;&gt;"لا خصم 0"),"✗ خصم",IF(AND(X846="نعم",AC846="لا خصم 0"),"✗ خصم",IF(AND(Z846="ممتاز 100%",AA846="ممتاز 100%",AB846&lt;&gt;"",AB846&lt;&gt;"مكتمل 100%"),"✗ إغلاق",IFERROR(IF(LEN(_xlfn.TEXTJOIN("، ",TRUE,IF(E846="","التاريخ",""),IF(F846="","الوقت",""),IF(G846="","المركز",""),IF(H846="","الدائرة",""),IF(I846="","القسم",""),IF(J846="","المسؤول",""),IF(K846="","نوع النشاط",""),IF(L846="","المشروع",""),IF(N846="","الممول",""),IF(V846="","الموضوع",""),IF(W846="","الملاحظة",""),IF(X846="","مشكلة",""),IF(Y846="","الإجراء",""),IF(Z846="","التنفيذ",""),IF(AA846="","الجودة",""),IF(AB846="","الإغلاق",""),IF(AC846="","الخصم",""),IF(AND(COUNTA($O846:$U846)&gt;0,O846=""),"مدير المشروع",""),IF(AND(COUNTA($O846:$U846)&gt;0,P846=""),"المستفيدين",""),IF(AND(COUNTA($O846:$U846)&gt;0,Q846=""),"المناطق",""),IF(AND(COUNTA($O846:$U846)&gt;0,R846=""),"الميزانية",""),IF(AND(COUNTA($O846:$U846)&gt;0,S846=""),"نسبة الجاهزية",""),IF(AND(COUNTA($O846:$U846)&gt;0,T846=""),"حالة الجاهزية",""),IF(AND(COUNTA($O846:$U846)&gt;0,U846=""),"التوصيات","")))&gt;0,"✗ ناقص: "&amp;_xlfn.TEXTJOIN("، ",TRUE,IF(E846="","التاريخ",""),IF(F846="","الوقت",""),IF(G846="","المركز",""),IF(H846="","الدائرة",""),IF(I846="","القسم",""),IF(J846="","المسؤول",""),IF(K846="","نوع النشاط",""),IF(L846="","المشروع",""),IF(N846="","الممول",""),IF(V846="","الموضوع",""),IF(W846="","الملاحظة",""),IF(X846="","مشكلة",""),IF(Y846="","الإجراء",""),IF(Z846="","التنفيذ",""),IF(AA846="","الجودة",""),IF(AB846="","الإغلاق",""),IF(AC846="","الخصم",""),IF(AND(COUNTA($O846:$U846)&gt;0,O846=""),"مدير المشروع",""),IF(AND(COUNTA($O846:$U846)&gt;0,P846=""),"المستفيدين",""),IF(AND(COUNTA($O846:$U846)&gt;0,Q846=""),"المناطق",""),IF(AND(COUNTA($O846:$U846)&gt;0,R846=""),"الميزانية",""),IF(AND(COUNTA($O846:$U846)&gt;0,S846=""),"نسبة الجاهزية",""),IF(AND(COUNTA($O846:$U846)&gt;0,T846=""),"حالة الجاهزية",""),IF(AND(COUNTA($O846:$U846)&gt;0,U846=""),"التوصيات","")),"✓"),"✓"))))))))))</f>
        <v/>
      </c>
      <c r="E846" s="235"/>
      <c r="F846" s="236"/>
      <c r="G846" s="90"/>
      <c r="H846" s="239"/>
      <c r="I846" s="89"/>
      <c r="J846" s="142"/>
      <c r="K846" s="90"/>
      <c r="L846" s="90"/>
      <c r="M846" s="90"/>
      <c r="N846" s="89"/>
      <c r="O846" s="200"/>
      <c r="P846" s="201"/>
      <c r="Q846" s="201"/>
      <c r="R846" s="237"/>
      <c r="S846" s="202"/>
      <c r="T846" s="200"/>
      <c r="U846" s="203"/>
      <c r="V846" s="89"/>
      <c r="W846" s="89"/>
      <c r="X846" s="145"/>
      <c r="Y846" s="89"/>
      <c r="Z846" s="90"/>
      <c r="AA846" s="90"/>
      <c r="AB846" s="90"/>
      <c r="AC846" s="90"/>
      <c r="AD846" s="92"/>
      <c r="AE846" s="149" t="str">
        <f>IFERROR(VLOOKUP(Z846,LISTS!$AL$2:$AM$1000,2,FALSE()),"")</f>
        <v/>
      </c>
      <c r="AF846" s="151" t="str">
        <f>IFERROR(VLOOKUP(AA846,LISTS!$AO$2:$AP$1000,2,FALSE()),"")</f>
        <v/>
      </c>
      <c r="AG846" s="152" t="str">
        <f>IFERROR(VLOOKUP(AB846,LISTS!$AR$2:$AS$1000,2,FALSE()),"")</f>
        <v/>
      </c>
      <c r="AH846" s="154" t="str">
        <f>IFERROR(VLOOKUP(AC846,LISTS!$AU$2:$AV$1000,2,FALSE()),"")</f>
        <v/>
      </c>
      <c r="AI846" s="238" t="str">
        <f t="shared" si="68"/>
        <v>—</v>
      </c>
      <c r="AJ846" s="190" t="str">
        <f t="shared" si="69"/>
        <v>—</v>
      </c>
      <c r="AK846" s="157" t="str">
        <f t="shared" si="65"/>
        <v/>
      </c>
      <c r="AL846" s="160" t="str">
        <f t="shared" si="66"/>
        <v/>
      </c>
      <c r="AM846" s="210"/>
      <c r="AN846" s="209"/>
    </row>
    <row r="847" spans="1:40" ht="27.95" customHeight="1">
      <c r="A847" s="134" t="str">
        <f>IF(I847&lt;&gt;"",COUNTA($I$2:I847),"")</f>
        <v/>
      </c>
      <c r="B847" s="138" t="str">
        <f t="shared" si="67"/>
        <v/>
      </c>
      <c r="C847" s="93" t="str">
        <f t="array" ref="C847">IF(E847="","",IF(M847&lt;&gt;"",
M847&amp;"/"&amp;SUMPRODUCT((M$2:M847=M847)*1)&amp;" - "&amp;(ROW()-2),
"إداري/"&amp;SUMPRODUCT((M$2:M847="")*1)&amp;" - "&amp;(ROW()-2)))</f>
        <v/>
      </c>
      <c r="D847" s="141" t="str">
        <f>IF(AND(G847="",H847="",I847=""),"",IF(COUNTIFS(LISTS!$A$2:$A$67,G847,LISTS!$B$2:$B$67,H847,LISTS!$C$2:$C$67,I847)=0,"✗ هرم",IF(NOT(OR(Z847="ممتاز 100%",Z847="جيد 80%",Z847="مقبول 60%",Z847="خطر 40%",Z847="")),"✗ قائمة R",IF(NOT(OR(AA847="ممتاز 100%",AA847="جيد 85%",AA847="مقبول 70%",AA847="ضعيف 50%",AA847="")),"✗ قائمة S",IF(NOT(OR(AB847="مكتمل 100%",AB847="جزئي 60%",AB847="معلق 30%",AB847="مفتوح 0%",AB847="")),"✗ قائمة T",IF(NOT(OR(AC847="لا خصم 0",AC847="تأخير −5",AC847="عجز −10",AC847="جودة −15",AC847="امتثال −20",AC847="مخالفة −25",AC847="")),"✗ قائمة U",IF(AND(X847="لا",AC847&lt;&gt;"",AC847&lt;&gt;"لا خصم 0"),"✗ خصم",IF(AND(X847="نعم",AC847="لا خصم 0"),"✗ خصم",IF(AND(Z847="ممتاز 100%",AA847="ممتاز 100%",AB847&lt;&gt;"",AB847&lt;&gt;"مكتمل 100%"),"✗ إغلاق",IFERROR(IF(LEN(_xlfn.TEXTJOIN("، ",TRUE,IF(E847="","التاريخ",""),IF(F847="","الوقت",""),IF(G847="","المركز",""),IF(H847="","الدائرة",""),IF(I847="","القسم",""),IF(J847="","المسؤول",""),IF(K847="","نوع النشاط",""),IF(L847="","المشروع",""),IF(N847="","الممول",""),IF(V847="","الموضوع",""),IF(W847="","الملاحظة",""),IF(X847="","مشكلة",""),IF(Y847="","الإجراء",""),IF(Z847="","التنفيذ",""),IF(AA847="","الجودة",""),IF(AB847="","الإغلاق",""),IF(AC847="","الخصم",""),IF(AND(COUNTA($O847:$U847)&gt;0,O847=""),"مدير المشروع",""),IF(AND(COUNTA($O847:$U847)&gt;0,P847=""),"المستفيدين",""),IF(AND(COUNTA($O847:$U847)&gt;0,Q847=""),"المناطق",""),IF(AND(COUNTA($O847:$U847)&gt;0,R847=""),"الميزانية",""),IF(AND(COUNTA($O847:$U847)&gt;0,S847=""),"نسبة الجاهزية",""),IF(AND(COUNTA($O847:$U847)&gt;0,T847=""),"حالة الجاهزية",""),IF(AND(COUNTA($O847:$U847)&gt;0,U847=""),"التوصيات","")))&gt;0,"✗ ناقص: "&amp;_xlfn.TEXTJOIN("، ",TRUE,IF(E847="","التاريخ",""),IF(F847="","الوقت",""),IF(G847="","المركز",""),IF(H847="","الدائرة",""),IF(I847="","القسم",""),IF(J847="","المسؤول",""),IF(K847="","نوع النشاط",""),IF(L847="","المشروع",""),IF(N847="","الممول",""),IF(V847="","الموضوع",""),IF(W847="","الملاحظة",""),IF(X847="","مشكلة",""),IF(Y847="","الإجراء",""),IF(Z847="","التنفيذ",""),IF(AA847="","الجودة",""),IF(AB847="","الإغلاق",""),IF(AC847="","الخصم",""),IF(AND(COUNTA($O847:$U847)&gt;0,O847=""),"مدير المشروع",""),IF(AND(COUNTA($O847:$U847)&gt;0,P847=""),"المستفيدين",""),IF(AND(COUNTA($O847:$U847)&gt;0,Q847=""),"المناطق",""),IF(AND(COUNTA($O847:$U847)&gt;0,R847=""),"الميزانية",""),IF(AND(COUNTA($O847:$U847)&gt;0,S847=""),"نسبة الجاهزية",""),IF(AND(COUNTA($O847:$U847)&gt;0,T847=""),"حالة الجاهزية",""),IF(AND(COUNTA($O847:$U847)&gt;0,U847=""),"التوصيات","")),"✓"),"✓"))))))))))</f>
        <v/>
      </c>
      <c r="E847" s="235"/>
      <c r="F847" s="236"/>
      <c r="G847" s="90"/>
      <c r="H847" s="239"/>
      <c r="I847" s="89"/>
      <c r="J847" s="142"/>
      <c r="K847" s="90"/>
      <c r="L847" s="90"/>
      <c r="M847" s="90"/>
      <c r="N847" s="89"/>
      <c r="O847" s="200"/>
      <c r="P847" s="201"/>
      <c r="Q847" s="201"/>
      <c r="R847" s="237"/>
      <c r="S847" s="202"/>
      <c r="T847" s="200"/>
      <c r="U847" s="203"/>
      <c r="V847" s="89"/>
      <c r="W847" s="89"/>
      <c r="X847" s="145"/>
      <c r="Y847" s="89"/>
      <c r="Z847" s="90"/>
      <c r="AA847" s="90"/>
      <c r="AB847" s="90"/>
      <c r="AC847" s="90"/>
      <c r="AD847" s="92"/>
      <c r="AE847" s="149" t="str">
        <f>IFERROR(VLOOKUP(Z847,LISTS!$AL$2:$AM$1000,2,FALSE()),"")</f>
        <v/>
      </c>
      <c r="AF847" s="151" t="str">
        <f>IFERROR(VLOOKUP(AA847,LISTS!$AO$2:$AP$1000,2,FALSE()),"")</f>
        <v/>
      </c>
      <c r="AG847" s="152" t="str">
        <f>IFERROR(VLOOKUP(AB847,LISTS!$AR$2:$AS$1000,2,FALSE()),"")</f>
        <v/>
      </c>
      <c r="AH847" s="154" t="str">
        <f>IFERROR(VLOOKUP(AC847,LISTS!$AU$2:$AV$1000,2,FALSE()),"")</f>
        <v/>
      </c>
      <c r="AI847" s="238" t="str">
        <f t="shared" si="68"/>
        <v>—</v>
      </c>
      <c r="AJ847" s="190" t="str">
        <f t="shared" si="69"/>
        <v>—</v>
      </c>
      <c r="AK847" s="157" t="str">
        <f t="shared" si="65"/>
        <v/>
      </c>
      <c r="AL847" s="160" t="str">
        <f t="shared" si="66"/>
        <v/>
      </c>
      <c r="AM847" s="210"/>
      <c r="AN847" s="209"/>
    </row>
    <row r="848" spans="1:40" ht="27.95" customHeight="1">
      <c r="A848" s="134" t="str">
        <f>IF(I848&lt;&gt;"",COUNTA($I$2:I848),"")</f>
        <v/>
      </c>
      <c r="B848" s="138" t="str">
        <f t="shared" si="67"/>
        <v/>
      </c>
      <c r="C848" s="93" t="str">
        <f t="array" ref="C848">IF(E848="","",IF(M848&lt;&gt;"",
M848&amp;"/"&amp;SUMPRODUCT((M$2:M848=M848)*1)&amp;" - "&amp;(ROW()-2),
"إداري/"&amp;SUMPRODUCT((M$2:M848="")*1)&amp;" - "&amp;(ROW()-2)))</f>
        <v/>
      </c>
      <c r="D848" s="141" t="str">
        <f>IF(AND(G848="",H848="",I848=""),"",IF(COUNTIFS(LISTS!$A$2:$A$67,G848,LISTS!$B$2:$B$67,H848,LISTS!$C$2:$C$67,I848)=0,"✗ هرم",IF(NOT(OR(Z848="ممتاز 100%",Z848="جيد 80%",Z848="مقبول 60%",Z848="خطر 40%",Z848="")),"✗ قائمة R",IF(NOT(OR(AA848="ممتاز 100%",AA848="جيد 85%",AA848="مقبول 70%",AA848="ضعيف 50%",AA848="")),"✗ قائمة S",IF(NOT(OR(AB848="مكتمل 100%",AB848="جزئي 60%",AB848="معلق 30%",AB848="مفتوح 0%",AB848="")),"✗ قائمة T",IF(NOT(OR(AC848="لا خصم 0",AC848="تأخير −5",AC848="عجز −10",AC848="جودة −15",AC848="امتثال −20",AC848="مخالفة −25",AC848="")),"✗ قائمة U",IF(AND(X848="لا",AC848&lt;&gt;"",AC848&lt;&gt;"لا خصم 0"),"✗ خصم",IF(AND(X848="نعم",AC848="لا خصم 0"),"✗ خصم",IF(AND(Z848="ممتاز 100%",AA848="ممتاز 100%",AB848&lt;&gt;"",AB848&lt;&gt;"مكتمل 100%"),"✗ إغلاق",IFERROR(IF(LEN(_xlfn.TEXTJOIN("، ",TRUE,IF(E848="","التاريخ",""),IF(F848="","الوقت",""),IF(G848="","المركز",""),IF(H848="","الدائرة",""),IF(I848="","القسم",""),IF(J848="","المسؤول",""),IF(K848="","نوع النشاط",""),IF(L848="","المشروع",""),IF(N848="","الممول",""),IF(V848="","الموضوع",""),IF(W848="","الملاحظة",""),IF(X848="","مشكلة",""),IF(Y848="","الإجراء",""),IF(Z848="","التنفيذ",""),IF(AA848="","الجودة",""),IF(AB848="","الإغلاق",""),IF(AC848="","الخصم",""),IF(AND(COUNTA($O848:$U848)&gt;0,O848=""),"مدير المشروع",""),IF(AND(COUNTA($O848:$U848)&gt;0,P848=""),"المستفيدين",""),IF(AND(COUNTA($O848:$U848)&gt;0,Q848=""),"المناطق",""),IF(AND(COUNTA($O848:$U848)&gt;0,R848=""),"الميزانية",""),IF(AND(COUNTA($O848:$U848)&gt;0,S848=""),"نسبة الجاهزية",""),IF(AND(COUNTA($O848:$U848)&gt;0,T848=""),"حالة الجاهزية",""),IF(AND(COUNTA($O848:$U848)&gt;0,U848=""),"التوصيات","")))&gt;0,"✗ ناقص: "&amp;_xlfn.TEXTJOIN("، ",TRUE,IF(E848="","التاريخ",""),IF(F848="","الوقت",""),IF(G848="","المركز",""),IF(H848="","الدائرة",""),IF(I848="","القسم",""),IF(J848="","المسؤول",""),IF(K848="","نوع النشاط",""),IF(L848="","المشروع",""),IF(N848="","الممول",""),IF(V848="","الموضوع",""),IF(W848="","الملاحظة",""),IF(X848="","مشكلة",""),IF(Y848="","الإجراء",""),IF(Z848="","التنفيذ",""),IF(AA848="","الجودة",""),IF(AB848="","الإغلاق",""),IF(AC848="","الخصم",""),IF(AND(COUNTA($O848:$U848)&gt;0,O848=""),"مدير المشروع",""),IF(AND(COUNTA($O848:$U848)&gt;0,P848=""),"المستفيدين",""),IF(AND(COUNTA($O848:$U848)&gt;0,Q848=""),"المناطق",""),IF(AND(COUNTA($O848:$U848)&gt;0,R848=""),"الميزانية",""),IF(AND(COUNTA($O848:$U848)&gt;0,S848=""),"نسبة الجاهزية",""),IF(AND(COUNTA($O848:$U848)&gt;0,T848=""),"حالة الجاهزية",""),IF(AND(COUNTA($O848:$U848)&gt;0,U848=""),"التوصيات","")),"✓"),"✓"))))))))))</f>
        <v/>
      </c>
      <c r="E848" s="235"/>
      <c r="F848" s="236"/>
      <c r="G848" s="90"/>
      <c r="H848" s="239"/>
      <c r="I848" s="89"/>
      <c r="J848" s="142"/>
      <c r="K848" s="90"/>
      <c r="L848" s="90"/>
      <c r="M848" s="90"/>
      <c r="N848" s="89"/>
      <c r="O848" s="200"/>
      <c r="P848" s="201"/>
      <c r="Q848" s="201"/>
      <c r="R848" s="237"/>
      <c r="S848" s="202"/>
      <c r="T848" s="200"/>
      <c r="U848" s="203"/>
      <c r="V848" s="89"/>
      <c r="W848" s="89"/>
      <c r="X848" s="145"/>
      <c r="Y848" s="89"/>
      <c r="Z848" s="90"/>
      <c r="AA848" s="90"/>
      <c r="AB848" s="90"/>
      <c r="AC848" s="90"/>
      <c r="AD848" s="92"/>
      <c r="AE848" s="149" t="str">
        <f>IFERROR(VLOOKUP(Z848,LISTS!$AL$2:$AM$1000,2,FALSE()),"")</f>
        <v/>
      </c>
      <c r="AF848" s="151" t="str">
        <f>IFERROR(VLOOKUP(AA848,LISTS!$AO$2:$AP$1000,2,FALSE()),"")</f>
        <v/>
      </c>
      <c r="AG848" s="152" t="str">
        <f>IFERROR(VLOOKUP(AB848,LISTS!$AR$2:$AS$1000,2,FALSE()),"")</f>
        <v/>
      </c>
      <c r="AH848" s="154" t="str">
        <f>IFERROR(VLOOKUP(AC848,LISTS!$AU$2:$AV$1000,2,FALSE()),"")</f>
        <v/>
      </c>
      <c r="AI848" s="238" t="str">
        <f t="shared" si="68"/>
        <v>—</v>
      </c>
      <c r="AJ848" s="190" t="str">
        <f t="shared" si="69"/>
        <v>—</v>
      </c>
      <c r="AK848" s="157" t="str">
        <f t="shared" si="65"/>
        <v/>
      </c>
      <c r="AL848" s="160" t="str">
        <f t="shared" si="66"/>
        <v/>
      </c>
      <c r="AM848" s="210"/>
      <c r="AN848" s="209"/>
    </row>
    <row r="849" spans="1:40" ht="27.95" customHeight="1">
      <c r="A849" s="134" t="str">
        <f>IF(I849&lt;&gt;"",COUNTA($I$2:I849),"")</f>
        <v/>
      </c>
      <c r="B849" s="138" t="str">
        <f t="shared" si="67"/>
        <v/>
      </c>
      <c r="C849" s="93" t="str">
        <f t="array" ref="C849">IF(E849="","",IF(M849&lt;&gt;"",
M849&amp;"/"&amp;SUMPRODUCT((M$2:M849=M849)*1)&amp;" - "&amp;(ROW()-2),
"إداري/"&amp;SUMPRODUCT((M$2:M849="")*1)&amp;" - "&amp;(ROW()-2)))</f>
        <v/>
      </c>
      <c r="D849" s="141" t="str">
        <f>IF(AND(G849="",H849="",I849=""),"",IF(COUNTIFS(LISTS!$A$2:$A$67,G849,LISTS!$B$2:$B$67,H849,LISTS!$C$2:$C$67,I849)=0,"✗ هرم",IF(NOT(OR(Z849="ممتاز 100%",Z849="جيد 80%",Z849="مقبول 60%",Z849="خطر 40%",Z849="")),"✗ قائمة R",IF(NOT(OR(AA849="ممتاز 100%",AA849="جيد 85%",AA849="مقبول 70%",AA849="ضعيف 50%",AA849="")),"✗ قائمة S",IF(NOT(OR(AB849="مكتمل 100%",AB849="جزئي 60%",AB849="معلق 30%",AB849="مفتوح 0%",AB849="")),"✗ قائمة T",IF(NOT(OR(AC849="لا خصم 0",AC849="تأخير −5",AC849="عجز −10",AC849="جودة −15",AC849="امتثال −20",AC849="مخالفة −25",AC849="")),"✗ قائمة U",IF(AND(X849="لا",AC849&lt;&gt;"",AC849&lt;&gt;"لا خصم 0"),"✗ خصم",IF(AND(X849="نعم",AC849="لا خصم 0"),"✗ خصم",IF(AND(Z849="ممتاز 100%",AA849="ممتاز 100%",AB849&lt;&gt;"",AB849&lt;&gt;"مكتمل 100%"),"✗ إغلاق",IFERROR(IF(LEN(_xlfn.TEXTJOIN("، ",TRUE,IF(E849="","التاريخ",""),IF(F849="","الوقت",""),IF(G849="","المركز",""),IF(H849="","الدائرة",""),IF(I849="","القسم",""),IF(J849="","المسؤول",""),IF(K849="","نوع النشاط",""),IF(L849="","المشروع",""),IF(N849="","الممول",""),IF(V849="","الموضوع",""),IF(W849="","الملاحظة",""),IF(X849="","مشكلة",""),IF(Y849="","الإجراء",""),IF(Z849="","التنفيذ",""),IF(AA849="","الجودة",""),IF(AB849="","الإغلاق",""),IF(AC849="","الخصم",""),IF(AND(COUNTA($O849:$U849)&gt;0,O849=""),"مدير المشروع",""),IF(AND(COUNTA($O849:$U849)&gt;0,P849=""),"المستفيدين",""),IF(AND(COUNTA($O849:$U849)&gt;0,Q849=""),"المناطق",""),IF(AND(COUNTA($O849:$U849)&gt;0,R849=""),"الميزانية",""),IF(AND(COUNTA($O849:$U849)&gt;0,S849=""),"نسبة الجاهزية",""),IF(AND(COUNTA($O849:$U849)&gt;0,T849=""),"حالة الجاهزية",""),IF(AND(COUNTA($O849:$U849)&gt;0,U849=""),"التوصيات","")))&gt;0,"✗ ناقص: "&amp;_xlfn.TEXTJOIN("، ",TRUE,IF(E849="","التاريخ",""),IF(F849="","الوقت",""),IF(G849="","المركز",""),IF(H849="","الدائرة",""),IF(I849="","القسم",""),IF(J849="","المسؤول",""),IF(K849="","نوع النشاط",""),IF(L849="","المشروع",""),IF(N849="","الممول",""),IF(V849="","الموضوع",""),IF(W849="","الملاحظة",""),IF(X849="","مشكلة",""),IF(Y849="","الإجراء",""),IF(Z849="","التنفيذ",""),IF(AA849="","الجودة",""),IF(AB849="","الإغلاق",""),IF(AC849="","الخصم",""),IF(AND(COUNTA($O849:$U849)&gt;0,O849=""),"مدير المشروع",""),IF(AND(COUNTA($O849:$U849)&gt;0,P849=""),"المستفيدين",""),IF(AND(COUNTA($O849:$U849)&gt;0,Q849=""),"المناطق",""),IF(AND(COUNTA($O849:$U849)&gt;0,R849=""),"الميزانية",""),IF(AND(COUNTA($O849:$U849)&gt;0,S849=""),"نسبة الجاهزية",""),IF(AND(COUNTA($O849:$U849)&gt;0,T849=""),"حالة الجاهزية",""),IF(AND(COUNTA($O849:$U849)&gt;0,U849=""),"التوصيات","")),"✓"),"✓"))))))))))</f>
        <v/>
      </c>
      <c r="E849" s="235"/>
      <c r="F849" s="236"/>
      <c r="G849" s="90"/>
      <c r="H849" s="239"/>
      <c r="I849" s="89"/>
      <c r="J849" s="142"/>
      <c r="K849" s="90"/>
      <c r="L849" s="90"/>
      <c r="M849" s="90"/>
      <c r="N849" s="89"/>
      <c r="O849" s="200"/>
      <c r="P849" s="201"/>
      <c r="Q849" s="201"/>
      <c r="R849" s="237"/>
      <c r="S849" s="202"/>
      <c r="T849" s="200"/>
      <c r="U849" s="203"/>
      <c r="V849" s="89"/>
      <c r="W849" s="89"/>
      <c r="X849" s="145"/>
      <c r="Y849" s="89"/>
      <c r="Z849" s="90"/>
      <c r="AA849" s="90"/>
      <c r="AB849" s="90"/>
      <c r="AC849" s="90"/>
      <c r="AD849" s="92"/>
      <c r="AE849" s="149" t="str">
        <f>IFERROR(VLOOKUP(Z849,LISTS!$AL$2:$AM$1000,2,FALSE()),"")</f>
        <v/>
      </c>
      <c r="AF849" s="151" t="str">
        <f>IFERROR(VLOOKUP(AA849,LISTS!$AO$2:$AP$1000,2,FALSE()),"")</f>
        <v/>
      </c>
      <c r="AG849" s="152" t="str">
        <f>IFERROR(VLOOKUP(AB849,LISTS!$AR$2:$AS$1000,2,FALSE()),"")</f>
        <v/>
      </c>
      <c r="AH849" s="154" t="str">
        <f>IFERROR(VLOOKUP(AC849,LISTS!$AU$2:$AV$1000,2,FALSE()),"")</f>
        <v/>
      </c>
      <c r="AI849" s="238" t="str">
        <f t="shared" si="68"/>
        <v>—</v>
      </c>
      <c r="AJ849" s="190" t="str">
        <f t="shared" si="69"/>
        <v>—</v>
      </c>
      <c r="AK849" s="157" t="str">
        <f t="shared" si="65"/>
        <v/>
      </c>
      <c r="AL849" s="160" t="str">
        <f t="shared" si="66"/>
        <v/>
      </c>
      <c r="AM849" s="210"/>
      <c r="AN849" s="209"/>
    </row>
    <row r="850" spans="1:40" ht="27.95" customHeight="1">
      <c r="A850" s="134" t="str">
        <f>IF(I850&lt;&gt;"",COUNTA($I$2:I850),"")</f>
        <v/>
      </c>
      <c r="B850" s="138" t="str">
        <f t="shared" si="67"/>
        <v/>
      </c>
      <c r="C850" s="93" t="str">
        <f t="array" ref="C850">IF(E850="","",IF(M850&lt;&gt;"",
M850&amp;"/"&amp;SUMPRODUCT((M$2:M850=M850)*1)&amp;" - "&amp;(ROW()-2),
"إداري/"&amp;SUMPRODUCT((M$2:M850="")*1)&amp;" - "&amp;(ROW()-2)))</f>
        <v/>
      </c>
      <c r="D850" s="141" t="str">
        <f>IF(AND(G850="",H850="",I850=""),"",IF(COUNTIFS(LISTS!$A$2:$A$67,G850,LISTS!$B$2:$B$67,H850,LISTS!$C$2:$C$67,I850)=0,"✗ هرم",IF(NOT(OR(Z850="ممتاز 100%",Z850="جيد 80%",Z850="مقبول 60%",Z850="خطر 40%",Z850="")),"✗ قائمة R",IF(NOT(OR(AA850="ممتاز 100%",AA850="جيد 85%",AA850="مقبول 70%",AA850="ضعيف 50%",AA850="")),"✗ قائمة S",IF(NOT(OR(AB850="مكتمل 100%",AB850="جزئي 60%",AB850="معلق 30%",AB850="مفتوح 0%",AB850="")),"✗ قائمة T",IF(NOT(OR(AC850="لا خصم 0",AC850="تأخير −5",AC850="عجز −10",AC850="جودة −15",AC850="امتثال −20",AC850="مخالفة −25",AC850="")),"✗ قائمة U",IF(AND(X850="لا",AC850&lt;&gt;"",AC850&lt;&gt;"لا خصم 0"),"✗ خصم",IF(AND(X850="نعم",AC850="لا خصم 0"),"✗ خصم",IF(AND(Z850="ممتاز 100%",AA850="ممتاز 100%",AB850&lt;&gt;"",AB850&lt;&gt;"مكتمل 100%"),"✗ إغلاق",IFERROR(IF(LEN(_xlfn.TEXTJOIN("، ",TRUE,IF(E850="","التاريخ",""),IF(F850="","الوقت",""),IF(G850="","المركز",""),IF(H850="","الدائرة",""),IF(I850="","القسم",""),IF(J850="","المسؤول",""),IF(K850="","نوع النشاط",""),IF(L850="","المشروع",""),IF(N850="","الممول",""),IF(V850="","الموضوع",""),IF(W850="","الملاحظة",""),IF(X850="","مشكلة",""),IF(Y850="","الإجراء",""),IF(Z850="","التنفيذ",""),IF(AA850="","الجودة",""),IF(AB850="","الإغلاق",""),IF(AC850="","الخصم",""),IF(AND(COUNTA($O850:$U850)&gt;0,O850=""),"مدير المشروع",""),IF(AND(COUNTA($O850:$U850)&gt;0,P850=""),"المستفيدين",""),IF(AND(COUNTA($O850:$U850)&gt;0,Q850=""),"المناطق",""),IF(AND(COUNTA($O850:$U850)&gt;0,R850=""),"الميزانية",""),IF(AND(COUNTA($O850:$U850)&gt;0,S850=""),"نسبة الجاهزية",""),IF(AND(COUNTA($O850:$U850)&gt;0,T850=""),"حالة الجاهزية",""),IF(AND(COUNTA($O850:$U850)&gt;0,U850=""),"التوصيات","")))&gt;0,"✗ ناقص: "&amp;_xlfn.TEXTJOIN("، ",TRUE,IF(E850="","التاريخ",""),IF(F850="","الوقت",""),IF(G850="","المركز",""),IF(H850="","الدائرة",""),IF(I850="","القسم",""),IF(J850="","المسؤول",""),IF(K850="","نوع النشاط",""),IF(L850="","المشروع",""),IF(N850="","الممول",""),IF(V850="","الموضوع",""),IF(W850="","الملاحظة",""),IF(X850="","مشكلة",""),IF(Y850="","الإجراء",""),IF(Z850="","التنفيذ",""),IF(AA850="","الجودة",""),IF(AB850="","الإغلاق",""),IF(AC850="","الخصم",""),IF(AND(COUNTA($O850:$U850)&gt;0,O850=""),"مدير المشروع",""),IF(AND(COUNTA($O850:$U850)&gt;0,P850=""),"المستفيدين",""),IF(AND(COUNTA($O850:$U850)&gt;0,Q850=""),"المناطق",""),IF(AND(COUNTA($O850:$U850)&gt;0,R850=""),"الميزانية",""),IF(AND(COUNTA($O850:$U850)&gt;0,S850=""),"نسبة الجاهزية",""),IF(AND(COUNTA($O850:$U850)&gt;0,T850=""),"حالة الجاهزية",""),IF(AND(COUNTA($O850:$U850)&gt;0,U850=""),"التوصيات","")),"✓"),"✓"))))))))))</f>
        <v/>
      </c>
      <c r="E850" s="235"/>
      <c r="F850" s="236"/>
      <c r="G850" s="90"/>
      <c r="H850" s="239"/>
      <c r="I850" s="89"/>
      <c r="J850" s="142"/>
      <c r="K850" s="90"/>
      <c r="L850" s="90"/>
      <c r="M850" s="90"/>
      <c r="N850" s="89"/>
      <c r="O850" s="200"/>
      <c r="P850" s="201"/>
      <c r="Q850" s="201"/>
      <c r="R850" s="237"/>
      <c r="S850" s="202"/>
      <c r="T850" s="200"/>
      <c r="U850" s="203"/>
      <c r="V850" s="89"/>
      <c r="W850" s="89"/>
      <c r="X850" s="145"/>
      <c r="Y850" s="89"/>
      <c r="Z850" s="90"/>
      <c r="AA850" s="90"/>
      <c r="AB850" s="90"/>
      <c r="AC850" s="90"/>
      <c r="AD850" s="92"/>
      <c r="AE850" s="149" t="str">
        <f>IFERROR(VLOOKUP(Z850,LISTS!$AL$2:$AM$1000,2,FALSE()),"")</f>
        <v/>
      </c>
      <c r="AF850" s="151" t="str">
        <f>IFERROR(VLOOKUP(AA850,LISTS!$AO$2:$AP$1000,2,FALSE()),"")</f>
        <v/>
      </c>
      <c r="AG850" s="152" t="str">
        <f>IFERROR(VLOOKUP(AB850,LISTS!$AR$2:$AS$1000,2,FALSE()),"")</f>
        <v/>
      </c>
      <c r="AH850" s="154" t="str">
        <f>IFERROR(VLOOKUP(AC850,LISTS!$AU$2:$AV$1000,2,FALSE()),"")</f>
        <v/>
      </c>
      <c r="AI850" s="238" t="str">
        <f t="shared" si="68"/>
        <v>—</v>
      </c>
      <c r="AJ850" s="190" t="str">
        <f t="shared" si="69"/>
        <v>—</v>
      </c>
      <c r="AK850" s="157" t="str">
        <f t="shared" si="65"/>
        <v/>
      </c>
      <c r="AL850" s="160" t="str">
        <f t="shared" si="66"/>
        <v/>
      </c>
      <c r="AM850" s="210"/>
      <c r="AN850" s="209"/>
    </row>
    <row r="851" spans="1:40" ht="27.95" customHeight="1">
      <c r="A851" s="134" t="str">
        <f>IF(I851&lt;&gt;"",COUNTA($I$2:I851),"")</f>
        <v/>
      </c>
      <c r="B851" s="138" t="str">
        <f t="shared" si="67"/>
        <v/>
      </c>
      <c r="C851" s="93" t="str">
        <f t="array" ref="C851">IF(E851="","",IF(M851&lt;&gt;"",
M851&amp;"/"&amp;SUMPRODUCT((M$2:M851=M851)*1)&amp;" - "&amp;(ROW()-2),
"إداري/"&amp;SUMPRODUCT((M$2:M851="")*1)&amp;" - "&amp;(ROW()-2)))</f>
        <v/>
      </c>
      <c r="D851" s="141" t="str">
        <f>IF(AND(G851="",H851="",I851=""),"",IF(COUNTIFS(LISTS!$A$2:$A$67,G851,LISTS!$B$2:$B$67,H851,LISTS!$C$2:$C$67,I851)=0,"✗ هرم",IF(NOT(OR(Z851="ممتاز 100%",Z851="جيد 80%",Z851="مقبول 60%",Z851="خطر 40%",Z851="")),"✗ قائمة R",IF(NOT(OR(AA851="ممتاز 100%",AA851="جيد 85%",AA851="مقبول 70%",AA851="ضعيف 50%",AA851="")),"✗ قائمة S",IF(NOT(OR(AB851="مكتمل 100%",AB851="جزئي 60%",AB851="معلق 30%",AB851="مفتوح 0%",AB851="")),"✗ قائمة T",IF(NOT(OR(AC851="لا خصم 0",AC851="تأخير −5",AC851="عجز −10",AC851="جودة −15",AC851="امتثال −20",AC851="مخالفة −25",AC851="")),"✗ قائمة U",IF(AND(X851="لا",AC851&lt;&gt;"",AC851&lt;&gt;"لا خصم 0"),"✗ خصم",IF(AND(X851="نعم",AC851="لا خصم 0"),"✗ خصم",IF(AND(Z851="ممتاز 100%",AA851="ممتاز 100%",AB851&lt;&gt;"",AB851&lt;&gt;"مكتمل 100%"),"✗ إغلاق",IFERROR(IF(LEN(_xlfn.TEXTJOIN("، ",TRUE,IF(E851="","التاريخ",""),IF(F851="","الوقت",""),IF(G851="","المركز",""),IF(H851="","الدائرة",""),IF(I851="","القسم",""),IF(J851="","المسؤول",""),IF(K851="","نوع النشاط",""),IF(L851="","المشروع",""),IF(N851="","الممول",""),IF(V851="","الموضوع",""),IF(W851="","الملاحظة",""),IF(X851="","مشكلة",""),IF(Y851="","الإجراء",""),IF(Z851="","التنفيذ",""),IF(AA851="","الجودة",""),IF(AB851="","الإغلاق",""),IF(AC851="","الخصم",""),IF(AND(COUNTA($O851:$U851)&gt;0,O851=""),"مدير المشروع",""),IF(AND(COUNTA($O851:$U851)&gt;0,P851=""),"المستفيدين",""),IF(AND(COUNTA($O851:$U851)&gt;0,Q851=""),"المناطق",""),IF(AND(COUNTA($O851:$U851)&gt;0,R851=""),"الميزانية",""),IF(AND(COUNTA($O851:$U851)&gt;0,S851=""),"نسبة الجاهزية",""),IF(AND(COUNTA($O851:$U851)&gt;0,T851=""),"حالة الجاهزية",""),IF(AND(COUNTA($O851:$U851)&gt;0,U851=""),"التوصيات","")))&gt;0,"✗ ناقص: "&amp;_xlfn.TEXTJOIN("، ",TRUE,IF(E851="","التاريخ",""),IF(F851="","الوقت",""),IF(G851="","المركز",""),IF(H851="","الدائرة",""),IF(I851="","القسم",""),IF(J851="","المسؤول",""),IF(K851="","نوع النشاط",""),IF(L851="","المشروع",""),IF(N851="","الممول",""),IF(V851="","الموضوع",""),IF(W851="","الملاحظة",""),IF(X851="","مشكلة",""),IF(Y851="","الإجراء",""),IF(Z851="","التنفيذ",""),IF(AA851="","الجودة",""),IF(AB851="","الإغلاق",""),IF(AC851="","الخصم",""),IF(AND(COUNTA($O851:$U851)&gt;0,O851=""),"مدير المشروع",""),IF(AND(COUNTA($O851:$U851)&gt;0,P851=""),"المستفيدين",""),IF(AND(COUNTA($O851:$U851)&gt;0,Q851=""),"المناطق",""),IF(AND(COUNTA($O851:$U851)&gt;0,R851=""),"الميزانية",""),IF(AND(COUNTA($O851:$U851)&gt;0,S851=""),"نسبة الجاهزية",""),IF(AND(COUNTA($O851:$U851)&gt;0,T851=""),"حالة الجاهزية",""),IF(AND(COUNTA($O851:$U851)&gt;0,U851=""),"التوصيات","")),"✓"),"✓"))))))))))</f>
        <v/>
      </c>
      <c r="E851" s="235"/>
      <c r="F851" s="236"/>
      <c r="G851" s="90"/>
      <c r="H851" s="239"/>
      <c r="I851" s="89"/>
      <c r="J851" s="142"/>
      <c r="K851" s="90"/>
      <c r="L851" s="90"/>
      <c r="M851" s="90"/>
      <c r="N851" s="89"/>
      <c r="O851" s="200"/>
      <c r="P851" s="201"/>
      <c r="Q851" s="201"/>
      <c r="R851" s="237"/>
      <c r="S851" s="202"/>
      <c r="T851" s="200"/>
      <c r="U851" s="203"/>
      <c r="V851" s="89"/>
      <c r="W851" s="89"/>
      <c r="X851" s="145"/>
      <c r="Y851" s="89"/>
      <c r="Z851" s="90"/>
      <c r="AA851" s="90"/>
      <c r="AB851" s="90"/>
      <c r="AC851" s="90"/>
      <c r="AD851" s="92"/>
      <c r="AE851" s="149" t="str">
        <f>IFERROR(VLOOKUP(Z851,LISTS!$AL$2:$AM$1000,2,FALSE()),"")</f>
        <v/>
      </c>
      <c r="AF851" s="151" t="str">
        <f>IFERROR(VLOOKUP(AA851,LISTS!$AO$2:$AP$1000,2,FALSE()),"")</f>
        <v/>
      </c>
      <c r="AG851" s="152" t="str">
        <f>IFERROR(VLOOKUP(AB851,LISTS!$AR$2:$AS$1000,2,FALSE()),"")</f>
        <v/>
      </c>
      <c r="AH851" s="154" t="str">
        <f>IFERROR(VLOOKUP(AC851,LISTS!$AU$2:$AV$1000,2,FALSE()),"")</f>
        <v/>
      </c>
      <c r="AI851" s="238" t="str">
        <f t="shared" si="68"/>
        <v>—</v>
      </c>
      <c r="AJ851" s="190" t="str">
        <f t="shared" si="69"/>
        <v>—</v>
      </c>
      <c r="AK851" s="157" t="str">
        <f t="shared" si="65"/>
        <v/>
      </c>
      <c r="AL851" s="160" t="str">
        <f t="shared" si="66"/>
        <v/>
      </c>
      <c r="AM851" s="210"/>
      <c r="AN851" s="209"/>
    </row>
    <row r="852" spans="1:40" ht="27.95" customHeight="1">
      <c r="A852" s="134" t="str">
        <f>IF(I852&lt;&gt;"",COUNTA($I$2:I852),"")</f>
        <v/>
      </c>
      <c r="B852" s="138" t="str">
        <f t="shared" si="67"/>
        <v/>
      </c>
      <c r="C852" s="93" t="str">
        <f t="array" ref="C852">IF(E852="","",IF(M852&lt;&gt;"",
M852&amp;"/"&amp;SUMPRODUCT((M$2:M852=M852)*1)&amp;" - "&amp;(ROW()-2),
"إداري/"&amp;SUMPRODUCT((M$2:M852="")*1)&amp;" - "&amp;(ROW()-2)))</f>
        <v/>
      </c>
      <c r="D852" s="141" t="str">
        <f>IF(AND(G852="",H852="",I852=""),"",IF(COUNTIFS(LISTS!$A$2:$A$67,G852,LISTS!$B$2:$B$67,H852,LISTS!$C$2:$C$67,I852)=0,"✗ هرم",IF(NOT(OR(Z852="ممتاز 100%",Z852="جيد 80%",Z852="مقبول 60%",Z852="خطر 40%",Z852="")),"✗ قائمة R",IF(NOT(OR(AA852="ممتاز 100%",AA852="جيد 85%",AA852="مقبول 70%",AA852="ضعيف 50%",AA852="")),"✗ قائمة S",IF(NOT(OR(AB852="مكتمل 100%",AB852="جزئي 60%",AB852="معلق 30%",AB852="مفتوح 0%",AB852="")),"✗ قائمة T",IF(NOT(OR(AC852="لا خصم 0",AC852="تأخير −5",AC852="عجز −10",AC852="جودة −15",AC852="امتثال −20",AC852="مخالفة −25",AC852="")),"✗ قائمة U",IF(AND(X852="لا",AC852&lt;&gt;"",AC852&lt;&gt;"لا خصم 0"),"✗ خصم",IF(AND(X852="نعم",AC852="لا خصم 0"),"✗ خصم",IF(AND(Z852="ممتاز 100%",AA852="ممتاز 100%",AB852&lt;&gt;"",AB852&lt;&gt;"مكتمل 100%"),"✗ إغلاق",IFERROR(IF(LEN(_xlfn.TEXTJOIN("، ",TRUE,IF(E852="","التاريخ",""),IF(F852="","الوقت",""),IF(G852="","المركز",""),IF(H852="","الدائرة",""),IF(I852="","القسم",""),IF(J852="","المسؤول",""),IF(K852="","نوع النشاط",""),IF(L852="","المشروع",""),IF(N852="","الممول",""),IF(V852="","الموضوع",""),IF(W852="","الملاحظة",""),IF(X852="","مشكلة",""),IF(Y852="","الإجراء",""),IF(Z852="","التنفيذ",""),IF(AA852="","الجودة",""),IF(AB852="","الإغلاق",""),IF(AC852="","الخصم",""),IF(AND(COUNTA($O852:$U852)&gt;0,O852=""),"مدير المشروع",""),IF(AND(COUNTA($O852:$U852)&gt;0,P852=""),"المستفيدين",""),IF(AND(COUNTA($O852:$U852)&gt;0,Q852=""),"المناطق",""),IF(AND(COUNTA($O852:$U852)&gt;0,R852=""),"الميزانية",""),IF(AND(COUNTA($O852:$U852)&gt;0,S852=""),"نسبة الجاهزية",""),IF(AND(COUNTA($O852:$U852)&gt;0,T852=""),"حالة الجاهزية",""),IF(AND(COUNTA($O852:$U852)&gt;0,U852=""),"التوصيات","")))&gt;0,"✗ ناقص: "&amp;_xlfn.TEXTJOIN("، ",TRUE,IF(E852="","التاريخ",""),IF(F852="","الوقت",""),IF(G852="","المركز",""),IF(H852="","الدائرة",""),IF(I852="","القسم",""),IF(J852="","المسؤول",""),IF(K852="","نوع النشاط",""),IF(L852="","المشروع",""),IF(N852="","الممول",""),IF(V852="","الموضوع",""),IF(W852="","الملاحظة",""),IF(X852="","مشكلة",""),IF(Y852="","الإجراء",""),IF(Z852="","التنفيذ",""),IF(AA852="","الجودة",""),IF(AB852="","الإغلاق",""),IF(AC852="","الخصم",""),IF(AND(COUNTA($O852:$U852)&gt;0,O852=""),"مدير المشروع",""),IF(AND(COUNTA($O852:$U852)&gt;0,P852=""),"المستفيدين",""),IF(AND(COUNTA($O852:$U852)&gt;0,Q852=""),"المناطق",""),IF(AND(COUNTA($O852:$U852)&gt;0,R852=""),"الميزانية",""),IF(AND(COUNTA($O852:$U852)&gt;0,S852=""),"نسبة الجاهزية",""),IF(AND(COUNTA($O852:$U852)&gt;0,T852=""),"حالة الجاهزية",""),IF(AND(COUNTA($O852:$U852)&gt;0,U852=""),"التوصيات","")),"✓"),"✓"))))))))))</f>
        <v/>
      </c>
      <c r="E852" s="235"/>
      <c r="F852" s="236"/>
      <c r="G852" s="90"/>
      <c r="H852" s="239"/>
      <c r="I852" s="89"/>
      <c r="J852" s="142"/>
      <c r="K852" s="90"/>
      <c r="L852" s="90"/>
      <c r="M852" s="90"/>
      <c r="N852" s="89"/>
      <c r="O852" s="200"/>
      <c r="P852" s="201"/>
      <c r="Q852" s="201"/>
      <c r="R852" s="237"/>
      <c r="S852" s="202"/>
      <c r="T852" s="200"/>
      <c r="U852" s="203"/>
      <c r="V852" s="89"/>
      <c r="W852" s="89"/>
      <c r="X852" s="145"/>
      <c r="Y852" s="89"/>
      <c r="Z852" s="90"/>
      <c r="AA852" s="90"/>
      <c r="AB852" s="90"/>
      <c r="AC852" s="90"/>
      <c r="AD852" s="92"/>
      <c r="AE852" s="149" t="str">
        <f>IFERROR(VLOOKUP(Z852,LISTS!$AL$2:$AM$1000,2,FALSE()),"")</f>
        <v/>
      </c>
      <c r="AF852" s="151" t="str">
        <f>IFERROR(VLOOKUP(AA852,LISTS!$AO$2:$AP$1000,2,FALSE()),"")</f>
        <v/>
      </c>
      <c r="AG852" s="152" t="str">
        <f>IFERROR(VLOOKUP(AB852,LISTS!$AR$2:$AS$1000,2,FALSE()),"")</f>
        <v/>
      </c>
      <c r="AH852" s="154" t="str">
        <f>IFERROR(VLOOKUP(AC852,LISTS!$AU$2:$AV$1000,2,FALSE()),"")</f>
        <v/>
      </c>
      <c r="AI852" s="238" t="str">
        <f t="shared" si="68"/>
        <v>—</v>
      </c>
      <c r="AJ852" s="190" t="str">
        <f t="shared" si="69"/>
        <v>—</v>
      </c>
      <c r="AK852" s="157" t="str">
        <f t="shared" si="65"/>
        <v/>
      </c>
      <c r="AL852" s="160" t="str">
        <f t="shared" si="66"/>
        <v/>
      </c>
      <c r="AM852" s="210"/>
      <c r="AN852" s="209"/>
    </row>
    <row r="853" spans="1:40" ht="27.95" customHeight="1">
      <c r="A853" s="134" t="str">
        <f>IF(I853&lt;&gt;"",COUNTA($I$2:I853),"")</f>
        <v/>
      </c>
      <c r="B853" s="138" t="str">
        <f t="shared" si="67"/>
        <v/>
      </c>
      <c r="C853" s="93" t="str">
        <f t="array" ref="C853">IF(E853="","",IF(M853&lt;&gt;"",
M853&amp;"/"&amp;SUMPRODUCT((M$2:M853=M853)*1)&amp;" - "&amp;(ROW()-2),
"إداري/"&amp;SUMPRODUCT((M$2:M853="")*1)&amp;" - "&amp;(ROW()-2)))</f>
        <v/>
      </c>
      <c r="D853" s="141" t="str">
        <f>IF(AND(G853="",H853="",I853=""),"",IF(COUNTIFS(LISTS!$A$2:$A$67,G853,LISTS!$B$2:$B$67,H853,LISTS!$C$2:$C$67,I853)=0,"✗ هرم",IF(NOT(OR(Z853="ممتاز 100%",Z853="جيد 80%",Z853="مقبول 60%",Z853="خطر 40%",Z853="")),"✗ قائمة R",IF(NOT(OR(AA853="ممتاز 100%",AA853="جيد 85%",AA853="مقبول 70%",AA853="ضعيف 50%",AA853="")),"✗ قائمة S",IF(NOT(OR(AB853="مكتمل 100%",AB853="جزئي 60%",AB853="معلق 30%",AB853="مفتوح 0%",AB853="")),"✗ قائمة T",IF(NOT(OR(AC853="لا خصم 0",AC853="تأخير −5",AC853="عجز −10",AC853="جودة −15",AC853="امتثال −20",AC853="مخالفة −25",AC853="")),"✗ قائمة U",IF(AND(X853="لا",AC853&lt;&gt;"",AC853&lt;&gt;"لا خصم 0"),"✗ خصم",IF(AND(X853="نعم",AC853="لا خصم 0"),"✗ خصم",IF(AND(Z853="ممتاز 100%",AA853="ممتاز 100%",AB853&lt;&gt;"",AB853&lt;&gt;"مكتمل 100%"),"✗ إغلاق",IFERROR(IF(LEN(_xlfn.TEXTJOIN("، ",TRUE,IF(E853="","التاريخ",""),IF(F853="","الوقت",""),IF(G853="","المركز",""),IF(H853="","الدائرة",""),IF(I853="","القسم",""),IF(J853="","المسؤول",""),IF(K853="","نوع النشاط",""),IF(L853="","المشروع",""),IF(N853="","الممول",""),IF(V853="","الموضوع",""),IF(W853="","الملاحظة",""),IF(X853="","مشكلة",""),IF(Y853="","الإجراء",""),IF(Z853="","التنفيذ",""),IF(AA853="","الجودة",""),IF(AB853="","الإغلاق",""),IF(AC853="","الخصم",""),IF(AND(COUNTA($O853:$U853)&gt;0,O853=""),"مدير المشروع",""),IF(AND(COUNTA($O853:$U853)&gt;0,P853=""),"المستفيدين",""),IF(AND(COUNTA($O853:$U853)&gt;0,Q853=""),"المناطق",""),IF(AND(COUNTA($O853:$U853)&gt;0,R853=""),"الميزانية",""),IF(AND(COUNTA($O853:$U853)&gt;0,S853=""),"نسبة الجاهزية",""),IF(AND(COUNTA($O853:$U853)&gt;0,T853=""),"حالة الجاهزية",""),IF(AND(COUNTA($O853:$U853)&gt;0,U853=""),"التوصيات","")))&gt;0,"✗ ناقص: "&amp;_xlfn.TEXTJOIN("، ",TRUE,IF(E853="","التاريخ",""),IF(F853="","الوقت",""),IF(G853="","المركز",""),IF(H853="","الدائرة",""),IF(I853="","القسم",""),IF(J853="","المسؤول",""),IF(K853="","نوع النشاط",""),IF(L853="","المشروع",""),IF(N853="","الممول",""),IF(V853="","الموضوع",""),IF(W853="","الملاحظة",""),IF(X853="","مشكلة",""),IF(Y853="","الإجراء",""),IF(Z853="","التنفيذ",""),IF(AA853="","الجودة",""),IF(AB853="","الإغلاق",""),IF(AC853="","الخصم",""),IF(AND(COUNTA($O853:$U853)&gt;0,O853=""),"مدير المشروع",""),IF(AND(COUNTA($O853:$U853)&gt;0,P853=""),"المستفيدين",""),IF(AND(COUNTA($O853:$U853)&gt;0,Q853=""),"المناطق",""),IF(AND(COUNTA($O853:$U853)&gt;0,R853=""),"الميزانية",""),IF(AND(COUNTA($O853:$U853)&gt;0,S853=""),"نسبة الجاهزية",""),IF(AND(COUNTA($O853:$U853)&gt;0,T853=""),"حالة الجاهزية",""),IF(AND(COUNTA($O853:$U853)&gt;0,U853=""),"التوصيات","")),"✓"),"✓"))))))))))</f>
        <v/>
      </c>
      <c r="E853" s="235"/>
      <c r="F853" s="236"/>
      <c r="G853" s="90"/>
      <c r="H853" s="239"/>
      <c r="I853" s="89"/>
      <c r="J853" s="142"/>
      <c r="K853" s="90"/>
      <c r="L853" s="90"/>
      <c r="M853" s="90"/>
      <c r="N853" s="89"/>
      <c r="O853" s="200"/>
      <c r="P853" s="201"/>
      <c r="Q853" s="201"/>
      <c r="R853" s="237"/>
      <c r="S853" s="202"/>
      <c r="T853" s="200"/>
      <c r="U853" s="203"/>
      <c r="V853" s="89"/>
      <c r="W853" s="89"/>
      <c r="X853" s="145"/>
      <c r="Y853" s="89"/>
      <c r="Z853" s="90"/>
      <c r="AA853" s="90"/>
      <c r="AB853" s="90"/>
      <c r="AC853" s="90"/>
      <c r="AD853" s="92"/>
      <c r="AE853" s="149" t="str">
        <f>IFERROR(VLOOKUP(Z853,LISTS!$AL$2:$AM$1000,2,FALSE()),"")</f>
        <v/>
      </c>
      <c r="AF853" s="151" t="str">
        <f>IFERROR(VLOOKUP(AA853,LISTS!$AO$2:$AP$1000,2,FALSE()),"")</f>
        <v/>
      </c>
      <c r="AG853" s="152" t="str">
        <f>IFERROR(VLOOKUP(AB853,LISTS!$AR$2:$AS$1000,2,FALSE()),"")</f>
        <v/>
      </c>
      <c r="AH853" s="154" t="str">
        <f>IFERROR(VLOOKUP(AC853,LISTS!$AU$2:$AV$1000,2,FALSE()),"")</f>
        <v/>
      </c>
      <c r="AI853" s="238" t="str">
        <f t="shared" si="68"/>
        <v>—</v>
      </c>
      <c r="AJ853" s="190" t="str">
        <f t="shared" si="69"/>
        <v>—</v>
      </c>
      <c r="AK853" s="157" t="str">
        <f t="shared" si="65"/>
        <v/>
      </c>
      <c r="AL853" s="160" t="str">
        <f t="shared" si="66"/>
        <v/>
      </c>
      <c r="AM853" s="210"/>
      <c r="AN853" s="209"/>
    </row>
    <row r="854" spans="1:40" ht="27.95" customHeight="1">
      <c r="A854" s="134" t="str">
        <f>IF(I854&lt;&gt;"",COUNTA($I$2:I854),"")</f>
        <v/>
      </c>
      <c r="B854" s="138" t="str">
        <f t="shared" si="67"/>
        <v/>
      </c>
      <c r="C854" s="93" t="str">
        <f t="array" ref="C854">IF(E854="","",IF(M854&lt;&gt;"",
M854&amp;"/"&amp;SUMPRODUCT((M$2:M854=M854)*1)&amp;" - "&amp;(ROW()-2),
"إداري/"&amp;SUMPRODUCT((M$2:M854="")*1)&amp;" - "&amp;(ROW()-2)))</f>
        <v/>
      </c>
      <c r="D854" s="141" t="str">
        <f>IF(AND(G854="",H854="",I854=""),"",IF(COUNTIFS(LISTS!$A$2:$A$67,G854,LISTS!$B$2:$B$67,H854,LISTS!$C$2:$C$67,I854)=0,"✗ هرم",IF(NOT(OR(Z854="ممتاز 100%",Z854="جيد 80%",Z854="مقبول 60%",Z854="خطر 40%",Z854="")),"✗ قائمة R",IF(NOT(OR(AA854="ممتاز 100%",AA854="جيد 85%",AA854="مقبول 70%",AA854="ضعيف 50%",AA854="")),"✗ قائمة S",IF(NOT(OR(AB854="مكتمل 100%",AB854="جزئي 60%",AB854="معلق 30%",AB854="مفتوح 0%",AB854="")),"✗ قائمة T",IF(NOT(OR(AC854="لا خصم 0",AC854="تأخير −5",AC854="عجز −10",AC854="جودة −15",AC854="امتثال −20",AC854="مخالفة −25",AC854="")),"✗ قائمة U",IF(AND(X854="لا",AC854&lt;&gt;"",AC854&lt;&gt;"لا خصم 0"),"✗ خصم",IF(AND(X854="نعم",AC854="لا خصم 0"),"✗ خصم",IF(AND(Z854="ممتاز 100%",AA854="ممتاز 100%",AB854&lt;&gt;"",AB854&lt;&gt;"مكتمل 100%"),"✗ إغلاق",IFERROR(IF(LEN(_xlfn.TEXTJOIN("، ",TRUE,IF(E854="","التاريخ",""),IF(F854="","الوقت",""),IF(G854="","المركز",""),IF(H854="","الدائرة",""),IF(I854="","القسم",""),IF(J854="","المسؤول",""),IF(K854="","نوع النشاط",""),IF(L854="","المشروع",""),IF(N854="","الممول",""),IF(V854="","الموضوع",""),IF(W854="","الملاحظة",""),IF(X854="","مشكلة",""),IF(Y854="","الإجراء",""),IF(Z854="","التنفيذ",""),IF(AA854="","الجودة",""),IF(AB854="","الإغلاق",""),IF(AC854="","الخصم",""),IF(AND(COUNTA($O854:$U854)&gt;0,O854=""),"مدير المشروع",""),IF(AND(COUNTA($O854:$U854)&gt;0,P854=""),"المستفيدين",""),IF(AND(COUNTA($O854:$U854)&gt;0,Q854=""),"المناطق",""),IF(AND(COUNTA($O854:$U854)&gt;0,R854=""),"الميزانية",""),IF(AND(COUNTA($O854:$U854)&gt;0,S854=""),"نسبة الجاهزية",""),IF(AND(COUNTA($O854:$U854)&gt;0,T854=""),"حالة الجاهزية",""),IF(AND(COUNTA($O854:$U854)&gt;0,U854=""),"التوصيات","")))&gt;0,"✗ ناقص: "&amp;_xlfn.TEXTJOIN("، ",TRUE,IF(E854="","التاريخ",""),IF(F854="","الوقت",""),IF(G854="","المركز",""),IF(H854="","الدائرة",""),IF(I854="","القسم",""),IF(J854="","المسؤول",""),IF(K854="","نوع النشاط",""),IF(L854="","المشروع",""),IF(N854="","الممول",""),IF(V854="","الموضوع",""),IF(W854="","الملاحظة",""),IF(X854="","مشكلة",""),IF(Y854="","الإجراء",""),IF(Z854="","التنفيذ",""),IF(AA854="","الجودة",""),IF(AB854="","الإغلاق",""),IF(AC854="","الخصم",""),IF(AND(COUNTA($O854:$U854)&gt;0,O854=""),"مدير المشروع",""),IF(AND(COUNTA($O854:$U854)&gt;0,P854=""),"المستفيدين",""),IF(AND(COUNTA($O854:$U854)&gt;0,Q854=""),"المناطق",""),IF(AND(COUNTA($O854:$U854)&gt;0,R854=""),"الميزانية",""),IF(AND(COUNTA($O854:$U854)&gt;0,S854=""),"نسبة الجاهزية",""),IF(AND(COUNTA($O854:$U854)&gt;0,T854=""),"حالة الجاهزية",""),IF(AND(COUNTA($O854:$U854)&gt;0,U854=""),"التوصيات","")),"✓"),"✓"))))))))))</f>
        <v/>
      </c>
      <c r="E854" s="235"/>
      <c r="F854" s="236"/>
      <c r="G854" s="90"/>
      <c r="H854" s="239"/>
      <c r="I854" s="89"/>
      <c r="J854" s="142"/>
      <c r="K854" s="90"/>
      <c r="L854" s="90"/>
      <c r="M854" s="90"/>
      <c r="N854" s="89"/>
      <c r="O854" s="200"/>
      <c r="P854" s="201"/>
      <c r="Q854" s="201"/>
      <c r="R854" s="237"/>
      <c r="S854" s="202"/>
      <c r="T854" s="200"/>
      <c r="U854" s="203"/>
      <c r="V854" s="89"/>
      <c r="W854" s="89"/>
      <c r="X854" s="145"/>
      <c r="Y854" s="89"/>
      <c r="Z854" s="90"/>
      <c r="AA854" s="90"/>
      <c r="AB854" s="90"/>
      <c r="AC854" s="90"/>
      <c r="AD854" s="92"/>
      <c r="AE854" s="149" t="str">
        <f>IFERROR(VLOOKUP(Z854,LISTS!$AL$2:$AM$1000,2,FALSE()),"")</f>
        <v/>
      </c>
      <c r="AF854" s="151" t="str">
        <f>IFERROR(VLOOKUP(AA854,LISTS!$AO$2:$AP$1000,2,FALSE()),"")</f>
        <v/>
      </c>
      <c r="AG854" s="152" t="str">
        <f>IFERROR(VLOOKUP(AB854,LISTS!$AR$2:$AS$1000,2,FALSE()),"")</f>
        <v/>
      </c>
      <c r="AH854" s="154" t="str">
        <f>IFERROR(VLOOKUP(AC854,LISTS!$AU$2:$AV$1000,2,FALSE()),"")</f>
        <v/>
      </c>
      <c r="AI854" s="238" t="str">
        <f t="shared" si="68"/>
        <v>—</v>
      </c>
      <c r="AJ854" s="190" t="str">
        <f t="shared" si="69"/>
        <v>—</v>
      </c>
      <c r="AK854" s="157" t="str">
        <f t="shared" si="65"/>
        <v/>
      </c>
      <c r="AL854" s="160" t="str">
        <f t="shared" si="66"/>
        <v/>
      </c>
      <c r="AM854" s="210"/>
      <c r="AN854" s="209"/>
    </row>
    <row r="855" spans="1:40" ht="27.95" customHeight="1">
      <c r="A855" s="134" t="str">
        <f>IF(I855&lt;&gt;"",COUNTA($I$2:I855),"")</f>
        <v/>
      </c>
      <c r="B855" s="138" t="str">
        <f t="shared" si="67"/>
        <v/>
      </c>
      <c r="C855" s="93" t="str">
        <f t="array" ref="C855">IF(E855="","",IF(M855&lt;&gt;"",
M855&amp;"/"&amp;SUMPRODUCT((M$2:M855=M855)*1)&amp;" - "&amp;(ROW()-2),
"إداري/"&amp;SUMPRODUCT((M$2:M855="")*1)&amp;" - "&amp;(ROW()-2)))</f>
        <v/>
      </c>
      <c r="D855" s="141" t="str">
        <f>IF(AND(G855="",H855="",I855=""),"",IF(COUNTIFS(LISTS!$A$2:$A$67,G855,LISTS!$B$2:$B$67,H855,LISTS!$C$2:$C$67,I855)=0,"✗ هرم",IF(NOT(OR(Z855="ممتاز 100%",Z855="جيد 80%",Z855="مقبول 60%",Z855="خطر 40%",Z855="")),"✗ قائمة R",IF(NOT(OR(AA855="ممتاز 100%",AA855="جيد 85%",AA855="مقبول 70%",AA855="ضعيف 50%",AA855="")),"✗ قائمة S",IF(NOT(OR(AB855="مكتمل 100%",AB855="جزئي 60%",AB855="معلق 30%",AB855="مفتوح 0%",AB855="")),"✗ قائمة T",IF(NOT(OR(AC855="لا خصم 0",AC855="تأخير −5",AC855="عجز −10",AC855="جودة −15",AC855="امتثال −20",AC855="مخالفة −25",AC855="")),"✗ قائمة U",IF(AND(X855="لا",AC855&lt;&gt;"",AC855&lt;&gt;"لا خصم 0"),"✗ خصم",IF(AND(X855="نعم",AC855="لا خصم 0"),"✗ خصم",IF(AND(Z855="ممتاز 100%",AA855="ممتاز 100%",AB855&lt;&gt;"",AB855&lt;&gt;"مكتمل 100%"),"✗ إغلاق",IFERROR(IF(LEN(_xlfn.TEXTJOIN("، ",TRUE,IF(E855="","التاريخ",""),IF(F855="","الوقت",""),IF(G855="","المركز",""),IF(H855="","الدائرة",""),IF(I855="","القسم",""),IF(J855="","المسؤول",""),IF(K855="","نوع النشاط",""),IF(L855="","المشروع",""),IF(N855="","الممول",""),IF(V855="","الموضوع",""),IF(W855="","الملاحظة",""),IF(X855="","مشكلة",""),IF(Y855="","الإجراء",""),IF(Z855="","التنفيذ",""),IF(AA855="","الجودة",""),IF(AB855="","الإغلاق",""),IF(AC855="","الخصم",""),IF(AND(COUNTA($O855:$U855)&gt;0,O855=""),"مدير المشروع",""),IF(AND(COUNTA($O855:$U855)&gt;0,P855=""),"المستفيدين",""),IF(AND(COUNTA($O855:$U855)&gt;0,Q855=""),"المناطق",""),IF(AND(COUNTA($O855:$U855)&gt;0,R855=""),"الميزانية",""),IF(AND(COUNTA($O855:$U855)&gt;0,S855=""),"نسبة الجاهزية",""),IF(AND(COUNTA($O855:$U855)&gt;0,T855=""),"حالة الجاهزية",""),IF(AND(COUNTA($O855:$U855)&gt;0,U855=""),"التوصيات","")))&gt;0,"✗ ناقص: "&amp;_xlfn.TEXTJOIN("، ",TRUE,IF(E855="","التاريخ",""),IF(F855="","الوقت",""),IF(G855="","المركز",""),IF(H855="","الدائرة",""),IF(I855="","القسم",""),IF(J855="","المسؤول",""),IF(K855="","نوع النشاط",""),IF(L855="","المشروع",""),IF(N855="","الممول",""),IF(V855="","الموضوع",""),IF(W855="","الملاحظة",""),IF(X855="","مشكلة",""),IF(Y855="","الإجراء",""),IF(Z855="","التنفيذ",""),IF(AA855="","الجودة",""),IF(AB855="","الإغلاق",""),IF(AC855="","الخصم",""),IF(AND(COUNTA($O855:$U855)&gt;0,O855=""),"مدير المشروع",""),IF(AND(COUNTA($O855:$U855)&gt;0,P855=""),"المستفيدين",""),IF(AND(COUNTA($O855:$U855)&gt;0,Q855=""),"المناطق",""),IF(AND(COUNTA($O855:$U855)&gt;0,R855=""),"الميزانية",""),IF(AND(COUNTA($O855:$U855)&gt;0,S855=""),"نسبة الجاهزية",""),IF(AND(COUNTA($O855:$U855)&gt;0,T855=""),"حالة الجاهزية",""),IF(AND(COUNTA($O855:$U855)&gt;0,U855=""),"التوصيات","")),"✓"),"✓"))))))))))</f>
        <v/>
      </c>
      <c r="E855" s="235"/>
      <c r="F855" s="236"/>
      <c r="G855" s="90"/>
      <c r="H855" s="239"/>
      <c r="I855" s="89"/>
      <c r="J855" s="142"/>
      <c r="K855" s="90"/>
      <c r="L855" s="90"/>
      <c r="M855" s="90"/>
      <c r="N855" s="89"/>
      <c r="O855" s="200"/>
      <c r="P855" s="201"/>
      <c r="Q855" s="201"/>
      <c r="R855" s="237"/>
      <c r="S855" s="202"/>
      <c r="T855" s="200"/>
      <c r="U855" s="203"/>
      <c r="V855" s="89"/>
      <c r="W855" s="89"/>
      <c r="X855" s="145"/>
      <c r="Y855" s="89"/>
      <c r="Z855" s="90"/>
      <c r="AA855" s="90"/>
      <c r="AB855" s="90"/>
      <c r="AC855" s="90"/>
      <c r="AD855" s="92"/>
      <c r="AE855" s="149" t="str">
        <f>IFERROR(VLOOKUP(Z855,LISTS!$AL$2:$AM$1000,2,FALSE()),"")</f>
        <v/>
      </c>
      <c r="AF855" s="151" t="str">
        <f>IFERROR(VLOOKUP(AA855,LISTS!$AO$2:$AP$1000,2,FALSE()),"")</f>
        <v/>
      </c>
      <c r="AG855" s="152" t="str">
        <f>IFERROR(VLOOKUP(AB855,LISTS!$AR$2:$AS$1000,2,FALSE()),"")</f>
        <v/>
      </c>
      <c r="AH855" s="154" t="str">
        <f>IFERROR(VLOOKUP(AC855,LISTS!$AU$2:$AV$1000,2,FALSE()),"")</f>
        <v/>
      </c>
      <c r="AI855" s="238" t="str">
        <f t="shared" si="68"/>
        <v>—</v>
      </c>
      <c r="AJ855" s="190" t="str">
        <f t="shared" si="69"/>
        <v>—</v>
      </c>
      <c r="AK855" s="157" t="str">
        <f t="shared" si="65"/>
        <v/>
      </c>
      <c r="AL855" s="160" t="str">
        <f t="shared" si="66"/>
        <v/>
      </c>
      <c r="AM855" s="210"/>
      <c r="AN855" s="209"/>
    </row>
    <row r="856" spans="1:40" ht="27.95" customHeight="1">
      <c r="A856" s="134" t="str">
        <f>IF(I856&lt;&gt;"",COUNTA($I$2:I856),"")</f>
        <v/>
      </c>
      <c r="B856" s="138" t="str">
        <f t="shared" si="67"/>
        <v/>
      </c>
      <c r="C856" s="93" t="str">
        <f t="array" ref="C856">IF(E856="","",IF(M856&lt;&gt;"",
M856&amp;"/"&amp;SUMPRODUCT((M$2:M856=M856)*1)&amp;" - "&amp;(ROW()-2),
"إداري/"&amp;SUMPRODUCT((M$2:M856="")*1)&amp;" - "&amp;(ROW()-2)))</f>
        <v/>
      </c>
      <c r="D856" s="141" t="str">
        <f>IF(AND(G856="",H856="",I856=""),"",IF(COUNTIFS(LISTS!$A$2:$A$67,G856,LISTS!$B$2:$B$67,H856,LISTS!$C$2:$C$67,I856)=0,"✗ هرم",IF(NOT(OR(Z856="ممتاز 100%",Z856="جيد 80%",Z856="مقبول 60%",Z856="خطر 40%",Z856="")),"✗ قائمة R",IF(NOT(OR(AA856="ممتاز 100%",AA856="جيد 85%",AA856="مقبول 70%",AA856="ضعيف 50%",AA856="")),"✗ قائمة S",IF(NOT(OR(AB856="مكتمل 100%",AB856="جزئي 60%",AB856="معلق 30%",AB856="مفتوح 0%",AB856="")),"✗ قائمة T",IF(NOT(OR(AC856="لا خصم 0",AC856="تأخير −5",AC856="عجز −10",AC856="جودة −15",AC856="امتثال −20",AC856="مخالفة −25",AC856="")),"✗ قائمة U",IF(AND(X856="لا",AC856&lt;&gt;"",AC856&lt;&gt;"لا خصم 0"),"✗ خصم",IF(AND(X856="نعم",AC856="لا خصم 0"),"✗ خصم",IF(AND(Z856="ممتاز 100%",AA856="ممتاز 100%",AB856&lt;&gt;"",AB856&lt;&gt;"مكتمل 100%"),"✗ إغلاق",IFERROR(IF(LEN(_xlfn.TEXTJOIN("، ",TRUE,IF(E856="","التاريخ",""),IF(F856="","الوقت",""),IF(G856="","المركز",""),IF(H856="","الدائرة",""),IF(I856="","القسم",""),IF(J856="","المسؤول",""),IF(K856="","نوع النشاط",""),IF(L856="","المشروع",""),IF(N856="","الممول",""),IF(V856="","الموضوع",""),IF(W856="","الملاحظة",""),IF(X856="","مشكلة",""),IF(Y856="","الإجراء",""),IF(Z856="","التنفيذ",""),IF(AA856="","الجودة",""),IF(AB856="","الإغلاق",""),IF(AC856="","الخصم",""),IF(AND(COUNTA($O856:$U856)&gt;0,O856=""),"مدير المشروع",""),IF(AND(COUNTA($O856:$U856)&gt;0,P856=""),"المستفيدين",""),IF(AND(COUNTA($O856:$U856)&gt;0,Q856=""),"المناطق",""),IF(AND(COUNTA($O856:$U856)&gt;0,R856=""),"الميزانية",""),IF(AND(COUNTA($O856:$U856)&gt;0,S856=""),"نسبة الجاهزية",""),IF(AND(COUNTA($O856:$U856)&gt;0,T856=""),"حالة الجاهزية",""),IF(AND(COUNTA($O856:$U856)&gt;0,U856=""),"التوصيات","")))&gt;0,"✗ ناقص: "&amp;_xlfn.TEXTJOIN("، ",TRUE,IF(E856="","التاريخ",""),IF(F856="","الوقت",""),IF(G856="","المركز",""),IF(H856="","الدائرة",""),IF(I856="","القسم",""),IF(J856="","المسؤول",""),IF(K856="","نوع النشاط",""),IF(L856="","المشروع",""),IF(N856="","الممول",""),IF(V856="","الموضوع",""),IF(W856="","الملاحظة",""),IF(X856="","مشكلة",""),IF(Y856="","الإجراء",""),IF(Z856="","التنفيذ",""),IF(AA856="","الجودة",""),IF(AB856="","الإغلاق",""),IF(AC856="","الخصم",""),IF(AND(COUNTA($O856:$U856)&gt;0,O856=""),"مدير المشروع",""),IF(AND(COUNTA($O856:$U856)&gt;0,P856=""),"المستفيدين",""),IF(AND(COUNTA($O856:$U856)&gt;0,Q856=""),"المناطق",""),IF(AND(COUNTA($O856:$U856)&gt;0,R856=""),"الميزانية",""),IF(AND(COUNTA($O856:$U856)&gt;0,S856=""),"نسبة الجاهزية",""),IF(AND(COUNTA($O856:$U856)&gt;0,T856=""),"حالة الجاهزية",""),IF(AND(COUNTA($O856:$U856)&gt;0,U856=""),"التوصيات","")),"✓"),"✓"))))))))))</f>
        <v/>
      </c>
      <c r="E856" s="235"/>
      <c r="F856" s="236"/>
      <c r="G856" s="90"/>
      <c r="H856" s="239"/>
      <c r="I856" s="89"/>
      <c r="J856" s="142"/>
      <c r="K856" s="90"/>
      <c r="L856" s="90"/>
      <c r="M856" s="90"/>
      <c r="N856" s="89"/>
      <c r="O856" s="200"/>
      <c r="P856" s="201"/>
      <c r="Q856" s="201"/>
      <c r="R856" s="237"/>
      <c r="S856" s="202"/>
      <c r="T856" s="200"/>
      <c r="U856" s="203"/>
      <c r="V856" s="89"/>
      <c r="W856" s="89"/>
      <c r="X856" s="145"/>
      <c r="Y856" s="89"/>
      <c r="Z856" s="90"/>
      <c r="AA856" s="90"/>
      <c r="AB856" s="90"/>
      <c r="AC856" s="90"/>
      <c r="AD856" s="92"/>
      <c r="AE856" s="149" t="str">
        <f>IFERROR(VLOOKUP(Z856,LISTS!$AL$2:$AM$1000,2,FALSE()),"")</f>
        <v/>
      </c>
      <c r="AF856" s="151" t="str">
        <f>IFERROR(VLOOKUP(AA856,LISTS!$AO$2:$AP$1000,2,FALSE()),"")</f>
        <v/>
      </c>
      <c r="AG856" s="152" t="str">
        <f>IFERROR(VLOOKUP(AB856,LISTS!$AR$2:$AS$1000,2,FALSE()),"")</f>
        <v/>
      </c>
      <c r="AH856" s="154" t="str">
        <f>IFERROR(VLOOKUP(AC856,LISTS!$AU$2:$AV$1000,2,FALSE()),"")</f>
        <v/>
      </c>
      <c r="AI856" s="238" t="str">
        <f t="shared" si="68"/>
        <v>—</v>
      </c>
      <c r="AJ856" s="190" t="str">
        <f t="shared" si="69"/>
        <v>—</v>
      </c>
      <c r="AK856" s="157" t="str">
        <f t="shared" si="65"/>
        <v/>
      </c>
      <c r="AL856" s="160" t="str">
        <f t="shared" si="66"/>
        <v/>
      </c>
      <c r="AM856" s="210"/>
      <c r="AN856" s="209"/>
    </row>
    <row r="857" spans="1:40" ht="27.95" customHeight="1">
      <c r="A857" s="134" t="str">
        <f>IF(I857&lt;&gt;"",COUNTA($I$2:I857),"")</f>
        <v/>
      </c>
      <c r="B857" s="138" t="str">
        <f t="shared" si="67"/>
        <v/>
      </c>
      <c r="C857" s="93" t="str">
        <f t="array" ref="C857">IF(E857="","",IF(M857&lt;&gt;"",
M857&amp;"/"&amp;SUMPRODUCT((M$2:M857=M857)*1)&amp;" - "&amp;(ROW()-2),
"إداري/"&amp;SUMPRODUCT((M$2:M857="")*1)&amp;" - "&amp;(ROW()-2)))</f>
        <v/>
      </c>
      <c r="D857" s="141" t="str">
        <f>IF(AND(G857="",H857="",I857=""),"",IF(COUNTIFS(LISTS!$A$2:$A$67,G857,LISTS!$B$2:$B$67,H857,LISTS!$C$2:$C$67,I857)=0,"✗ هرم",IF(NOT(OR(Z857="ممتاز 100%",Z857="جيد 80%",Z857="مقبول 60%",Z857="خطر 40%",Z857="")),"✗ قائمة R",IF(NOT(OR(AA857="ممتاز 100%",AA857="جيد 85%",AA857="مقبول 70%",AA857="ضعيف 50%",AA857="")),"✗ قائمة S",IF(NOT(OR(AB857="مكتمل 100%",AB857="جزئي 60%",AB857="معلق 30%",AB857="مفتوح 0%",AB857="")),"✗ قائمة T",IF(NOT(OR(AC857="لا خصم 0",AC857="تأخير −5",AC857="عجز −10",AC857="جودة −15",AC857="امتثال −20",AC857="مخالفة −25",AC857="")),"✗ قائمة U",IF(AND(X857="لا",AC857&lt;&gt;"",AC857&lt;&gt;"لا خصم 0"),"✗ خصم",IF(AND(X857="نعم",AC857="لا خصم 0"),"✗ خصم",IF(AND(Z857="ممتاز 100%",AA857="ممتاز 100%",AB857&lt;&gt;"",AB857&lt;&gt;"مكتمل 100%"),"✗ إغلاق",IFERROR(IF(LEN(_xlfn.TEXTJOIN("، ",TRUE,IF(E857="","التاريخ",""),IF(F857="","الوقت",""),IF(G857="","المركز",""),IF(H857="","الدائرة",""),IF(I857="","القسم",""),IF(J857="","المسؤول",""),IF(K857="","نوع النشاط",""),IF(L857="","المشروع",""),IF(N857="","الممول",""),IF(V857="","الموضوع",""),IF(W857="","الملاحظة",""),IF(X857="","مشكلة",""),IF(Y857="","الإجراء",""),IF(Z857="","التنفيذ",""),IF(AA857="","الجودة",""),IF(AB857="","الإغلاق",""),IF(AC857="","الخصم",""),IF(AND(COUNTA($O857:$U857)&gt;0,O857=""),"مدير المشروع",""),IF(AND(COUNTA($O857:$U857)&gt;0,P857=""),"المستفيدين",""),IF(AND(COUNTA($O857:$U857)&gt;0,Q857=""),"المناطق",""),IF(AND(COUNTA($O857:$U857)&gt;0,R857=""),"الميزانية",""),IF(AND(COUNTA($O857:$U857)&gt;0,S857=""),"نسبة الجاهزية",""),IF(AND(COUNTA($O857:$U857)&gt;0,T857=""),"حالة الجاهزية",""),IF(AND(COUNTA($O857:$U857)&gt;0,U857=""),"التوصيات","")))&gt;0,"✗ ناقص: "&amp;_xlfn.TEXTJOIN("، ",TRUE,IF(E857="","التاريخ",""),IF(F857="","الوقت",""),IF(G857="","المركز",""),IF(H857="","الدائرة",""),IF(I857="","القسم",""),IF(J857="","المسؤول",""),IF(K857="","نوع النشاط",""),IF(L857="","المشروع",""),IF(N857="","الممول",""),IF(V857="","الموضوع",""),IF(W857="","الملاحظة",""),IF(X857="","مشكلة",""),IF(Y857="","الإجراء",""),IF(Z857="","التنفيذ",""),IF(AA857="","الجودة",""),IF(AB857="","الإغلاق",""),IF(AC857="","الخصم",""),IF(AND(COUNTA($O857:$U857)&gt;0,O857=""),"مدير المشروع",""),IF(AND(COUNTA($O857:$U857)&gt;0,P857=""),"المستفيدين",""),IF(AND(COUNTA($O857:$U857)&gt;0,Q857=""),"المناطق",""),IF(AND(COUNTA($O857:$U857)&gt;0,R857=""),"الميزانية",""),IF(AND(COUNTA($O857:$U857)&gt;0,S857=""),"نسبة الجاهزية",""),IF(AND(COUNTA($O857:$U857)&gt;0,T857=""),"حالة الجاهزية",""),IF(AND(COUNTA($O857:$U857)&gt;0,U857=""),"التوصيات","")),"✓"),"✓"))))))))))</f>
        <v/>
      </c>
      <c r="E857" s="235"/>
      <c r="F857" s="236"/>
      <c r="G857" s="90"/>
      <c r="H857" s="239"/>
      <c r="I857" s="89"/>
      <c r="J857" s="142"/>
      <c r="K857" s="90"/>
      <c r="L857" s="90"/>
      <c r="M857" s="90"/>
      <c r="N857" s="89"/>
      <c r="O857" s="200"/>
      <c r="P857" s="201"/>
      <c r="Q857" s="201"/>
      <c r="R857" s="237"/>
      <c r="S857" s="202"/>
      <c r="T857" s="200"/>
      <c r="U857" s="203"/>
      <c r="V857" s="89"/>
      <c r="W857" s="89"/>
      <c r="X857" s="145"/>
      <c r="Y857" s="89"/>
      <c r="Z857" s="90"/>
      <c r="AA857" s="90"/>
      <c r="AB857" s="90"/>
      <c r="AC857" s="90"/>
      <c r="AD857" s="92"/>
      <c r="AE857" s="149" t="str">
        <f>IFERROR(VLOOKUP(Z857,LISTS!$AL$2:$AM$1000,2,FALSE()),"")</f>
        <v/>
      </c>
      <c r="AF857" s="151" t="str">
        <f>IFERROR(VLOOKUP(AA857,LISTS!$AO$2:$AP$1000,2,FALSE()),"")</f>
        <v/>
      </c>
      <c r="AG857" s="152" t="str">
        <f>IFERROR(VLOOKUP(AB857,LISTS!$AR$2:$AS$1000,2,FALSE()),"")</f>
        <v/>
      </c>
      <c r="AH857" s="154" t="str">
        <f>IFERROR(VLOOKUP(AC857,LISTS!$AU$2:$AV$1000,2,FALSE()),"")</f>
        <v/>
      </c>
      <c r="AI857" s="238" t="str">
        <f t="shared" si="68"/>
        <v>—</v>
      </c>
      <c r="AJ857" s="190" t="str">
        <f t="shared" si="69"/>
        <v>—</v>
      </c>
      <c r="AK857" s="157" t="str">
        <f t="shared" si="65"/>
        <v/>
      </c>
      <c r="AL857" s="160" t="str">
        <f t="shared" si="66"/>
        <v/>
      </c>
      <c r="AM857" s="210"/>
      <c r="AN857" s="209"/>
    </row>
    <row r="858" spans="1:40" ht="27.95" customHeight="1">
      <c r="A858" s="134" t="str">
        <f>IF(I858&lt;&gt;"",COUNTA($I$2:I858),"")</f>
        <v/>
      </c>
      <c r="B858" s="138" t="str">
        <f t="shared" si="67"/>
        <v/>
      </c>
      <c r="C858" s="93" t="str">
        <f t="array" ref="C858">IF(E858="","",IF(M858&lt;&gt;"",
M858&amp;"/"&amp;SUMPRODUCT((M$2:M858=M858)*1)&amp;" - "&amp;(ROW()-2),
"إداري/"&amp;SUMPRODUCT((M$2:M858="")*1)&amp;" - "&amp;(ROW()-2)))</f>
        <v/>
      </c>
      <c r="D858" s="141" t="str">
        <f>IF(AND(G858="",H858="",I858=""),"",IF(COUNTIFS(LISTS!$A$2:$A$67,G858,LISTS!$B$2:$B$67,H858,LISTS!$C$2:$C$67,I858)=0,"✗ هرم",IF(NOT(OR(Z858="ممتاز 100%",Z858="جيد 80%",Z858="مقبول 60%",Z858="خطر 40%",Z858="")),"✗ قائمة R",IF(NOT(OR(AA858="ممتاز 100%",AA858="جيد 85%",AA858="مقبول 70%",AA858="ضعيف 50%",AA858="")),"✗ قائمة S",IF(NOT(OR(AB858="مكتمل 100%",AB858="جزئي 60%",AB858="معلق 30%",AB858="مفتوح 0%",AB858="")),"✗ قائمة T",IF(NOT(OR(AC858="لا خصم 0",AC858="تأخير −5",AC858="عجز −10",AC858="جودة −15",AC858="امتثال −20",AC858="مخالفة −25",AC858="")),"✗ قائمة U",IF(AND(X858="لا",AC858&lt;&gt;"",AC858&lt;&gt;"لا خصم 0"),"✗ خصم",IF(AND(X858="نعم",AC858="لا خصم 0"),"✗ خصم",IF(AND(Z858="ممتاز 100%",AA858="ممتاز 100%",AB858&lt;&gt;"",AB858&lt;&gt;"مكتمل 100%"),"✗ إغلاق",IFERROR(IF(LEN(_xlfn.TEXTJOIN("، ",TRUE,IF(E858="","التاريخ",""),IF(F858="","الوقت",""),IF(G858="","المركز",""),IF(H858="","الدائرة",""),IF(I858="","القسم",""),IF(J858="","المسؤول",""),IF(K858="","نوع النشاط",""),IF(L858="","المشروع",""),IF(N858="","الممول",""),IF(V858="","الموضوع",""),IF(W858="","الملاحظة",""),IF(X858="","مشكلة",""),IF(Y858="","الإجراء",""),IF(Z858="","التنفيذ",""),IF(AA858="","الجودة",""),IF(AB858="","الإغلاق",""),IF(AC858="","الخصم",""),IF(AND(COUNTA($O858:$U858)&gt;0,O858=""),"مدير المشروع",""),IF(AND(COUNTA($O858:$U858)&gt;0,P858=""),"المستفيدين",""),IF(AND(COUNTA($O858:$U858)&gt;0,Q858=""),"المناطق",""),IF(AND(COUNTA($O858:$U858)&gt;0,R858=""),"الميزانية",""),IF(AND(COUNTA($O858:$U858)&gt;0,S858=""),"نسبة الجاهزية",""),IF(AND(COUNTA($O858:$U858)&gt;0,T858=""),"حالة الجاهزية",""),IF(AND(COUNTA($O858:$U858)&gt;0,U858=""),"التوصيات","")))&gt;0,"✗ ناقص: "&amp;_xlfn.TEXTJOIN("، ",TRUE,IF(E858="","التاريخ",""),IF(F858="","الوقت",""),IF(G858="","المركز",""),IF(H858="","الدائرة",""),IF(I858="","القسم",""),IF(J858="","المسؤول",""),IF(K858="","نوع النشاط",""),IF(L858="","المشروع",""),IF(N858="","الممول",""),IF(V858="","الموضوع",""),IF(W858="","الملاحظة",""),IF(X858="","مشكلة",""),IF(Y858="","الإجراء",""),IF(Z858="","التنفيذ",""),IF(AA858="","الجودة",""),IF(AB858="","الإغلاق",""),IF(AC858="","الخصم",""),IF(AND(COUNTA($O858:$U858)&gt;0,O858=""),"مدير المشروع",""),IF(AND(COUNTA($O858:$U858)&gt;0,P858=""),"المستفيدين",""),IF(AND(COUNTA($O858:$U858)&gt;0,Q858=""),"المناطق",""),IF(AND(COUNTA($O858:$U858)&gt;0,R858=""),"الميزانية",""),IF(AND(COUNTA($O858:$U858)&gt;0,S858=""),"نسبة الجاهزية",""),IF(AND(COUNTA($O858:$U858)&gt;0,T858=""),"حالة الجاهزية",""),IF(AND(COUNTA($O858:$U858)&gt;0,U858=""),"التوصيات","")),"✓"),"✓"))))))))))</f>
        <v/>
      </c>
      <c r="E858" s="235"/>
      <c r="F858" s="236"/>
      <c r="G858" s="90"/>
      <c r="H858" s="239"/>
      <c r="I858" s="89"/>
      <c r="J858" s="142"/>
      <c r="K858" s="90"/>
      <c r="L858" s="90"/>
      <c r="M858" s="90"/>
      <c r="N858" s="89"/>
      <c r="O858" s="200"/>
      <c r="P858" s="201"/>
      <c r="Q858" s="201"/>
      <c r="R858" s="237"/>
      <c r="S858" s="202"/>
      <c r="T858" s="200"/>
      <c r="U858" s="203"/>
      <c r="V858" s="89"/>
      <c r="W858" s="89"/>
      <c r="X858" s="145"/>
      <c r="Y858" s="89"/>
      <c r="Z858" s="90"/>
      <c r="AA858" s="90"/>
      <c r="AB858" s="90"/>
      <c r="AC858" s="90"/>
      <c r="AD858" s="92"/>
      <c r="AE858" s="149" t="str">
        <f>IFERROR(VLOOKUP(Z858,LISTS!$AL$2:$AM$1000,2,FALSE()),"")</f>
        <v/>
      </c>
      <c r="AF858" s="151" t="str">
        <f>IFERROR(VLOOKUP(AA858,LISTS!$AO$2:$AP$1000,2,FALSE()),"")</f>
        <v/>
      </c>
      <c r="AG858" s="152" t="str">
        <f>IFERROR(VLOOKUP(AB858,LISTS!$AR$2:$AS$1000,2,FALSE()),"")</f>
        <v/>
      </c>
      <c r="AH858" s="154" t="str">
        <f>IFERROR(VLOOKUP(AC858,LISTS!$AU$2:$AV$1000,2,FALSE()),"")</f>
        <v/>
      </c>
      <c r="AI858" s="238" t="str">
        <f t="shared" si="68"/>
        <v>—</v>
      </c>
      <c r="AJ858" s="190" t="str">
        <f t="shared" si="69"/>
        <v>—</v>
      </c>
      <c r="AK858" s="157" t="str">
        <f t="shared" si="65"/>
        <v/>
      </c>
      <c r="AL858" s="160" t="str">
        <f t="shared" si="66"/>
        <v/>
      </c>
      <c r="AM858" s="210"/>
      <c r="AN858" s="209"/>
    </row>
    <row r="859" spans="1:40" ht="27.95" customHeight="1">
      <c r="A859" s="134" t="str">
        <f>IF(I859&lt;&gt;"",COUNTA($I$2:I859),"")</f>
        <v/>
      </c>
      <c r="B859" s="138" t="str">
        <f t="shared" si="67"/>
        <v/>
      </c>
      <c r="C859" s="93" t="str">
        <f t="array" ref="C859">IF(E859="","",IF(M859&lt;&gt;"",
M859&amp;"/"&amp;SUMPRODUCT((M$2:M859=M859)*1)&amp;" - "&amp;(ROW()-2),
"إداري/"&amp;SUMPRODUCT((M$2:M859="")*1)&amp;" - "&amp;(ROW()-2)))</f>
        <v/>
      </c>
      <c r="D859" s="141" t="str">
        <f>IF(AND(G859="",H859="",I859=""),"",IF(COUNTIFS(LISTS!$A$2:$A$67,G859,LISTS!$B$2:$B$67,H859,LISTS!$C$2:$C$67,I859)=0,"✗ هرم",IF(NOT(OR(Z859="ممتاز 100%",Z859="جيد 80%",Z859="مقبول 60%",Z859="خطر 40%",Z859="")),"✗ قائمة R",IF(NOT(OR(AA859="ممتاز 100%",AA859="جيد 85%",AA859="مقبول 70%",AA859="ضعيف 50%",AA859="")),"✗ قائمة S",IF(NOT(OR(AB859="مكتمل 100%",AB859="جزئي 60%",AB859="معلق 30%",AB859="مفتوح 0%",AB859="")),"✗ قائمة T",IF(NOT(OR(AC859="لا خصم 0",AC859="تأخير −5",AC859="عجز −10",AC859="جودة −15",AC859="امتثال −20",AC859="مخالفة −25",AC859="")),"✗ قائمة U",IF(AND(X859="لا",AC859&lt;&gt;"",AC859&lt;&gt;"لا خصم 0"),"✗ خصم",IF(AND(X859="نعم",AC859="لا خصم 0"),"✗ خصم",IF(AND(Z859="ممتاز 100%",AA859="ممتاز 100%",AB859&lt;&gt;"",AB859&lt;&gt;"مكتمل 100%"),"✗ إغلاق",IFERROR(IF(LEN(_xlfn.TEXTJOIN("، ",TRUE,IF(E859="","التاريخ",""),IF(F859="","الوقت",""),IF(G859="","المركز",""),IF(H859="","الدائرة",""),IF(I859="","القسم",""),IF(J859="","المسؤول",""),IF(K859="","نوع النشاط",""),IF(L859="","المشروع",""),IF(N859="","الممول",""),IF(V859="","الموضوع",""),IF(W859="","الملاحظة",""),IF(X859="","مشكلة",""),IF(Y859="","الإجراء",""),IF(Z859="","التنفيذ",""),IF(AA859="","الجودة",""),IF(AB859="","الإغلاق",""),IF(AC859="","الخصم",""),IF(AND(COUNTA($O859:$U859)&gt;0,O859=""),"مدير المشروع",""),IF(AND(COUNTA($O859:$U859)&gt;0,P859=""),"المستفيدين",""),IF(AND(COUNTA($O859:$U859)&gt;0,Q859=""),"المناطق",""),IF(AND(COUNTA($O859:$U859)&gt;0,R859=""),"الميزانية",""),IF(AND(COUNTA($O859:$U859)&gt;0,S859=""),"نسبة الجاهزية",""),IF(AND(COUNTA($O859:$U859)&gt;0,T859=""),"حالة الجاهزية",""),IF(AND(COUNTA($O859:$U859)&gt;0,U859=""),"التوصيات","")))&gt;0,"✗ ناقص: "&amp;_xlfn.TEXTJOIN("، ",TRUE,IF(E859="","التاريخ",""),IF(F859="","الوقت",""),IF(G859="","المركز",""),IF(H859="","الدائرة",""),IF(I859="","القسم",""),IF(J859="","المسؤول",""),IF(K859="","نوع النشاط",""),IF(L859="","المشروع",""),IF(N859="","الممول",""),IF(V859="","الموضوع",""),IF(W859="","الملاحظة",""),IF(X859="","مشكلة",""),IF(Y859="","الإجراء",""),IF(Z859="","التنفيذ",""),IF(AA859="","الجودة",""),IF(AB859="","الإغلاق",""),IF(AC859="","الخصم",""),IF(AND(COUNTA($O859:$U859)&gt;0,O859=""),"مدير المشروع",""),IF(AND(COUNTA($O859:$U859)&gt;0,P859=""),"المستفيدين",""),IF(AND(COUNTA($O859:$U859)&gt;0,Q859=""),"المناطق",""),IF(AND(COUNTA($O859:$U859)&gt;0,R859=""),"الميزانية",""),IF(AND(COUNTA($O859:$U859)&gt;0,S859=""),"نسبة الجاهزية",""),IF(AND(COUNTA($O859:$U859)&gt;0,T859=""),"حالة الجاهزية",""),IF(AND(COUNTA($O859:$U859)&gt;0,U859=""),"التوصيات","")),"✓"),"✓"))))))))))</f>
        <v/>
      </c>
      <c r="E859" s="235"/>
      <c r="F859" s="236"/>
      <c r="G859" s="90"/>
      <c r="H859" s="239"/>
      <c r="I859" s="89"/>
      <c r="J859" s="142"/>
      <c r="K859" s="90"/>
      <c r="L859" s="90"/>
      <c r="M859" s="90"/>
      <c r="N859" s="89"/>
      <c r="O859" s="200"/>
      <c r="P859" s="201"/>
      <c r="Q859" s="201"/>
      <c r="R859" s="237"/>
      <c r="S859" s="202"/>
      <c r="T859" s="200"/>
      <c r="U859" s="203"/>
      <c r="V859" s="89"/>
      <c r="W859" s="89"/>
      <c r="X859" s="145"/>
      <c r="Y859" s="89"/>
      <c r="Z859" s="90"/>
      <c r="AA859" s="90"/>
      <c r="AB859" s="90"/>
      <c r="AC859" s="90"/>
      <c r="AD859" s="92"/>
      <c r="AE859" s="149" t="str">
        <f>IFERROR(VLOOKUP(Z859,LISTS!$AL$2:$AM$1000,2,FALSE()),"")</f>
        <v/>
      </c>
      <c r="AF859" s="151" t="str">
        <f>IFERROR(VLOOKUP(AA859,LISTS!$AO$2:$AP$1000,2,FALSE()),"")</f>
        <v/>
      </c>
      <c r="AG859" s="152" t="str">
        <f>IFERROR(VLOOKUP(AB859,LISTS!$AR$2:$AS$1000,2,FALSE()),"")</f>
        <v/>
      </c>
      <c r="AH859" s="154" t="str">
        <f>IFERROR(VLOOKUP(AC859,LISTS!$AU$2:$AV$1000,2,FALSE()),"")</f>
        <v/>
      </c>
      <c r="AI859" s="238" t="str">
        <f t="shared" si="68"/>
        <v>—</v>
      </c>
      <c r="AJ859" s="190" t="str">
        <f t="shared" si="69"/>
        <v>—</v>
      </c>
      <c r="AK859" s="157" t="str">
        <f t="shared" si="65"/>
        <v/>
      </c>
      <c r="AL859" s="160" t="str">
        <f t="shared" si="66"/>
        <v/>
      </c>
      <c r="AM859" s="210"/>
      <c r="AN859" s="209"/>
    </row>
    <row r="860" spans="1:40" ht="27.95" customHeight="1">
      <c r="A860" s="134" t="str">
        <f>IF(I860&lt;&gt;"",COUNTA($I$2:I860),"")</f>
        <v/>
      </c>
      <c r="B860" s="138" t="str">
        <f t="shared" si="67"/>
        <v/>
      </c>
      <c r="C860" s="93" t="str">
        <f t="array" ref="C860">IF(E860="","",IF(M860&lt;&gt;"",
M860&amp;"/"&amp;SUMPRODUCT((M$2:M860=M860)*1)&amp;" - "&amp;(ROW()-2),
"إداري/"&amp;SUMPRODUCT((M$2:M860="")*1)&amp;" - "&amp;(ROW()-2)))</f>
        <v/>
      </c>
      <c r="D860" s="141" t="str">
        <f>IF(AND(G860="",H860="",I860=""),"",IF(COUNTIFS(LISTS!$A$2:$A$67,G860,LISTS!$B$2:$B$67,H860,LISTS!$C$2:$C$67,I860)=0,"✗ هرم",IF(NOT(OR(Z860="ممتاز 100%",Z860="جيد 80%",Z860="مقبول 60%",Z860="خطر 40%",Z860="")),"✗ قائمة R",IF(NOT(OR(AA860="ممتاز 100%",AA860="جيد 85%",AA860="مقبول 70%",AA860="ضعيف 50%",AA860="")),"✗ قائمة S",IF(NOT(OR(AB860="مكتمل 100%",AB860="جزئي 60%",AB860="معلق 30%",AB860="مفتوح 0%",AB860="")),"✗ قائمة T",IF(NOT(OR(AC860="لا خصم 0",AC860="تأخير −5",AC860="عجز −10",AC860="جودة −15",AC860="امتثال −20",AC860="مخالفة −25",AC860="")),"✗ قائمة U",IF(AND(X860="لا",AC860&lt;&gt;"",AC860&lt;&gt;"لا خصم 0"),"✗ خصم",IF(AND(X860="نعم",AC860="لا خصم 0"),"✗ خصم",IF(AND(Z860="ممتاز 100%",AA860="ممتاز 100%",AB860&lt;&gt;"",AB860&lt;&gt;"مكتمل 100%"),"✗ إغلاق",IFERROR(IF(LEN(_xlfn.TEXTJOIN("، ",TRUE,IF(E860="","التاريخ",""),IF(F860="","الوقت",""),IF(G860="","المركز",""),IF(H860="","الدائرة",""),IF(I860="","القسم",""),IF(J860="","المسؤول",""),IF(K860="","نوع النشاط",""),IF(L860="","المشروع",""),IF(N860="","الممول",""),IF(V860="","الموضوع",""),IF(W860="","الملاحظة",""),IF(X860="","مشكلة",""),IF(Y860="","الإجراء",""),IF(Z860="","التنفيذ",""),IF(AA860="","الجودة",""),IF(AB860="","الإغلاق",""),IF(AC860="","الخصم",""),IF(AND(COUNTA($O860:$U860)&gt;0,O860=""),"مدير المشروع",""),IF(AND(COUNTA($O860:$U860)&gt;0,P860=""),"المستفيدين",""),IF(AND(COUNTA($O860:$U860)&gt;0,Q860=""),"المناطق",""),IF(AND(COUNTA($O860:$U860)&gt;0,R860=""),"الميزانية",""),IF(AND(COUNTA($O860:$U860)&gt;0,S860=""),"نسبة الجاهزية",""),IF(AND(COUNTA($O860:$U860)&gt;0,T860=""),"حالة الجاهزية",""),IF(AND(COUNTA($O860:$U860)&gt;0,U860=""),"التوصيات","")))&gt;0,"✗ ناقص: "&amp;_xlfn.TEXTJOIN("، ",TRUE,IF(E860="","التاريخ",""),IF(F860="","الوقت",""),IF(G860="","المركز",""),IF(H860="","الدائرة",""),IF(I860="","القسم",""),IF(J860="","المسؤول",""),IF(K860="","نوع النشاط",""),IF(L860="","المشروع",""),IF(N860="","الممول",""),IF(V860="","الموضوع",""),IF(W860="","الملاحظة",""),IF(X860="","مشكلة",""),IF(Y860="","الإجراء",""),IF(Z860="","التنفيذ",""),IF(AA860="","الجودة",""),IF(AB860="","الإغلاق",""),IF(AC860="","الخصم",""),IF(AND(COUNTA($O860:$U860)&gt;0,O860=""),"مدير المشروع",""),IF(AND(COUNTA($O860:$U860)&gt;0,P860=""),"المستفيدين",""),IF(AND(COUNTA($O860:$U860)&gt;0,Q860=""),"المناطق",""),IF(AND(COUNTA($O860:$U860)&gt;0,R860=""),"الميزانية",""),IF(AND(COUNTA($O860:$U860)&gt;0,S860=""),"نسبة الجاهزية",""),IF(AND(COUNTA($O860:$U860)&gt;0,T860=""),"حالة الجاهزية",""),IF(AND(COUNTA($O860:$U860)&gt;0,U860=""),"التوصيات","")),"✓"),"✓"))))))))))</f>
        <v/>
      </c>
      <c r="E860" s="235"/>
      <c r="F860" s="236"/>
      <c r="G860" s="90"/>
      <c r="H860" s="239"/>
      <c r="I860" s="89"/>
      <c r="J860" s="142"/>
      <c r="K860" s="90"/>
      <c r="L860" s="90"/>
      <c r="M860" s="90"/>
      <c r="N860" s="89"/>
      <c r="O860" s="200"/>
      <c r="P860" s="201"/>
      <c r="Q860" s="201"/>
      <c r="R860" s="237"/>
      <c r="S860" s="202"/>
      <c r="T860" s="200"/>
      <c r="U860" s="203"/>
      <c r="V860" s="89"/>
      <c r="W860" s="89"/>
      <c r="X860" s="145"/>
      <c r="Y860" s="89"/>
      <c r="Z860" s="90"/>
      <c r="AA860" s="90"/>
      <c r="AB860" s="90"/>
      <c r="AC860" s="90"/>
      <c r="AD860" s="92"/>
      <c r="AE860" s="149" t="str">
        <f>IFERROR(VLOOKUP(Z860,LISTS!$AL$2:$AM$1000,2,FALSE()),"")</f>
        <v/>
      </c>
      <c r="AF860" s="151" t="str">
        <f>IFERROR(VLOOKUP(AA860,LISTS!$AO$2:$AP$1000,2,FALSE()),"")</f>
        <v/>
      </c>
      <c r="AG860" s="152" t="str">
        <f>IFERROR(VLOOKUP(AB860,LISTS!$AR$2:$AS$1000,2,FALSE()),"")</f>
        <v/>
      </c>
      <c r="AH860" s="154" t="str">
        <f>IFERROR(VLOOKUP(AC860,LISTS!$AU$2:$AV$1000,2,FALSE()),"")</f>
        <v/>
      </c>
      <c r="AI860" s="238" t="str">
        <f t="shared" si="68"/>
        <v>—</v>
      </c>
      <c r="AJ860" s="190" t="str">
        <f t="shared" si="69"/>
        <v>—</v>
      </c>
      <c r="AK860" s="157" t="str">
        <f t="shared" si="65"/>
        <v/>
      </c>
      <c r="AL860" s="160" t="str">
        <f t="shared" si="66"/>
        <v/>
      </c>
      <c r="AM860" s="210"/>
      <c r="AN860" s="209"/>
    </row>
    <row r="861" spans="1:40" ht="27.95" customHeight="1">
      <c r="A861" s="134" t="str">
        <f>IF(I861&lt;&gt;"",COUNTA($I$2:I861),"")</f>
        <v/>
      </c>
      <c r="B861" s="138" t="str">
        <f t="shared" si="67"/>
        <v/>
      </c>
      <c r="C861" s="93" t="str">
        <f t="array" ref="C861">IF(E861="","",IF(M861&lt;&gt;"",
M861&amp;"/"&amp;SUMPRODUCT((M$2:M861=M861)*1)&amp;" - "&amp;(ROW()-2),
"إداري/"&amp;SUMPRODUCT((M$2:M861="")*1)&amp;" - "&amp;(ROW()-2)))</f>
        <v/>
      </c>
      <c r="D861" s="141" t="str">
        <f>IF(AND(G861="",H861="",I861=""),"",IF(COUNTIFS(LISTS!$A$2:$A$67,G861,LISTS!$B$2:$B$67,H861,LISTS!$C$2:$C$67,I861)=0,"✗ هرم",IF(NOT(OR(Z861="ممتاز 100%",Z861="جيد 80%",Z861="مقبول 60%",Z861="خطر 40%",Z861="")),"✗ قائمة R",IF(NOT(OR(AA861="ممتاز 100%",AA861="جيد 85%",AA861="مقبول 70%",AA861="ضعيف 50%",AA861="")),"✗ قائمة S",IF(NOT(OR(AB861="مكتمل 100%",AB861="جزئي 60%",AB861="معلق 30%",AB861="مفتوح 0%",AB861="")),"✗ قائمة T",IF(NOT(OR(AC861="لا خصم 0",AC861="تأخير −5",AC861="عجز −10",AC861="جودة −15",AC861="امتثال −20",AC861="مخالفة −25",AC861="")),"✗ قائمة U",IF(AND(X861="لا",AC861&lt;&gt;"",AC861&lt;&gt;"لا خصم 0"),"✗ خصم",IF(AND(X861="نعم",AC861="لا خصم 0"),"✗ خصم",IF(AND(Z861="ممتاز 100%",AA861="ممتاز 100%",AB861&lt;&gt;"",AB861&lt;&gt;"مكتمل 100%"),"✗ إغلاق",IFERROR(IF(LEN(_xlfn.TEXTJOIN("، ",TRUE,IF(E861="","التاريخ",""),IF(F861="","الوقت",""),IF(G861="","المركز",""),IF(H861="","الدائرة",""),IF(I861="","القسم",""),IF(J861="","المسؤول",""),IF(K861="","نوع النشاط",""),IF(L861="","المشروع",""),IF(N861="","الممول",""),IF(V861="","الموضوع",""),IF(W861="","الملاحظة",""),IF(X861="","مشكلة",""),IF(Y861="","الإجراء",""),IF(Z861="","التنفيذ",""),IF(AA861="","الجودة",""),IF(AB861="","الإغلاق",""),IF(AC861="","الخصم",""),IF(AND(COUNTA($O861:$U861)&gt;0,O861=""),"مدير المشروع",""),IF(AND(COUNTA($O861:$U861)&gt;0,P861=""),"المستفيدين",""),IF(AND(COUNTA($O861:$U861)&gt;0,Q861=""),"المناطق",""),IF(AND(COUNTA($O861:$U861)&gt;0,R861=""),"الميزانية",""),IF(AND(COUNTA($O861:$U861)&gt;0,S861=""),"نسبة الجاهزية",""),IF(AND(COUNTA($O861:$U861)&gt;0,T861=""),"حالة الجاهزية",""),IF(AND(COUNTA($O861:$U861)&gt;0,U861=""),"التوصيات","")))&gt;0,"✗ ناقص: "&amp;_xlfn.TEXTJOIN("، ",TRUE,IF(E861="","التاريخ",""),IF(F861="","الوقت",""),IF(G861="","المركز",""),IF(H861="","الدائرة",""),IF(I861="","القسم",""),IF(J861="","المسؤول",""),IF(K861="","نوع النشاط",""),IF(L861="","المشروع",""),IF(N861="","الممول",""),IF(V861="","الموضوع",""),IF(W861="","الملاحظة",""),IF(X861="","مشكلة",""),IF(Y861="","الإجراء",""),IF(Z861="","التنفيذ",""),IF(AA861="","الجودة",""),IF(AB861="","الإغلاق",""),IF(AC861="","الخصم",""),IF(AND(COUNTA($O861:$U861)&gt;0,O861=""),"مدير المشروع",""),IF(AND(COUNTA($O861:$U861)&gt;0,P861=""),"المستفيدين",""),IF(AND(COUNTA($O861:$U861)&gt;0,Q861=""),"المناطق",""),IF(AND(COUNTA($O861:$U861)&gt;0,R861=""),"الميزانية",""),IF(AND(COUNTA($O861:$U861)&gt;0,S861=""),"نسبة الجاهزية",""),IF(AND(COUNTA($O861:$U861)&gt;0,T861=""),"حالة الجاهزية",""),IF(AND(COUNTA($O861:$U861)&gt;0,U861=""),"التوصيات","")),"✓"),"✓"))))))))))</f>
        <v/>
      </c>
      <c r="E861" s="235"/>
      <c r="F861" s="236"/>
      <c r="G861" s="90"/>
      <c r="H861" s="239"/>
      <c r="I861" s="89"/>
      <c r="J861" s="142"/>
      <c r="K861" s="90"/>
      <c r="L861" s="90"/>
      <c r="M861" s="90"/>
      <c r="N861" s="89"/>
      <c r="O861" s="200"/>
      <c r="P861" s="201"/>
      <c r="Q861" s="201"/>
      <c r="R861" s="237"/>
      <c r="S861" s="202"/>
      <c r="T861" s="200"/>
      <c r="U861" s="203"/>
      <c r="V861" s="89"/>
      <c r="W861" s="89"/>
      <c r="X861" s="145"/>
      <c r="Y861" s="89"/>
      <c r="Z861" s="90"/>
      <c r="AA861" s="90"/>
      <c r="AB861" s="90"/>
      <c r="AC861" s="90"/>
      <c r="AD861" s="92"/>
      <c r="AE861" s="149" t="str">
        <f>IFERROR(VLOOKUP(Z861,LISTS!$AL$2:$AM$1000,2,FALSE()),"")</f>
        <v/>
      </c>
      <c r="AF861" s="151" t="str">
        <f>IFERROR(VLOOKUP(AA861,LISTS!$AO$2:$AP$1000,2,FALSE()),"")</f>
        <v/>
      </c>
      <c r="AG861" s="152" t="str">
        <f>IFERROR(VLOOKUP(AB861,LISTS!$AR$2:$AS$1000,2,FALSE()),"")</f>
        <v/>
      </c>
      <c r="AH861" s="154" t="str">
        <f>IFERROR(VLOOKUP(AC861,LISTS!$AU$2:$AV$1000,2,FALSE()),"")</f>
        <v/>
      </c>
      <c r="AI861" s="238" t="str">
        <f t="shared" si="68"/>
        <v>—</v>
      </c>
      <c r="AJ861" s="190" t="str">
        <f t="shared" si="69"/>
        <v>—</v>
      </c>
      <c r="AK861" s="157" t="str">
        <f t="shared" si="65"/>
        <v/>
      </c>
      <c r="AL861" s="160" t="str">
        <f t="shared" si="66"/>
        <v/>
      </c>
      <c r="AM861" s="210"/>
      <c r="AN861" s="209"/>
    </row>
    <row r="862" spans="1:40" ht="27.95" customHeight="1">
      <c r="A862" s="134" t="str">
        <f>IF(I862&lt;&gt;"",COUNTA($I$2:I862),"")</f>
        <v/>
      </c>
      <c r="B862" s="138" t="str">
        <f t="shared" si="67"/>
        <v/>
      </c>
      <c r="C862" s="93" t="str">
        <f t="array" ref="C862">IF(E862="","",IF(M862&lt;&gt;"",
M862&amp;"/"&amp;SUMPRODUCT((M$2:M862=M862)*1)&amp;" - "&amp;(ROW()-2),
"إداري/"&amp;SUMPRODUCT((M$2:M862="")*1)&amp;" - "&amp;(ROW()-2)))</f>
        <v/>
      </c>
      <c r="D862" s="141" t="str">
        <f>IF(AND(G862="",H862="",I862=""),"",IF(COUNTIFS(LISTS!$A$2:$A$67,G862,LISTS!$B$2:$B$67,H862,LISTS!$C$2:$C$67,I862)=0,"✗ هرم",IF(NOT(OR(Z862="ممتاز 100%",Z862="جيد 80%",Z862="مقبول 60%",Z862="خطر 40%",Z862="")),"✗ قائمة R",IF(NOT(OR(AA862="ممتاز 100%",AA862="جيد 85%",AA862="مقبول 70%",AA862="ضعيف 50%",AA862="")),"✗ قائمة S",IF(NOT(OR(AB862="مكتمل 100%",AB862="جزئي 60%",AB862="معلق 30%",AB862="مفتوح 0%",AB862="")),"✗ قائمة T",IF(NOT(OR(AC862="لا خصم 0",AC862="تأخير −5",AC862="عجز −10",AC862="جودة −15",AC862="امتثال −20",AC862="مخالفة −25",AC862="")),"✗ قائمة U",IF(AND(X862="لا",AC862&lt;&gt;"",AC862&lt;&gt;"لا خصم 0"),"✗ خصم",IF(AND(X862="نعم",AC862="لا خصم 0"),"✗ خصم",IF(AND(Z862="ممتاز 100%",AA862="ممتاز 100%",AB862&lt;&gt;"",AB862&lt;&gt;"مكتمل 100%"),"✗ إغلاق",IFERROR(IF(LEN(_xlfn.TEXTJOIN("، ",TRUE,IF(E862="","التاريخ",""),IF(F862="","الوقت",""),IF(G862="","المركز",""),IF(H862="","الدائرة",""),IF(I862="","القسم",""),IF(J862="","المسؤول",""),IF(K862="","نوع النشاط",""),IF(L862="","المشروع",""),IF(N862="","الممول",""),IF(V862="","الموضوع",""),IF(W862="","الملاحظة",""),IF(X862="","مشكلة",""),IF(Y862="","الإجراء",""),IF(Z862="","التنفيذ",""),IF(AA862="","الجودة",""),IF(AB862="","الإغلاق",""),IF(AC862="","الخصم",""),IF(AND(COUNTA($O862:$U862)&gt;0,O862=""),"مدير المشروع",""),IF(AND(COUNTA($O862:$U862)&gt;0,P862=""),"المستفيدين",""),IF(AND(COUNTA($O862:$U862)&gt;0,Q862=""),"المناطق",""),IF(AND(COUNTA($O862:$U862)&gt;0,R862=""),"الميزانية",""),IF(AND(COUNTA($O862:$U862)&gt;0,S862=""),"نسبة الجاهزية",""),IF(AND(COUNTA($O862:$U862)&gt;0,T862=""),"حالة الجاهزية",""),IF(AND(COUNTA($O862:$U862)&gt;0,U862=""),"التوصيات","")))&gt;0,"✗ ناقص: "&amp;_xlfn.TEXTJOIN("، ",TRUE,IF(E862="","التاريخ",""),IF(F862="","الوقت",""),IF(G862="","المركز",""),IF(H862="","الدائرة",""),IF(I862="","القسم",""),IF(J862="","المسؤول",""),IF(K862="","نوع النشاط",""),IF(L862="","المشروع",""),IF(N862="","الممول",""),IF(V862="","الموضوع",""),IF(W862="","الملاحظة",""),IF(X862="","مشكلة",""),IF(Y862="","الإجراء",""),IF(Z862="","التنفيذ",""),IF(AA862="","الجودة",""),IF(AB862="","الإغلاق",""),IF(AC862="","الخصم",""),IF(AND(COUNTA($O862:$U862)&gt;0,O862=""),"مدير المشروع",""),IF(AND(COUNTA($O862:$U862)&gt;0,P862=""),"المستفيدين",""),IF(AND(COUNTA($O862:$U862)&gt;0,Q862=""),"المناطق",""),IF(AND(COUNTA($O862:$U862)&gt;0,R862=""),"الميزانية",""),IF(AND(COUNTA($O862:$U862)&gt;0,S862=""),"نسبة الجاهزية",""),IF(AND(COUNTA($O862:$U862)&gt;0,T862=""),"حالة الجاهزية",""),IF(AND(COUNTA($O862:$U862)&gt;0,U862=""),"التوصيات","")),"✓"),"✓"))))))))))</f>
        <v/>
      </c>
      <c r="E862" s="235"/>
      <c r="F862" s="236"/>
      <c r="G862" s="90"/>
      <c r="H862" s="239"/>
      <c r="I862" s="89"/>
      <c r="J862" s="142"/>
      <c r="K862" s="90"/>
      <c r="L862" s="90"/>
      <c r="M862" s="90"/>
      <c r="N862" s="89"/>
      <c r="O862" s="200"/>
      <c r="P862" s="201"/>
      <c r="Q862" s="201"/>
      <c r="R862" s="237"/>
      <c r="S862" s="202"/>
      <c r="T862" s="200"/>
      <c r="U862" s="203"/>
      <c r="V862" s="89"/>
      <c r="W862" s="89"/>
      <c r="X862" s="145"/>
      <c r="Y862" s="89"/>
      <c r="Z862" s="90"/>
      <c r="AA862" s="90"/>
      <c r="AB862" s="90"/>
      <c r="AC862" s="90"/>
      <c r="AD862" s="92"/>
      <c r="AE862" s="149" t="str">
        <f>IFERROR(VLOOKUP(Z862,LISTS!$AL$2:$AM$1000,2,FALSE()),"")</f>
        <v/>
      </c>
      <c r="AF862" s="151" t="str">
        <f>IFERROR(VLOOKUP(AA862,LISTS!$AO$2:$AP$1000,2,FALSE()),"")</f>
        <v/>
      </c>
      <c r="AG862" s="152" t="str">
        <f>IFERROR(VLOOKUP(AB862,LISTS!$AR$2:$AS$1000,2,FALSE()),"")</f>
        <v/>
      </c>
      <c r="AH862" s="154" t="str">
        <f>IFERROR(VLOOKUP(AC862,LISTS!$AU$2:$AV$1000,2,FALSE()),"")</f>
        <v/>
      </c>
      <c r="AI862" s="238" t="str">
        <f t="shared" si="68"/>
        <v>—</v>
      </c>
      <c r="AJ862" s="190" t="str">
        <f t="shared" si="69"/>
        <v>—</v>
      </c>
      <c r="AK862" s="157" t="str">
        <f t="shared" ref="AK862:AK925" si="70">IF(E862="","",MONTH(E862))</f>
        <v/>
      </c>
      <c r="AL862" s="160" t="str">
        <f t="shared" ref="AL862:AL925" si="71">IF(E862="","",YEAR(E862))</f>
        <v/>
      </c>
      <c r="AM862" s="210"/>
      <c r="AN862" s="209"/>
    </row>
    <row r="863" spans="1:40" ht="27.95" customHeight="1">
      <c r="A863" s="134" t="str">
        <f>IF(I863&lt;&gt;"",COUNTA($I$2:I863),"")</f>
        <v/>
      </c>
      <c r="B863" s="138" t="str">
        <f t="shared" ref="B863:B926" si="72">IF(E863="","",CHOOSE(WEEKDAY(E863,2),"الاثنين","الثلاثاء","الأربعاء","الخميس","الجمعة","السبت","الأحد"))</f>
        <v/>
      </c>
      <c r="C863" s="93" t="str">
        <f t="array" ref="C863">IF(E863="","",IF(M863&lt;&gt;"",
M863&amp;"/"&amp;SUMPRODUCT((M$2:M863=M863)*1)&amp;" - "&amp;(ROW()-2),
"إداري/"&amp;SUMPRODUCT((M$2:M863="")*1)&amp;" - "&amp;(ROW()-2)))</f>
        <v/>
      </c>
      <c r="D863" s="141" t="str">
        <f>IF(AND(G863="",H863="",I863=""),"",IF(COUNTIFS(LISTS!$A$2:$A$67,G863,LISTS!$B$2:$B$67,H863,LISTS!$C$2:$C$67,I863)=0,"✗ هرم",IF(NOT(OR(Z863="ممتاز 100%",Z863="جيد 80%",Z863="مقبول 60%",Z863="خطر 40%",Z863="")),"✗ قائمة R",IF(NOT(OR(AA863="ممتاز 100%",AA863="جيد 85%",AA863="مقبول 70%",AA863="ضعيف 50%",AA863="")),"✗ قائمة S",IF(NOT(OR(AB863="مكتمل 100%",AB863="جزئي 60%",AB863="معلق 30%",AB863="مفتوح 0%",AB863="")),"✗ قائمة T",IF(NOT(OR(AC863="لا خصم 0",AC863="تأخير −5",AC863="عجز −10",AC863="جودة −15",AC863="امتثال −20",AC863="مخالفة −25",AC863="")),"✗ قائمة U",IF(AND(X863="لا",AC863&lt;&gt;"",AC863&lt;&gt;"لا خصم 0"),"✗ خصم",IF(AND(X863="نعم",AC863="لا خصم 0"),"✗ خصم",IF(AND(Z863="ممتاز 100%",AA863="ممتاز 100%",AB863&lt;&gt;"",AB863&lt;&gt;"مكتمل 100%"),"✗ إغلاق",IFERROR(IF(LEN(_xlfn.TEXTJOIN("، ",TRUE,IF(E863="","التاريخ",""),IF(F863="","الوقت",""),IF(G863="","المركز",""),IF(H863="","الدائرة",""),IF(I863="","القسم",""),IF(J863="","المسؤول",""),IF(K863="","نوع النشاط",""),IF(L863="","المشروع",""),IF(N863="","الممول",""),IF(V863="","الموضوع",""),IF(W863="","الملاحظة",""),IF(X863="","مشكلة",""),IF(Y863="","الإجراء",""),IF(Z863="","التنفيذ",""),IF(AA863="","الجودة",""),IF(AB863="","الإغلاق",""),IF(AC863="","الخصم",""),IF(AND(COUNTA($O863:$U863)&gt;0,O863=""),"مدير المشروع",""),IF(AND(COUNTA($O863:$U863)&gt;0,P863=""),"المستفيدين",""),IF(AND(COUNTA($O863:$U863)&gt;0,Q863=""),"المناطق",""),IF(AND(COUNTA($O863:$U863)&gt;0,R863=""),"الميزانية",""),IF(AND(COUNTA($O863:$U863)&gt;0,S863=""),"نسبة الجاهزية",""),IF(AND(COUNTA($O863:$U863)&gt;0,T863=""),"حالة الجاهزية",""),IF(AND(COUNTA($O863:$U863)&gt;0,U863=""),"التوصيات","")))&gt;0,"✗ ناقص: "&amp;_xlfn.TEXTJOIN("، ",TRUE,IF(E863="","التاريخ",""),IF(F863="","الوقت",""),IF(G863="","المركز",""),IF(H863="","الدائرة",""),IF(I863="","القسم",""),IF(J863="","المسؤول",""),IF(K863="","نوع النشاط",""),IF(L863="","المشروع",""),IF(N863="","الممول",""),IF(V863="","الموضوع",""),IF(W863="","الملاحظة",""),IF(X863="","مشكلة",""),IF(Y863="","الإجراء",""),IF(Z863="","التنفيذ",""),IF(AA863="","الجودة",""),IF(AB863="","الإغلاق",""),IF(AC863="","الخصم",""),IF(AND(COUNTA($O863:$U863)&gt;0,O863=""),"مدير المشروع",""),IF(AND(COUNTA($O863:$U863)&gt;0,P863=""),"المستفيدين",""),IF(AND(COUNTA($O863:$U863)&gt;0,Q863=""),"المناطق",""),IF(AND(COUNTA($O863:$U863)&gt;0,R863=""),"الميزانية",""),IF(AND(COUNTA($O863:$U863)&gt;0,S863=""),"نسبة الجاهزية",""),IF(AND(COUNTA($O863:$U863)&gt;0,T863=""),"حالة الجاهزية",""),IF(AND(COUNTA($O863:$U863)&gt;0,U863=""),"التوصيات","")),"✓"),"✓"))))))))))</f>
        <v/>
      </c>
      <c r="E863" s="235"/>
      <c r="F863" s="236"/>
      <c r="G863" s="90"/>
      <c r="H863" s="239"/>
      <c r="I863" s="89"/>
      <c r="J863" s="142"/>
      <c r="K863" s="90"/>
      <c r="L863" s="90"/>
      <c r="M863" s="90"/>
      <c r="N863" s="89"/>
      <c r="O863" s="200"/>
      <c r="P863" s="201"/>
      <c r="Q863" s="201"/>
      <c r="R863" s="237"/>
      <c r="S863" s="202"/>
      <c r="T863" s="200"/>
      <c r="U863" s="203"/>
      <c r="V863" s="89"/>
      <c r="W863" s="89"/>
      <c r="X863" s="145"/>
      <c r="Y863" s="89"/>
      <c r="Z863" s="90"/>
      <c r="AA863" s="90"/>
      <c r="AB863" s="90"/>
      <c r="AC863" s="90"/>
      <c r="AD863" s="92"/>
      <c r="AE863" s="149" t="str">
        <f>IFERROR(VLOOKUP(Z863,LISTS!$AL$2:$AM$1000,2,FALSE()),"")</f>
        <v/>
      </c>
      <c r="AF863" s="151" t="str">
        <f>IFERROR(VLOOKUP(AA863,LISTS!$AO$2:$AP$1000,2,FALSE()),"")</f>
        <v/>
      </c>
      <c r="AG863" s="152" t="str">
        <f>IFERROR(VLOOKUP(AB863,LISTS!$AR$2:$AS$1000,2,FALSE()),"")</f>
        <v/>
      </c>
      <c r="AH863" s="154" t="str">
        <f>IFERROR(VLOOKUP(AC863,LISTS!$AU$2:$AV$1000,2,FALSE()),"")</f>
        <v/>
      </c>
      <c r="AI863" s="238" t="str">
        <f t="shared" si="68"/>
        <v>—</v>
      </c>
      <c r="AJ863" s="190" t="str">
        <f t="shared" si="69"/>
        <v>—</v>
      </c>
      <c r="AK863" s="157" t="str">
        <f t="shared" si="70"/>
        <v/>
      </c>
      <c r="AL863" s="160" t="str">
        <f t="shared" si="71"/>
        <v/>
      </c>
      <c r="AM863" s="210"/>
      <c r="AN863" s="209"/>
    </row>
    <row r="864" spans="1:40" ht="27.95" customHeight="1">
      <c r="A864" s="134" t="str">
        <f>IF(I864&lt;&gt;"",COUNTA($I$2:I864),"")</f>
        <v/>
      </c>
      <c r="B864" s="138" t="str">
        <f t="shared" si="72"/>
        <v/>
      </c>
      <c r="C864" s="93" t="str">
        <f t="array" ref="C864">IF(E864="","",IF(M864&lt;&gt;"",
M864&amp;"/"&amp;SUMPRODUCT((M$2:M864=M864)*1)&amp;" - "&amp;(ROW()-2),
"إداري/"&amp;SUMPRODUCT((M$2:M864="")*1)&amp;" - "&amp;(ROW()-2)))</f>
        <v/>
      </c>
      <c r="D864" s="141" t="str">
        <f>IF(AND(G864="",H864="",I864=""),"",IF(COUNTIFS(LISTS!$A$2:$A$67,G864,LISTS!$B$2:$B$67,H864,LISTS!$C$2:$C$67,I864)=0,"✗ هرم",IF(NOT(OR(Z864="ممتاز 100%",Z864="جيد 80%",Z864="مقبول 60%",Z864="خطر 40%",Z864="")),"✗ قائمة R",IF(NOT(OR(AA864="ممتاز 100%",AA864="جيد 85%",AA864="مقبول 70%",AA864="ضعيف 50%",AA864="")),"✗ قائمة S",IF(NOT(OR(AB864="مكتمل 100%",AB864="جزئي 60%",AB864="معلق 30%",AB864="مفتوح 0%",AB864="")),"✗ قائمة T",IF(NOT(OR(AC864="لا خصم 0",AC864="تأخير −5",AC864="عجز −10",AC864="جودة −15",AC864="امتثال −20",AC864="مخالفة −25",AC864="")),"✗ قائمة U",IF(AND(X864="لا",AC864&lt;&gt;"",AC864&lt;&gt;"لا خصم 0"),"✗ خصم",IF(AND(X864="نعم",AC864="لا خصم 0"),"✗ خصم",IF(AND(Z864="ممتاز 100%",AA864="ممتاز 100%",AB864&lt;&gt;"",AB864&lt;&gt;"مكتمل 100%"),"✗ إغلاق",IFERROR(IF(LEN(_xlfn.TEXTJOIN("، ",TRUE,IF(E864="","التاريخ",""),IF(F864="","الوقت",""),IF(G864="","المركز",""),IF(H864="","الدائرة",""),IF(I864="","القسم",""),IF(J864="","المسؤول",""),IF(K864="","نوع النشاط",""),IF(L864="","المشروع",""),IF(N864="","الممول",""),IF(V864="","الموضوع",""),IF(W864="","الملاحظة",""),IF(X864="","مشكلة",""),IF(Y864="","الإجراء",""),IF(Z864="","التنفيذ",""),IF(AA864="","الجودة",""),IF(AB864="","الإغلاق",""),IF(AC864="","الخصم",""),IF(AND(COUNTA($O864:$U864)&gt;0,O864=""),"مدير المشروع",""),IF(AND(COUNTA($O864:$U864)&gt;0,P864=""),"المستفيدين",""),IF(AND(COUNTA($O864:$U864)&gt;0,Q864=""),"المناطق",""),IF(AND(COUNTA($O864:$U864)&gt;0,R864=""),"الميزانية",""),IF(AND(COUNTA($O864:$U864)&gt;0,S864=""),"نسبة الجاهزية",""),IF(AND(COUNTA($O864:$U864)&gt;0,T864=""),"حالة الجاهزية",""),IF(AND(COUNTA($O864:$U864)&gt;0,U864=""),"التوصيات","")))&gt;0,"✗ ناقص: "&amp;_xlfn.TEXTJOIN("، ",TRUE,IF(E864="","التاريخ",""),IF(F864="","الوقت",""),IF(G864="","المركز",""),IF(H864="","الدائرة",""),IF(I864="","القسم",""),IF(J864="","المسؤول",""),IF(K864="","نوع النشاط",""),IF(L864="","المشروع",""),IF(N864="","الممول",""),IF(V864="","الموضوع",""),IF(W864="","الملاحظة",""),IF(X864="","مشكلة",""),IF(Y864="","الإجراء",""),IF(Z864="","التنفيذ",""),IF(AA864="","الجودة",""),IF(AB864="","الإغلاق",""),IF(AC864="","الخصم",""),IF(AND(COUNTA($O864:$U864)&gt;0,O864=""),"مدير المشروع",""),IF(AND(COUNTA($O864:$U864)&gt;0,P864=""),"المستفيدين",""),IF(AND(COUNTA($O864:$U864)&gt;0,Q864=""),"المناطق",""),IF(AND(COUNTA($O864:$U864)&gt;0,R864=""),"الميزانية",""),IF(AND(COUNTA($O864:$U864)&gt;0,S864=""),"نسبة الجاهزية",""),IF(AND(COUNTA($O864:$U864)&gt;0,T864=""),"حالة الجاهزية",""),IF(AND(COUNTA($O864:$U864)&gt;0,U864=""),"التوصيات","")),"✓"),"✓"))))))))))</f>
        <v/>
      </c>
      <c r="E864" s="235"/>
      <c r="F864" s="236"/>
      <c r="G864" s="90"/>
      <c r="H864" s="239"/>
      <c r="I864" s="89"/>
      <c r="J864" s="142"/>
      <c r="K864" s="90"/>
      <c r="L864" s="90"/>
      <c r="M864" s="90"/>
      <c r="N864" s="89"/>
      <c r="O864" s="200"/>
      <c r="P864" s="201"/>
      <c r="Q864" s="201"/>
      <c r="R864" s="237"/>
      <c r="S864" s="202"/>
      <c r="T864" s="200"/>
      <c r="U864" s="203"/>
      <c r="V864" s="89"/>
      <c r="W864" s="89"/>
      <c r="X864" s="145"/>
      <c r="Y864" s="89"/>
      <c r="Z864" s="90"/>
      <c r="AA864" s="90"/>
      <c r="AB864" s="90"/>
      <c r="AC864" s="90"/>
      <c r="AD864" s="92"/>
      <c r="AE864" s="149" t="str">
        <f>IFERROR(VLOOKUP(Z864,LISTS!$AL$2:$AM$1000,2,FALSE()),"")</f>
        <v/>
      </c>
      <c r="AF864" s="151" t="str">
        <f>IFERROR(VLOOKUP(AA864,LISTS!$AO$2:$AP$1000,2,FALSE()),"")</f>
        <v/>
      </c>
      <c r="AG864" s="152" t="str">
        <f>IFERROR(VLOOKUP(AB864,LISTS!$AR$2:$AS$1000,2,FALSE()),"")</f>
        <v/>
      </c>
      <c r="AH864" s="154" t="str">
        <f>IFERROR(VLOOKUP(AC864,LISTS!$AU$2:$AV$1000,2,FALSE()),"")</f>
        <v/>
      </c>
      <c r="AI864" s="238" t="str">
        <f t="shared" si="68"/>
        <v>—</v>
      </c>
      <c r="AJ864" s="190" t="str">
        <f t="shared" si="69"/>
        <v>—</v>
      </c>
      <c r="AK864" s="157" t="str">
        <f t="shared" si="70"/>
        <v/>
      </c>
      <c r="AL864" s="160" t="str">
        <f t="shared" si="71"/>
        <v/>
      </c>
      <c r="AM864" s="210"/>
      <c r="AN864" s="209"/>
    </row>
    <row r="865" spans="1:40" ht="27.95" customHeight="1">
      <c r="A865" s="134" t="str">
        <f>IF(I865&lt;&gt;"",COUNTA($I$2:I865),"")</f>
        <v/>
      </c>
      <c r="B865" s="138" t="str">
        <f t="shared" si="72"/>
        <v/>
      </c>
      <c r="C865" s="93" t="str">
        <f t="array" ref="C865">IF(E865="","",IF(M865&lt;&gt;"",
M865&amp;"/"&amp;SUMPRODUCT((M$2:M865=M865)*1)&amp;" - "&amp;(ROW()-2),
"إداري/"&amp;SUMPRODUCT((M$2:M865="")*1)&amp;" - "&amp;(ROW()-2)))</f>
        <v/>
      </c>
      <c r="D865" s="141" t="str">
        <f>IF(AND(G865="",H865="",I865=""),"",IF(COUNTIFS(LISTS!$A$2:$A$67,G865,LISTS!$B$2:$B$67,H865,LISTS!$C$2:$C$67,I865)=0,"✗ هرم",IF(NOT(OR(Z865="ممتاز 100%",Z865="جيد 80%",Z865="مقبول 60%",Z865="خطر 40%",Z865="")),"✗ قائمة R",IF(NOT(OR(AA865="ممتاز 100%",AA865="جيد 85%",AA865="مقبول 70%",AA865="ضعيف 50%",AA865="")),"✗ قائمة S",IF(NOT(OR(AB865="مكتمل 100%",AB865="جزئي 60%",AB865="معلق 30%",AB865="مفتوح 0%",AB865="")),"✗ قائمة T",IF(NOT(OR(AC865="لا خصم 0",AC865="تأخير −5",AC865="عجز −10",AC865="جودة −15",AC865="امتثال −20",AC865="مخالفة −25",AC865="")),"✗ قائمة U",IF(AND(X865="لا",AC865&lt;&gt;"",AC865&lt;&gt;"لا خصم 0"),"✗ خصم",IF(AND(X865="نعم",AC865="لا خصم 0"),"✗ خصم",IF(AND(Z865="ممتاز 100%",AA865="ممتاز 100%",AB865&lt;&gt;"",AB865&lt;&gt;"مكتمل 100%"),"✗ إغلاق",IFERROR(IF(LEN(_xlfn.TEXTJOIN("، ",TRUE,IF(E865="","التاريخ",""),IF(F865="","الوقت",""),IF(G865="","المركز",""),IF(H865="","الدائرة",""),IF(I865="","القسم",""),IF(J865="","المسؤول",""),IF(K865="","نوع النشاط",""),IF(L865="","المشروع",""),IF(N865="","الممول",""),IF(V865="","الموضوع",""),IF(W865="","الملاحظة",""),IF(X865="","مشكلة",""),IF(Y865="","الإجراء",""),IF(Z865="","التنفيذ",""),IF(AA865="","الجودة",""),IF(AB865="","الإغلاق",""),IF(AC865="","الخصم",""),IF(AND(COUNTA($O865:$U865)&gt;0,O865=""),"مدير المشروع",""),IF(AND(COUNTA($O865:$U865)&gt;0,P865=""),"المستفيدين",""),IF(AND(COUNTA($O865:$U865)&gt;0,Q865=""),"المناطق",""),IF(AND(COUNTA($O865:$U865)&gt;0,R865=""),"الميزانية",""),IF(AND(COUNTA($O865:$U865)&gt;0,S865=""),"نسبة الجاهزية",""),IF(AND(COUNTA($O865:$U865)&gt;0,T865=""),"حالة الجاهزية",""),IF(AND(COUNTA($O865:$U865)&gt;0,U865=""),"التوصيات","")))&gt;0,"✗ ناقص: "&amp;_xlfn.TEXTJOIN("، ",TRUE,IF(E865="","التاريخ",""),IF(F865="","الوقت",""),IF(G865="","المركز",""),IF(H865="","الدائرة",""),IF(I865="","القسم",""),IF(J865="","المسؤول",""),IF(K865="","نوع النشاط",""),IF(L865="","المشروع",""),IF(N865="","الممول",""),IF(V865="","الموضوع",""),IF(W865="","الملاحظة",""),IF(X865="","مشكلة",""),IF(Y865="","الإجراء",""),IF(Z865="","التنفيذ",""),IF(AA865="","الجودة",""),IF(AB865="","الإغلاق",""),IF(AC865="","الخصم",""),IF(AND(COUNTA($O865:$U865)&gt;0,O865=""),"مدير المشروع",""),IF(AND(COUNTA($O865:$U865)&gt;0,P865=""),"المستفيدين",""),IF(AND(COUNTA($O865:$U865)&gt;0,Q865=""),"المناطق",""),IF(AND(COUNTA($O865:$U865)&gt;0,R865=""),"الميزانية",""),IF(AND(COUNTA($O865:$U865)&gt;0,S865=""),"نسبة الجاهزية",""),IF(AND(COUNTA($O865:$U865)&gt;0,T865=""),"حالة الجاهزية",""),IF(AND(COUNTA($O865:$U865)&gt;0,U865=""),"التوصيات","")),"✓"),"✓"))))))))))</f>
        <v/>
      </c>
      <c r="E865" s="235"/>
      <c r="F865" s="236"/>
      <c r="G865" s="90"/>
      <c r="H865" s="239"/>
      <c r="I865" s="89"/>
      <c r="J865" s="142"/>
      <c r="K865" s="90"/>
      <c r="L865" s="90"/>
      <c r="M865" s="90"/>
      <c r="N865" s="89"/>
      <c r="O865" s="200"/>
      <c r="P865" s="201"/>
      <c r="Q865" s="201"/>
      <c r="R865" s="237"/>
      <c r="S865" s="202"/>
      <c r="T865" s="200"/>
      <c r="U865" s="203"/>
      <c r="V865" s="89"/>
      <c r="W865" s="89"/>
      <c r="X865" s="145"/>
      <c r="Y865" s="89"/>
      <c r="Z865" s="90"/>
      <c r="AA865" s="90"/>
      <c r="AB865" s="90"/>
      <c r="AC865" s="90"/>
      <c r="AD865" s="92"/>
      <c r="AE865" s="149" t="str">
        <f>IFERROR(VLOOKUP(Z865,LISTS!$AL$2:$AM$1000,2,FALSE()),"")</f>
        <v/>
      </c>
      <c r="AF865" s="151" t="str">
        <f>IFERROR(VLOOKUP(AA865,LISTS!$AO$2:$AP$1000,2,FALSE()),"")</f>
        <v/>
      </c>
      <c r="AG865" s="152" t="str">
        <f>IFERROR(VLOOKUP(AB865,LISTS!$AR$2:$AS$1000,2,FALSE()),"")</f>
        <v/>
      </c>
      <c r="AH865" s="154" t="str">
        <f>IFERROR(VLOOKUP(AC865,LISTS!$AU$2:$AV$1000,2,FALSE()),"")</f>
        <v/>
      </c>
      <c r="AI865" s="238" t="str">
        <f t="shared" si="68"/>
        <v>—</v>
      </c>
      <c r="AJ865" s="190" t="str">
        <f t="shared" si="69"/>
        <v>—</v>
      </c>
      <c r="AK865" s="157" t="str">
        <f t="shared" si="70"/>
        <v/>
      </c>
      <c r="AL865" s="160" t="str">
        <f t="shared" si="71"/>
        <v/>
      </c>
      <c r="AM865" s="210"/>
      <c r="AN865" s="209"/>
    </row>
    <row r="866" spans="1:40" ht="27.95" customHeight="1">
      <c r="A866" s="134" t="str">
        <f>IF(I866&lt;&gt;"",COUNTA($I$2:I866),"")</f>
        <v/>
      </c>
      <c r="B866" s="138" t="str">
        <f t="shared" si="72"/>
        <v/>
      </c>
      <c r="C866" s="93" t="str">
        <f t="array" ref="C866">IF(E866="","",IF(M866&lt;&gt;"",
M866&amp;"/"&amp;SUMPRODUCT((M$2:M866=M866)*1)&amp;" - "&amp;(ROW()-2),
"إداري/"&amp;SUMPRODUCT((M$2:M866="")*1)&amp;" - "&amp;(ROW()-2)))</f>
        <v/>
      </c>
      <c r="D866" s="141" t="str">
        <f>IF(AND(G866="",H866="",I866=""),"",IF(COUNTIFS(LISTS!$A$2:$A$67,G866,LISTS!$B$2:$B$67,H866,LISTS!$C$2:$C$67,I866)=0,"✗ هرم",IF(NOT(OR(Z866="ممتاز 100%",Z866="جيد 80%",Z866="مقبول 60%",Z866="خطر 40%",Z866="")),"✗ قائمة R",IF(NOT(OR(AA866="ممتاز 100%",AA866="جيد 85%",AA866="مقبول 70%",AA866="ضعيف 50%",AA866="")),"✗ قائمة S",IF(NOT(OR(AB866="مكتمل 100%",AB866="جزئي 60%",AB866="معلق 30%",AB866="مفتوح 0%",AB866="")),"✗ قائمة T",IF(NOT(OR(AC866="لا خصم 0",AC866="تأخير −5",AC866="عجز −10",AC866="جودة −15",AC866="امتثال −20",AC866="مخالفة −25",AC866="")),"✗ قائمة U",IF(AND(X866="لا",AC866&lt;&gt;"",AC866&lt;&gt;"لا خصم 0"),"✗ خصم",IF(AND(X866="نعم",AC866="لا خصم 0"),"✗ خصم",IF(AND(Z866="ممتاز 100%",AA866="ممتاز 100%",AB866&lt;&gt;"",AB866&lt;&gt;"مكتمل 100%"),"✗ إغلاق",IFERROR(IF(LEN(_xlfn.TEXTJOIN("، ",TRUE,IF(E866="","التاريخ",""),IF(F866="","الوقت",""),IF(G866="","المركز",""),IF(H866="","الدائرة",""),IF(I866="","القسم",""),IF(J866="","المسؤول",""),IF(K866="","نوع النشاط",""),IF(L866="","المشروع",""),IF(N866="","الممول",""),IF(V866="","الموضوع",""),IF(W866="","الملاحظة",""),IF(X866="","مشكلة",""),IF(Y866="","الإجراء",""),IF(Z866="","التنفيذ",""),IF(AA866="","الجودة",""),IF(AB866="","الإغلاق",""),IF(AC866="","الخصم",""),IF(AND(COUNTA($O866:$U866)&gt;0,O866=""),"مدير المشروع",""),IF(AND(COUNTA($O866:$U866)&gt;0,P866=""),"المستفيدين",""),IF(AND(COUNTA($O866:$U866)&gt;0,Q866=""),"المناطق",""),IF(AND(COUNTA($O866:$U866)&gt;0,R866=""),"الميزانية",""),IF(AND(COUNTA($O866:$U866)&gt;0,S866=""),"نسبة الجاهزية",""),IF(AND(COUNTA($O866:$U866)&gt;0,T866=""),"حالة الجاهزية",""),IF(AND(COUNTA($O866:$U866)&gt;0,U866=""),"التوصيات","")))&gt;0,"✗ ناقص: "&amp;_xlfn.TEXTJOIN("، ",TRUE,IF(E866="","التاريخ",""),IF(F866="","الوقت",""),IF(G866="","المركز",""),IF(H866="","الدائرة",""),IF(I866="","القسم",""),IF(J866="","المسؤول",""),IF(K866="","نوع النشاط",""),IF(L866="","المشروع",""),IF(N866="","الممول",""),IF(V866="","الموضوع",""),IF(W866="","الملاحظة",""),IF(X866="","مشكلة",""),IF(Y866="","الإجراء",""),IF(Z866="","التنفيذ",""),IF(AA866="","الجودة",""),IF(AB866="","الإغلاق",""),IF(AC866="","الخصم",""),IF(AND(COUNTA($O866:$U866)&gt;0,O866=""),"مدير المشروع",""),IF(AND(COUNTA($O866:$U866)&gt;0,P866=""),"المستفيدين",""),IF(AND(COUNTA($O866:$U866)&gt;0,Q866=""),"المناطق",""),IF(AND(COUNTA($O866:$U866)&gt;0,R866=""),"الميزانية",""),IF(AND(COUNTA($O866:$U866)&gt;0,S866=""),"نسبة الجاهزية",""),IF(AND(COUNTA($O866:$U866)&gt;0,T866=""),"حالة الجاهزية",""),IF(AND(COUNTA($O866:$U866)&gt;0,U866=""),"التوصيات","")),"✓"),"✓"))))))))))</f>
        <v/>
      </c>
      <c r="E866" s="235"/>
      <c r="F866" s="236"/>
      <c r="G866" s="90"/>
      <c r="H866" s="239"/>
      <c r="I866" s="89"/>
      <c r="J866" s="142"/>
      <c r="K866" s="90"/>
      <c r="L866" s="90"/>
      <c r="M866" s="90"/>
      <c r="N866" s="89"/>
      <c r="O866" s="200"/>
      <c r="P866" s="201"/>
      <c r="Q866" s="201"/>
      <c r="R866" s="237"/>
      <c r="S866" s="202"/>
      <c r="T866" s="200"/>
      <c r="U866" s="203"/>
      <c r="V866" s="89"/>
      <c r="W866" s="89"/>
      <c r="X866" s="145"/>
      <c r="Y866" s="89"/>
      <c r="Z866" s="90"/>
      <c r="AA866" s="90"/>
      <c r="AB866" s="90"/>
      <c r="AC866" s="90"/>
      <c r="AD866" s="92"/>
      <c r="AE866" s="149" t="str">
        <f>IFERROR(VLOOKUP(Z866,LISTS!$AL$2:$AM$1000,2,FALSE()),"")</f>
        <v/>
      </c>
      <c r="AF866" s="151" t="str">
        <f>IFERROR(VLOOKUP(AA866,LISTS!$AO$2:$AP$1000,2,FALSE()),"")</f>
        <v/>
      </c>
      <c r="AG866" s="152" t="str">
        <f>IFERROR(VLOOKUP(AB866,LISTS!$AR$2:$AS$1000,2,FALSE()),"")</f>
        <v/>
      </c>
      <c r="AH866" s="154" t="str">
        <f>IFERROR(VLOOKUP(AC866,LISTS!$AU$2:$AV$1000,2,FALSE()),"")</f>
        <v/>
      </c>
      <c r="AI866" s="238" t="str">
        <f t="shared" si="68"/>
        <v>—</v>
      </c>
      <c r="AJ866" s="190" t="str">
        <f t="shared" si="69"/>
        <v>—</v>
      </c>
      <c r="AK866" s="157" t="str">
        <f t="shared" si="70"/>
        <v/>
      </c>
      <c r="AL866" s="160" t="str">
        <f t="shared" si="71"/>
        <v/>
      </c>
      <c r="AM866" s="210"/>
      <c r="AN866" s="209"/>
    </row>
    <row r="867" spans="1:40" ht="27.95" customHeight="1">
      <c r="A867" s="134" t="str">
        <f>IF(I867&lt;&gt;"",COUNTA($I$2:I867),"")</f>
        <v/>
      </c>
      <c r="B867" s="138" t="str">
        <f t="shared" si="72"/>
        <v/>
      </c>
      <c r="C867" s="93" t="str">
        <f t="array" ref="C867">IF(E867="","",IF(M867&lt;&gt;"",
M867&amp;"/"&amp;SUMPRODUCT((M$2:M867=M867)*1)&amp;" - "&amp;(ROW()-2),
"إداري/"&amp;SUMPRODUCT((M$2:M867="")*1)&amp;" - "&amp;(ROW()-2)))</f>
        <v/>
      </c>
      <c r="D867" s="141" t="str">
        <f>IF(AND(G867="",H867="",I867=""),"",IF(COUNTIFS(LISTS!$A$2:$A$67,G867,LISTS!$B$2:$B$67,H867,LISTS!$C$2:$C$67,I867)=0,"✗ هرم",IF(NOT(OR(Z867="ممتاز 100%",Z867="جيد 80%",Z867="مقبول 60%",Z867="خطر 40%",Z867="")),"✗ قائمة R",IF(NOT(OR(AA867="ممتاز 100%",AA867="جيد 85%",AA867="مقبول 70%",AA867="ضعيف 50%",AA867="")),"✗ قائمة S",IF(NOT(OR(AB867="مكتمل 100%",AB867="جزئي 60%",AB867="معلق 30%",AB867="مفتوح 0%",AB867="")),"✗ قائمة T",IF(NOT(OR(AC867="لا خصم 0",AC867="تأخير −5",AC867="عجز −10",AC867="جودة −15",AC867="امتثال −20",AC867="مخالفة −25",AC867="")),"✗ قائمة U",IF(AND(X867="لا",AC867&lt;&gt;"",AC867&lt;&gt;"لا خصم 0"),"✗ خصم",IF(AND(X867="نعم",AC867="لا خصم 0"),"✗ خصم",IF(AND(Z867="ممتاز 100%",AA867="ممتاز 100%",AB867&lt;&gt;"",AB867&lt;&gt;"مكتمل 100%"),"✗ إغلاق",IFERROR(IF(LEN(_xlfn.TEXTJOIN("، ",TRUE,IF(E867="","التاريخ",""),IF(F867="","الوقت",""),IF(G867="","المركز",""),IF(H867="","الدائرة",""),IF(I867="","القسم",""),IF(J867="","المسؤول",""),IF(K867="","نوع النشاط",""),IF(L867="","المشروع",""),IF(N867="","الممول",""),IF(V867="","الموضوع",""),IF(W867="","الملاحظة",""),IF(X867="","مشكلة",""),IF(Y867="","الإجراء",""),IF(Z867="","التنفيذ",""),IF(AA867="","الجودة",""),IF(AB867="","الإغلاق",""),IF(AC867="","الخصم",""),IF(AND(COUNTA($O867:$U867)&gt;0,O867=""),"مدير المشروع",""),IF(AND(COUNTA($O867:$U867)&gt;0,P867=""),"المستفيدين",""),IF(AND(COUNTA($O867:$U867)&gt;0,Q867=""),"المناطق",""),IF(AND(COUNTA($O867:$U867)&gt;0,R867=""),"الميزانية",""),IF(AND(COUNTA($O867:$U867)&gt;0,S867=""),"نسبة الجاهزية",""),IF(AND(COUNTA($O867:$U867)&gt;0,T867=""),"حالة الجاهزية",""),IF(AND(COUNTA($O867:$U867)&gt;0,U867=""),"التوصيات","")))&gt;0,"✗ ناقص: "&amp;_xlfn.TEXTJOIN("، ",TRUE,IF(E867="","التاريخ",""),IF(F867="","الوقت",""),IF(G867="","المركز",""),IF(H867="","الدائرة",""),IF(I867="","القسم",""),IF(J867="","المسؤول",""),IF(K867="","نوع النشاط",""),IF(L867="","المشروع",""),IF(N867="","الممول",""),IF(V867="","الموضوع",""),IF(W867="","الملاحظة",""),IF(X867="","مشكلة",""),IF(Y867="","الإجراء",""),IF(Z867="","التنفيذ",""),IF(AA867="","الجودة",""),IF(AB867="","الإغلاق",""),IF(AC867="","الخصم",""),IF(AND(COUNTA($O867:$U867)&gt;0,O867=""),"مدير المشروع",""),IF(AND(COUNTA($O867:$U867)&gt;0,P867=""),"المستفيدين",""),IF(AND(COUNTA($O867:$U867)&gt;0,Q867=""),"المناطق",""),IF(AND(COUNTA($O867:$U867)&gt;0,R867=""),"الميزانية",""),IF(AND(COUNTA($O867:$U867)&gt;0,S867=""),"نسبة الجاهزية",""),IF(AND(COUNTA($O867:$U867)&gt;0,T867=""),"حالة الجاهزية",""),IF(AND(COUNTA($O867:$U867)&gt;0,U867=""),"التوصيات","")),"✓"),"✓"))))))))))</f>
        <v/>
      </c>
      <c r="E867" s="235"/>
      <c r="F867" s="236"/>
      <c r="G867" s="90"/>
      <c r="H867" s="239"/>
      <c r="I867" s="89"/>
      <c r="J867" s="142"/>
      <c r="K867" s="90"/>
      <c r="L867" s="90"/>
      <c r="M867" s="90"/>
      <c r="N867" s="89"/>
      <c r="O867" s="200"/>
      <c r="P867" s="201"/>
      <c r="Q867" s="201"/>
      <c r="R867" s="237"/>
      <c r="S867" s="202"/>
      <c r="T867" s="200"/>
      <c r="U867" s="203"/>
      <c r="V867" s="89"/>
      <c r="W867" s="89"/>
      <c r="X867" s="145"/>
      <c r="Y867" s="89"/>
      <c r="Z867" s="90"/>
      <c r="AA867" s="90"/>
      <c r="AB867" s="90"/>
      <c r="AC867" s="90"/>
      <c r="AD867" s="92"/>
      <c r="AE867" s="149" t="str">
        <f>IFERROR(VLOOKUP(Z867,LISTS!$AL$2:$AM$1000,2,FALSE()),"")</f>
        <v/>
      </c>
      <c r="AF867" s="151" t="str">
        <f>IFERROR(VLOOKUP(AA867,LISTS!$AO$2:$AP$1000,2,FALSE()),"")</f>
        <v/>
      </c>
      <c r="AG867" s="152" t="str">
        <f>IFERROR(VLOOKUP(AB867,LISTS!$AR$2:$AS$1000,2,FALSE()),"")</f>
        <v/>
      </c>
      <c r="AH867" s="154" t="str">
        <f>IFERROR(VLOOKUP(AC867,LISTS!$AU$2:$AV$1000,2,FALSE()),"")</f>
        <v/>
      </c>
      <c r="AI867" s="238" t="str">
        <f t="shared" si="68"/>
        <v>—</v>
      </c>
      <c r="AJ867" s="190" t="str">
        <f t="shared" si="69"/>
        <v>—</v>
      </c>
      <c r="AK867" s="157" t="str">
        <f t="shared" si="70"/>
        <v/>
      </c>
      <c r="AL867" s="160" t="str">
        <f t="shared" si="71"/>
        <v/>
      </c>
      <c r="AM867" s="210"/>
      <c r="AN867" s="209"/>
    </row>
    <row r="868" spans="1:40" ht="27.95" customHeight="1">
      <c r="A868" s="134" t="str">
        <f>IF(I868&lt;&gt;"",COUNTA($I$2:I868),"")</f>
        <v/>
      </c>
      <c r="B868" s="138" t="str">
        <f t="shared" si="72"/>
        <v/>
      </c>
      <c r="C868" s="93" t="str">
        <f t="array" ref="C868">IF(E868="","",IF(M868&lt;&gt;"",
M868&amp;"/"&amp;SUMPRODUCT((M$2:M868=M868)*1)&amp;" - "&amp;(ROW()-2),
"إداري/"&amp;SUMPRODUCT((M$2:M868="")*1)&amp;" - "&amp;(ROW()-2)))</f>
        <v/>
      </c>
      <c r="D868" s="141" t="str">
        <f>IF(AND(G868="",H868="",I868=""),"",IF(COUNTIFS(LISTS!$A$2:$A$67,G868,LISTS!$B$2:$B$67,H868,LISTS!$C$2:$C$67,I868)=0,"✗ هرم",IF(NOT(OR(Z868="ممتاز 100%",Z868="جيد 80%",Z868="مقبول 60%",Z868="خطر 40%",Z868="")),"✗ قائمة R",IF(NOT(OR(AA868="ممتاز 100%",AA868="جيد 85%",AA868="مقبول 70%",AA868="ضعيف 50%",AA868="")),"✗ قائمة S",IF(NOT(OR(AB868="مكتمل 100%",AB868="جزئي 60%",AB868="معلق 30%",AB868="مفتوح 0%",AB868="")),"✗ قائمة T",IF(NOT(OR(AC868="لا خصم 0",AC868="تأخير −5",AC868="عجز −10",AC868="جودة −15",AC868="امتثال −20",AC868="مخالفة −25",AC868="")),"✗ قائمة U",IF(AND(X868="لا",AC868&lt;&gt;"",AC868&lt;&gt;"لا خصم 0"),"✗ خصم",IF(AND(X868="نعم",AC868="لا خصم 0"),"✗ خصم",IF(AND(Z868="ممتاز 100%",AA868="ممتاز 100%",AB868&lt;&gt;"",AB868&lt;&gt;"مكتمل 100%"),"✗ إغلاق",IFERROR(IF(LEN(_xlfn.TEXTJOIN("، ",TRUE,IF(E868="","التاريخ",""),IF(F868="","الوقت",""),IF(G868="","المركز",""),IF(H868="","الدائرة",""),IF(I868="","القسم",""),IF(J868="","المسؤول",""),IF(K868="","نوع النشاط",""),IF(L868="","المشروع",""),IF(N868="","الممول",""),IF(V868="","الموضوع",""),IF(W868="","الملاحظة",""),IF(X868="","مشكلة",""),IF(Y868="","الإجراء",""),IF(Z868="","التنفيذ",""),IF(AA868="","الجودة",""),IF(AB868="","الإغلاق",""),IF(AC868="","الخصم",""),IF(AND(COUNTA($O868:$U868)&gt;0,O868=""),"مدير المشروع",""),IF(AND(COUNTA($O868:$U868)&gt;0,P868=""),"المستفيدين",""),IF(AND(COUNTA($O868:$U868)&gt;0,Q868=""),"المناطق",""),IF(AND(COUNTA($O868:$U868)&gt;0,R868=""),"الميزانية",""),IF(AND(COUNTA($O868:$U868)&gt;0,S868=""),"نسبة الجاهزية",""),IF(AND(COUNTA($O868:$U868)&gt;0,T868=""),"حالة الجاهزية",""),IF(AND(COUNTA($O868:$U868)&gt;0,U868=""),"التوصيات","")))&gt;0,"✗ ناقص: "&amp;_xlfn.TEXTJOIN("، ",TRUE,IF(E868="","التاريخ",""),IF(F868="","الوقت",""),IF(G868="","المركز",""),IF(H868="","الدائرة",""),IF(I868="","القسم",""),IF(J868="","المسؤول",""),IF(K868="","نوع النشاط",""),IF(L868="","المشروع",""),IF(N868="","الممول",""),IF(V868="","الموضوع",""),IF(W868="","الملاحظة",""),IF(X868="","مشكلة",""),IF(Y868="","الإجراء",""),IF(Z868="","التنفيذ",""),IF(AA868="","الجودة",""),IF(AB868="","الإغلاق",""),IF(AC868="","الخصم",""),IF(AND(COUNTA($O868:$U868)&gt;0,O868=""),"مدير المشروع",""),IF(AND(COUNTA($O868:$U868)&gt;0,P868=""),"المستفيدين",""),IF(AND(COUNTA($O868:$U868)&gt;0,Q868=""),"المناطق",""),IF(AND(COUNTA($O868:$U868)&gt;0,R868=""),"الميزانية",""),IF(AND(COUNTA($O868:$U868)&gt;0,S868=""),"نسبة الجاهزية",""),IF(AND(COUNTA($O868:$U868)&gt;0,T868=""),"حالة الجاهزية",""),IF(AND(COUNTA($O868:$U868)&gt;0,U868=""),"التوصيات","")),"✓"),"✓"))))))))))</f>
        <v/>
      </c>
      <c r="E868" s="235"/>
      <c r="F868" s="236"/>
      <c r="G868" s="90"/>
      <c r="H868" s="239"/>
      <c r="I868" s="89"/>
      <c r="J868" s="142"/>
      <c r="K868" s="90"/>
      <c r="L868" s="90"/>
      <c r="M868" s="90"/>
      <c r="N868" s="89"/>
      <c r="O868" s="200"/>
      <c r="P868" s="201"/>
      <c r="Q868" s="201"/>
      <c r="R868" s="237"/>
      <c r="S868" s="202"/>
      <c r="T868" s="200"/>
      <c r="U868" s="203"/>
      <c r="V868" s="89"/>
      <c r="W868" s="89"/>
      <c r="X868" s="145"/>
      <c r="Y868" s="89"/>
      <c r="Z868" s="90"/>
      <c r="AA868" s="90"/>
      <c r="AB868" s="90"/>
      <c r="AC868" s="90"/>
      <c r="AD868" s="92"/>
      <c r="AE868" s="149" t="str">
        <f>IFERROR(VLOOKUP(Z868,LISTS!$AL$2:$AM$1000,2,FALSE()),"")</f>
        <v/>
      </c>
      <c r="AF868" s="151" t="str">
        <f>IFERROR(VLOOKUP(AA868,LISTS!$AO$2:$AP$1000,2,FALSE()),"")</f>
        <v/>
      </c>
      <c r="AG868" s="152" t="str">
        <f>IFERROR(VLOOKUP(AB868,LISTS!$AR$2:$AS$1000,2,FALSE()),"")</f>
        <v/>
      </c>
      <c r="AH868" s="154" t="str">
        <f>IFERROR(VLOOKUP(AC868,LISTS!$AU$2:$AV$1000,2,FALSE()),"")</f>
        <v/>
      </c>
      <c r="AI868" s="238" t="str">
        <f t="shared" si="68"/>
        <v>—</v>
      </c>
      <c r="AJ868" s="190" t="str">
        <f t="shared" si="69"/>
        <v>—</v>
      </c>
      <c r="AK868" s="157" t="str">
        <f t="shared" si="70"/>
        <v/>
      </c>
      <c r="AL868" s="160" t="str">
        <f t="shared" si="71"/>
        <v/>
      </c>
      <c r="AM868" s="210"/>
      <c r="AN868" s="209"/>
    </row>
    <row r="869" spans="1:40" ht="27.95" customHeight="1">
      <c r="A869" s="134" t="str">
        <f>IF(I869&lt;&gt;"",COUNTA($I$2:I869),"")</f>
        <v/>
      </c>
      <c r="B869" s="138" t="str">
        <f t="shared" si="72"/>
        <v/>
      </c>
      <c r="C869" s="93" t="str">
        <f t="array" ref="C869">IF(E869="","",IF(M869&lt;&gt;"",
M869&amp;"/"&amp;SUMPRODUCT((M$2:M869=M869)*1)&amp;" - "&amp;(ROW()-2),
"إداري/"&amp;SUMPRODUCT((M$2:M869="")*1)&amp;" - "&amp;(ROW()-2)))</f>
        <v/>
      </c>
      <c r="D869" s="141" t="str">
        <f>IF(AND(G869="",H869="",I869=""),"",IF(COUNTIFS(LISTS!$A$2:$A$67,G869,LISTS!$B$2:$B$67,H869,LISTS!$C$2:$C$67,I869)=0,"✗ هرم",IF(NOT(OR(Z869="ممتاز 100%",Z869="جيد 80%",Z869="مقبول 60%",Z869="خطر 40%",Z869="")),"✗ قائمة R",IF(NOT(OR(AA869="ممتاز 100%",AA869="جيد 85%",AA869="مقبول 70%",AA869="ضعيف 50%",AA869="")),"✗ قائمة S",IF(NOT(OR(AB869="مكتمل 100%",AB869="جزئي 60%",AB869="معلق 30%",AB869="مفتوح 0%",AB869="")),"✗ قائمة T",IF(NOT(OR(AC869="لا خصم 0",AC869="تأخير −5",AC869="عجز −10",AC869="جودة −15",AC869="امتثال −20",AC869="مخالفة −25",AC869="")),"✗ قائمة U",IF(AND(X869="لا",AC869&lt;&gt;"",AC869&lt;&gt;"لا خصم 0"),"✗ خصم",IF(AND(X869="نعم",AC869="لا خصم 0"),"✗ خصم",IF(AND(Z869="ممتاز 100%",AA869="ممتاز 100%",AB869&lt;&gt;"",AB869&lt;&gt;"مكتمل 100%"),"✗ إغلاق",IFERROR(IF(LEN(_xlfn.TEXTJOIN("، ",TRUE,IF(E869="","التاريخ",""),IF(F869="","الوقت",""),IF(G869="","المركز",""),IF(H869="","الدائرة",""),IF(I869="","القسم",""),IF(J869="","المسؤول",""),IF(K869="","نوع النشاط",""),IF(L869="","المشروع",""),IF(N869="","الممول",""),IF(V869="","الموضوع",""),IF(W869="","الملاحظة",""),IF(X869="","مشكلة",""),IF(Y869="","الإجراء",""),IF(Z869="","التنفيذ",""),IF(AA869="","الجودة",""),IF(AB869="","الإغلاق",""),IF(AC869="","الخصم",""),IF(AND(COUNTA($O869:$U869)&gt;0,O869=""),"مدير المشروع",""),IF(AND(COUNTA($O869:$U869)&gt;0,P869=""),"المستفيدين",""),IF(AND(COUNTA($O869:$U869)&gt;0,Q869=""),"المناطق",""),IF(AND(COUNTA($O869:$U869)&gt;0,R869=""),"الميزانية",""),IF(AND(COUNTA($O869:$U869)&gt;0,S869=""),"نسبة الجاهزية",""),IF(AND(COUNTA($O869:$U869)&gt;0,T869=""),"حالة الجاهزية",""),IF(AND(COUNTA($O869:$U869)&gt;0,U869=""),"التوصيات","")))&gt;0,"✗ ناقص: "&amp;_xlfn.TEXTJOIN("، ",TRUE,IF(E869="","التاريخ",""),IF(F869="","الوقت",""),IF(G869="","المركز",""),IF(H869="","الدائرة",""),IF(I869="","القسم",""),IF(J869="","المسؤول",""),IF(K869="","نوع النشاط",""),IF(L869="","المشروع",""),IF(N869="","الممول",""),IF(V869="","الموضوع",""),IF(W869="","الملاحظة",""),IF(X869="","مشكلة",""),IF(Y869="","الإجراء",""),IF(Z869="","التنفيذ",""),IF(AA869="","الجودة",""),IF(AB869="","الإغلاق",""),IF(AC869="","الخصم",""),IF(AND(COUNTA($O869:$U869)&gt;0,O869=""),"مدير المشروع",""),IF(AND(COUNTA($O869:$U869)&gt;0,P869=""),"المستفيدين",""),IF(AND(COUNTA($O869:$U869)&gt;0,Q869=""),"المناطق",""),IF(AND(COUNTA($O869:$U869)&gt;0,R869=""),"الميزانية",""),IF(AND(COUNTA($O869:$U869)&gt;0,S869=""),"نسبة الجاهزية",""),IF(AND(COUNTA($O869:$U869)&gt;0,T869=""),"حالة الجاهزية",""),IF(AND(COUNTA($O869:$U869)&gt;0,U869=""),"التوصيات","")),"✓"),"✓"))))))))))</f>
        <v/>
      </c>
      <c r="E869" s="235"/>
      <c r="F869" s="236"/>
      <c r="G869" s="90"/>
      <c r="H869" s="239"/>
      <c r="I869" s="89"/>
      <c r="J869" s="142"/>
      <c r="K869" s="90"/>
      <c r="L869" s="90"/>
      <c r="M869" s="90"/>
      <c r="N869" s="89"/>
      <c r="O869" s="200"/>
      <c r="P869" s="201"/>
      <c r="Q869" s="201"/>
      <c r="R869" s="237"/>
      <c r="S869" s="202"/>
      <c r="T869" s="200"/>
      <c r="U869" s="203"/>
      <c r="V869" s="89"/>
      <c r="W869" s="89"/>
      <c r="X869" s="145"/>
      <c r="Y869" s="89"/>
      <c r="Z869" s="90"/>
      <c r="AA869" s="90"/>
      <c r="AB869" s="90"/>
      <c r="AC869" s="90"/>
      <c r="AD869" s="92"/>
      <c r="AE869" s="149" t="str">
        <f>IFERROR(VLOOKUP(Z869,LISTS!$AL$2:$AM$1000,2,FALSE()),"")</f>
        <v/>
      </c>
      <c r="AF869" s="151" t="str">
        <f>IFERROR(VLOOKUP(AA869,LISTS!$AO$2:$AP$1000,2,FALSE()),"")</f>
        <v/>
      </c>
      <c r="AG869" s="152" t="str">
        <f>IFERROR(VLOOKUP(AB869,LISTS!$AR$2:$AS$1000,2,FALSE()),"")</f>
        <v/>
      </c>
      <c r="AH869" s="154" t="str">
        <f>IFERROR(VLOOKUP(AC869,LISTS!$AU$2:$AV$1000,2,FALSE()),"")</f>
        <v/>
      </c>
      <c r="AI869" s="238" t="str">
        <f t="shared" si="68"/>
        <v>—</v>
      </c>
      <c r="AJ869" s="190" t="str">
        <f t="shared" si="69"/>
        <v>—</v>
      </c>
      <c r="AK869" s="157" t="str">
        <f t="shared" si="70"/>
        <v/>
      </c>
      <c r="AL869" s="160" t="str">
        <f t="shared" si="71"/>
        <v/>
      </c>
      <c r="AM869" s="210"/>
      <c r="AN869" s="209"/>
    </row>
    <row r="870" spans="1:40" ht="27.95" customHeight="1">
      <c r="A870" s="134" t="str">
        <f>IF(I870&lt;&gt;"",COUNTA($I$2:I870),"")</f>
        <v/>
      </c>
      <c r="B870" s="138" t="str">
        <f t="shared" si="72"/>
        <v/>
      </c>
      <c r="C870" s="93" t="str">
        <f t="array" ref="C870">IF(E870="","",IF(M870&lt;&gt;"",
M870&amp;"/"&amp;SUMPRODUCT((M$2:M870=M870)*1)&amp;" - "&amp;(ROW()-2),
"إداري/"&amp;SUMPRODUCT((M$2:M870="")*1)&amp;" - "&amp;(ROW()-2)))</f>
        <v/>
      </c>
      <c r="D870" s="141" t="str">
        <f>IF(AND(G870="",H870="",I870=""),"",IF(COUNTIFS(LISTS!$A$2:$A$67,G870,LISTS!$B$2:$B$67,H870,LISTS!$C$2:$C$67,I870)=0,"✗ هرم",IF(NOT(OR(Z870="ممتاز 100%",Z870="جيد 80%",Z870="مقبول 60%",Z870="خطر 40%",Z870="")),"✗ قائمة R",IF(NOT(OR(AA870="ممتاز 100%",AA870="جيد 85%",AA870="مقبول 70%",AA870="ضعيف 50%",AA870="")),"✗ قائمة S",IF(NOT(OR(AB870="مكتمل 100%",AB870="جزئي 60%",AB870="معلق 30%",AB870="مفتوح 0%",AB870="")),"✗ قائمة T",IF(NOT(OR(AC870="لا خصم 0",AC870="تأخير −5",AC870="عجز −10",AC870="جودة −15",AC870="امتثال −20",AC870="مخالفة −25",AC870="")),"✗ قائمة U",IF(AND(X870="لا",AC870&lt;&gt;"",AC870&lt;&gt;"لا خصم 0"),"✗ خصم",IF(AND(X870="نعم",AC870="لا خصم 0"),"✗ خصم",IF(AND(Z870="ممتاز 100%",AA870="ممتاز 100%",AB870&lt;&gt;"",AB870&lt;&gt;"مكتمل 100%"),"✗ إغلاق",IFERROR(IF(LEN(_xlfn.TEXTJOIN("، ",TRUE,IF(E870="","التاريخ",""),IF(F870="","الوقت",""),IF(G870="","المركز",""),IF(H870="","الدائرة",""),IF(I870="","القسم",""),IF(J870="","المسؤول",""),IF(K870="","نوع النشاط",""),IF(L870="","المشروع",""),IF(N870="","الممول",""),IF(V870="","الموضوع",""),IF(W870="","الملاحظة",""),IF(X870="","مشكلة",""),IF(Y870="","الإجراء",""),IF(Z870="","التنفيذ",""),IF(AA870="","الجودة",""),IF(AB870="","الإغلاق",""),IF(AC870="","الخصم",""),IF(AND(COUNTA($O870:$U870)&gt;0,O870=""),"مدير المشروع",""),IF(AND(COUNTA($O870:$U870)&gt;0,P870=""),"المستفيدين",""),IF(AND(COUNTA($O870:$U870)&gt;0,Q870=""),"المناطق",""),IF(AND(COUNTA($O870:$U870)&gt;0,R870=""),"الميزانية",""),IF(AND(COUNTA($O870:$U870)&gt;0,S870=""),"نسبة الجاهزية",""),IF(AND(COUNTA($O870:$U870)&gt;0,T870=""),"حالة الجاهزية",""),IF(AND(COUNTA($O870:$U870)&gt;0,U870=""),"التوصيات","")))&gt;0,"✗ ناقص: "&amp;_xlfn.TEXTJOIN("، ",TRUE,IF(E870="","التاريخ",""),IF(F870="","الوقت",""),IF(G870="","المركز",""),IF(H870="","الدائرة",""),IF(I870="","القسم",""),IF(J870="","المسؤول",""),IF(K870="","نوع النشاط",""),IF(L870="","المشروع",""),IF(N870="","الممول",""),IF(V870="","الموضوع",""),IF(W870="","الملاحظة",""),IF(X870="","مشكلة",""),IF(Y870="","الإجراء",""),IF(Z870="","التنفيذ",""),IF(AA870="","الجودة",""),IF(AB870="","الإغلاق",""),IF(AC870="","الخصم",""),IF(AND(COUNTA($O870:$U870)&gt;0,O870=""),"مدير المشروع",""),IF(AND(COUNTA($O870:$U870)&gt;0,P870=""),"المستفيدين",""),IF(AND(COUNTA($O870:$U870)&gt;0,Q870=""),"المناطق",""),IF(AND(COUNTA($O870:$U870)&gt;0,R870=""),"الميزانية",""),IF(AND(COUNTA($O870:$U870)&gt;0,S870=""),"نسبة الجاهزية",""),IF(AND(COUNTA($O870:$U870)&gt;0,T870=""),"حالة الجاهزية",""),IF(AND(COUNTA($O870:$U870)&gt;0,U870=""),"التوصيات","")),"✓"),"✓"))))))))))</f>
        <v/>
      </c>
      <c r="E870" s="235"/>
      <c r="F870" s="236"/>
      <c r="G870" s="90"/>
      <c r="H870" s="239"/>
      <c r="I870" s="89"/>
      <c r="J870" s="142"/>
      <c r="K870" s="90"/>
      <c r="L870" s="90"/>
      <c r="M870" s="90"/>
      <c r="N870" s="89"/>
      <c r="O870" s="200"/>
      <c r="P870" s="201"/>
      <c r="Q870" s="201"/>
      <c r="R870" s="237"/>
      <c r="S870" s="202"/>
      <c r="T870" s="200"/>
      <c r="U870" s="203"/>
      <c r="V870" s="89"/>
      <c r="W870" s="89"/>
      <c r="X870" s="145"/>
      <c r="Y870" s="89"/>
      <c r="Z870" s="90"/>
      <c r="AA870" s="90"/>
      <c r="AB870" s="90"/>
      <c r="AC870" s="90"/>
      <c r="AD870" s="92"/>
      <c r="AE870" s="149" t="str">
        <f>IFERROR(VLOOKUP(Z870,LISTS!$AL$2:$AM$1000,2,FALSE()),"")</f>
        <v/>
      </c>
      <c r="AF870" s="151" t="str">
        <f>IFERROR(VLOOKUP(AA870,LISTS!$AO$2:$AP$1000,2,FALSE()),"")</f>
        <v/>
      </c>
      <c r="AG870" s="152" t="str">
        <f>IFERROR(VLOOKUP(AB870,LISTS!$AR$2:$AS$1000,2,FALSE()),"")</f>
        <v/>
      </c>
      <c r="AH870" s="154" t="str">
        <f>IFERROR(VLOOKUP(AC870,LISTS!$AU$2:$AV$1000,2,FALSE()),"")</f>
        <v/>
      </c>
      <c r="AI870" s="238" t="str">
        <f t="shared" si="68"/>
        <v>—</v>
      </c>
      <c r="AJ870" s="190" t="str">
        <f t="shared" si="69"/>
        <v>—</v>
      </c>
      <c r="AK870" s="157" t="str">
        <f t="shared" si="70"/>
        <v/>
      </c>
      <c r="AL870" s="160" t="str">
        <f t="shared" si="71"/>
        <v/>
      </c>
      <c r="AM870" s="210"/>
      <c r="AN870" s="209"/>
    </row>
    <row r="871" spans="1:40" ht="27.95" customHeight="1">
      <c r="A871" s="134" t="str">
        <f>IF(I871&lt;&gt;"",COUNTA($I$2:I871),"")</f>
        <v/>
      </c>
      <c r="B871" s="138" t="str">
        <f t="shared" si="72"/>
        <v/>
      </c>
      <c r="C871" s="93" t="str">
        <f t="array" ref="C871">IF(E871="","",IF(M871&lt;&gt;"",
M871&amp;"/"&amp;SUMPRODUCT((M$2:M871=M871)*1)&amp;" - "&amp;(ROW()-2),
"إداري/"&amp;SUMPRODUCT((M$2:M871="")*1)&amp;" - "&amp;(ROW()-2)))</f>
        <v/>
      </c>
      <c r="D871" s="141" t="str">
        <f>IF(AND(G871="",H871="",I871=""),"",IF(COUNTIFS(LISTS!$A$2:$A$67,G871,LISTS!$B$2:$B$67,H871,LISTS!$C$2:$C$67,I871)=0,"✗ هرم",IF(NOT(OR(Z871="ممتاز 100%",Z871="جيد 80%",Z871="مقبول 60%",Z871="خطر 40%",Z871="")),"✗ قائمة R",IF(NOT(OR(AA871="ممتاز 100%",AA871="جيد 85%",AA871="مقبول 70%",AA871="ضعيف 50%",AA871="")),"✗ قائمة S",IF(NOT(OR(AB871="مكتمل 100%",AB871="جزئي 60%",AB871="معلق 30%",AB871="مفتوح 0%",AB871="")),"✗ قائمة T",IF(NOT(OR(AC871="لا خصم 0",AC871="تأخير −5",AC871="عجز −10",AC871="جودة −15",AC871="امتثال −20",AC871="مخالفة −25",AC871="")),"✗ قائمة U",IF(AND(X871="لا",AC871&lt;&gt;"",AC871&lt;&gt;"لا خصم 0"),"✗ خصم",IF(AND(X871="نعم",AC871="لا خصم 0"),"✗ خصم",IF(AND(Z871="ممتاز 100%",AA871="ممتاز 100%",AB871&lt;&gt;"",AB871&lt;&gt;"مكتمل 100%"),"✗ إغلاق",IFERROR(IF(LEN(_xlfn.TEXTJOIN("، ",TRUE,IF(E871="","التاريخ",""),IF(F871="","الوقت",""),IF(G871="","المركز",""),IF(H871="","الدائرة",""),IF(I871="","القسم",""),IF(J871="","المسؤول",""),IF(K871="","نوع النشاط",""),IF(L871="","المشروع",""),IF(N871="","الممول",""),IF(V871="","الموضوع",""),IF(W871="","الملاحظة",""),IF(X871="","مشكلة",""),IF(Y871="","الإجراء",""),IF(Z871="","التنفيذ",""),IF(AA871="","الجودة",""),IF(AB871="","الإغلاق",""),IF(AC871="","الخصم",""),IF(AND(COUNTA($O871:$U871)&gt;0,O871=""),"مدير المشروع",""),IF(AND(COUNTA($O871:$U871)&gt;0,P871=""),"المستفيدين",""),IF(AND(COUNTA($O871:$U871)&gt;0,Q871=""),"المناطق",""),IF(AND(COUNTA($O871:$U871)&gt;0,R871=""),"الميزانية",""),IF(AND(COUNTA($O871:$U871)&gt;0,S871=""),"نسبة الجاهزية",""),IF(AND(COUNTA($O871:$U871)&gt;0,T871=""),"حالة الجاهزية",""),IF(AND(COUNTA($O871:$U871)&gt;0,U871=""),"التوصيات","")))&gt;0,"✗ ناقص: "&amp;_xlfn.TEXTJOIN("، ",TRUE,IF(E871="","التاريخ",""),IF(F871="","الوقت",""),IF(G871="","المركز",""),IF(H871="","الدائرة",""),IF(I871="","القسم",""),IF(J871="","المسؤول",""),IF(K871="","نوع النشاط",""),IF(L871="","المشروع",""),IF(N871="","الممول",""),IF(V871="","الموضوع",""),IF(W871="","الملاحظة",""),IF(X871="","مشكلة",""),IF(Y871="","الإجراء",""),IF(Z871="","التنفيذ",""),IF(AA871="","الجودة",""),IF(AB871="","الإغلاق",""),IF(AC871="","الخصم",""),IF(AND(COUNTA($O871:$U871)&gt;0,O871=""),"مدير المشروع",""),IF(AND(COUNTA($O871:$U871)&gt;0,P871=""),"المستفيدين",""),IF(AND(COUNTA($O871:$U871)&gt;0,Q871=""),"المناطق",""),IF(AND(COUNTA($O871:$U871)&gt;0,R871=""),"الميزانية",""),IF(AND(COUNTA($O871:$U871)&gt;0,S871=""),"نسبة الجاهزية",""),IF(AND(COUNTA($O871:$U871)&gt;0,T871=""),"حالة الجاهزية",""),IF(AND(COUNTA($O871:$U871)&gt;0,U871=""),"التوصيات","")),"✓"),"✓"))))))))))</f>
        <v/>
      </c>
      <c r="E871" s="235"/>
      <c r="F871" s="236"/>
      <c r="G871" s="90"/>
      <c r="H871" s="239"/>
      <c r="I871" s="89"/>
      <c r="J871" s="142"/>
      <c r="K871" s="90"/>
      <c r="L871" s="90"/>
      <c r="M871" s="90"/>
      <c r="N871" s="89"/>
      <c r="O871" s="200"/>
      <c r="P871" s="201"/>
      <c r="Q871" s="201"/>
      <c r="R871" s="237"/>
      <c r="S871" s="202"/>
      <c r="T871" s="200"/>
      <c r="U871" s="203"/>
      <c r="V871" s="89"/>
      <c r="W871" s="89"/>
      <c r="X871" s="145"/>
      <c r="Y871" s="89"/>
      <c r="Z871" s="90"/>
      <c r="AA871" s="90"/>
      <c r="AB871" s="90"/>
      <c r="AC871" s="90"/>
      <c r="AD871" s="92"/>
      <c r="AE871" s="149" t="str">
        <f>IFERROR(VLOOKUP(Z871,LISTS!$AL$2:$AM$1000,2,FALSE()),"")</f>
        <v/>
      </c>
      <c r="AF871" s="151" t="str">
        <f>IFERROR(VLOOKUP(AA871,LISTS!$AO$2:$AP$1000,2,FALSE()),"")</f>
        <v/>
      </c>
      <c r="AG871" s="152" t="str">
        <f>IFERROR(VLOOKUP(AB871,LISTS!$AR$2:$AS$1000,2,FALSE()),"")</f>
        <v/>
      </c>
      <c r="AH871" s="154" t="str">
        <f>IFERROR(VLOOKUP(AC871,LISTS!$AU$2:$AV$1000,2,FALSE()),"")</f>
        <v/>
      </c>
      <c r="AI871" s="238" t="str">
        <f t="shared" si="68"/>
        <v>—</v>
      </c>
      <c r="AJ871" s="190" t="str">
        <f t="shared" si="69"/>
        <v>—</v>
      </c>
      <c r="AK871" s="157" t="str">
        <f t="shared" si="70"/>
        <v/>
      </c>
      <c r="AL871" s="160" t="str">
        <f t="shared" si="71"/>
        <v/>
      </c>
      <c r="AM871" s="210"/>
      <c r="AN871" s="209"/>
    </row>
    <row r="872" spans="1:40" ht="27.95" customHeight="1">
      <c r="A872" s="134" t="str">
        <f>IF(I872&lt;&gt;"",COUNTA($I$2:I872),"")</f>
        <v/>
      </c>
      <c r="B872" s="138" t="str">
        <f t="shared" si="72"/>
        <v/>
      </c>
      <c r="C872" s="93" t="str">
        <f t="array" ref="C872">IF(E872="","",IF(M872&lt;&gt;"",
M872&amp;"/"&amp;SUMPRODUCT((M$2:M872=M872)*1)&amp;" - "&amp;(ROW()-2),
"إداري/"&amp;SUMPRODUCT((M$2:M872="")*1)&amp;" - "&amp;(ROW()-2)))</f>
        <v/>
      </c>
      <c r="D872" s="141" t="str">
        <f>IF(AND(G872="",H872="",I872=""),"",IF(COUNTIFS(LISTS!$A$2:$A$67,G872,LISTS!$B$2:$B$67,H872,LISTS!$C$2:$C$67,I872)=0,"✗ هرم",IF(NOT(OR(Z872="ممتاز 100%",Z872="جيد 80%",Z872="مقبول 60%",Z872="خطر 40%",Z872="")),"✗ قائمة R",IF(NOT(OR(AA872="ممتاز 100%",AA872="جيد 85%",AA872="مقبول 70%",AA872="ضعيف 50%",AA872="")),"✗ قائمة S",IF(NOT(OR(AB872="مكتمل 100%",AB872="جزئي 60%",AB872="معلق 30%",AB872="مفتوح 0%",AB872="")),"✗ قائمة T",IF(NOT(OR(AC872="لا خصم 0",AC872="تأخير −5",AC872="عجز −10",AC872="جودة −15",AC872="امتثال −20",AC872="مخالفة −25",AC872="")),"✗ قائمة U",IF(AND(X872="لا",AC872&lt;&gt;"",AC872&lt;&gt;"لا خصم 0"),"✗ خصم",IF(AND(X872="نعم",AC872="لا خصم 0"),"✗ خصم",IF(AND(Z872="ممتاز 100%",AA872="ممتاز 100%",AB872&lt;&gt;"",AB872&lt;&gt;"مكتمل 100%"),"✗ إغلاق",IFERROR(IF(LEN(_xlfn.TEXTJOIN("، ",TRUE,IF(E872="","التاريخ",""),IF(F872="","الوقت",""),IF(G872="","المركز",""),IF(H872="","الدائرة",""),IF(I872="","القسم",""),IF(J872="","المسؤول",""),IF(K872="","نوع النشاط",""),IF(L872="","المشروع",""),IF(N872="","الممول",""),IF(V872="","الموضوع",""),IF(W872="","الملاحظة",""),IF(X872="","مشكلة",""),IF(Y872="","الإجراء",""),IF(Z872="","التنفيذ",""),IF(AA872="","الجودة",""),IF(AB872="","الإغلاق",""),IF(AC872="","الخصم",""),IF(AND(COUNTA($O872:$U872)&gt;0,O872=""),"مدير المشروع",""),IF(AND(COUNTA($O872:$U872)&gt;0,P872=""),"المستفيدين",""),IF(AND(COUNTA($O872:$U872)&gt;0,Q872=""),"المناطق",""),IF(AND(COUNTA($O872:$U872)&gt;0,R872=""),"الميزانية",""),IF(AND(COUNTA($O872:$U872)&gt;0,S872=""),"نسبة الجاهزية",""),IF(AND(COUNTA($O872:$U872)&gt;0,T872=""),"حالة الجاهزية",""),IF(AND(COUNTA($O872:$U872)&gt;0,U872=""),"التوصيات","")))&gt;0,"✗ ناقص: "&amp;_xlfn.TEXTJOIN("، ",TRUE,IF(E872="","التاريخ",""),IF(F872="","الوقت",""),IF(G872="","المركز",""),IF(H872="","الدائرة",""),IF(I872="","القسم",""),IF(J872="","المسؤول",""),IF(K872="","نوع النشاط",""),IF(L872="","المشروع",""),IF(N872="","الممول",""),IF(V872="","الموضوع",""),IF(W872="","الملاحظة",""),IF(X872="","مشكلة",""),IF(Y872="","الإجراء",""),IF(Z872="","التنفيذ",""),IF(AA872="","الجودة",""),IF(AB872="","الإغلاق",""),IF(AC872="","الخصم",""),IF(AND(COUNTA($O872:$U872)&gt;0,O872=""),"مدير المشروع",""),IF(AND(COUNTA($O872:$U872)&gt;0,P872=""),"المستفيدين",""),IF(AND(COUNTA($O872:$U872)&gt;0,Q872=""),"المناطق",""),IF(AND(COUNTA($O872:$U872)&gt;0,R872=""),"الميزانية",""),IF(AND(COUNTA($O872:$U872)&gt;0,S872=""),"نسبة الجاهزية",""),IF(AND(COUNTA($O872:$U872)&gt;0,T872=""),"حالة الجاهزية",""),IF(AND(COUNTA($O872:$U872)&gt;0,U872=""),"التوصيات","")),"✓"),"✓"))))))))))</f>
        <v/>
      </c>
      <c r="E872" s="235"/>
      <c r="F872" s="236"/>
      <c r="G872" s="90"/>
      <c r="H872" s="239"/>
      <c r="I872" s="89"/>
      <c r="J872" s="142"/>
      <c r="K872" s="90"/>
      <c r="L872" s="90"/>
      <c r="M872" s="90"/>
      <c r="N872" s="89"/>
      <c r="O872" s="200"/>
      <c r="P872" s="201"/>
      <c r="Q872" s="201"/>
      <c r="R872" s="237"/>
      <c r="S872" s="202"/>
      <c r="T872" s="200"/>
      <c r="U872" s="203"/>
      <c r="V872" s="89"/>
      <c r="W872" s="89"/>
      <c r="X872" s="145"/>
      <c r="Y872" s="89"/>
      <c r="Z872" s="90"/>
      <c r="AA872" s="90"/>
      <c r="AB872" s="90"/>
      <c r="AC872" s="90"/>
      <c r="AD872" s="92"/>
      <c r="AE872" s="149" t="str">
        <f>IFERROR(VLOOKUP(Z872,LISTS!$AL$2:$AM$1000,2,FALSE()),"")</f>
        <v/>
      </c>
      <c r="AF872" s="151" t="str">
        <f>IFERROR(VLOOKUP(AA872,LISTS!$AO$2:$AP$1000,2,FALSE()),"")</f>
        <v/>
      </c>
      <c r="AG872" s="152" t="str">
        <f>IFERROR(VLOOKUP(AB872,LISTS!$AR$2:$AS$1000,2,FALSE()),"")</f>
        <v/>
      </c>
      <c r="AH872" s="154" t="str">
        <f>IFERROR(VLOOKUP(AC872,LISTS!$AU$2:$AV$1000,2,FALSE()),"")</f>
        <v/>
      </c>
      <c r="AI872" s="238" t="str">
        <f t="shared" si="68"/>
        <v>—</v>
      </c>
      <c r="AJ872" s="190" t="str">
        <f t="shared" si="69"/>
        <v>—</v>
      </c>
      <c r="AK872" s="157" t="str">
        <f t="shared" si="70"/>
        <v/>
      </c>
      <c r="AL872" s="160" t="str">
        <f t="shared" si="71"/>
        <v/>
      </c>
      <c r="AM872" s="210"/>
      <c r="AN872" s="209"/>
    </row>
    <row r="873" spans="1:40" ht="27.95" customHeight="1">
      <c r="A873" s="134" t="str">
        <f>IF(I873&lt;&gt;"",COUNTA($I$2:I873),"")</f>
        <v/>
      </c>
      <c r="B873" s="138" t="str">
        <f t="shared" si="72"/>
        <v/>
      </c>
      <c r="C873" s="93" t="str">
        <f t="array" ref="C873">IF(E873="","",IF(M873&lt;&gt;"",
M873&amp;"/"&amp;SUMPRODUCT((M$2:M873=M873)*1)&amp;" - "&amp;(ROW()-2),
"إداري/"&amp;SUMPRODUCT((M$2:M873="")*1)&amp;" - "&amp;(ROW()-2)))</f>
        <v/>
      </c>
      <c r="D873" s="141" t="str">
        <f>IF(AND(G873="",H873="",I873=""),"",IF(COUNTIFS(LISTS!$A$2:$A$67,G873,LISTS!$B$2:$B$67,H873,LISTS!$C$2:$C$67,I873)=0,"✗ هرم",IF(NOT(OR(Z873="ممتاز 100%",Z873="جيد 80%",Z873="مقبول 60%",Z873="خطر 40%",Z873="")),"✗ قائمة R",IF(NOT(OR(AA873="ممتاز 100%",AA873="جيد 85%",AA873="مقبول 70%",AA873="ضعيف 50%",AA873="")),"✗ قائمة S",IF(NOT(OR(AB873="مكتمل 100%",AB873="جزئي 60%",AB873="معلق 30%",AB873="مفتوح 0%",AB873="")),"✗ قائمة T",IF(NOT(OR(AC873="لا خصم 0",AC873="تأخير −5",AC873="عجز −10",AC873="جودة −15",AC873="امتثال −20",AC873="مخالفة −25",AC873="")),"✗ قائمة U",IF(AND(X873="لا",AC873&lt;&gt;"",AC873&lt;&gt;"لا خصم 0"),"✗ خصم",IF(AND(X873="نعم",AC873="لا خصم 0"),"✗ خصم",IF(AND(Z873="ممتاز 100%",AA873="ممتاز 100%",AB873&lt;&gt;"",AB873&lt;&gt;"مكتمل 100%"),"✗ إغلاق",IFERROR(IF(LEN(_xlfn.TEXTJOIN("، ",TRUE,IF(E873="","التاريخ",""),IF(F873="","الوقت",""),IF(G873="","المركز",""),IF(H873="","الدائرة",""),IF(I873="","القسم",""),IF(J873="","المسؤول",""),IF(K873="","نوع النشاط",""),IF(L873="","المشروع",""),IF(N873="","الممول",""),IF(V873="","الموضوع",""),IF(W873="","الملاحظة",""),IF(X873="","مشكلة",""),IF(Y873="","الإجراء",""),IF(Z873="","التنفيذ",""),IF(AA873="","الجودة",""),IF(AB873="","الإغلاق",""),IF(AC873="","الخصم",""),IF(AND(COUNTA($O873:$U873)&gt;0,O873=""),"مدير المشروع",""),IF(AND(COUNTA($O873:$U873)&gt;0,P873=""),"المستفيدين",""),IF(AND(COUNTA($O873:$U873)&gt;0,Q873=""),"المناطق",""),IF(AND(COUNTA($O873:$U873)&gt;0,R873=""),"الميزانية",""),IF(AND(COUNTA($O873:$U873)&gt;0,S873=""),"نسبة الجاهزية",""),IF(AND(COUNTA($O873:$U873)&gt;0,T873=""),"حالة الجاهزية",""),IF(AND(COUNTA($O873:$U873)&gt;0,U873=""),"التوصيات","")))&gt;0,"✗ ناقص: "&amp;_xlfn.TEXTJOIN("، ",TRUE,IF(E873="","التاريخ",""),IF(F873="","الوقت",""),IF(G873="","المركز",""),IF(H873="","الدائرة",""),IF(I873="","القسم",""),IF(J873="","المسؤول",""),IF(K873="","نوع النشاط",""),IF(L873="","المشروع",""),IF(N873="","الممول",""),IF(V873="","الموضوع",""),IF(W873="","الملاحظة",""),IF(X873="","مشكلة",""),IF(Y873="","الإجراء",""),IF(Z873="","التنفيذ",""),IF(AA873="","الجودة",""),IF(AB873="","الإغلاق",""),IF(AC873="","الخصم",""),IF(AND(COUNTA($O873:$U873)&gt;0,O873=""),"مدير المشروع",""),IF(AND(COUNTA($O873:$U873)&gt;0,P873=""),"المستفيدين",""),IF(AND(COUNTA($O873:$U873)&gt;0,Q873=""),"المناطق",""),IF(AND(COUNTA($O873:$U873)&gt;0,R873=""),"الميزانية",""),IF(AND(COUNTA($O873:$U873)&gt;0,S873=""),"نسبة الجاهزية",""),IF(AND(COUNTA($O873:$U873)&gt;0,T873=""),"حالة الجاهزية",""),IF(AND(COUNTA($O873:$U873)&gt;0,U873=""),"التوصيات","")),"✓"),"✓"))))))))))</f>
        <v/>
      </c>
      <c r="E873" s="235"/>
      <c r="F873" s="236"/>
      <c r="G873" s="90"/>
      <c r="H873" s="239"/>
      <c r="I873" s="89"/>
      <c r="J873" s="142"/>
      <c r="K873" s="90"/>
      <c r="L873" s="90"/>
      <c r="M873" s="90"/>
      <c r="N873" s="89"/>
      <c r="O873" s="200"/>
      <c r="P873" s="201"/>
      <c r="Q873" s="201"/>
      <c r="R873" s="237"/>
      <c r="S873" s="202"/>
      <c r="T873" s="200"/>
      <c r="U873" s="203"/>
      <c r="V873" s="89"/>
      <c r="W873" s="89"/>
      <c r="X873" s="145"/>
      <c r="Y873" s="89"/>
      <c r="Z873" s="90"/>
      <c r="AA873" s="90"/>
      <c r="AB873" s="90"/>
      <c r="AC873" s="90"/>
      <c r="AD873" s="92"/>
      <c r="AE873" s="149" t="str">
        <f>IFERROR(VLOOKUP(Z873,LISTS!$AL$2:$AM$1000,2,FALSE()),"")</f>
        <v/>
      </c>
      <c r="AF873" s="151" t="str">
        <f>IFERROR(VLOOKUP(AA873,LISTS!$AO$2:$AP$1000,2,FALSE()),"")</f>
        <v/>
      </c>
      <c r="AG873" s="152" t="str">
        <f>IFERROR(VLOOKUP(AB873,LISTS!$AR$2:$AS$1000,2,FALSE()),"")</f>
        <v/>
      </c>
      <c r="AH873" s="154" t="str">
        <f>IFERROR(VLOOKUP(AC873,LISTS!$AU$2:$AV$1000,2,FALSE()),"")</f>
        <v/>
      </c>
      <c r="AI873" s="238" t="str">
        <f t="shared" si="68"/>
        <v>—</v>
      </c>
      <c r="AJ873" s="190" t="str">
        <f t="shared" si="69"/>
        <v>—</v>
      </c>
      <c r="AK873" s="157" t="str">
        <f t="shared" si="70"/>
        <v/>
      </c>
      <c r="AL873" s="160" t="str">
        <f t="shared" si="71"/>
        <v/>
      </c>
      <c r="AM873" s="210"/>
      <c r="AN873" s="209"/>
    </row>
    <row r="874" spans="1:40" ht="27.95" customHeight="1">
      <c r="A874" s="134" t="str">
        <f>IF(I874&lt;&gt;"",COUNTA($I$2:I874),"")</f>
        <v/>
      </c>
      <c r="B874" s="138" t="str">
        <f t="shared" si="72"/>
        <v/>
      </c>
      <c r="C874" s="93" t="str">
        <f t="array" ref="C874">IF(E874="","",IF(M874&lt;&gt;"",
M874&amp;"/"&amp;SUMPRODUCT((M$2:M874=M874)*1)&amp;" - "&amp;(ROW()-2),
"إداري/"&amp;SUMPRODUCT((M$2:M874="")*1)&amp;" - "&amp;(ROW()-2)))</f>
        <v/>
      </c>
      <c r="D874" s="141" t="str">
        <f>IF(AND(G874="",H874="",I874=""),"",IF(COUNTIFS(LISTS!$A$2:$A$67,G874,LISTS!$B$2:$B$67,H874,LISTS!$C$2:$C$67,I874)=0,"✗ هرم",IF(NOT(OR(Z874="ممتاز 100%",Z874="جيد 80%",Z874="مقبول 60%",Z874="خطر 40%",Z874="")),"✗ قائمة R",IF(NOT(OR(AA874="ممتاز 100%",AA874="جيد 85%",AA874="مقبول 70%",AA874="ضعيف 50%",AA874="")),"✗ قائمة S",IF(NOT(OR(AB874="مكتمل 100%",AB874="جزئي 60%",AB874="معلق 30%",AB874="مفتوح 0%",AB874="")),"✗ قائمة T",IF(NOT(OR(AC874="لا خصم 0",AC874="تأخير −5",AC874="عجز −10",AC874="جودة −15",AC874="امتثال −20",AC874="مخالفة −25",AC874="")),"✗ قائمة U",IF(AND(X874="لا",AC874&lt;&gt;"",AC874&lt;&gt;"لا خصم 0"),"✗ خصم",IF(AND(X874="نعم",AC874="لا خصم 0"),"✗ خصم",IF(AND(Z874="ممتاز 100%",AA874="ممتاز 100%",AB874&lt;&gt;"",AB874&lt;&gt;"مكتمل 100%"),"✗ إغلاق",IFERROR(IF(LEN(_xlfn.TEXTJOIN("، ",TRUE,IF(E874="","التاريخ",""),IF(F874="","الوقت",""),IF(G874="","المركز",""),IF(H874="","الدائرة",""),IF(I874="","القسم",""),IF(J874="","المسؤول",""),IF(K874="","نوع النشاط",""),IF(L874="","المشروع",""),IF(N874="","الممول",""),IF(V874="","الموضوع",""),IF(W874="","الملاحظة",""),IF(X874="","مشكلة",""),IF(Y874="","الإجراء",""),IF(Z874="","التنفيذ",""),IF(AA874="","الجودة",""),IF(AB874="","الإغلاق",""),IF(AC874="","الخصم",""),IF(AND(COUNTA($O874:$U874)&gt;0,O874=""),"مدير المشروع",""),IF(AND(COUNTA($O874:$U874)&gt;0,P874=""),"المستفيدين",""),IF(AND(COUNTA($O874:$U874)&gt;0,Q874=""),"المناطق",""),IF(AND(COUNTA($O874:$U874)&gt;0,R874=""),"الميزانية",""),IF(AND(COUNTA($O874:$U874)&gt;0,S874=""),"نسبة الجاهزية",""),IF(AND(COUNTA($O874:$U874)&gt;0,T874=""),"حالة الجاهزية",""),IF(AND(COUNTA($O874:$U874)&gt;0,U874=""),"التوصيات","")))&gt;0,"✗ ناقص: "&amp;_xlfn.TEXTJOIN("، ",TRUE,IF(E874="","التاريخ",""),IF(F874="","الوقت",""),IF(G874="","المركز",""),IF(H874="","الدائرة",""),IF(I874="","القسم",""),IF(J874="","المسؤول",""),IF(K874="","نوع النشاط",""),IF(L874="","المشروع",""),IF(N874="","الممول",""),IF(V874="","الموضوع",""),IF(W874="","الملاحظة",""),IF(X874="","مشكلة",""),IF(Y874="","الإجراء",""),IF(Z874="","التنفيذ",""),IF(AA874="","الجودة",""),IF(AB874="","الإغلاق",""),IF(AC874="","الخصم",""),IF(AND(COUNTA($O874:$U874)&gt;0,O874=""),"مدير المشروع",""),IF(AND(COUNTA($O874:$U874)&gt;0,P874=""),"المستفيدين",""),IF(AND(COUNTA($O874:$U874)&gt;0,Q874=""),"المناطق",""),IF(AND(COUNTA($O874:$U874)&gt;0,R874=""),"الميزانية",""),IF(AND(COUNTA($O874:$U874)&gt;0,S874=""),"نسبة الجاهزية",""),IF(AND(COUNTA($O874:$U874)&gt;0,T874=""),"حالة الجاهزية",""),IF(AND(COUNTA($O874:$U874)&gt;0,U874=""),"التوصيات","")),"✓"),"✓"))))))))))</f>
        <v/>
      </c>
      <c r="E874" s="235"/>
      <c r="F874" s="236"/>
      <c r="G874" s="90"/>
      <c r="H874" s="239"/>
      <c r="I874" s="89"/>
      <c r="J874" s="142"/>
      <c r="K874" s="90"/>
      <c r="L874" s="90"/>
      <c r="M874" s="90"/>
      <c r="N874" s="89"/>
      <c r="O874" s="200"/>
      <c r="P874" s="201"/>
      <c r="Q874" s="201"/>
      <c r="R874" s="237"/>
      <c r="S874" s="202"/>
      <c r="T874" s="200"/>
      <c r="U874" s="203"/>
      <c r="V874" s="89"/>
      <c r="W874" s="89"/>
      <c r="X874" s="145"/>
      <c r="Y874" s="89"/>
      <c r="Z874" s="90"/>
      <c r="AA874" s="90"/>
      <c r="AB874" s="90"/>
      <c r="AC874" s="90"/>
      <c r="AD874" s="92"/>
      <c r="AE874" s="149" t="str">
        <f>IFERROR(VLOOKUP(Z874,LISTS!$AL$2:$AM$1000,2,FALSE()),"")</f>
        <v/>
      </c>
      <c r="AF874" s="151" t="str">
        <f>IFERROR(VLOOKUP(AA874,LISTS!$AO$2:$AP$1000,2,FALSE()),"")</f>
        <v/>
      </c>
      <c r="AG874" s="152" t="str">
        <f>IFERROR(VLOOKUP(AB874,LISTS!$AR$2:$AS$1000,2,FALSE()),"")</f>
        <v/>
      </c>
      <c r="AH874" s="154" t="str">
        <f>IFERROR(VLOOKUP(AC874,LISTS!$AU$2:$AV$1000,2,FALSE()),"")</f>
        <v/>
      </c>
      <c r="AI874" s="238" t="str">
        <f t="shared" si="68"/>
        <v>—</v>
      </c>
      <c r="AJ874" s="190" t="str">
        <f t="shared" si="69"/>
        <v>—</v>
      </c>
      <c r="AK874" s="157" t="str">
        <f t="shared" si="70"/>
        <v/>
      </c>
      <c r="AL874" s="160" t="str">
        <f t="shared" si="71"/>
        <v/>
      </c>
      <c r="AM874" s="210"/>
      <c r="AN874" s="209"/>
    </row>
    <row r="875" spans="1:40" ht="27.95" customHeight="1">
      <c r="A875" s="134" t="str">
        <f>IF(I875&lt;&gt;"",COUNTA($I$2:I875),"")</f>
        <v/>
      </c>
      <c r="B875" s="138" t="str">
        <f t="shared" si="72"/>
        <v/>
      </c>
      <c r="C875" s="93" t="str">
        <f t="array" ref="C875">IF(E875="","",IF(M875&lt;&gt;"",
M875&amp;"/"&amp;SUMPRODUCT((M$2:M875=M875)*1)&amp;" - "&amp;(ROW()-2),
"إداري/"&amp;SUMPRODUCT((M$2:M875="")*1)&amp;" - "&amp;(ROW()-2)))</f>
        <v/>
      </c>
      <c r="D875" s="141" t="str">
        <f>IF(AND(G875="",H875="",I875=""),"",IF(COUNTIFS(LISTS!$A$2:$A$67,G875,LISTS!$B$2:$B$67,H875,LISTS!$C$2:$C$67,I875)=0,"✗ هرم",IF(NOT(OR(Z875="ممتاز 100%",Z875="جيد 80%",Z875="مقبول 60%",Z875="خطر 40%",Z875="")),"✗ قائمة R",IF(NOT(OR(AA875="ممتاز 100%",AA875="جيد 85%",AA875="مقبول 70%",AA875="ضعيف 50%",AA875="")),"✗ قائمة S",IF(NOT(OR(AB875="مكتمل 100%",AB875="جزئي 60%",AB875="معلق 30%",AB875="مفتوح 0%",AB875="")),"✗ قائمة T",IF(NOT(OR(AC875="لا خصم 0",AC875="تأخير −5",AC875="عجز −10",AC875="جودة −15",AC875="امتثال −20",AC875="مخالفة −25",AC875="")),"✗ قائمة U",IF(AND(X875="لا",AC875&lt;&gt;"",AC875&lt;&gt;"لا خصم 0"),"✗ خصم",IF(AND(X875="نعم",AC875="لا خصم 0"),"✗ خصم",IF(AND(Z875="ممتاز 100%",AA875="ممتاز 100%",AB875&lt;&gt;"",AB875&lt;&gt;"مكتمل 100%"),"✗ إغلاق",IFERROR(IF(LEN(_xlfn.TEXTJOIN("، ",TRUE,IF(E875="","التاريخ",""),IF(F875="","الوقت",""),IF(G875="","المركز",""),IF(H875="","الدائرة",""),IF(I875="","القسم",""),IF(J875="","المسؤول",""),IF(K875="","نوع النشاط",""),IF(L875="","المشروع",""),IF(N875="","الممول",""),IF(V875="","الموضوع",""),IF(W875="","الملاحظة",""),IF(X875="","مشكلة",""),IF(Y875="","الإجراء",""),IF(Z875="","التنفيذ",""),IF(AA875="","الجودة",""),IF(AB875="","الإغلاق",""),IF(AC875="","الخصم",""),IF(AND(COUNTA($O875:$U875)&gt;0,O875=""),"مدير المشروع",""),IF(AND(COUNTA($O875:$U875)&gt;0,P875=""),"المستفيدين",""),IF(AND(COUNTA($O875:$U875)&gt;0,Q875=""),"المناطق",""),IF(AND(COUNTA($O875:$U875)&gt;0,R875=""),"الميزانية",""),IF(AND(COUNTA($O875:$U875)&gt;0,S875=""),"نسبة الجاهزية",""),IF(AND(COUNTA($O875:$U875)&gt;0,T875=""),"حالة الجاهزية",""),IF(AND(COUNTA($O875:$U875)&gt;0,U875=""),"التوصيات","")))&gt;0,"✗ ناقص: "&amp;_xlfn.TEXTJOIN("، ",TRUE,IF(E875="","التاريخ",""),IF(F875="","الوقت",""),IF(G875="","المركز",""),IF(H875="","الدائرة",""),IF(I875="","القسم",""),IF(J875="","المسؤول",""),IF(K875="","نوع النشاط",""),IF(L875="","المشروع",""),IF(N875="","الممول",""),IF(V875="","الموضوع",""),IF(W875="","الملاحظة",""),IF(X875="","مشكلة",""),IF(Y875="","الإجراء",""),IF(Z875="","التنفيذ",""),IF(AA875="","الجودة",""),IF(AB875="","الإغلاق",""),IF(AC875="","الخصم",""),IF(AND(COUNTA($O875:$U875)&gt;0,O875=""),"مدير المشروع",""),IF(AND(COUNTA($O875:$U875)&gt;0,P875=""),"المستفيدين",""),IF(AND(COUNTA($O875:$U875)&gt;0,Q875=""),"المناطق",""),IF(AND(COUNTA($O875:$U875)&gt;0,R875=""),"الميزانية",""),IF(AND(COUNTA($O875:$U875)&gt;0,S875=""),"نسبة الجاهزية",""),IF(AND(COUNTA($O875:$U875)&gt;0,T875=""),"حالة الجاهزية",""),IF(AND(COUNTA($O875:$U875)&gt;0,U875=""),"التوصيات","")),"✓"),"✓"))))))))))</f>
        <v/>
      </c>
      <c r="E875" s="235"/>
      <c r="F875" s="236"/>
      <c r="G875" s="90"/>
      <c r="H875" s="239"/>
      <c r="I875" s="89"/>
      <c r="J875" s="142"/>
      <c r="K875" s="90"/>
      <c r="L875" s="90"/>
      <c r="M875" s="90"/>
      <c r="N875" s="89"/>
      <c r="O875" s="200"/>
      <c r="P875" s="201"/>
      <c r="Q875" s="201"/>
      <c r="R875" s="237"/>
      <c r="S875" s="202"/>
      <c r="T875" s="200"/>
      <c r="U875" s="203"/>
      <c r="V875" s="89"/>
      <c r="W875" s="89"/>
      <c r="X875" s="145"/>
      <c r="Y875" s="89"/>
      <c r="Z875" s="90"/>
      <c r="AA875" s="90"/>
      <c r="AB875" s="90"/>
      <c r="AC875" s="90"/>
      <c r="AD875" s="92"/>
      <c r="AE875" s="149" t="str">
        <f>IFERROR(VLOOKUP(Z875,LISTS!$AL$2:$AM$1000,2,FALSE()),"")</f>
        <v/>
      </c>
      <c r="AF875" s="151" t="str">
        <f>IFERROR(VLOOKUP(AA875,LISTS!$AO$2:$AP$1000,2,FALSE()),"")</f>
        <v/>
      </c>
      <c r="AG875" s="152" t="str">
        <f>IFERROR(VLOOKUP(AB875,LISTS!$AR$2:$AS$1000,2,FALSE()),"")</f>
        <v/>
      </c>
      <c r="AH875" s="154" t="str">
        <f>IFERROR(VLOOKUP(AC875,LISTS!$AU$2:$AV$1000,2,FALSE()),"")</f>
        <v/>
      </c>
      <c r="AI875" s="238" t="str">
        <f t="shared" si="68"/>
        <v>—</v>
      </c>
      <c r="AJ875" s="190" t="str">
        <f t="shared" si="69"/>
        <v>—</v>
      </c>
      <c r="AK875" s="157" t="str">
        <f t="shared" si="70"/>
        <v/>
      </c>
      <c r="AL875" s="160" t="str">
        <f t="shared" si="71"/>
        <v/>
      </c>
      <c r="AM875" s="210"/>
      <c r="AN875" s="209"/>
    </row>
    <row r="876" spans="1:40" ht="27.95" customHeight="1">
      <c r="A876" s="134" t="str">
        <f>IF(I876&lt;&gt;"",COUNTA($I$2:I876),"")</f>
        <v/>
      </c>
      <c r="B876" s="138" t="str">
        <f t="shared" si="72"/>
        <v/>
      </c>
      <c r="C876" s="93" t="str">
        <f t="array" ref="C876">IF(E876="","",IF(M876&lt;&gt;"",
M876&amp;"/"&amp;SUMPRODUCT((M$2:M876=M876)*1)&amp;" - "&amp;(ROW()-2),
"إداري/"&amp;SUMPRODUCT((M$2:M876="")*1)&amp;" - "&amp;(ROW()-2)))</f>
        <v/>
      </c>
      <c r="D876" s="141" t="str">
        <f>IF(AND(G876="",H876="",I876=""),"",IF(COUNTIFS(LISTS!$A$2:$A$67,G876,LISTS!$B$2:$B$67,H876,LISTS!$C$2:$C$67,I876)=0,"✗ هرم",IF(NOT(OR(Z876="ممتاز 100%",Z876="جيد 80%",Z876="مقبول 60%",Z876="خطر 40%",Z876="")),"✗ قائمة R",IF(NOT(OR(AA876="ممتاز 100%",AA876="جيد 85%",AA876="مقبول 70%",AA876="ضعيف 50%",AA876="")),"✗ قائمة S",IF(NOT(OR(AB876="مكتمل 100%",AB876="جزئي 60%",AB876="معلق 30%",AB876="مفتوح 0%",AB876="")),"✗ قائمة T",IF(NOT(OR(AC876="لا خصم 0",AC876="تأخير −5",AC876="عجز −10",AC876="جودة −15",AC876="امتثال −20",AC876="مخالفة −25",AC876="")),"✗ قائمة U",IF(AND(X876="لا",AC876&lt;&gt;"",AC876&lt;&gt;"لا خصم 0"),"✗ خصم",IF(AND(X876="نعم",AC876="لا خصم 0"),"✗ خصم",IF(AND(Z876="ممتاز 100%",AA876="ممتاز 100%",AB876&lt;&gt;"",AB876&lt;&gt;"مكتمل 100%"),"✗ إغلاق",IFERROR(IF(LEN(_xlfn.TEXTJOIN("، ",TRUE,IF(E876="","التاريخ",""),IF(F876="","الوقت",""),IF(G876="","المركز",""),IF(H876="","الدائرة",""),IF(I876="","القسم",""),IF(J876="","المسؤول",""),IF(K876="","نوع النشاط",""),IF(L876="","المشروع",""),IF(N876="","الممول",""),IF(V876="","الموضوع",""),IF(W876="","الملاحظة",""),IF(X876="","مشكلة",""),IF(Y876="","الإجراء",""),IF(Z876="","التنفيذ",""),IF(AA876="","الجودة",""),IF(AB876="","الإغلاق",""),IF(AC876="","الخصم",""),IF(AND(COUNTA($O876:$U876)&gt;0,O876=""),"مدير المشروع",""),IF(AND(COUNTA($O876:$U876)&gt;0,P876=""),"المستفيدين",""),IF(AND(COUNTA($O876:$U876)&gt;0,Q876=""),"المناطق",""),IF(AND(COUNTA($O876:$U876)&gt;0,R876=""),"الميزانية",""),IF(AND(COUNTA($O876:$U876)&gt;0,S876=""),"نسبة الجاهزية",""),IF(AND(COUNTA($O876:$U876)&gt;0,T876=""),"حالة الجاهزية",""),IF(AND(COUNTA($O876:$U876)&gt;0,U876=""),"التوصيات","")))&gt;0,"✗ ناقص: "&amp;_xlfn.TEXTJOIN("، ",TRUE,IF(E876="","التاريخ",""),IF(F876="","الوقت",""),IF(G876="","المركز",""),IF(H876="","الدائرة",""),IF(I876="","القسم",""),IF(J876="","المسؤول",""),IF(K876="","نوع النشاط",""),IF(L876="","المشروع",""),IF(N876="","الممول",""),IF(V876="","الموضوع",""),IF(W876="","الملاحظة",""),IF(X876="","مشكلة",""),IF(Y876="","الإجراء",""),IF(Z876="","التنفيذ",""),IF(AA876="","الجودة",""),IF(AB876="","الإغلاق",""),IF(AC876="","الخصم",""),IF(AND(COUNTA($O876:$U876)&gt;0,O876=""),"مدير المشروع",""),IF(AND(COUNTA($O876:$U876)&gt;0,P876=""),"المستفيدين",""),IF(AND(COUNTA($O876:$U876)&gt;0,Q876=""),"المناطق",""),IF(AND(COUNTA($O876:$U876)&gt;0,R876=""),"الميزانية",""),IF(AND(COUNTA($O876:$U876)&gt;0,S876=""),"نسبة الجاهزية",""),IF(AND(COUNTA($O876:$U876)&gt;0,T876=""),"حالة الجاهزية",""),IF(AND(COUNTA($O876:$U876)&gt;0,U876=""),"التوصيات","")),"✓"),"✓"))))))))))</f>
        <v/>
      </c>
      <c r="E876" s="235"/>
      <c r="F876" s="236"/>
      <c r="G876" s="90"/>
      <c r="H876" s="239"/>
      <c r="I876" s="89"/>
      <c r="J876" s="142"/>
      <c r="K876" s="90"/>
      <c r="L876" s="90"/>
      <c r="M876" s="90"/>
      <c r="N876" s="89"/>
      <c r="O876" s="200"/>
      <c r="P876" s="201"/>
      <c r="Q876" s="201"/>
      <c r="R876" s="237"/>
      <c r="S876" s="202"/>
      <c r="T876" s="200"/>
      <c r="U876" s="203"/>
      <c r="V876" s="89"/>
      <c r="W876" s="89"/>
      <c r="X876" s="145"/>
      <c r="Y876" s="89"/>
      <c r="Z876" s="90"/>
      <c r="AA876" s="90"/>
      <c r="AB876" s="90"/>
      <c r="AC876" s="90"/>
      <c r="AD876" s="92"/>
      <c r="AE876" s="149" t="str">
        <f>IFERROR(VLOOKUP(Z876,LISTS!$AL$2:$AM$1000,2,FALSE()),"")</f>
        <v/>
      </c>
      <c r="AF876" s="151" t="str">
        <f>IFERROR(VLOOKUP(AA876,LISTS!$AO$2:$AP$1000,2,FALSE()),"")</f>
        <v/>
      </c>
      <c r="AG876" s="152" t="str">
        <f>IFERROR(VLOOKUP(AB876,LISTS!$AR$2:$AS$1000,2,FALSE()),"")</f>
        <v/>
      </c>
      <c r="AH876" s="154" t="str">
        <f>IFERROR(VLOOKUP(AC876,LISTS!$AU$2:$AV$1000,2,FALSE()),"")</f>
        <v/>
      </c>
      <c r="AI876" s="238" t="str">
        <f t="shared" si="68"/>
        <v>—</v>
      </c>
      <c r="AJ876" s="190" t="str">
        <f t="shared" si="69"/>
        <v>—</v>
      </c>
      <c r="AK876" s="157" t="str">
        <f t="shared" si="70"/>
        <v/>
      </c>
      <c r="AL876" s="160" t="str">
        <f t="shared" si="71"/>
        <v/>
      </c>
      <c r="AM876" s="210"/>
      <c r="AN876" s="209"/>
    </row>
    <row r="877" spans="1:40" ht="27.95" customHeight="1">
      <c r="A877" s="134" t="str">
        <f>IF(I877&lt;&gt;"",COUNTA($I$2:I877),"")</f>
        <v/>
      </c>
      <c r="B877" s="138" t="str">
        <f t="shared" si="72"/>
        <v/>
      </c>
      <c r="C877" s="93" t="str">
        <f t="array" ref="C877">IF(E877="","",IF(M877&lt;&gt;"",
M877&amp;"/"&amp;SUMPRODUCT((M$2:M877=M877)*1)&amp;" - "&amp;(ROW()-2),
"إداري/"&amp;SUMPRODUCT((M$2:M877="")*1)&amp;" - "&amp;(ROW()-2)))</f>
        <v/>
      </c>
      <c r="D877" s="141" t="str">
        <f>IF(AND(G877="",H877="",I877=""),"",IF(COUNTIFS(LISTS!$A$2:$A$67,G877,LISTS!$B$2:$B$67,H877,LISTS!$C$2:$C$67,I877)=0,"✗ هرم",IF(NOT(OR(Z877="ممتاز 100%",Z877="جيد 80%",Z877="مقبول 60%",Z877="خطر 40%",Z877="")),"✗ قائمة R",IF(NOT(OR(AA877="ممتاز 100%",AA877="جيد 85%",AA877="مقبول 70%",AA877="ضعيف 50%",AA877="")),"✗ قائمة S",IF(NOT(OR(AB877="مكتمل 100%",AB877="جزئي 60%",AB877="معلق 30%",AB877="مفتوح 0%",AB877="")),"✗ قائمة T",IF(NOT(OR(AC877="لا خصم 0",AC877="تأخير −5",AC877="عجز −10",AC877="جودة −15",AC877="امتثال −20",AC877="مخالفة −25",AC877="")),"✗ قائمة U",IF(AND(X877="لا",AC877&lt;&gt;"",AC877&lt;&gt;"لا خصم 0"),"✗ خصم",IF(AND(X877="نعم",AC877="لا خصم 0"),"✗ خصم",IF(AND(Z877="ممتاز 100%",AA877="ممتاز 100%",AB877&lt;&gt;"",AB877&lt;&gt;"مكتمل 100%"),"✗ إغلاق",IFERROR(IF(LEN(_xlfn.TEXTJOIN("، ",TRUE,IF(E877="","التاريخ",""),IF(F877="","الوقت",""),IF(G877="","المركز",""),IF(H877="","الدائرة",""),IF(I877="","القسم",""),IF(J877="","المسؤول",""),IF(K877="","نوع النشاط",""),IF(L877="","المشروع",""),IF(N877="","الممول",""),IF(V877="","الموضوع",""),IF(W877="","الملاحظة",""),IF(X877="","مشكلة",""),IF(Y877="","الإجراء",""),IF(Z877="","التنفيذ",""),IF(AA877="","الجودة",""),IF(AB877="","الإغلاق",""),IF(AC877="","الخصم",""),IF(AND(COUNTA($O877:$U877)&gt;0,O877=""),"مدير المشروع",""),IF(AND(COUNTA($O877:$U877)&gt;0,P877=""),"المستفيدين",""),IF(AND(COUNTA($O877:$U877)&gt;0,Q877=""),"المناطق",""),IF(AND(COUNTA($O877:$U877)&gt;0,R877=""),"الميزانية",""),IF(AND(COUNTA($O877:$U877)&gt;0,S877=""),"نسبة الجاهزية",""),IF(AND(COUNTA($O877:$U877)&gt;0,T877=""),"حالة الجاهزية",""),IF(AND(COUNTA($O877:$U877)&gt;0,U877=""),"التوصيات","")))&gt;0,"✗ ناقص: "&amp;_xlfn.TEXTJOIN("، ",TRUE,IF(E877="","التاريخ",""),IF(F877="","الوقت",""),IF(G877="","المركز",""),IF(H877="","الدائرة",""),IF(I877="","القسم",""),IF(J877="","المسؤول",""),IF(K877="","نوع النشاط",""),IF(L877="","المشروع",""),IF(N877="","الممول",""),IF(V877="","الموضوع",""),IF(W877="","الملاحظة",""),IF(X877="","مشكلة",""),IF(Y877="","الإجراء",""),IF(Z877="","التنفيذ",""),IF(AA877="","الجودة",""),IF(AB877="","الإغلاق",""),IF(AC877="","الخصم",""),IF(AND(COUNTA($O877:$U877)&gt;0,O877=""),"مدير المشروع",""),IF(AND(COUNTA($O877:$U877)&gt;0,P877=""),"المستفيدين",""),IF(AND(COUNTA($O877:$U877)&gt;0,Q877=""),"المناطق",""),IF(AND(COUNTA($O877:$U877)&gt;0,R877=""),"الميزانية",""),IF(AND(COUNTA($O877:$U877)&gt;0,S877=""),"نسبة الجاهزية",""),IF(AND(COUNTA($O877:$U877)&gt;0,T877=""),"حالة الجاهزية",""),IF(AND(COUNTA($O877:$U877)&gt;0,U877=""),"التوصيات","")),"✓"),"✓"))))))))))</f>
        <v/>
      </c>
      <c r="E877" s="235"/>
      <c r="F877" s="236"/>
      <c r="G877" s="90"/>
      <c r="H877" s="239"/>
      <c r="I877" s="89"/>
      <c r="J877" s="142"/>
      <c r="K877" s="90"/>
      <c r="L877" s="90"/>
      <c r="M877" s="90"/>
      <c r="N877" s="89"/>
      <c r="O877" s="200"/>
      <c r="P877" s="201"/>
      <c r="Q877" s="201"/>
      <c r="R877" s="237"/>
      <c r="S877" s="202"/>
      <c r="T877" s="200"/>
      <c r="U877" s="203"/>
      <c r="V877" s="89"/>
      <c r="W877" s="89"/>
      <c r="X877" s="145"/>
      <c r="Y877" s="89"/>
      <c r="Z877" s="90"/>
      <c r="AA877" s="90"/>
      <c r="AB877" s="90"/>
      <c r="AC877" s="90"/>
      <c r="AD877" s="92"/>
      <c r="AE877" s="149" t="str">
        <f>IFERROR(VLOOKUP(Z877,LISTS!$AL$2:$AM$1000,2,FALSE()),"")</f>
        <v/>
      </c>
      <c r="AF877" s="151" t="str">
        <f>IFERROR(VLOOKUP(AA877,LISTS!$AO$2:$AP$1000,2,FALSE()),"")</f>
        <v/>
      </c>
      <c r="AG877" s="152" t="str">
        <f>IFERROR(VLOOKUP(AB877,LISTS!$AR$2:$AS$1000,2,FALSE()),"")</f>
        <v/>
      </c>
      <c r="AH877" s="154" t="str">
        <f>IFERROR(VLOOKUP(AC877,LISTS!$AU$2:$AV$1000,2,FALSE()),"")</f>
        <v/>
      </c>
      <c r="AI877" s="238" t="str">
        <f t="shared" si="68"/>
        <v>—</v>
      </c>
      <c r="AJ877" s="190" t="str">
        <f t="shared" si="69"/>
        <v>—</v>
      </c>
      <c r="AK877" s="157" t="str">
        <f t="shared" si="70"/>
        <v/>
      </c>
      <c r="AL877" s="160" t="str">
        <f t="shared" si="71"/>
        <v/>
      </c>
      <c r="AM877" s="210"/>
      <c r="AN877" s="209"/>
    </row>
    <row r="878" spans="1:40" ht="27.95" customHeight="1">
      <c r="A878" s="134" t="str">
        <f>IF(I878&lt;&gt;"",COUNTA($I$2:I878),"")</f>
        <v/>
      </c>
      <c r="B878" s="138" t="str">
        <f t="shared" si="72"/>
        <v/>
      </c>
      <c r="C878" s="93" t="str">
        <f t="array" ref="C878">IF(E878="","",IF(M878&lt;&gt;"",
M878&amp;"/"&amp;SUMPRODUCT((M$2:M878=M878)*1)&amp;" - "&amp;(ROW()-2),
"إداري/"&amp;SUMPRODUCT((M$2:M878="")*1)&amp;" - "&amp;(ROW()-2)))</f>
        <v/>
      </c>
      <c r="D878" s="141" t="str">
        <f>IF(AND(G878="",H878="",I878=""),"",IF(COUNTIFS(LISTS!$A$2:$A$67,G878,LISTS!$B$2:$B$67,H878,LISTS!$C$2:$C$67,I878)=0,"✗ هرم",IF(NOT(OR(Z878="ممتاز 100%",Z878="جيد 80%",Z878="مقبول 60%",Z878="خطر 40%",Z878="")),"✗ قائمة R",IF(NOT(OR(AA878="ممتاز 100%",AA878="جيد 85%",AA878="مقبول 70%",AA878="ضعيف 50%",AA878="")),"✗ قائمة S",IF(NOT(OR(AB878="مكتمل 100%",AB878="جزئي 60%",AB878="معلق 30%",AB878="مفتوح 0%",AB878="")),"✗ قائمة T",IF(NOT(OR(AC878="لا خصم 0",AC878="تأخير −5",AC878="عجز −10",AC878="جودة −15",AC878="امتثال −20",AC878="مخالفة −25",AC878="")),"✗ قائمة U",IF(AND(X878="لا",AC878&lt;&gt;"",AC878&lt;&gt;"لا خصم 0"),"✗ خصم",IF(AND(X878="نعم",AC878="لا خصم 0"),"✗ خصم",IF(AND(Z878="ممتاز 100%",AA878="ممتاز 100%",AB878&lt;&gt;"",AB878&lt;&gt;"مكتمل 100%"),"✗ إغلاق",IFERROR(IF(LEN(_xlfn.TEXTJOIN("، ",TRUE,IF(E878="","التاريخ",""),IF(F878="","الوقت",""),IF(G878="","المركز",""),IF(H878="","الدائرة",""),IF(I878="","القسم",""),IF(J878="","المسؤول",""),IF(K878="","نوع النشاط",""),IF(L878="","المشروع",""),IF(N878="","الممول",""),IF(V878="","الموضوع",""),IF(W878="","الملاحظة",""),IF(X878="","مشكلة",""),IF(Y878="","الإجراء",""),IF(Z878="","التنفيذ",""),IF(AA878="","الجودة",""),IF(AB878="","الإغلاق",""),IF(AC878="","الخصم",""),IF(AND(COUNTA($O878:$U878)&gt;0,O878=""),"مدير المشروع",""),IF(AND(COUNTA($O878:$U878)&gt;0,P878=""),"المستفيدين",""),IF(AND(COUNTA($O878:$U878)&gt;0,Q878=""),"المناطق",""),IF(AND(COUNTA($O878:$U878)&gt;0,R878=""),"الميزانية",""),IF(AND(COUNTA($O878:$U878)&gt;0,S878=""),"نسبة الجاهزية",""),IF(AND(COUNTA($O878:$U878)&gt;0,T878=""),"حالة الجاهزية",""),IF(AND(COUNTA($O878:$U878)&gt;0,U878=""),"التوصيات","")))&gt;0,"✗ ناقص: "&amp;_xlfn.TEXTJOIN("، ",TRUE,IF(E878="","التاريخ",""),IF(F878="","الوقت",""),IF(G878="","المركز",""),IF(H878="","الدائرة",""),IF(I878="","القسم",""),IF(J878="","المسؤول",""),IF(K878="","نوع النشاط",""),IF(L878="","المشروع",""),IF(N878="","الممول",""),IF(V878="","الموضوع",""),IF(W878="","الملاحظة",""),IF(X878="","مشكلة",""),IF(Y878="","الإجراء",""),IF(Z878="","التنفيذ",""),IF(AA878="","الجودة",""),IF(AB878="","الإغلاق",""),IF(AC878="","الخصم",""),IF(AND(COUNTA($O878:$U878)&gt;0,O878=""),"مدير المشروع",""),IF(AND(COUNTA($O878:$U878)&gt;0,P878=""),"المستفيدين",""),IF(AND(COUNTA($O878:$U878)&gt;0,Q878=""),"المناطق",""),IF(AND(COUNTA($O878:$U878)&gt;0,R878=""),"الميزانية",""),IF(AND(COUNTA($O878:$U878)&gt;0,S878=""),"نسبة الجاهزية",""),IF(AND(COUNTA($O878:$U878)&gt;0,T878=""),"حالة الجاهزية",""),IF(AND(COUNTA($O878:$U878)&gt;0,U878=""),"التوصيات","")),"✓"),"✓"))))))))))</f>
        <v/>
      </c>
      <c r="E878" s="235"/>
      <c r="F878" s="236"/>
      <c r="G878" s="90"/>
      <c r="H878" s="239"/>
      <c r="I878" s="89"/>
      <c r="J878" s="142"/>
      <c r="K878" s="90"/>
      <c r="L878" s="90"/>
      <c r="M878" s="90"/>
      <c r="N878" s="89"/>
      <c r="O878" s="200"/>
      <c r="P878" s="201"/>
      <c r="Q878" s="201"/>
      <c r="R878" s="237"/>
      <c r="S878" s="202"/>
      <c r="T878" s="200"/>
      <c r="U878" s="203"/>
      <c r="V878" s="89"/>
      <c r="W878" s="89"/>
      <c r="X878" s="145"/>
      <c r="Y878" s="89"/>
      <c r="Z878" s="90"/>
      <c r="AA878" s="90"/>
      <c r="AB878" s="90"/>
      <c r="AC878" s="90"/>
      <c r="AD878" s="92"/>
      <c r="AE878" s="149" t="str">
        <f>IFERROR(VLOOKUP(Z878,LISTS!$AL$2:$AM$1000,2,FALSE()),"")</f>
        <v/>
      </c>
      <c r="AF878" s="151" t="str">
        <f>IFERROR(VLOOKUP(AA878,LISTS!$AO$2:$AP$1000,2,FALSE()),"")</f>
        <v/>
      </c>
      <c r="AG878" s="152" t="str">
        <f>IFERROR(VLOOKUP(AB878,LISTS!$AR$2:$AS$1000,2,FALSE()),"")</f>
        <v/>
      </c>
      <c r="AH878" s="154" t="str">
        <f>IFERROR(VLOOKUP(AC878,LISTS!$AU$2:$AV$1000,2,FALSE()),"")</f>
        <v/>
      </c>
      <c r="AI878" s="238" t="str">
        <f t="shared" si="68"/>
        <v>—</v>
      </c>
      <c r="AJ878" s="190" t="str">
        <f t="shared" si="69"/>
        <v>—</v>
      </c>
      <c r="AK878" s="157" t="str">
        <f t="shared" si="70"/>
        <v/>
      </c>
      <c r="AL878" s="160" t="str">
        <f t="shared" si="71"/>
        <v/>
      </c>
      <c r="AM878" s="210"/>
      <c r="AN878" s="209"/>
    </row>
    <row r="879" spans="1:40" ht="27.95" customHeight="1">
      <c r="A879" s="134" t="str">
        <f>IF(I879&lt;&gt;"",COUNTA($I$2:I879),"")</f>
        <v/>
      </c>
      <c r="B879" s="138" t="str">
        <f t="shared" si="72"/>
        <v/>
      </c>
      <c r="C879" s="93" t="str">
        <f t="array" ref="C879">IF(E879="","",IF(M879&lt;&gt;"",
M879&amp;"/"&amp;SUMPRODUCT((M$2:M879=M879)*1)&amp;" - "&amp;(ROW()-2),
"إداري/"&amp;SUMPRODUCT((M$2:M879="")*1)&amp;" - "&amp;(ROW()-2)))</f>
        <v/>
      </c>
      <c r="D879" s="141" t="str">
        <f>IF(AND(G879="",H879="",I879=""),"",IF(COUNTIFS(LISTS!$A$2:$A$67,G879,LISTS!$B$2:$B$67,H879,LISTS!$C$2:$C$67,I879)=0,"✗ هرم",IF(NOT(OR(Z879="ممتاز 100%",Z879="جيد 80%",Z879="مقبول 60%",Z879="خطر 40%",Z879="")),"✗ قائمة R",IF(NOT(OR(AA879="ممتاز 100%",AA879="جيد 85%",AA879="مقبول 70%",AA879="ضعيف 50%",AA879="")),"✗ قائمة S",IF(NOT(OR(AB879="مكتمل 100%",AB879="جزئي 60%",AB879="معلق 30%",AB879="مفتوح 0%",AB879="")),"✗ قائمة T",IF(NOT(OR(AC879="لا خصم 0",AC879="تأخير −5",AC879="عجز −10",AC879="جودة −15",AC879="امتثال −20",AC879="مخالفة −25",AC879="")),"✗ قائمة U",IF(AND(X879="لا",AC879&lt;&gt;"",AC879&lt;&gt;"لا خصم 0"),"✗ خصم",IF(AND(X879="نعم",AC879="لا خصم 0"),"✗ خصم",IF(AND(Z879="ممتاز 100%",AA879="ممتاز 100%",AB879&lt;&gt;"",AB879&lt;&gt;"مكتمل 100%"),"✗ إغلاق",IFERROR(IF(LEN(_xlfn.TEXTJOIN("، ",TRUE,IF(E879="","التاريخ",""),IF(F879="","الوقت",""),IF(G879="","المركز",""),IF(H879="","الدائرة",""),IF(I879="","القسم",""),IF(J879="","المسؤول",""),IF(K879="","نوع النشاط",""),IF(L879="","المشروع",""),IF(N879="","الممول",""),IF(V879="","الموضوع",""),IF(W879="","الملاحظة",""),IF(X879="","مشكلة",""),IF(Y879="","الإجراء",""),IF(Z879="","التنفيذ",""),IF(AA879="","الجودة",""),IF(AB879="","الإغلاق",""),IF(AC879="","الخصم",""),IF(AND(COUNTA($O879:$U879)&gt;0,O879=""),"مدير المشروع",""),IF(AND(COUNTA($O879:$U879)&gt;0,P879=""),"المستفيدين",""),IF(AND(COUNTA($O879:$U879)&gt;0,Q879=""),"المناطق",""),IF(AND(COUNTA($O879:$U879)&gt;0,R879=""),"الميزانية",""),IF(AND(COUNTA($O879:$U879)&gt;0,S879=""),"نسبة الجاهزية",""),IF(AND(COUNTA($O879:$U879)&gt;0,T879=""),"حالة الجاهزية",""),IF(AND(COUNTA($O879:$U879)&gt;0,U879=""),"التوصيات","")))&gt;0,"✗ ناقص: "&amp;_xlfn.TEXTJOIN("، ",TRUE,IF(E879="","التاريخ",""),IF(F879="","الوقت",""),IF(G879="","المركز",""),IF(H879="","الدائرة",""),IF(I879="","القسم",""),IF(J879="","المسؤول",""),IF(K879="","نوع النشاط",""),IF(L879="","المشروع",""),IF(N879="","الممول",""),IF(V879="","الموضوع",""),IF(W879="","الملاحظة",""),IF(X879="","مشكلة",""),IF(Y879="","الإجراء",""),IF(Z879="","التنفيذ",""),IF(AA879="","الجودة",""),IF(AB879="","الإغلاق",""),IF(AC879="","الخصم",""),IF(AND(COUNTA($O879:$U879)&gt;0,O879=""),"مدير المشروع",""),IF(AND(COUNTA($O879:$U879)&gt;0,P879=""),"المستفيدين",""),IF(AND(COUNTA($O879:$U879)&gt;0,Q879=""),"المناطق",""),IF(AND(COUNTA($O879:$U879)&gt;0,R879=""),"الميزانية",""),IF(AND(COUNTA($O879:$U879)&gt;0,S879=""),"نسبة الجاهزية",""),IF(AND(COUNTA($O879:$U879)&gt;0,T879=""),"حالة الجاهزية",""),IF(AND(COUNTA($O879:$U879)&gt;0,U879=""),"التوصيات","")),"✓"),"✓"))))))))))</f>
        <v/>
      </c>
      <c r="E879" s="235"/>
      <c r="F879" s="236"/>
      <c r="G879" s="90"/>
      <c r="H879" s="239"/>
      <c r="I879" s="89"/>
      <c r="J879" s="142"/>
      <c r="K879" s="90"/>
      <c r="L879" s="90"/>
      <c r="M879" s="90"/>
      <c r="N879" s="89"/>
      <c r="O879" s="200"/>
      <c r="P879" s="201"/>
      <c r="Q879" s="201"/>
      <c r="R879" s="237"/>
      <c r="S879" s="202"/>
      <c r="T879" s="200"/>
      <c r="U879" s="203"/>
      <c r="V879" s="89"/>
      <c r="W879" s="89"/>
      <c r="X879" s="145"/>
      <c r="Y879" s="89"/>
      <c r="Z879" s="90"/>
      <c r="AA879" s="90"/>
      <c r="AB879" s="90"/>
      <c r="AC879" s="90"/>
      <c r="AD879" s="92"/>
      <c r="AE879" s="149" t="str">
        <f>IFERROR(VLOOKUP(Z879,LISTS!$AL$2:$AM$1000,2,FALSE()),"")</f>
        <v/>
      </c>
      <c r="AF879" s="151" t="str">
        <f>IFERROR(VLOOKUP(AA879,LISTS!$AO$2:$AP$1000,2,FALSE()),"")</f>
        <v/>
      </c>
      <c r="AG879" s="152" t="str">
        <f>IFERROR(VLOOKUP(AB879,LISTS!$AR$2:$AS$1000,2,FALSE()),"")</f>
        <v/>
      </c>
      <c r="AH879" s="154" t="str">
        <f>IFERROR(VLOOKUP(AC879,LISTS!$AU$2:$AV$1000,2,FALSE()),"")</f>
        <v/>
      </c>
      <c r="AI879" s="238" t="str">
        <f t="shared" si="68"/>
        <v>—</v>
      </c>
      <c r="AJ879" s="190" t="str">
        <f t="shared" si="69"/>
        <v>—</v>
      </c>
      <c r="AK879" s="157" t="str">
        <f t="shared" si="70"/>
        <v/>
      </c>
      <c r="AL879" s="160" t="str">
        <f t="shared" si="71"/>
        <v/>
      </c>
      <c r="AM879" s="210"/>
      <c r="AN879" s="209"/>
    </row>
    <row r="880" spans="1:40" ht="27.95" customHeight="1">
      <c r="A880" s="134" t="str">
        <f>IF(I880&lt;&gt;"",COUNTA($I$2:I880),"")</f>
        <v/>
      </c>
      <c r="B880" s="138" t="str">
        <f t="shared" si="72"/>
        <v/>
      </c>
      <c r="C880" s="93" t="str">
        <f t="array" ref="C880">IF(E880="","",IF(M880&lt;&gt;"",
M880&amp;"/"&amp;SUMPRODUCT((M$2:M880=M880)*1)&amp;" - "&amp;(ROW()-2),
"إداري/"&amp;SUMPRODUCT((M$2:M880="")*1)&amp;" - "&amp;(ROW()-2)))</f>
        <v/>
      </c>
      <c r="D880" s="141" t="str">
        <f>IF(AND(G880="",H880="",I880=""),"",IF(COUNTIFS(LISTS!$A$2:$A$67,G880,LISTS!$B$2:$B$67,H880,LISTS!$C$2:$C$67,I880)=0,"✗ هرم",IF(NOT(OR(Z880="ممتاز 100%",Z880="جيد 80%",Z880="مقبول 60%",Z880="خطر 40%",Z880="")),"✗ قائمة R",IF(NOT(OR(AA880="ممتاز 100%",AA880="جيد 85%",AA880="مقبول 70%",AA880="ضعيف 50%",AA880="")),"✗ قائمة S",IF(NOT(OR(AB880="مكتمل 100%",AB880="جزئي 60%",AB880="معلق 30%",AB880="مفتوح 0%",AB880="")),"✗ قائمة T",IF(NOT(OR(AC880="لا خصم 0",AC880="تأخير −5",AC880="عجز −10",AC880="جودة −15",AC880="امتثال −20",AC880="مخالفة −25",AC880="")),"✗ قائمة U",IF(AND(X880="لا",AC880&lt;&gt;"",AC880&lt;&gt;"لا خصم 0"),"✗ خصم",IF(AND(X880="نعم",AC880="لا خصم 0"),"✗ خصم",IF(AND(Z880="ممتاز 100%",AA880="ممتاز 100%",AB880&lt;&gt;"",AB880&lt;&gt;"مكتمل 100%"),"✗ إغلاق",IFERROR(IF(LEN(_xlfn.TEXTJOIN("، ",TRUE,IF(E880="","التاريخ",""),IF(F880="","الوقت",""),IF(G880="","المركز",""),IF(H880="","الدائرة",""),IF(I880="","القسم",""),IF(J880="","المسؤول",""),IF(K880="","نوع النشاط",""),IF(L880="","المشروع",""),IF(N880="","الممول",""),IF(V880="","الموضوع",""),IF(W880="","الملاحظة",""),IF(X880="","مشكلة",""),IF(Y880="","الإجراء",""),IF(Z880="","التنفيذ",""),IF(AA880="","الجودة",""),IF(AB880="","الإغلاق",""),IF(AC880="","الخصم",""),IF(AND(COUNTA($O880:$U880)&gt;0,O880=""),"مدير المشروع",""),IF(AND(COUNTA($O880:$U880)&gt;0,P880=""),"المستفيدين",""),IF(AND(COUNTA($O880:$U880)&gt;0,Q880=""),"المناطق",""),IF(AND(COUNTA($O880:$U880)&gt;0,R880=""),"الميزانية",""),IF(AND(COUNTA($O880:$U880)&gt;0,S880=""),"نسبة الجاهزية",""),IF(AND(COUNTA($O880:$U880)&gt;0,T880=""),"حالة الجاهزية",""),IF(AND(COUNTA($O880:$U880)&gt;0,U880=""),"التوصيات","")))&gt;0,"✗ ناقص: "&amp;_xlfn.TEXTJOIN("، ",TRUE,IF(E880="","التاريخ",""),IF(F880="","الوقت",""),IF(G880="","المركز",""),IF(H880="","الدائرة",""),IF(I880="","القسم",""),IF(J880="","المسؤول",""),IF(K880="","نوع النشاط",""),IF(L880="","المشروع",""),IF(N880="","الممول",""),IF(V880="","الموضوع",""),IF(W880="","الملاحظة",""),IF(X880="","مشكلة",""),IF(Y880="","الإجراء",""),IF(Z880="","التنفيذ",""),IF(AA880="","الجودة",""),IF(AB880="","الإغلاق",""),IF(AC880="","الخصم",""),IF(AND(COUNTA($O880:$U880)&gt;0,O880=""),"مدير المشروع",""),IF(AND(COUNTA($O880:$U880)&gt;0,P880=""),"المستفيدين",""),IF(AND(COUNTA($O880:$U880)&gt;0,Q880=""),"المناطق",""),IF(AND(COUNTA($O880:$U880)&gt;0,R880=""),"الميزانية",""),IF(AND(COUNTA($O880:$U880)&gt;0,S880=""),"نسبة الجاهزية",""),IF(AND(COUNTA($O880:$U880)&gt;0,T880=""),"حالة الجاهزية",""),IF(AND(COUNTA($O880:$U880)&gt;0,U880=""),"التوصيات","")),"✓"),"✓"))))))))))</f>
        <v/>
      </c>
      <c r="E880" s="235"/>
      <c r="F880" s="236"/>
      <c r="G880" s="90"/>
      <c r="H880" s="239"/>
      <c r="I880" s="89"/>
      <c r="J880" s="142"/>
      <c r="K880" s="90"/>
      <c r="L880" s="90"/>
      <c r="M880" s="90"/>
      <c r="N880" s="89"/>
      <c r="O880" s="200"/>
      <c r="P880" s="201"/>
      <c r="Q880" s="201"/>
      <c r="R880" s="237"/>
      <c r="S880" s="202"/>
      <c r="T880" s="200"/>
      <c r="U880" s="203"/>
      <c r="V880" s="89"/>
      <c r="W880" s="89"/>
      <c r="X880" s="145"/>
      <c r="Y880" s="89"/>
      <c r="Z880" s="90"/>
      <c r="AA880" s="90"/>
      <c r="AB880" s="90"/>
      <c r="AC880" s="90"/>
      <c r="AD880" s="92"/>
      <c r="AE880" s="149" t="str">
        <f>IFERROR(VLOOKUP(Z880,LISTS!$AL$2:$AM$1000,2,FALSE()),"")</f>
        <v/>
      </c>
      <c r="AF880" s="151" t="str">
        <f>IFERROR(VLOOKUP(AA880,LISTS!$AO$2:$AP$1000,2,FALSE()),"")</f>
        <v/>
      </c>
      <c r="AG880" s="152" t="str">
        <f>IFERROR(VLOOKUP(AB880,LISTS!$AR$2:$AS$1000,2,FALSE()),"")</f>
        <v/>
      </c>
      <c r="AH880" s="154" t="str">
        <f>IFERROR(VLOOKUP(AC880,LISTS!$AU$2:$AV$1000,2,FALSE()),"")</f>
        <v/>
      </c>
      <c r="AI880" s="238" t="str">
        <f t="shared" si="68"/>
        <v>—</v>
      </c>
      <c r="AJ880" s="190" t="str">
        <f t="shared" si="69"/>
        <v>—</v>
      </c>
      <c r="AK880" s="157" t="str">
        <f t="shared" si="70"/>
        <v/>
      </c>
      <c r="AL880" s="160" t="str">
        <f t="shared" si="71"/>
        <v/>
      </c>
      <c r="AM880" s="210"/>
      <c r="AN880" s="209"/>
    </row>
    <row r="881" spans="1:40" ht="27.95" customHeight="1">
      <c r="A881" s="134" t="str">
        <f>IF(I881&lt;&gt;"",COUNTA($I$2:I881),"")</f>
        <v/>
      </c>
      <c r="B881" s="138" t="str">
        <f t="shared" si="72"/>
        <v/>
      </c>
      <c r="C881" s="93" t="str">
        <f t="array" ref="C881">IF(E881="","",IF(M881&lt;&gt;"",
M881&amp;"/"&amp;SUMPRODUCT((M$2:M881=M881)*1)&amp;" - "&amp;(ROW()-2),
"إداري/"&amp;SUMPRODUCT((M$2:M881="")*1)&amp;" - "&amp;(ROW()-2)))</f>
        <v/>
      </c>
      <c r="D881" s="141" t="str">
        <f>IF(AND(G881="",H881="",I881=""),"",IF(COUNTIFS(LISTS!$A$2:$A$67,G881,LISTS!$B$2:$B$67,H881,LISTS!$C$2:$C$67,I881)=0,"✗ هرم",IF(NOT(OR(Z881="ممتاز 100%",Z881="جيد 80%",Z881="مقبول 60%",Z881="خطر 40%",Z881="")),"✗ قائمة R",IF(NOT(OR(AA881="ممتاز 100%",AA881="جيد 85%",AA881="مقبول 70%",AA881="ضعيف 50%",AA881="")),"✗ قائمة S",IF(NOT(OR(AB881="مكتمل 100%",AB881="جزئي 60%",AB881="معلق 30%",AB881="مفتوح 0%",AB881="")),"✗ قائمة T",IF(NOT(OR(AC881="لا خصم 0",AC881="تأخير −5",AC881="عجز −10",AC881="جودة −15",AC881="امتثال −20",AC881="مخالفة −25",AC881="")),"✗ قائمة U",IF(AND(X881="لا",AC881&lt;&gt;"",AC881&lt;&gt;"لا خصم 0"),"✗ خصم",IF(AND(X881="نعم",AC881="لا خصم 0"),"✗ خصم",IF(AND(Z881="ممتاز 100%",AA881="ممتاز 100%",AB881&lt;&gt;"",AB881&lt;&gt;"مكتمل 100%"),"✗ إغلاق",IFERROR(IF(LEN(_xlfn.TEXTJOIN("، ",TRUE,IF(E881="","التاريخ",""),IF(F881="","الوقت",""),IF(G881="","المركز",""),IF(H881="","الدائرة",""),IF(I881="","القسم",""),IF(J881="","المسؤول",""),IF(K881="","نوع النشاط",""),IF(L881="","المشروع",""),IF(N881="","الممول",""),IF(V881="","الموضوع",""),IF(W881="","الملاحظة",""),IF(X881="","مشكلة",""),IF(Y881="","الإجراء",""),IF(Z881="","التنفيذ",""),IF(AA881="","الجودة",""),IF(AB881="","الإغلاق",""),IF(AC881="","الخصم",""),IF(AND(COUNTA($O881:$U881)&gt;0,O881=""),"مدير المشروع",""),IF(AND(COUNTA($O881:$U881)&gt;0,P881=""),"المستفيدين",""),IF(AND(COUNTA($O881:$U881)&gt;0,Q881=""),"المناطق",""),IF(AND(COUNTA($O881:$U881)&gt;0,R881=""),"الميزانية",""),IF(AND(COUNTA($O881:$U881)&gt;0,S881=""),"نسبة الجاهزية",""),IF(AND(COUNTA($O881:$U881)&gt;0,T881=""),"حالة الجاهزية",""),IF(AND(COUNTA($O881:$U881)&gt;0,U881=""),"التوصيات","")))&gt;0,"✗ ناقص: "&amp;_xlfn.TEXTJOIN("، ",TRUE,IF(E881="","التاريخ",""),IF(F881="","الوقت",""),IF(G881="","المركز",""),IF(H881="","الدائرة",""),IF(I881="","القسم",""),IF(J881="","المسؤول",""),IF(K881="","نوع النشاط",""),IF(L881="","المشروع",""),IF(N881="","الممول",""),IF(V881="","الموضوع",""),IF(W881="","الملاحظة",""),IF(X881="","مشكلة",""),IF(Y881="","الإجراء",""),IF(Z881="","التنفيذ",""),IF(AA881="","الجودة",""),IF(AB881="","الإغلاق",""),IF(AC881="","الخصم",""),IF(AND(COUNTA($O881:$U881)&gt;0,O881=""),"مدير المشروع",""),IF(AND(COUNTA($O881:$U881)&gt;0,P881=""),"المستفيدين",""),IF(AND(COUNTA($O881:$U881)&gt;0,Q881=""),"المناطق",""),IF(AND(COUNTA($O881:$U881)&gt;0,R881=""),"الميزانية",""),IF(AND(COUNTA($O881:$U881)&gt;0,S881=""),"نسبة الجاهزية",""),IF(AND(COUNTA($O881:$U881)&gt;0,T881=""),"حالة الجاهزية",""),IF(AND(COUNTA($O881:$U881)&gt;0,U881=""),"التوصيات","")),"✓"),"✓"))))))))))</f>
        <v/>
      </c>
      <c r="E881" s="235"/>
      <c r="F881" s="236"/>
      <c r="G881" s="90"/>
      <c r="H881" s="239"/>
      <c r="I881" s="89"/>
      <c r="J881" s="142"/>
      <c r="K881" s="90"/>
      <c r="L881" s="90"/>
      <c r="M881" s="90"/>
      <c r="N881" s="89"/>
      <c r="O881" s="200"/>
      <c r="P881" s="201"/>
      <c r="Q881" s="201"/>
      <c r="R881" s="237"/>
      <c r="S881" s="202"/>
      <c r="T881" s="200"/>
      <c r="U881" s="203"/>
      <c r="V881" s="89"/>
      <c r="W881" s="89"/>
      <c r="X881" s="145"/>
      <c r="Y881" s="89"/>
      <c r="Z881" s="90"/>
      <c r="AA881" s="90"/>
      <c r="AB881" s="90"/>
      <c r="AC881" s="90"/>
      <c r="AD881" s="92"/>
      <c r="AE881" s="149" t="str">
        <f>IFERROR(VLOOKUP(Z881,LISTS!$AL$2:$AM$1000,2,FALSE()),"")</f>
        <v/>
      </c>
      <c r="AF881" s="151" t="str">
        <f>IFERROR(VLOOKUP(AA881,LISTS!$AO$2:$AP$1000,2,FALSE()),"")</f>
        <v/>
      </c>
      <c r="AG881" s="152" t="str">
        <f>IFERROR(VLOOKUP(AB881,LISTS!$AR$2:$AS$1000,2,FALSE()),"")</f>
        <v/>
      </c>
      <c r="AH881" s="154" t="str">
        <f>IFERROR(VLOOKUP(AC881,LISTS!$AU$2:$AV$1000,2,FALSE()),"")</f>
        <v/>
      </c>
      <c r="AI881" s="238" t="str">
        <f t="shared" si="68"/>
        <v>—</v>
      </c>
      <c r="AJ881" s="190" t="str">
        <f t="shared" si="69"/>
        <v>—</v>
      </c>
      <c r="AK881" s="157" t="str">
        <f t="shared" si="70"/>
        <v/>
      </c>
      <c r="AL881" s="160" t="str">
        <f t="shared" si="71"/>
        <v/>
      </c>
      <c r="AM881" s="210"/>
      <c r="AN881" s="209"/>
    </row>
    <row r="882" spans="1:40" ht="27.95" customHeight="1">
      <c r="A882" s="134" t="str">
        <f>IF(I882&lt;&gt;"",COUNTA($I$2:I882),"")</f>
        <v/>
      </c>
      <c r="B882" s="138" t="str">
        <f t="shared" si="72"/>
        <v/>
      </c>
      <c r="C882" s="93" t="str">
        <f t="array" ref="C882">IF(E882="","",IF(M882&lt;&gt;"",
M882&amp;"/"&amp;SUMPRODUCT((M$2:M882=M882)*1)&amp;" - "&amp;(ROW()-2),
"إداري/"&amp;SUMPRODUCT((M$2:M882="")*1)&amp;" - "&amp;(ROW()-2)))</f>
        <v/>
      </c>
      <c r="D882" s="141" t="str">
        <f>IF(AND(G882="",H882="",I882=""),"",IF(COUNTIFS(LISTS!$A$2:$A$67,G882,LISTS!$B$2:$B$67,H882,LISTS!$C$2:$C$67,I882)=0,"✗ هرم",IF(NOT(OR(Z882="ممتاز 100%",Z882="جيد 80%",Z882="مقبول 60%",Z882="خطر 40%",Z882="")),"✗ قائمة R",IF(NOT(OR(AA882="ممتاز 100%",AA882="جيد 85%",AA882="مقبول 70%",AA882="ضعيف 50%",AA882="")),"✗ قائمة S",IF(NOT(OR(AB882="مكتمل 100%",AB882="جزئي 60%",AB882="معلق 30%",AB882="مفتوح 0%",AB882="")),"✗ قائمة T",IF(NOT(OR(AC882="لا خصم 0",AC882="تأخير −5",AC882="عجز −10",AC882="جودة −15",AC882="امتثال −20",AC882="مخالفة −25",AC882="")),"✗ قائمة U",IF(AND(X882="لا",AC882&lt;&gt;"",AC882&lt;&gt;"لا خصم 0"),"✗ خصم",IF(AND(X882="نعم",AC882="لا خصم 0"),"✗ خصم",IF(AND(Z882="ممتاز 100%",AA882="ممتاز 100%",AB882&lt;&gt;"",AB882&lt;&gt;"مكتمل 100%"),"✗ إغلاق",IFERROR(IF(LEN(_xlfn.TEXTJOIN("، ",TRUE,IF(E882="","التاريخ",""),IF(F882="","الوقت",""),IF(G882="","المركز",""),IF(H882="","الدائرة",""),IF(I882="","القسم",""),IF(J882="","المسؤول",""),IF(K882="","نوع النشاط",""),IF(L882="","المشروع",""),IF(N882="","الممول",""),IF(V882="","الموضوع",""),IF(W882="","الملاحظة",""),IF(X882="","مشكلة",""),IF(Y882="","الإجراء",""),IF(Z882="","التنفيذ",""),IF(AA882="","الجودة",""),IF(AB882="","الإغلاق",""),IF(AC882="","الخصم",""),IF(AND(COUNTA($O882:$U882)&gt;0,O882=""),"مدير المشروع",""),IF(AND(COUNTA($O882:$U882)&gt;0,P882=""),"المستفيدين",""),IF(AND(COUNTA($O882:$U882)&gt;0,Q882=""),"المناطق",""),IF(AND(COUNTA($O882:$U882)&gt;0,R882=""),"الميزانية",""),IF(AND(COUNTA($O882:$U882)&gt;0,S882=""),"نسبة الجاهزية",""),IF(AND(COUNTA($O882:$U882)&gt;0,T882=""),"حالة الجاهزية",""),IF(AND(COUNTA($O882:$U882)&gt;0,U882=""),"التوصيات","")))&gt;0,"✗ ناقص: "&amp;_xlfn.TEXTJOIN("، ",TRUE,IF(E882="","التاريخ",""),IF(F882="","الوقت",""),IF(G882="","المركز",""),IF(H882="","الدائرة",""),IF(I882="","القسم",""),IF(J882="","المسؤول",""),IF(K882="","نوع النشاط",""),IF(L882="","المشروع",""),IF(N882="","الممول",""),IF(V882="","الموضوع",""),IF(W882="","الملاحظة",""),IF(X882="","مشكلة",""),IF(Y882="","الإجراء",""),IF(Z882="","التنفيذ",""),IF(AA882="","الجودة",""),IF(AB882="","الإغلاق",""),IF(AC882="","الخصم",""),IF(AND(COUNTA($O882:$U882)&gt;0,O882=""),"مدير المشروع",""),IF(AND(COUNTA($O882:$U882)&gt;0,P882=""),"المستفيدين",""),IF(AND(COUNTA($O882:$U882)&gt;0,Q882=""),"المناطق",""),IF(AND(COUNTA($O882:$U882)&gt;0,R882=""),"الميزانية",""),IF(AND(COUNTA($O882:$U882)&gt;0,S882=""),"نسبة الجاهزية",""),IF(AND(COUNTA($O882:$U882)&gt;0,T882=""),"حالة الجاهزية",""),IF(AND(COUNTA($O882:$U882)&gt;0,U882=""),"التوصيات","")),"✓"),"✓"))))))))))</f>
        <v/>
      </c>
      <c r="E882" s="235"/>
      <c r="F882" s="236"/>
      <c r="G882" s="90"/>
      <c r="H882" s="239"/>
      <c r="I882" s="89"/>
      <c r="J882" s="142"/>
      <c r="K882" s="90"/>
      <c r="L882" s="90"/>
      <c r="M882" s="90"/>
      <c r="N882" s="89"/>
      <c r="O882" s="200"/>
      <c r="P882" s="201"/>
      <c r="Q882" s="201"/>
      <c r="R882" s="237"/>
      <c r="S882" s="202"/>
      <c r="T882" s="200"/>
      <c r="U882" s="203"/>
      <c r="V882" s="89"/>
      <c r="W882" s="89"/>
      <c r="X882" s="145"/>
      <c r="Y882" s="89"/>
      <c r="Z882" s="90"/>
      <c r="AA882" s="90"/>
      <c r="AB882" s="90"/>
      <c r="AC882" s="90"/>
      <c r="AD882" s="92"/>
      <c r="AE882" s="149" t="str">
        <f>IFERROR(VLOOKUP(Z882,LISTS!$AL$2:$AM$1000,2,FALSE()),"")</f>
        <v/>
      </c>
      <c r="AF882" s="151" t="str">
        <f>IFERROR(VLOOKUP(AA882,LISTS!$AO$2:$AP$1000,2,FALSE()),"")</f>
        <v/>
      </c>
      <c r="AG882" s="152" t="str">
        <f>IFERROR(VLOOKUP(AB882,LISTS!$AR$2:$AS$1000,2,FALSE()),"")</f>
        <v/>
      </c>
      <c r="AH882" s="154" t="str">
        <f>IFERROR(VLOOKUP(AC882,LISTS!$AU$2:$AV$1000,2,FALSE()),"")</f>
        <v/>
      </c>
      <c r="AI882" s="238" t="str">
        <f t="shared" si="68"/>
        <v>—</v>
      </c>
      <c r="AJ882" s="190" t="str">
        <f t="shared" si="69"/>
        <v>—</v>
      </c>
      <c r="AK882" s="157" t="str">
        <f t="shared" si="70"/>
        <v/>
      </c>
      <c r="AL882" s="160" t="str">
        <f t="shared" si="71"/>
        <v/>
      </c>
      <c r="AM882" s="210"/>
      <c r="AN882" s="209"/>
    </row>
    <row r="883" spans="1:40" ht="27.95" customHeight="1">
      <c r="A883" s="134" t="str">
        <f>IF(I883&lt;&gt;"",COUNTA($I$2:I883),"")</f>
        <v/>
      </c>
      <c r="B883" s="138" t="str">
        <f t="shared" si="72"/>
        <v/>
      </c>
      <c r="C883" s="93" t="str">
        <f t="array" ref="C883">IF(E883="","",IF(M883&lt;&gt;"",
M883&amp;"/"&amp;SUMPRODUCT((M$2:M883=M883)*1)&amp;" - "&amp;(ROW()-2),
"إداري/"&amp;SUMPRODUCT((M$2:M883="")*1)&amp;" - "&amp;(ROW()-2)))</f>
        <v/>
      </c>
      <c r="D883" s="141" t="str">
        <f>IF(AND(G883="",H883="",I883=""),"",IF(COUNTIFS(LISTS!$A$2:$A$67,G883,LISTS!$B$2:$B$67,H883,LISTS!$C$2:$C$67,I883)=0,"✗ هرم",IF(NOT(OR(Z883="ممتاز 100%",Z883="جيد 80%",Z883="مقبول 60%",Z883="خطر 40%",Z883="")),"✗ قائمة R",IF(NOT(OR(AA883="ممتاز 100%",AA883="جيد 85%",AA883="مقبول 70%",AA883="ضعيف 50%",AA883="")),"✗ قائمة S",IF(NOT(OR(AB883="مكتمل 100%",AB883="جزئي 60%",AB883="معلق 30%",AB883="مفتوح 0%",AB883="")),"✗ قائمة T",IF(NOT(OR(AC883="لا خصم 0",AC883="تأخير −5",AC883="عجز −10",AC883="جودة −15",AC883="امتثال −20",AC883="مخالفة −25",AC883="")),"✗ قائمة U",IF(AND(X883="لا",AC883&lt;&gt;"",AC883&lt;&gt;"لا خصم 0"),"✗ خصم",IF(AND(X883="نعم",AC883="لا خصم 0"),"✗ خصم",IF(AND(Z883="ممتاز 100%",AA883="ممتاز 100%",AB883&lt;&gt;"",AB883&lt;&gt;"مكتمل 100%"),"✗ إغلاق",IFERROR(IF(LEN(_xlfn.TEXTJOIN("، ",TRUE,IF(E883="","التاريخ",""),IF(F883="","الوقت",""),IF(G883="","المركز",""),IF(H883="","الدائرة",""),IF(I883="","القسم",""),IF(J883="","المسؤول",""),IF(K883="","نوع النشاط",""),IF(L883="","المشروع",""),IF(N883="","الممول",""),IF(V883="","الموضوع",""),IF(W883="","الملاحظة",""),IF(X883="","مشكلة",""),IF(Y883="","الإجراء",""),IF(Z883="","التنفيذ",""),IF(AA883="","الجودة",""),IF(AB883="","الإغلاق",""),IF(AC883="","الخصم",""),IF(AND(COUNTA($O883:$U883)&gt;0,O883=""),"مدير المشروع",""),IF(AND(COUNTA($O883:$U883)&gt;0,P883=""),"المستفيدين",""),IF(AND(COUNTA($O883:$U883)&gt;0,Q883=""),"المناطق",""),IF(AND(COUNTA($O883:$U883)&gt;0,R883=""),"الميزانية",""),IF(AND(COUNTA($O883:$U883)&gt;0,S883=""),"نسبة الجاهزية",""),IF(AND(COUNTA($O883:$U883)&gt;0,T883=""),"حالة الجاهزية",""),IF(AND(COUNTA($O883:$U883)&gt;0,U883=""),"التوصيات","")))&gt;0,"✗ ناقص: "&amp;_xlfn.TEXTJOIN("، ",TRUE,IF(E883="","التاريخ",""),IF(F883="","الوقت",""),IF(G883="","المركز",""),IF(H883="","الدائرة",""),IF(I883="","القسم",""),IF(J883="","المسؤول",""),IF(K883="","نوع النشاط",""),IF(L883="","المشروع",""),IF(N883="","الممول",""),IF(V883="","الموضوع",""),IF(W883="","الملاحظة",""),IF(X883="","مشكلة",""),IF(Y883="","الإجراء",""),IF(Z883="","التنفيذ",""),IF(AA883="","الجودة",""),IF(AB883="","الإغلاق",""),IF(AC883="","الخصم",""),IF(AND(COUNTA($O883:$U883)&gt;0,O883=""),"مدير المشروع",""),IF(AND(COUNTA($O883:$U883)&gt;0,P883=""),"المستفيدين",""),IF(AND(COUNTA($O883:$U883)&gt;0,Q883=""),"المناطق",""),IF(AND(COUNTA($O883:$U883)&gt;0,R883=""),"الميزانية",""),IF(AND(COUNTA($O883:$U883)&gt;0,S883=""),"نسبة الجاهزية",""),IF(AND(COUNTA($O883:$U883)&gt;0,T883=""),"حالة الجاهزية",""),IF(AND(COUNTA($O883:$U883)&gt;0,U883=""),"التوصيات","")),"✓"),"✓"))))))))))</f>
        <v/>
      </c>
      <c r="E883" s="235"/>
      <c r="F883" s="236"/>
      <c r="G883" s="90"/>
      <c r="H883" s="239"/>
      <c r="I883" s="89"/>
      <c r="J883" s="142"/>
      <c r="K883" s="90"/>
      <c r="L883" s="90"/>
      <c r="M883" s="90"/>
      <c r="N883" s="89"/>
      <c r="O883" s="200"/>
      <c r="P883" s="201"/>
      <c r="Q883" s="201"/>
      <c r="R883" s="237"/>
      <c r="S883" s="202"/>
      <c r="T883" s="200"/>
      <c r="U883" s="203"/>
      <c r="V883" s="89"/>
      <c r="W883" s="89"/>
      <c r="X883" s="145"/>
      <c r="Y883" s="89"/>
      <c r="Z883" s="90"/>
      <c r="AA883" s="90"/>
      <c r="AB883" s="90"/>
      <c r="AC883" s="90"/>
      <c r="AD883" s="92"/>
      <c r="AE883" s="149" t="str">
        <f>IFERROR(VLOOKUP(Z883,LISTS!$AL$2:$AM$1000,2,FALSE()),"")</f>
        <v/>
      </c>
      <c r="AF883" s="151" t="str">
        <f>IFERROR(VLOOKUP(AA883,LISTS!$AO$2:$AP$1000,2,FALSE()),"")</f>
        <v/>
      </c>
      <c r="AG883" s="152" t="str">
        <f>IFERROR(VLOOKUP(AB883,LISTS!$AR$2:$AS$1000,2,FALSE()),"")</f>
        <v/>
      </c>
      <c r="AH883" s="154" t="str">
        <f>IFERROR(VLOOKUP(AC883,LISTS!$AU$2:$AV$1000,2,FALSE()),"")</f>
        <v/>
      </c>
      <c r="AI883" s="238" t="str">
        <f t="shared" si="68"/>
        <v>—</v>
      </c>
      <c r="AJ883" s="190" t="str">
        <f t="shared" si="69"/>
        <v>—</v>
      </c>
      <c r="AK883" s="157" t="str">
        <f t="shared" si="70"/>
        <v/>
      </c>
      <c r="AL883" s="160" t="str">
        <f t="shared" si="71"/>
        <v/>
      </c>
      <c r="AM883" s="210"/>
      <c r="AN883" s="209"/>
    </row>
    <row r="884" spans="1:40" ht="27.95" customHeight="1">
      <c r="A884" s="134" t="str">
        <f>IF(I884&lt;&gt;"",COUNTA($I$2:I884),"")</f>
        <v/>
      </c>
      <c r="B884" s="138" t="str">
        <f t="shared" si="72"/>
        <v/>
      </c>
      <c r="C884" s="93" t="str">
        <f t="array" ref="C884">IF(E884="","",IF(M884&lt;&gt;"",
M884&amp;"/"&amp;SUMPRODUCT((M$2:M884=M884)*1)&amp;" - "&amp;(ROW()-2),
"إداري/"&amp;SUMPRODUCT((M$2:M884="")*1)&amp;" - "&amp;(ROW()-2)))</f>
        <v/>
      </c>
      <c r="D884" s="141" t="str">
        <f>IF(AND(G884="",H884="",I884=""),"",IF(COUNTIFS(LISTS!$A$2:$A$67,G884,LISTS!$B$2:$B$67,H884,LISTS!$C$2:$C$67,I884)=0,"✗ هرم",IF(NOT(OR(Z884="ممتاز 100%",Z884="جيد 80%",Z884="مقبول 60%",Z884="خطر 40%",Z884="")),"✗ قائمة R",IF(NOT(OR(AA884="ممتاز 100%",AA884="جيد 85%",AA884="مقبول 70%",AA884="ضعيف 50%",AA884="")),"✗ قائمة S",IF(NOT(OR(AB884="مكتمل 100%",AB884="جزئي 60%",AB884="معلق 30%",AB884="مفتوح 0%",AB884="")),"✗ قائمة T",IF(NOT(OR(AC884="لا خصم 0",AC884="تأخير −5",AC884="عجز −10",AC884="جودة −15",AC884="امتثال −20",AC884="مخالفة −25",AC884="")),"✗ قائمة U",IF(AND(X884="لا",AC884&lt;&gt;"",AC884&lt;&gt;"لا خصم 0"),"✗ خصم",IF(AND(X884="نعم",AC884="لا خصم 0"),"✗ خصم",IF(AND(Z884="ممتاز 100%",AA884="ممتاز 100%",AB884&lt;&gt;"",AB884&lt;&gt;"مكتمل 100%"),"✗ إغلاق",IFERROR(IF(LEN(_xlfn.TEXTJOIN("، ",TRUE,IF(E884="","التاريخ",""),IF(F884="","الوقت",""),IF(G884="","المركز",""),IF(H884="","الدائرة",""),IF(I884="","القسم",""),IF(J884="","المسؤول",""),IF(K884="","نوع النشاط",""),IF(L884="","المشروع",""),IF(N884="","الممول",""),IF(V884="","الموضوع",""),IF(W884="","الملاحظة",""),IF(X884="","مشكلة",""),IF(Y884="","الإجراء",""),IF(Z884="","التنفيذ",""),IF(AA884="","الجودة",""),IF(AB884="","الإغلاق",""),IF(AC884="","الخصم",""),IF(AND(COUNTA($O884:$U884)&gt;0,O884=""),"مدير المشروع",""),IF(AND(COUNTA($O884:$U884)&gt;0,P884=""),"المستفيدين",""),IF(AND(COUNTA($O884:$U884)&gt;0,Q884=""),"المناطق",""),IF(AND(COUNTA($O884:$U884)&gt;0,R884=""),"الميزانية",""),IF(AND(COUNTA($O884:$U884)&gt;0,S884=""),"نسبة الجاهزية",""),IF(AND(COUNTA($O884:$U884)&gt;0,T884=""),"حالة الجاهزية",""),IF(AND(COUNTA($O884:$U884)&gt;0,U884=""),"التوصيات","")))&gt;0,"✗ ناقص: "&amp;_xlfn.TEXTJOIN("، ",TRUE,IF(E884="","التاريخ",""),IF(F884="","الوقت",""),IF(G884="","المركز",""),IF(H884="","الدائرة",""),IF(I884="","القسم",""),IF(J884="","المسؤول",""),IF(K884="","نوع النشاط",""),IF(L884="","المشروع",""),IF(N884="","الممول",""),IF(V884="","الموضوع",""),IF(W884="","الملاحظة",""),IF(X884="","مشكلة",""),IF(Y884="","الإجراء",""),IF(Z884="","التنفيذ",""),IF(AA884="","الجودة",""),IF(AB884="","الإغلاق",""),IF(AC884="","الخصم",""),IF(AND(COUNTA($O884:$U884)&gt;0,O884=""),"مدير المشروع",""),IF(AND(COUNTA($O884:$U884)&gt;0,P884=""),"المستفيدين",""),IF(AND(COUNTA($O884:$U884)&gt;0,Q884=""),"المناطق",""),IF(AND(COUNTA($O884:$U884)&gt;0,R884=""),"الميزانية",""),IF(AND(COUNTA($O884:$U884)&gt;0,S884=""),"نسبة الجاهزية",""),IF(AND(COUNTA($O884:$U884)&gt;0,T884=""),"حالة الجاهزية",""),IF(AND(COUNTA($O884:$U884)&gt;0,U884=""),"التوصيات","")),"✓"),"✓"))))))))))</f>
        <v/>
      </c>
      <c r="E884" s="235"/>
      <c r="F884" s="236"/>
      <c r="G884" s="90"/>
      <c r="H884" s="239"/>
      <c r="I884" s="89"/>
      <c r="J884" s="142"/>
      <c r="K884" s="90"/>
      <c r="L884" s="90"/>
      <c r="M884" s="90"/>
      <c r="N884" s="89"/>
      <c r="O884" s="200"/>
      <c r="P884" s="201"/>
      <c r="Q884" s="201"/>
      <c r="R884" s="237"/>
      <c r="S884" s="202"/>
      <c r="T884" s="200"/>
      <c r="U884" s="203"/>
      <c r="V884" s="89"/>
      <c r="W884" s="89"/>
      <c r="X884" s="145"/>
      <c r="Y884" s="89"/>
      <c r="Z884" s="90"/>
      <c r="AA884" s="90"/>
      <c r="AB884" s="90"/>
      <c r="AC884" s="90"/>
      <c r="AD884" s="92"/>
      <c r="AE884" s="149" t="str">
        <f>IFERROR(VLOOKUP(Z884,LISTS!$AL$2:$AM$1000,2,FALSE()),"")</f>
        <v/>
      </c>
      <c r="AF884" s="151" t="str">
        <f>IFERROR(VLOOKUP(AA884,LISTS!$AO$2:$AP$1000,2,FALSE()),"")</f>
        <v/>
      </c>
      <c r="AG884" s="152" t="str">
        <f>IFERROR(VLOOKUP(AB884,LISTS!$AR$2:$AS$1000,2,FALSE()),"")</f>
        <v/>
      </c>
      <c r="AH884" s="154" t="str">
        <f>IFERROR(VLOOKUP(AC884,LISTS!$AU$2:$AV$1000,2,FALSE()),"")</f>
        <v/>
      </c>
      <c r="AI884" s="238" t="str">
        <f t="shared" si="68"/>
        <v>—</v>
      </c>
      <c r="AJ884" s="190" t="str">
        <f t="shared" si="69"/>
        <v>—</v>
      </c>
      <c r="AK884" s="157" t="str">
        <f t="shared" si="70"/>
        <v/>
      </c>
      <c r="AL884" s="160" t="str">
        <f t="shared" si="71"/>
        <v/>
      </c>
      <c r="AM884" s="210"/>
      <c r="AN884" s="209"/>
    </row>
    <row r="885" spans="1:40" ht="27.95" customHeight="1">
      <c r="A885" s="134" t="str">
        <f>IF(I885&lt;&gt;"",COUNTA($I$2:I885),"")</f>
        <v/>
      </c>
      <c r="B885" s="138" t="str">
        <f t="shared" si="72"/>
        <v/>
      </c>
      <c r="C885" s="93" t="str">
        <f t="array" ref="C885">IF(E885="","",IF(M885&lt;&gt;"",
M885&amp;"/"&amp;SUMPRODUCT((M$2:M885=M885)*1)&amp;" - "&amp;(ROW()-2),
"إداري/"&amp;SUMPRODUCT((M$2:M885="")*1)&amp;" - "&amp;(ROW()-2)))</f>
        <v/>
      </c>
      <c r="D885" s="141" t="str">
        <f>IF(AND(G885="",H885="",I885=""),"",IF(COUNTIFS(LISTS!$A$2:$A$67,G885,LISTS!$B$2:$B$67,H885,LISTS!$C$2:$C$67,I885)=0,"✗ هرم",IF(NOT(OR(Z885="ممتاز 100%",Z885="جيد 80%",Z885="مقبول 60%",Z885="خطر 40%",Z885="")),"✗ قائمة R",IF(NOT(OR(AA885="ممتاز 100%",AA885="جيد 85%",AA885="مقبول 70%",AA885="ضعيف 50%",AA885="")),"✗ قائمة S",IF(NOT(OR(AB885="مكتمل 100%",AB885="جزئي 60%",AB885="معلق 30%",AB885="مفتوح 0%",AB885="")),"✗ قائمة T",IF(NOT(OR(AC885="لا خصم 0",AC885="تأخير −5",AC885="عجز −10",AC885="جودة −15",AC885="امتثال −20",AC885="مخالفة −25",AC885="")),"✗ قائمة U",IF(AND(X885="لا",AC885&lt;&gt;"",AC885&lt;&gt;"لا خصم 0"),"✗ خصم",IF(AND(X885="نعم",AC885="لا خصم 0"),"✗ خصم",IF(AND(Z885="ممتاز 100%",AA885="ممتاز 100%",AB885&lt;&gt;"",AB885&lt;&gt;"مكتمل 100%"),"✗ إغلاق",IFERROR(IF(LEN(_xlfn.TEXTJOIN("، ",TRUE,IF(E885="","التاريخ",""),IF(F885="","الوقت",""),IF(G885="","المركز",""),IF(H885="","الدائرة",""),IF(I885="","القسم",""),IF(J885="","المسؤول",""),IF(K885="","نوع النشاط",""),IF(L885="","المشروع",""),IF(N885="","الممول",""),IF(V885="","الموضوع",""),IF(W885="","الملاحظة",""),IF(X885="","مشكلة",""),IF(Y885="","الإجراء",""),IF(Z885="","التنفيذ",""),IF(AA885="","الجودة",""),IF(AB885="","الإغلاق",""),IF(AC885="","الخصم",""),IF(AND(COUNTA($O885:$U885)&gt;0,O885=""),"مدير المشروع",""),IF(AND(COUNTA($O885:$U885)&gt;0,P885=""),"المستفيدين",""),IF(AND(COUNTA($O885:$U885)&gt;0,Q885=""),"المناطق",""),IF(AND(COUNTA($O885:$U885)&gt;0,R885=""),"الميزانية",""),IF(AND(COUNTA($O885:$U885)&gt;0,S885=""),"نسبة الجاهزية",""),IF(AND(COUNTA($O885:$U885)&gt;0,T885=""),"حالة الجاهزية",""),IF(AND(COUNTA($O885:$U885)&gt;0,U885=""),"التوصيات","")))&gt;0,"✗ ناقص: "&amp;_xlfn.TEXTJOIN("، ",TRUE,IF(E885="","التاريخ",""),IF(F885="","الوقت",""),IF(G885="","المركز",""),IF(H885="","الدائرة",""),IF(I885="","القسم",""),IF(J885="","المسؤول",""),IF(K885="","نوع النشاط",""),IF(L885="","المشروع",""),IF(N885="","الممول",""),IF(V885="","الموضوع",""),IF(W885="","الملاحظة",""),IF(X885="","مشكلة",""),IF(Y885="","الإجراء",""),IF(Z885="","التنفيذ",""),IF(AA885="","الجودة",""),IF(AB885="","الإغلاق",""),IF(AC885="","الخصم",""),IF(AND(COUNTA($O885:$U885)&gt;0,O885=""),"مدير المشروع",""),IF(AND(COUNTA($O885:$U885)&gt;0,P885=""),"المستفيدين",""),IF(AND(COUNTA($O885:$U885)&gt;0,Q885=""),"المناطق",""),IF(AND(COUNTA($O885:$U885)&gt;0,R885=""),"الميزانية",""),IF(AND(COUNTA($O885:$U885)&gt;0,S885=""),"نسبة الجاهزية",""),IF(AND(COUNTA($O885:$U885)&gt;0,T885=""),"حالة الجاهزية",""),IF(AND(COUNTA($O885:$U885)&gt;0,U885=""),"التوصيات","")),"✓"),"✓"))))))))))</f>
        <v/>
      </c>
      <c r="E885" s="235"/>
      <c r="F885" s="236"/>
      <c r="G885" s="90"/>
      <c r="H885" s="239"/>
      <c r="I885" s="89"/>
      <c r="J885" s="142"/>
      <c r="K885" s="90"/>
      <c r="L885" s="90"/>
      <c r="M885" s="90"/>
      <c r="N885" s="89"/>
      <c r="O885" s="200"/>
      <c r="P885" s="201"/>
      <c r="Q885" s="201"/>
      <c r="R885" s="237"/>
      <c r="S885" s="202"/>
      <c r="T885" s="200"/>
      <c r="U885" s="203"/>
      <c r="V885" s="89"/>
      <c r="W885" s="89"/>
      <c r="X885" s="145"/>
      <c r="Y885" s="89"/>
      <c r="Z885" s="90"/>
      <c r="AA885" s="90"/>
      <c r="AB885" s="90"/>
      <c r="AC885" s="90"/>
      <c r="AD885" s="92"/>
      <c r="AE885" s="149" t="str">
        <f>IFERROR(VLOOKUP(Z885,LISTS!$AL$2:$AM$1000,2,FALSE()),"")</f>
        <v/>
      </c>
      <c r="AF885" s="151" t="str">
        <f>IFERROR(VLOOKUP(AA885,LISTS!$AO$2:$AP$1000,2,FALSE()),"")</f>
        <v/>
      </c>
      <c r="AG885" s="152" t="str">
        <f>IFERROR(VLOOKUP(AB885,LISTS!$AR$2:$AS$1000,2,FALSE()),"")</f>
        <v/>
      </c>
      <c r="AH885" s="154" t="str">
        <f>IFERROR(VLOOKUP(AC885,LISTS!$AU$2:$AV$1000,2,FALSE()),"")</f>
        <v/>
      </c>
      <c r="AI885" s="238" t="str">
        <f t="shared" si="68"/>
        <v>—</v>
      </c>
      <c r="AJ885" s="190" t="str">
        <f t="shared" si="69"/>
        <v>—</v>
      </c>
      <c r="AK885" s="157" t="str">
        <f t="shared" si="70"/>
        <v/>
      </c>
      <c r="AL885" s="160" t="str">
        <f t="shared" si="71"/>
        <v/>
      </c>
      <c r="AM885" s="210"/>
      <c r="AN885" s="209"/>
    </row>
    <row r="886" spans="1:40" ht="27.95" customHeight="1">
      <c r="A886" s="134" t="str">
        <f>IF(I886&lt;&gt;"",COUNTA($I$2:I886),"")</f>
        <v/>
      </c>
      <c r="B886" s="138" t="str">
        <f t="shared" si="72"/>
        <v/>
      </c>
      <c r="C886" s="93" t="str">
        <f t="array" ref="C886">IF(E886="","",IF(M886&lt;&gt;"",
M886&amp;"/"&amp;SUMPRODUCT((M$2:M886=M886)*1)&amp;" - "&amp;(ROW()-2),
"إداري/"&amp;SUMPRODUCT((M$2:M886="")*1)&amp;" - "&amp;(ROW()-2)))</f>
        <v/>
      </c>
      <c r="D886" s="141" t="str">
        <f>IF(AND(G886="",H886="",I886=""),"",IF(COUNTIFS(LISTS!$A$2:$A$67,G886,LISTS!$B$2:$B$67,H886,LISTS!$C$2:$C$67,I886)=0,"✗ هرم",IF(NOT(OR(Z886="ممتاز 100%",Z886="جيد 80%",Z886="مقبول 60%",Z886="خطر 40%",Z886="")),"✗ قائمة R",IF(NOT(OR(AA886="ممتاز 100%",AA886="جيد 85%",AA886="مقبول 70%",AA886="ضعيف 50%",AA886="")),"✗ قائمة S",IF(NOT(OR(AB886="مكتمل 100%",AB886="جزئي 60%",AB886="معلق 30%",AB886="مفتوح 0%",AB886="")),"✗ قائمة T",IF(NOT(OR(AC886="لا خصم 0",AC886="تأخير −5",AC886="عجز −10",AC886="جودة −15",AC886="امتثال −20",AC886="مخالفة −25",AC886="")),"✗ قائمة U",IF(AND(X886="لا",AC886&lt;&gt;"",AC886&lt;&gt;"لا خصم 0"),"✗ خصم",IF(AND(X886="نعم",AC886="لا خصم 0"),"✗ خصم",IF(AND(Z886="ممتاز 100%",AA886="ممتاز 100%",AB886&lt;&gt;"",AB886&lt;&gt;"مكتمل 100%"),"✗ إغلاق",IFERROR(IF(LEN(_xlfn.TEXTJOIN("، ",TRUE,IF(E886="","التاريخ",""),IF(F886="","الوقت",""),IF(G886="","المركز",""),IF(H886="","الدائرة",""),IF(I886="","القسم",""),IF(J886="","المسؤول",""),IF(K886="","نوع النشاط",""),IF(L886="","المشروع",""),IF(N886="","الممول",""),IF(V886="","الموضوع",""),IF(W886="","الملاحظة",""),IF(X886="","مشكلة",""),IF(Y886="","الإجراء",""),IF(Z886="","التنفيذ",""),IF(AA886="","الجودة",""),IF(AB886="","الإغلاق",""),IF(AC886="","الخصم",""),IF(AND(COUNTA($O886:$U886)&gt;0,O886=""),"مدير المشروع",""),IF(AND(COUNTA($O886:$U886)&gt;0,P886=""),"المستفيدين",""),IF(AND(COUNTA($O886:$U886)&gt;0,Q886=""),"المناطق",""),IF(AND(COUNTA($O886:$U886)&gt;0,R886=""),"الميزانية",""),IF(AND(COUNTA($O886:$U886)&gt;0,S886=""),"نسبة الجاهزية",""),IF(AND(COUNTA($O886:$U886)&gt;0,T886=""),"حالة الجاهزية",""),IF(AND(COUNTA($O886:$U886)&gt;0,U886=""),"التوصيات","")))&gt;0,"✗ ناقص: "&amp;_xlfn.TEXTJOIN("، ",TRUE,IF(E886="","التاريخ",""),IF(F886="","الوقت",""),IF(G886="","المركز",""),IF(H886="","الدائرة",""),IF(I886="","القسم",""),IF(J886="","المسؤول",""),IF(K886="","نوع النشاط",""),IF(L886="","المشروع",""),IF(N886="","الممول",""),IF(V886="","الموضوع",""),IF(W886="","الملاحظة",""),IF(X886="","مشكلة",""),IF(Y886="","الإجراء",""),IF(Z886="","التنفيذ",""),IF(AA886="","الجودة",""),IF(AB886="","الإغلاق",""),IF(AC886="","الخصم",""),IF(AND(COUNTA($O886:$U886)&gt;0,O886=""),"مدير المشروع",""),IF(AND(COUNTA($O886:$U886)&gt;0,P886=""),"المستفيدين",""),IF(AND(COUNTA($O886:$U886)&gt;0,Q886=""),"المناطق",""),IF(AND(COUNTA($O886:$U886)&gt;0,R886=""),"الميزانية",""),IF(AND(COUNTA($O886:$U886)&gt;0,S886=""),"نسبة الجاهزية",""),IF(AND(COUNTA($O886:$U886)&gt;0,T886=""),"حالة الجاهزية",""),IF(AND(COUNTA($O886:$U886)&gt;0,U886=""),"التوصيات","")),"✓"),"✓"))))))))))</f>
        <v/>
      </c>
      <c r="E886" s="235"/>
      <c r="F886" s="236"/>
      <c r="G886" s="90"/>
      <c r="H886" s="239"/>
      <c r="I886" s="89"/>
      <c r="J886" s="142"/>
      <c r="K886" s="90"/>
      <c r="L886" s="90"/>
      <c r="M886" s="90"/>
      <c r="N886" s="89"/>
      <c r="O886" s="200"/>
      <c r="P886" s="201"/>
      <c r="Q886" s="201"/>
      <c r="R886" s="237"/>
      <c r="S886" s="202"/>
      <c r="T886" s="200"/>
      <c r="U886" s="203"/>
      <c r="V886" s="89"/>
      <c r="W886" s="89"/>
      <c r="X886" s="145"/>
      <c r="Y886" s="89"/>
      <c r="Z886" s="90"/>
      <c r="AA886" s="90"/>
      <c r="AB886" s="90"/>
      <c r="AC886" s="90"/>
      <c r="AD886" s="92"/>
      <c r="AE886" s="149" t="str">
        <f>IFERROR(VLOOKUP(Z886,LISTS!$AL$2:$AM$1000,2,FALSE()),"")</f>
        <v/>
      </c>
      <c r="AF886" s="151" t="str">
        <f>IFERROR(VLOOKUP(AA886,LISTS!$AO$2:$AP$1000,2,FALSE()),"")</f>
        <v/>
      </c>
      <c r="AG886" s="152" t="str">
        <f>IFERROR(VLOOKUP(AB886,LISTS!$AR$2:$AS$1000,2,FALSE()),"")</f>
        <v/>
      </c>
      <c r="AH886" s="154" t="str">
        <f>IFERROR(VLOOKUP(AC886,LISTS!$AU$2:$AV$1000,2,FALSE()),"")</f>
        <v/>
      </c>
      <c r="AI886" s="238" t="str">
        <f t="shared" si="68"/>
        <v>—</v>
      </c>
      <c r="AJ886" s="190" t="str">
        <f t="shared" si="69"/>
        <v>—</v>
      </c>
      <c r="AK886" s="157" t="str">
        <f t="shared" si="70"/>
        <v/>
      </c>
      <c r="AL886" s="160" t="str">
        <f t="shared" si="71"/>
        <v/>
      </c>
      <c r="AM886" s="210"/>
      <c r="AN886" s="209"/>
    </row>
    <row r="887" spans="1:40" ht="27.95" customHeight="1">
      <c r="A887" s="134" t="str">
        <f>IF(I887&lt;&gt;"",COUNTA($I$2:I887),"")</f>
        <v/>
      </c>
      <c r="B887" s="138" t="str">
        <f t="shared" si="72"/>
        <v/>
      </c>
      <c r="C887" s="93" t="str">
        <f t="array" ref="C887">IF(E887="","",IF(M887&lt;&gt;"",
M887&amp;"/"&amp;SUMPRODUCT((M$2:M887=M887)*1)&amp;" - "&amp;(ROW()-2),
"إداري/"&amp;SUMPRODUCT((M$2:M887="")*1)&amp;" - "&amp;(ROW()-2)))</f>
        <v/>
      </c>
      <c r="D887" s="141" t="str">
        <f>IF(AND(G887="",H887="",I887=""),"",IF(COUNTIFS(LISTS!$A$2:$A$67,G887,LISTS!$B$2:$B$67,H887,LISTS!$C$2:$C$67,I887)=0,"✗ هرم",IF(NOT(OR(Z887="ممتاز 100%",Z887="جيد 80%",Z887="مقبول 60%",Z887="خطر 40%",Z887="")),"✗ قائمة R",IF(NOT(OR(AA887="ممتاز 100%",AA887="جيد 85%",AA887="مقبول 70%",AA887="ضعيف 50%",AA887="")),"✗ قائمة S",IF(NOT(OR(AB887="مكتمل 100%",AB887="جزئي 60%",AB887="معلق 30%",AB887="مفتوح 0%",AB887="")),"✗ قائمة T",IF(NOT(OR(AC887="لا خصم 0",AC887="تأخير −5",AC887="عجز −10",AC887="جودة −15",AC887="امتثال −20",AC887="مخالفة −25",AC887="")),"✗ قائمة U",IF(AND(X887="لا",AC887&lt;&gt;"",AC887&lt;&gt;"لا خصم 0"),"✗ خصم",IF(AND(X887="نعم",AC887="لا خصم 0"),"✗ خصم",IF(AND(Z887="ممتاز 100%",AA887="ممتاز 100%",AB887&lt;&gt;"",AB887&lt;&gt;"مكتمل 100%"),"✗ إغلاق",IFERROR(IF(LEN(_xlfn.TEXTJOIN("، ",TRUE,IF(E887="","التاريخ",""),IF(F887="","الوقت",""),IF(G887="","المركز",""),IF(H887="","الدائرة",""),IF(I887="","القسم",""),IF(J887="","المسؤول",""),IF(K887="","نوع النشاط",""),IF(L887="","المشروع",""),IF(N887="","الممول",""),IF(V887="","الموضوع",""),IF(W887="","الملاحظة",""),IF(X887="","مشكلة",""),IF(Y887="","الإجراء",""),IF(Z887="","التنفيذ",""),IF(AA887="","الجودة",""),IF(AB887="","الإغلاق",""),IF(AC887="","الخصم",""),IF(AND(COUNTA($O887:$U887)&gt;0,O887=""),"مدير المشروع",""),IF(AND(COUNTA($O887:$U887)&gt;0,P887=""),"المستفيدين",""),IF(AND(COUNTA($O887:$U887)&gt;0,Q887=""),"المناطق",""),IF(AND(COUNTA($O887:$U887)&gt;0,R887=""),"الميزانية",""),IF(AND(COUNTA($O887:$U887)&gt;0,S887=""),"نسبة الجاهزية",""),IF(AND(COUNTA($O887:$U887)&gt;0,T887=""),"حالة الجاهزية",""),IF(AND(COUNTA($O887:$U887)&gt;0,U887=""),"التوصيات","")))&gt;0,"✗ ناقص: "&amp;_xlfn.TEXTJOIN("، ",TRUE,IF(E887="","التاريخ",""),IF(F887="","الوقت",""),IF(G887="","المركز",""),IF(H887="","الدائرة",""),IF(I887="","القسم",""),IF(J887="","المسؤول",""),IF(K887="","نوع النشاط",""),IF(L887="","المشروع",""),IF(N887="","الممول",""),IF(V887="","الموضوع",""),IF(W887="","الملاحظة",""),IF(X887="","مشكلة",""),IF(Y887="","الإجراء",""),IF(Z887="","التنفيذ",""),IF(AA887="","الجودة",""),IF(AB887="","الإغلاق",""),IF(AC887="","الخصم",""),IF(AND(COUNTA($O887:$U887)&gt;0,O887=""),"مدير المشروع",""),IF(AND(COUNTA($O887:$U887)&gt;0,P887=""),"المستفيدين",""),IF(AND(COUNTA($O887:$U887)&gt;0,Q887=""),"المناطق",""),IF(AND(COUNTA($O887:$U887)&gt;0,R887=""),"الميزانية",""),IF(AND(COUNTA($O887:$U887)&gt;0,S887=""),"نسبة الجاهزية",""),IF(AND(COUNTA($O887:$U887)&gt;0,T887=""),"حالة الجاهزية",""),IF(AND(COUNTA($O887:$U887)&gt;0,U887=""),"التوصيات","")),"✓"),"✓"))))))))))</f>
        <v/>
      </c>
      <c r="E887" s="235"/>
      <c r="F887" s="236"/>
      <c r="G887" s="90"/>
      <c r="H887" s="239"/>
      <c r="I887" s="89"/>
      <c r="J887" s="142"/>
      <c r="K887" s="90"/>
      <c r="L887" s="90"/>
      <c r="M887" s="90"/>
      <c r="N887" s="89"/>
      <c r="O887" s="200"/>
      <c r="P887" s="201"/>
      <c r="Q887" s="201"/>
      <c r="R887" s="237"/>
      <c r="S887" s="202"/>
      <c r="T887" s="200"/>
      <c r="U887" s="203"/>
      <c r="V887" s="89"/>
      <c r="W887" s="89"/>
      <c r="X887" s="145"/>
      <c r="Y887" s="89"/>
      <c r="Z887" s="90"/>
      <c r="AA887" s="90"/>
      <c r="AB887" s="90"/>
      <c r="AC887" s="90"/>
      <c r="AD887" s="92"/>
      <c r="AE887" s="149" t="str">
        <f>IFERROR(VLOOKUP(Z887,LISTS!$AL$2:$AM$1000,2,FALSE()),"")</f>
        <v/>
      </c>
      <c r="AF887" s="151" t="str">
        <f>IFERROR(VLOOKUP(AA887,LISTS!$AO$2:$AP$1000,2,FALSE()),"")</f>
        <v/>
      </c>
      <c r="AG887" s="152" t="str">
        <f>IFERROR(VLOOKUP(AB887,LISTS!$AR$2:$AS$1000,2,FALSE()),"")</f>
        <v/>
      </c>
      <c r="AH887" s="154" t="str">
        <f>IFERROR(VLOOKUP(AC887,LISTS!$AU$2:$AV$1000,2,FALSE()),"")</f>
        <v/>
      </c>
      <c r="AI887" s="238" t="str">
        <f t="shared" si="68"/>
        <v>—</v>
      </c>
      <c r="AJ887" s="190" t="str">
        <f t="shared" si="69"/>
        <v>—</v>
      </c>
      <c r="AK887" s="157" t="str">
        <f t="shared" si="70"/>
        <v/>
      </c>
      <c r="AL887" s="160" t="str">
        <f t="shared" si="71"/>
        <v/>
      </c>
      <c r="AM887" s="210"/>
      <c r="AN887" s="209"/>
    </row>
    <row r="888" spans="1:40" ht="27.95" customHeight="1">
      <c r="A888" s="134" t="str">
        <f>IF(I888&lt;&gt;"",COUNTA($I$2:I888),"")</f>
        <v/>
      </c>
      <c r="B888" s="138" t="str">
        <f t="shared" si="72"/>
        <v/>
      </c>
      <c r="C888" s="93" t="str">
        <f t="array" ref="C888">IF(E888="","",IF(M888&lt;&gt;"",
M888&amp;"/"&amp;SUMPRODUCT((M$2:M888=M888)*1)&amp;" - "&amp;(ROW()-2),
"إداري/"&amp;SUMPRODUCT((M$2:M888="")*1)&amp;" - "&amp;(ROW()-2)))</f>
        <v/>
      </c>
      <c r="D888" s="141" t="str">
        <f>IF(AND(G888="",H888="",I888=""),"",IF(COUNTIFS(LISTS!$A$2:$A$67,G888,LISTS!$B$2:$B$67,H888,LISTS!$C$2:$C$67,I888)=0,"✗ هرم",IF(NOT(OR(Z888="ممتاز 100%",Z888="جيد 80%",Z888="مقبول 60%",Z888="خطر 40%",Z888="")),"✗ قائمة R",IF(NOT(OR(AA888="ممتاز 100%",AA888="جيد 85%",AA888="مقبول 70%",AA888="ضعيف 50%",AA888="")),"✗ قائمة S",IF(NOT(OR(AB888="مكتمل 100%",AB888="جزئي 60%",AB888="معلق 30%",AB888="مفتوح 0%",AB888="")),"✗ قائمة T",IF(NOT(OR(AC888="لا خصم 0",AC888="تأخير −5",AC888="عجز −10",AC888="جودة −15",AC888="امتثال −20",AC888="مخالفة −25",AC888="")),"✗ قائمة U",IF(AND(X888="لا",AC888&lt;&gt;"",AC888&lt;&gt;"لا خصم 0"),"✗ خصم",IF(AND(X888="نعم",AC888="لا خصم 0"),"✗ خصم",IF(AND(Z888="ممتاز 100%",AA888="ممتاز 100%",AB888&lt;&gt;"",AB888&lt;&gt;"مكتمل 100%"),"✗ إغلاق",IFERROR(IF(LEN(_xlfn.TEXTJOIN("، ",TRUE,IF(E888="","التاريخ",""),IF(F888="","الوقت",""),IF(G888="","المركز",""),IF(H888="","الدائرة",""),IF(I888="","القسم",""),IF(J888="","المسؤول",""),IF(K888="","نوع النشاط",""),IF(L888="","المشروع",""),IF(N888="","الممول",""),IF(V888="","الموضوع",""),IF(W888="","الملاحظة",""),IF(X888="","مشكلة",""),IF(Y888="","الإجراء",""),IF(Z888="","التنفيذ",""),IF(AA888="","الجودة",""),IF(AB888="","الإغلاق",""),IF(AC888="","الخصم",""),IF(AND(COUNTA($O888:$U888)&gt;0,O888=""),"مدير المشروع",""),IF(AND(COUNTA($O888:$U888)&gt;0,P888=""),"المستفيدين",""),IF(AND(COUNTA($O888:$U888)&gt;0,Q888=""),"المناطق",""),IF(AND(COUNTA($O888:$U888)&gt;0,R888=""),"الميزانية",""),IF(AND(COUNTA($O888:$U888)&gt;0,S888=""),"نسبة الجاهزية",""),IF(AND(COUNTA($O888:$U888)&gt;0,T888=""),"حالة الجاهزية",""),IF(AND(COUNTA($O888:$U888)&gt;0,U888=""),"التوصيات","")))&gt;0,"✗ ناقص: "&amp;_xlfn.TEXTJOIN("، ",TRUE,IF(E888="","التاريخ",""),IF(F888="","الوقت",""),IF(G888="","المركز",""),IF(H888="","الدائرة",""),IF(I888="","القسم",""),IF(J888="","المسؤول",""),IF(K888="","نوع النشاط",""),IF(L888="","المشروع",""),IF(N888="","الممول",""),IF(V888="","الموضوع",""),IF(W888="","الملاحظة",""),IF(X888="","مشكلة",""),IF(Y888="","الإجراء",""),IF(Z888="","التنفيذ",""),IF(AA888="","الجودة",""),IF(AB888="","الإغلاق",""),IF(AC888="","الخصم",""),IF(AND(COUNTA($O888:$U888)&gt;0,O888=""),"مدير المشروع",""),IF(AND(COUNTA($O888:$U888)&gt;0,P888=""),"المستفيدين",""),IF(AND(COUNTA($O888:$U888)&gt;0,Q888=""),"المناطق",""),IF(AND(COUNTA($O888:$U888)&gt;0,R888=""),"الميزانية",""),IF(AND(COUNTA($O888:$U888)&gt;0,S888=""),"نسبة الجاهزية",""),IF(AND(COUNTA($O888:$U888)&gt;0,T888=""),"حالة الجاهزية",""),IF(AND(COUNTA($O888:$U888)&gt;0,U888=""),"التوصيات","")),"✓"),"✓"))))))))))</f>
        <v/>
      </c>
      <c r="E888" s="235"/>
      <c r="F888" s="236"/>
      <c r="G888" s="90"/>
      <c r="H888" s="239"/>
      <c r="I888" s="89"/>
      <c r="J888" s="142"/>
      <c r="K888" s="90"/>
      <c r="L888" s="90"/>
      <c r="M888" s="90"/>
      <c r="N888" s="89"/>
      <c r="O888" s="200"/>
      <c r="P888" s="201"/>
      <c r="Q888" s="201"/>
      <c r="R888" s="237"/>
      <c r="S888" s="202"/>
      <c r="T888" s="200"/>
      <c r="U888" s="203"/>
      <c r="V888" s="89"/>
      <c r="W888" s="89"/>
      <c r="X888" s="145"/>
      <c r="Y888" s="89"/>
      <c r="Z888" s="90"/>
      <c r="AA888" s="90"/>
      <c r="AB888" s="90"/>
      <c r="AC888" s="90"/>
      <c r="AD888" s="92"/>
      <c r="AE888" s="149" t="str">
        <f>IFERROR(VLOOKUP(Z888,LISTS!$AL$2:$AM$1000,2,FALSE()),"")</f>
        <v/>
      </c>
      <c r="AF888" s="151" t="str">
        <f>IFERROR(VLOOKUP(AA888,LISTS!$AO$2:$AP$1000,2,FALSE()),"")</f>
        <v/>
      </c>
      <c r="AG888" s="152" t="str">
        <f>IFERROR(VLOOKUP(AB888,LISTS!$AR$2:$AS$1000,2,FALSE()),"")</f>
        <v/>
      </c>
      <c r="AH888" s="154" t="str">
        <f>IFERROR(VLOOKUP(AC888,LISTS!$AU$2:$AV$1000,2,FALSE()),"")</f>
        <v/>
      </c>
      <c r="AI888" s="238" t="str">
        <f t="shared" si="68"/>
        <v>—</v>
      </c>
      <c r="AJ888" s="190" t="str">
        <f t="shared" si="69"/>
        <v>—</v>
      </c>
      <c r="AK888" s="157" t="str">
        <f t="shared" si="70"/>
        <v/>
      </c>
      <c r="AL888" s="160" t="str">
        <f t="shared" si="71"/>
        <v/>
      </c>
      <c r="AM888" s="210"/>
      <c r="AN888" s="209"/>
    </row>
    <row r="889" spans="1:40" ht="27.95" customHeight="1">
      <c r="A889" s="134" t="str">
        <f>IF(I889&lt;&gt;"",COUNTA($I$2:I889),"")</f>
        <v/>
      </c>
      <c r="B889" s="138" t="str">
        <f t="shared" si="72"/>
        <v/>
      </c>
      <c r="C889" s="93" t="str">
        <f t="array" ref="C889">IF(E889="","",IF(M889&lt;&gt;"",
M889&amp;"/"&amp;SUMPRODUCT((M$2:M889=M889)*1)&amp;" - "&amp;(ROW()-2),
"إداري/"&amp;SUMPRODUCT((M$2:M889="")*1)&amp;" - "&amp;(ROW()-2)))</f>
        <v/>
      </c>
      <c r="D889" s="141" t="str">
        <f>IF(AND(G889="",H889="",I889=""),"",IF(COUNTIFS(LISTS!$A$2:$A$67,G889,LISTS!$B$2:$B$67,H889,LISTS!$C$2:$C$67,I889)=0,"✗ هرم",IF(NOT(OR(Z889="ممتاز 100%",Z889="جيد 80%",Z889="مقبول 60%",Z889="خطر 40%",Z889="")),"✗ قائمة R",IF(NOT(OR(AA889="ممتاز 100%",AA889="جيد 85%",AA889="مقبول 70%",AA889="ضعيف 50%",AA889="")),"✗ قائمة S",IF(NOT(OR(AB889="مكتمل 100%",AB889="جزئي 60%",AB889="معلق 30%",AB889="مفتوح 0%",AB889="")),"✗ قائمة T",IF(NOT(OR(AC889="لا خصم 0",AC889="تأخير −5",AC889="عجز −10",AC889="جودة −15",AC889="امتثال −20",AC889="مخالفة −25",AC889="")),"✗ قائمة U",IF(AND(X889="لا",AC889&lt;&gt;"",AC889&lt;&gt;"لا خصم 0"),"✗ خصم",IF(AND(X889="نعم",AC889="لا خصم 0"),"✗ خصم",IF(AND(Z889="ممتاز 100%",AA889="ممتاز 100%",AB889&lt;&gt;"",AB889&lt;&gt;"مكتمل 100%"),"✗ إغلاق",IFERROR(IF(LEN(_xlfn.TEXTJOIN("، ",TRUE,IF(E889="","التاريخ",""),IF(F889="","الوقت",""),IF(G889="","المركز",""),IF(H889="","الدائرة",""),IF(I889="","القسم",""),IF(J889="","المسؤول",""),IF(K889="","نوع النشاط",""),IF(L889="","المشروع",""),IF(N889="","الممول",""),IF(V889="","الموضوع",""),IF(W889="","الملاحظة",""),IF(X889="","مشكلة",""),IF(Y889="","الإجراء",""),IF(Z889="","التنفيذ",""),IF(AA889="","الجودة",""),IF(AB889="","الإغلاق",""),IF(AC889="","الخصم",""),IF(AND(COUNTA($O889:$U889)&gt;0,O889=""),"مدير المشروع",""),IF(AND(COUNTA($O889:$U889)&gt;0,P889=""),"المستفيدين",""),IF(AND(COUNTA($O889:$U889)&gt;0,Q889=""),"المناطق",""),IF(AND(COUNTA($O889:$U889)&gt;0,R889=""),"الميزانية",""),IF(AND(COUNTA($O889:$U889)&gt;0,S889=""),"نسبة الجاهزية",""),IF(AND(COUNTA($O889:$U889)&gt;0,T889=""),"حالة الجاهزية",""),IF(AND(COUNTA($O889:$U889)&gt;0,U889=""),"التوصيات","")))&gt;0,"✗ ناقص: "&amp;_xlfn.TEXTJOIN("، ",TRUE,IF(E889="","التاريخ",""),IF(F889="","الوقت",""),IF(G889="","المركز",""),IF(H889="","الدائرة",""),IF(I889="","القسم",""),IF(J889="","المسؤول",""),IF(K889="","نوع النشاط",""),IF(L889="","المشروع",""),IF(N889="","الممول",""),IF(V889="","الموضوع",""),IF(W889="","الملاحظة",""),IF(X889="","مشكلة",""),IF(Y889="","الإجراء",""),IF(Z889="","التنفيذ",""),IF(AA889="","الجودة",""),IF(AB889="","الإغلاق",""),IF(AC889="","الخصم",""),IF(AND(COUNTA($O889:$U889)&gt;0,O889=""),"مدير المشروع",""),IF(AND(COUNTA($O889:$U889)&gt;0,P889=""),"المستفيدين",""),IF(AND(COUNTA($O889:$U889)&gt;0,Q889=""),"المناطق",""),IF(AND(COUNTA($O889:$U889)&gt;0,R889=""),"الميزانية",""),IF(AND(COUNTA($O889:$U889)&gt;0,S889=""),"نسبة الجاهزية",""),IF(AND(COUNTA($O889:$U889)&gt;0,T889=""),"حالة الجاهزية",""),IF(AND(COUNTA($O889:$U889)&gt;0,U889=""),"التوصيات","")),"✓"),"✓"))))))))))</f>
        <v/>
      </c>
      <c r="E889" s="235"/>
      <c r="F889" s="236"/>
      <c r="G889" s="90"/>
      <c r="H889" s="239"/>
      <c r="I889" s="89"/>
      <c r="J889" s="142"/>
      <c r="K889" s="90"/>
      <c r="L889" s="90"/>
      <c r="M889" s="90"/>
      <c r="N889" s="89"/>
      <c r="O889" s="200"/>
      <c r="P889" s="201"/>
      <c r="Q889" s="201"/>
      <c r="R889" s="237"/>
      <c r="S889" s="202"/>
      <c r="T889" s="200"/>
      <c r="U889" s="203"/>
      <c r="V889" s="89"/>
      <c r="W889" s="89"/>
      <c r="X889" s="145"/>
      <c r="Y889" s="89"/>
      <c r="Z889" s="90"/>
      <c r="AA889" s="90"/>
      <c r="AB889" s="90"/>
      <c r="AC889" s="90"/>
      <c r="AD889" s="92"/>
      <c r="AE889" s="149" t="str">
        <f>IFERROR(VLOOKUP(Z889,LISTS!$AL$2:$AM$1000,2,FALSE()),"")</f>
        <v/>
      </c>
      <c r="AF889" s="151" t="str">
        <f>IFERROR(VLOOKUP(AA889,LISTS!$AO$2:$AP$1000,2,FALSE()),"")</f>
        <v/>
      </c>
      <c r="AG889" s="152" t="str">
        <f>IFERROR(VLOOKUP(AB889,LISTS!$AR$2:$AS$1000,2,FALSE()),"")</f>
        <v/>
      </c>
      <c r="AH889" s="154" t="str">
        <f>IFERROR(VLOOKUP(AC889,LISTS!$AU$2:$AV$1000,2,FALSE()),"")</f>
        <v/>
      </c>
      <c r="AI889" s="238" t="str">
        <f t="shared" si="68"/>
        <v>—</v>
      </c>
      <c r="AJ889" s="190" t="str">
        <f t="shared" si="69"/>
        <v>—</v>
      </c>
      <c r="AK889" s="157" t="str">
        <f t="shared" si="70"/>
        <v/>
      </c>
      <c r="AL889" s="160" t="str">
        <f t="shared" si="71"/>
        <v/>
      </c>
      <c r="AM889" s="210"/>
      <c r="AN889" s="209"/>
    </row>
    <row r="890" spans="1:40" ht="27.95" customHeight="1">
      <c r="A890" s="134" t="str">
        <f>IF(I890&lt;&gt;"",COUNTA($I$2:I890),"")</f>
        <v/>
      </c>
      <c r="B890" s="138" t="str">
        <f t="shared" si="72"/>
        <v/>
      </c>
      <c r="C890" s="93" t="str">
        <f t="array" ref="C890">IF(E890="","",IF(M890&lt;&gt;"",
M890&amp;"/"&amp;SUMPRODUCT((M$2:M890=M890)*1)&amp;" - "&amp;(ROW()-2),
"إداري/"&amp;SUMPRODUCT((M$2:M890="")*1)&amp;" - "&amp;(ROW()-2)))</f>
        <v/>
      </c>
      <c r="D890" s="141" t="str">
        <f>IF(AND(G890="",H890="",I890=""),"",IF(COUNTIFS(LISTS!$A$2:$A$67,G890,LISTS!$B$2:$B$67,H890,LISTS!$C$2:$C$67,I890)=0,"✗ هرم",IF(NOT(OR(Z890="ممتاز 100%",Z890="جيد 80%",Z890="مقبول 60%",Z890="خطر 40%",Z890="")),"✗ قائمة R",IF(NOT(OR(AA890="ممتاز 100%",AA890="جيد 85%",AA890="مقبول 70%",AA890="ضعيف 50%",AA890="")),"✗ قائمة S",IF(NOT(OR(AB890="مكتمل 100%",AB890="جزئي 60%",AB890="معلق 30%",AB890="مفتوح 0%",AB890="")),"✗ قائمة T",IF(NOT(OR(AC890="لا خصم 0",AC890="تأخير −5",AC890="عجز −10",AC890="جودة −15",AC890="امتثال −20",AC890="مخالفة −25",AC890="")),"✗ قائمة U",IF(AND(X890="لا",AC890&lt;&gt;"",AC890&lt;&gt;"لا خصم 0"),"✗ خصم",IF(AND(X890="نعم",AC890="لا خصم 0"),"✗ خصم",IF(AND(Z890="ممتاز 100%",AA890="ممتاز 100%",AB890&lt;&gt;"",AB890&lt;&gt;"مكتمل 100%"),"✗ إغلاق",IFERROR(IF(LEN(_xlfn.TEXTJOIN("، ",TRUE,IF(E890="","التاريخ",""),IF(F890="","الوقت",""),IF(G890="","المركز",""),IF(H890="","الدائرة",""),IF(I890="","القسم",""),IF(J890="","المسؤول",""),IF(K890="","نوع النشاط",""),IF(L890="","المشروع",""),IF(N890="","الممول",""),IF(V890="","الموضوع",""),IF(W890="","الملاحظة",""),IF(X890="","مشكلة",""),IF(Y890="","الإجراء",""),IF(Z890="","التنفيذ",""),IF(AA890="","الجودة",""),IF(AB890="","الإغلاق",""),IF(AC890="","الخصم",""),IF(AND(COUNTA($O890:$U890)&gt;0,O890=""),"مدير المشروع",""),IF(AND(COUNTA($O890:$U890)&gt;0,P890=""),"المستفيدين",""),IF(AND(COUNTA($O890:$U890)&gt;0,Q890=""),"المناطق",""),IF(AND(COUNTA($O890:$U890)&gt;0,R890=""),"الميزانية",""),IF(AND(COUNTA($O890:$U890)&gt;0,S890=""),"نسبة الجاهزية",""),IF(AND(COUNTA($O890:$U890)&gt;0,T890=""),"حالة الجاهزية",""),IF(AND(COUNTA($O890:$U890)&gt;0,U890=""),"التوصيات","")))&gt;0,"✗ ناقص: "&amp;_xlfn.TEXTJOIN("، ",TRUE,IF(E890="","التاريخ",""),IF(F890="","الوقت",""),IF(G890="","المركز",""),IF(H890="","الدائرة",""),IF(I890="","القسم",""),IF(J890="","المسؤول",""),IF(K890="","نوع النشاط",""),IF(L890="","المشروع",""),IF(N890="","الممول",""),IF(V890="","الموضوع",""),IF(W890="","الملاحظة",""),IF(X890="","مشكلة",""),IF(Y890="","الإجراء",""),IF(Z890="","التنفيذ",""),IF(AA890="","الجودة",""),IF(AB890="","الإغلاق",""),IF(AC890="","الخصم",""),IF(AND(COUNTA($O890:$U890)&gt;0,O890=""),"مدير المشروع",""),IF(AND(COUNTA($O890:$U890)&gt;0,P890=""),"المستفيدين",""),IF(AND(COUNTA($O890:$U890)&gt;0,Q890=""),"المناطق",""),IF(AND(COUNTA($O890:$U890)&gt;0,R890=""),"الميزانية",""),IF(AND(COUNTA($O890:$U890)&gt;0,S890=""),"نسبة الجاهزية",""),IF(AND(COUNTA($O890:$U890)&gt;0,T890=""),"حالة الجاهزية",""),IF(AND(COUNTA($O890:$U890)&gt;0,U890=""),"التوصيات","")),"✓"),"✓"))))))))))</f>
        <v/>
      </c>
      <c r="E890" s="235"/>
      <c r="F890" s="236"/>
      <c r="G890" s="90"/>
      <c r="H890" s="239"/>
      <c r="I890" s="89"/>
      <c r="J890" s="142"/>
      <c r="K890" s="90"/>
      <c r="L890" s="90"/>
      <c r="M890" s="90"/>
      <c r="N890" s="89"/>
      <c r="O890" s="200"/>
      <c r="P890" s="201"/>
      <c r="Q890" s="201"/>
      <c r="R890" s="237"/>
      <c r="S890" s="202"/>
      <c r="T890" s="200"/>
      <c r="U890" s="203"/>
      <c r="V890" s="89"/>
      <c r="W890" s="89"/>
      <c r="X890" s="145"/>
      <c r="Y890" s="89"/>
      <c r="Z890" s="90"/>
      <c r="AA890" s="90"/>
      <c r="AB890" s="90"/>
      <c r="AC890" s="90"/>
      <c r="AD890" s="92"/>
      <c r="AE890" s="149" t="str">
        <f>IFERROR(VLOOKUP(Z890,LISTS!$AL$2:$AM$1000,2,FALSE()),"")</f>
        <v/>
      </c>
      <c r="AF890" s="151" t="str">
        <f>IFERROR(VLOOKUP(AA890,LISTS!$AO$2:$AP$1000,2,FALSE()),"")</f>
        <v/>
      </c>
      <c r="AG890" s="152" t="str">
        <f>IFERROR(VLOOKUP(AB890,LISTS!$AR$2:$AS$1000,2,FALSE()),"")</f>
        <v/>
      </c>
      <c r="AH890" s="154" t="str">
        <f>IFERROR(VLOOKUP(AC890,LISTS!$AU$2:$AV$1000,2,FALSE()),"")</f>
        <v/>
      </c>
      <c r="AI890" s="238" t="str">
        <f t="shared" si="68"/>
        <v>—</v>
      </c>
      <c r="AJ890" s="190" t="str">
        <f t="shared" si="69"/>
        <v>—</v>
      </c>
      <c r="AK890" s="157" t="str">
        <f t="shared" si="70"/>
        <v/>
      </c>
      <c r="AL890" s="160" t="str">
        <f t="shared" si="71"/>
        <v/>
      </c>
      <c r="AM890" s="210"/>
      <c r="AN890" s="209"/>
    </row>
    <row r="891" spans="1:40" ht="27.95" customHeight="1">
      <c r="A891" s="134" t="str">
        <f>IF(I891&lt;&gt;"",COUNTA($I$2:I891),"")</f>
        <v/>
      </c>
      <c r="B891" s="138" t="str">
        <f t="shared" si="72"/>
        <v/>
      </c>
      <c r="C891" s="93" t="str">
        <f t="array" ref="C891">IF(E891="","",IF(M891&lt;&gt;"",
M891&amp;"/"&amp;SUMPRODUCT((M$2:M891=M891)*1)&amp;" - "&amp;(ROW()-2),
"إداري/"&amp;SUMPRODUCT((M$2:M891="")*1)&amp;" - "&amp;(ROW()-2)))</f>
        <v/>
      </c>
      <c r="D891" s="141" t="str">
        <f>IF(AND(G891="",H891="",I891=""),"",IF(COUNTIFS(LISTS!$A$2:$A$67,G891,LISTS!$B$2:$B$67,H891,LISTS!$C$2:$C$67,I891)=0,"✗ هرم",IF(NOT(OR(Z891="ممتاز 100%",Z891="جيد 80%",Z891="مقبول 60%",Z891="خطر 40%",Z891="")),"✗ قائمة R",IF(NOT(OR(AA891="ممتاز 100%",AA891="جيد 85%",AA891="مقبول 70%",AA891="ضعيف 50%",AA891="")),"✗ قائمة S",IF(NOT(OR(AB891="مكتمل 100%",AB891="جزئي 60%",AB891="معلق 30%",AB891="مفتوح 0%",AB891="")),"✗ قائمة T",IF(NOT(OR(AC891="لا خصم 0",AC891="تأخير −5",AC891="عجز −10",AC891="جودة −15",AC891="امتثال −20",AC891="مخالفة −25",AC891="")),"✗ قائمة U",IF(AND(X891="لا",AC891&lt;&gt;"",AC891&lt;&gt;"لا خصم 0"),"✗ خصم",IF(AND(X891="نعم",AC891="لا خصم 0"),"✗ خصم",IF(AND(Z891="ممتاز 100%",AA891="ممتاز 100%",AB891&lt;&gt;"",AB891&lt;&gt;"مكتمل 100%"),"✗ إغلاق",IFERROR(IF(LEN(_xlfn.TEXTJOIN("، ",TRUE,IF(E891="","التاريخ",""),IF(F891="","الوقت",""),IF(G891="","المركز",""),IF(H891="","الدائرة",""),IF(I891="","القسم",""),IF(J891="","المسؤول",""),IF(K891="","نوع النشاط",""),IF(L891="","المشروع",""),IF(N891="","الممول",""),IF(V891="","الموضوع",""),IF(W891="","الملاحظة",""),IF(X891="","مشكلة",""),IF(Y891="","الإجراء",""),IF(Z891="","التنفيذ",""),IF(AA891="","الجودة",""),IF(AB891="","الإغلاق",""),IF(AC891="","الخصم",""),IF(AND(COUNTA($O891:$U891)&gt;0,O891=""),"مدير المشروع",""),IF(AND(COUNTA($O891:$U891)&gt;0,P891=""),"المستفيدين",""),IF(AND(COUNTA($O891:$U891)&gt;0,Q891=""),"المناطق",""),IF(AND(COUNTA($O891:$U891)&gt;0,R891=""),"الميزانية",""),IF(AND(COUNTA($O891:$U891)&gt;0,S891=""),"نسبة الجاهزية",""),IF(AND(COUNTA($O891:$U891)&gt;0,T891=""),"حالة الجاهزية",""),IF(AND(COUNTA($O891:$U891)&gt;0,U891=""),"التوصيات","")))&gt;0,"✗ ناقص: "&amp;_xlfn.TEXTJOIN("، ",TRUE,IF(E891="","التاريخ",""),IF(F891="","الوقت",""),IF(G891="","المركز",""),IF(H891="","الدائرة",""),IF(I891="","القسم",""),IF(J891="","المسؤول",""),IF(K891="","نوع النشاط",""),IF(L891="","المشروع",""),IF(N891="","الممول",""),IF(V891="","الموضوع",""),IF(W891="","الملاحظة",""),IF(X891="","مشكلة",""),IF(Y891="","الإجراء",""),IF(Z891="","التنفيذ",""),IF(AA891="","الجودة",""),IF(AB891="","الإغلاق",""),IF(AC891="","الخصم",""),IF(AND(COUNTA($O891:$U891)&gt;0,O891=""),"مدير المشروع",""),IF(AND(COUNTA($O891:$U891)&gt;0,P891=""),"المستفيدين",""),IF(AND(COUNTA($O891:$U891)&gt;0,Q891=""),"المناطق",""),IF(AND(COUNTA($O891:$U891)&gt;0,R891=""),"الميزانية",""),IF(AND(COUNTA($O891:$U891)&gt;0,S891=""),"نسبة الجاهزية",""),IF(AND(COUNTA($O891:$U891)&gt;0,T891=""),"حالة الجاهزية",""),IF(AND(COUNTA($O891:$U891)&gt;0,U891=""),"التوصيات","")),"✓"),"✓"))))))))))</f>
        <v/>
      </c>
      <c r="E891" s="235"/>
      <c r="F891" s="236"/>
      <c r="G891" s="90"/>
      <c r="H891" s="239"/>
      <c r="I891" s="89"/>
      <c r="J891" s="142"/>
      <c r="K891" s="90"/>
      <c r="L891" s="90"/>
      <c r="M891" s="90"/>
      <c r="N891" s="89"/>
      <c r="O891" s="200"/>
      <c r="P891" s="201"/>
      <c r="Q891" s="201"/>
      <c r="R891" s="237"/>
      <c r="S891" s="202"/>
      <c r="T891" s="200"/>
      <c r="U891" s="203"/>
      <c r="V891" s="89"/>
      <c r="W891" s="89"/>
      <c r="X891" s="145"/>
      <c r="Y891" s="89"/>
      <c r="Z891" s="90"/>
      <c r="AA891" s="90"/>
      <c r="AB891" s="90"/>
      <c r="AC891" s="90"/>
      <c r="AD891" s="92"/>
      <c r="AE891" s="149" t="str">
        <f>IFERROR(VLOOKUP(Z891,LISTS!$AL$2:$AM$1000,2,FALSE()),"")</f>
        <v/>
      </c>
      <c r="AF891" s="151" t="str">
        <f>IFERROR(VLOOKUP(AA891,LISTS!$AO$2:$AP$1000,2,FALSE()),"")</f>
        <v/>
      </c>
      <c r="AG891" s="152" t="str">
        <f>IFERROR(VLOOKUP(AB891,LISTS!$AR$2:$AS$1000,2,FALSE()),"")</f>
        <v/>
      </c>
      <c r="AH891" s="154" t="str">
        <f>IFERROR(VLOOKUP(AC891,LISTS!$AU$2:$AV$1000,2,FALSE()),"")</f>
        <v/>
      </c>
      <c r="AI891" s="238" t="str">
        <f t="shared" si="68"/>
        <v>—</v>
      </c>
      <c r="AJ891" s="190" t="str">
        <f t="shared" si="69"/>
        <v>—</v>
      </c>
      <c r="AK891" s="157" t="str">
        <f t="shared" si="70"/>
        <v/>
      </c>
      <c r="AL891" s="160" t="str">
        <f t="shared" si="71"/>
        <v/>
      </c>
      <c r="AM891" s="210"/>
      <c r="AN891" s="209"/>
    </row>
    <row r="892" spans="1:40" ht="27.95" customHeight="1">
      <c r="A892" s="134" t="str">
        <f>IF(I892&lt;&gt;"",COUNTA($I$2:I892),"")</f>
        <v/>
      </c>
      <c r="B892" s="138" t="str">
        <f t="shared" si="72"/>
        <v/>
      </c>
      <c r="C892" s="93" t="str">
        <f t="array" ref="C892">IF(E892="","",IF(M892&lt;&gt;"",
M892&amp;"/"&amp;SUMPRODUCT((M$2:M892=M892)*1)&amp;" - "&amp;(ROW()-2),
"إداري/"&amp;SUMPRODUCT((M$2:M892="")*1)&amp;" - "&amp;(ROW()-2)))</f>
        <v/>
      </c>
      <c r="D892" s="141" t="str">
        <f>IF(AND(G892="",H892="",I892=""),"",IF(COUNTIFS(LISTS!$A$2:$A$67,G892,LISTS!$B$2:$B$67,H892,LISTS!$C$2:$C$67,I892)=0,"✗ هرم",IF(NOT(OR(Z892="ممتاز 100%",Z892="جيد 80%",Z892="مقبول 60%",Z892="خطر 40%",Z892="")),"✗ قائمة R",IF(NOT(OR(AA892="ممتاز 100%",AA892="جيد 85%",AA892="مقبول 70%",AA892="ضعيف 50%",AA892="")),"✗ قائمة S",IF(NOT(OR(AB892="مكتمل 100%",AB892="جزئي 60%",AB892="معلق 30%",AB892="مفتوح 0%",AB892="")),"✗ قائمة T",IF(NOT(OR(AC892="لا خصم 0",AC892="تأخير −5",AC892="عجز −10",AC892="جودة −15",AC892="امتثال −20",AC892="مخالفة −25",AC892="")),"✗ قائمة U",IF(AND(X892="لا",AC892&lt;&gt;"",AC892&lt;&gt;"لا خصم 0"),"✗ خصم",IF(AND(X892="نعم",AC892="لا خصم 0"),"✗ خصم",IF(AND(Z892="ممتاز 100%",AA892="ممتاز 100%",AB892&lt;&gt;"",AB892&lt;&gt;"مكتمل 100%"),"✗ إغلاق",IFERROR(IF(LEN(_xlfn.TEXTJOIN("، ",TRUE,IF(E892="","التاريخ",""),IF(F892="","الوقت",""),IF(G892="","المركز",""),IF(H892="","الدائرة",""),IF(I892="","القسم",""),IF(J892="","المسؤول",""),IF(K892="","نوع النشاط",""),IF(L892="","المشروع",""),IF(N892="","الممول",""),IF(V892="","الموضوع",""),IF(W892="","الملاحظة",""),IF(X892="","مشكلة",""),IF(Y892="","الإجراء",""),IF(Z892="","التنفيذ",""),IF(AA892="","الجودة",""),IF(AB892="","الإغلاق",""),IF(AC892="","الخصم",""),IF(AND(COUNTA($O892:$U892)&gt;0,O892=""),"مدير المشروع",""),IF(AND(COUNTA($O892:$U892)&gt;0,P892=""),"المستفيدين",""),IF(AND(COUNTA($O892:$U892)&gt;0,Q892=""),"المناطق",""),IF(AND(COUNTA($O892:$U892)&gt;0,R892=""),"الميزانية",""),IF(AND(COUNTA($O892:$U892)&gt;0,S892=""),"نسبة الجاهزية",""),IF(AND(COUNTA($O892:$U892)&gt;0,T892=""),"حالة الجاهزية",""),IF(AND(COUNTA($O892:$U892)&gt;0,U892=""),"التوصيات","")))&gt;0,"✗ ناقص: "&amp;_xlfn.TEXTJOIN("، ",TRUE,IF(E892="","التاريخ",""),IF(F892="","الوقت",""),IF(G892="","المركز",""),IF(H892="","الدائرة",""),IF(I892="","القسم",""),IF(J892="","المسؤول",""),IF(K892="","نوع النشاط",""),IF(L892="","المشروع",""),IF(N892="","الممول",""),IF(V892="","الموضوع",""),IF(W892="","الملاحظة",""),IF(X892="","مشكلة",""),IF(Y892="","الإجراء",""),IF(Z892="","التنفيذ",""),IF(AA892="","الجودة",""),IF(AB892="","الإغلاق",""),IF(AC892="","الخصم",""),IF(AND(COUNTA($O892:$U892)&gt;0,O892=""),"مدير المشروع",""),IF(AND(COUNTA($O892:$U892)&gt;0,P892=""),"المستفيدين",""),IF(AND(COUNTA($O892:$U892)&gt;0,Q892=""),"المناطق",""),IF(AND(COUNTA($O892:$U892)&gt;0,R892=""),"الميزانية",""),IF(AND(COUNTA($O892:$U892)&gt;0,S892=""),"نسبة الجاهزية",""),IF(AND(COUNTA($O892:$U892)&gt;0,T892=""),"حالة الجاهزية",""),IF(AND(COUNTA($O892:$U892)&gt;0,U892=""),"التوصيات","")),"✓"),"✓"))))))))))</f>
        <v/>
      </c>
      <c r="E892" s="235"/>
      <c r="F892" s="236"/>
      <c r="G892" s="90"/>
      <c r="H892" s="239"/>
      <c r="I892" s="89"/>
      <c r="J892" s="142"/>
      <c r="K892" s="90"/>
      <c r="L892" s="90"/>
      <c r="M892" s="90"/>
      <c r="N892" s="89"/>
      <c r="O892" s="200"/>
      <c r="P892" s="201"/>
      <c r="Q892" s="201"/>
      <c r="R892" s="237"/>
      <c r="S892" s="202"/>
      <c r="T892" s="200"/>
      <c r="U892" s="203"/>
      <c r="V892" s="89"/>
      <c r="W892" s="89"/>
      <c r="X892" s="145"/>
      <c r="Y892" s="89"/>
      <c r="Z892" s="90"/>
      <c r="AA892" s="90"/>
      <c r="AB892" s="90"/>
      <c r="AC892" s="90"/>
      <c r="AD892" s="92"/>
      <c r="AE892" s="149" t="str">
        <f>IFERROR(VLOOKUP(Z892,LISTS!$AL$2:$AM$1000,2,FALSE()),"")</f>
        <v/>
      </c>
      <c r="AF892" s="151" t="str">
        <f>IFERROR(VLOOKUP(AA892,LISTS!$AO$2:$AP$1000,2,FALSE()),"")</f>
        <v/>
      </c>
      <c r="AG892" s="152" t="str">
        <f>IFERROR(VLOOKUP(AB892,LISTS!$AR$2:$AS$1000,2,FALSE()),"")</f>
        <v/>
      </c>
      <c r="AH892" s="154" t="str">
        <f>IFERROR(VLOOKUP(AC892,LISTS!$AU$2:$AV$1000,2,FALSE()),"")</f>
        <v/>
      </c>
      <c r="AI892" s="238" t="str">
        <f t="shared" si="68"/>
        <v>—</v>
      </c>
      <c r="AJ892" s="190" t="str">
        <f t="shared" si="69"/>
        <v>—</v>
      </c>
      <c r="AK892" s="157" t="str">
        <f t="shared" si="70"/>
        <v/>
      </c>
      <c r="AL892" s="160" t="str">
        <f t="shared" si="71"/>
        <v/>
      </c>
      <c r="AM892" s="210"/>
      <c r="AN892" s="209"/>
    </row>
    <row r="893" spans="1:40" ht="27.95" customHeight="1">
      <c r="A893" s="134" t="str">
        <f>IF(I893&lt;&gt;"",COUNTA($I$2:I893),"")</f>
        <v/>
      </c>
      <c r="B893" s="138" t="str">
        <f t="shared" si="72"/>
        <v/>
      </c>
      <c r="C893" s="93" t="str">
        <f t="array" ref="C893">IF(E893="","",IF(M893&lt;&gt;"",
M893&amp;"/"&amp;SUMPRODUCT((M$2:M893=M893)*1)&amp;" - "&amp;(ROW()-2),
"إداري/"&amp;SUMPRODUCT((M$2:M893="")*1)&amp;" - "&amp;(ROW()-2)))</f>
        <v/>
      </c>
      <c r="D893" s="141" t="str">
        <f>IF(AND(G893="",H893="",I893=""),"",IF(COUNTIFS(LISTS!$A$2:$A$67,G893,LISTS!$B$2:$B$67,H893,LISTS!$C$2:$C$67,I893)=0,"✗ هرم",IF(NOT(OR(Z893="ممتاز 100%",Z893="جيد 80%",Z893="مقبول 60%",Z893="خطر 40%",Z893="")),"✗ قائمة R",IF(NOT(OR(AA893="ممتاز 100%",AA893="جيد 85%",AA893="مقبول 70%",AA893="ضعيف 50%",AA893="")),"✗ قائمة S",IF(NOT(OR(AB893="مكتمل 100%",AB893="جزئي 60%",AB893="معلق 30%",AB893="مفتوح 0%",AB893="")),"✗ قائمة T",IF(NOT(OR(AC893="لا خصم 0",AC893="تأخير −5",AC893="عجز −10",AC893="جودة −15",AC893="امتثال −20",AC893="مخالفة −25",AC893="")),"✗ قائمة U",IF(AND(X893="لا",AC893&lt;&gt;"",AC893&lt;&gt;"لا خصم 0"),"✗ خصم",IF(AND(X893="نعم",AC893="لا خصم 0"),"✗ خصم",IF(AND(Z893="ممتاز 100%",AA893="ممتاز 100%",AB893&lt;&gt;"",AB893&lt;&gt;"مكتمل 100%"),"✗ إغلاق",IFERROR(IF(LEN(_xlfn.TEXTJOIN("، ",TRUE,IF(E893="","التاريخ",""),IF(F893="","الوقت",""),IF(G893="","المركز",""),IF(H893="","الدائرة",""),IF(I893="","القسم",""),IF(J893="","المسؤول",""),IF(K893="","نوع النشاط",""),IF(L893="","المشروع",""),IF(N893="","الممول",""),IF(V893="","الموضوع",""),IF(W893="","الملاحظة",""),IF(X893="","مشكلة",""),IF(Y893="","الإجراء",""),IF(Z893="","التنفيذ",""),IF(AA893="","الجودة",""),IF(AB893="","الإغلاق",""),IF(AC893="","الخصم",""),IF(AND(COUNTA($O893:$U893)&gt;0,O893=""),"مدير المشروع",""),IF(AND(COUNTA($O893:$U893)&gt;0,P893=""),"المستفيدين",""),IF(AND(COUNTA($O893:$U893)&gt;0,Q893=""),"المناطق",""),IF(AND(COUNTA($O893:$U893)&gt;0,R893=""),"الميزانية",""),IF(AND(COUNTA($O893:$U893)&gt;0,S893=""),"نسبة الجاهزية",""),IF(AND(COUNTA($O893:$U893)&gt;0,T893=""),"حالة الجاهزية",""),IF(AND(COUNTA($O893:$U893)&gt;0,U893=""),"التوصيات","")))&gt;0,"✗ ناقص: "&amp;_xlfn.TEXTJOIN("، ",TRUE,IF(E893="","التاريخ",""),IF(F893="","الوقت",""),IF(G893="","المركز",""),IF(H893="","الدائرة",""),IF(I893="","القسم",""),IF(J893="","المسؤول",""),IF(K893="","نوع النشاط",""),IF(L893="","المشروع",""),IF(N893="","الممول",""),IF(V893="","الموضوع",""),IF(W893="","الملاحظة",""),IF(X893="","مشكلة",""),IF(Y893="","الإجراء",""),IF(Z893="","التنفيذ",""),IF(AA893="","الجودة",""),IF(AB893="","الإغلاق",""),IF(AC893="","الخصم",""),IF(AND(COUNTA($O893:$U893)&gt;0,O893=""),"مدير المشروع",""),IF(AND(COUNTA($O893:$U893)&gt;0,P893=""),"المستفيدين",""),IF(AND(COUNTA($O893:$U893)&gt;0,Q893=""),"المناطق",""),IF(AND(COUNTA($O893:$U893)&gt;0,R893=""),"الميزانية",""),IF(AND(COUNTA($O893:$U893)&gt;0,S893=""),"نسبة الجاهزية",""),IF(AND(COUNTA($O893:$U893)&gt;0,T893=""),"حالة الجاهزية",""),IF(AND(COUNTA($O893:$U893)&gt;0,U893=""),"التوصيات","")),"✓"),"✓"))))))))))</f>
        <v/>
      </c>
      <c r="E893" s="235"/>
      <c r="F893" s="236"/>
      <c r="G893" s="90"/>
      <c r="H893" s="239"/>
      <c r="I893" s="89"/>
      <c r="J893" s="142"/>
      <c r="K893" s="90"/>
      <c r="L893" s="90"/>
      <c r="M893" s="90"/>
      <c r="N893" s="89"/>
      <c r="O893" s="200"/>
      <c r="P893" s="201"/>
      <c r="Q893" s="201"/>
      <c r="R893" s="237"/>
      <c r="S893" s="202"/>
      <c r="T893" s="200"/>
      <c r="U893" s="203"/>
      <c r="V893" s="89"/>
      <c r="W893" s="89"/>
      <c r="X893" s="145"/>
      <c r="Y893" s="89"/>
      <c r="Z893" s="90"/>
      <c r="AA893" s="90"/>
      <c r="AB893" s="90"/>
      <c r="AC893" s="90"/>
      <c r="AD893" s="92"/>
      <c r="AE893" s="149" t="str">
        <f>IFERROR(VLOOKUP(Z893,LISTS!$AL$2:$AM$1000,2,FALSE()),"")</f>
        <v/>
      </c>
      <c r="AF893" s="151" t="str">
        <f>IFERROR(VLOOKUP(AA893,LISTS!$AO$2:$AP$1000,2,FALSE()),"")</f>
        <v/>
      </c>
      <c r="AG893" s="152" t="str">
        <f>IFERROR(VLOOKUP(AB893,LISTS!$AR$2:$AS$1000,2,FALSE()),"")</f>
        <v/>
      </c>
      <c r="AH893" s="154" t="str">
        <f>IFERROR(VLOOKUP(AC893,LISTS!$AU$2:$AV$1000,2,FALSE()),"")</f>
        <v/>
      </c>
      <c r="AI893" s="238" t="str">
        <f t="shared" si="68"/>
        <v>—</v>
      </c>
      <c r="AJ893" s="190" t="str">
        <f t="shared" si="69"/>
        <v>—</v>
      </c>
      <c r="AK893" s="157" t="str">
        <f t="shared" si="70"/>
        <v/>
      </c>
      <c r="AL893" s="160" t="str">
        <f t="shared" si="71"/>
        <v/>
      </c>
      <c r="AM893" s="210"/>
      <c r="AN893" s="209"/>
    </row>
    <row r="894" spans="1:40" ht="27.95" customHeight="1">
      <c r="A894" s="134" t="str">
        <f>IF(I894&lt;&gt;"",COUNTA($I$2:I894),"")</f>
        <v/>
      </c>
      <c r="B894" s="138" t="str">
        <f t="shared" si="72"/>
        <v/>
      </c>
      <c r="C894" s="93" t="str">
        <f t="array" ref="C894">IF(E894="","",IF(M894&lt;&gt;"",
M894&amp;"/"&amp;SUMPRODUCT((M$2:M894=M894)*1)&amp;" - "&amp;(ROW()-2),
"إداري/"&amp;SUMPRODUCT((M$2:M894="")*1)&amp;" - "&amp;(ROW()-2)))</f>
        <v/>
      </c>
      <c r="D894" s="141" t="str">
        <f>IF(AND(G894="",H894="",I894=""),"",IF(COUNTIFS(LISTS!$A$2:$A$67,G894,LISTS!$B$2:$B$67,H894,LISTS!$C$2:$C$67,I894)=0,"✗ هرم",IF(NOT(OR(Z894="ممتاز 100%",Z894="جيد 80%",Z894="مقبول 60%",Z894="خطر 40%",Z894="")),"✗ قائمة R",IF(NOT(OR(AA894="ممتاز 100%",AA894="جيد 85%",AA894="مقبول 70%",AA894="ضعيف 50%",AA894="")),"✗ قائمة S",IF(NOT(OR(AB894="مكتمل 100%",AB894="جزئي 60%",AB894="معلق 30%",AB894="مفتوح 0%",AB894="")),"✗ قائمة T",IF(NOT(OR(AC894="لا خصم 0",AC894="تأخير −5",AC894="عجز −10",AC894="جودة −15",AC894="امتثال −20",AC894="مخالفة −25",AC894="")),"✗ قائمة U",IF(AND(X894="لا",AC894&lt;&gt;"",AC894&lt;&gt;"لا خصم 0"),"✗ خصم",IF(AND(X894="نعم",AC894="لا خصم 0"),"✗ خصم",IF(AND(Z894="ممتاز 100%",AA894="ممتاز 100%",AB894&lt;&gt;"",AB894&lt;&gt;"مكتمل 100%"),"✗ إغلاق",IFERROR(IF(LEN(_xlfn.TEXTJOIN("، ",TRUE,IF(E894="","التاريخ",""),IF(F894="","الوقت",""),IF(G894="","المركز",""),IF(H894="","الدائرة",""),IF(I894="","القسم",""),IF(J894="","المسؤول",""),IF(K894="","نوع النشاط",""),IF(L894="","المشروع",""),IF(N894="","الممول",""),IF(V894="","الموضوع",""),IF(W894="","الملاحظة",""),IF(X894="","مشكلة",""),IF(Y894="","الإجراء",""),IF(Z894="","التنفيذ",""),IF(AA894="","الجودة",""),IF(AB894="","الإغلاق",""),IF(AC894="","الخصم",""),IF(AND(COUNTA($O894:$U894)&gt;0,O894=""),"مدير المشروع",""),IF(AND(COUNTA($O894:$U894)&gt;0,P894=""),"المستفيدين",""),IF(AND(COUNTA($O894:$U894)&gt;0,Q894=""),"المناطق",""),IF(AND(COUNTA($O894:$U894)&gt;0,R894=""),"الميزانية",""),IF(AND(COUNTA($O894:$U894)&gt;0,S894=""),"نسبة الجاهزية",""),IF(AND(COUNTA($O894:$U894)&gt;0,T894=""),"حالة الجاهزية",""),IF(AND(COUNTA($O894:$U894)&gt;0,U894=""),"التوصيات","")))&gt;0,"✗ ناقص: "&amp;_xlfn.TEXTJOIN("، ",TRUE,IF(E894="","التاريخ",""),IF(F894="","الوقت",""),IF(G894="","المركز",""),IF(H894="","الدائرة",""),IF(I894="","القسم",""),IF(J894="","المسؤول",""),IF(K894="","نوع النشاط",""),IF(L894="","المشروع",""),IF(N894="","الممول",""),IF(V894="","الموضوع",""),IF(W894="","الملاحظة",""),IF(X894="","مشكلة",""),IF(Y894="","الإجراء",""),IF(Z894="","التنفيذ",""),IF(AA894="","الجودة",""),IF(AB894="","الإغلاق",""),IF(AC894="","الخصم",""),IF(AND(COUNTA($O894:$U894)&gt;0,O894=""),"مدير المشروع",""),IF(AND(COUNTA($O894:$U894)&gt;0,P894=""),"المستفيدين",""),IF(AND(COUNTA($O894:$U894)&gt;0,Q894=""),"المناطق",""),IF(AND(COUNTA($O894:$U894)&gt;0,R894=""),"الميزانية",""),IF(AND(COUNTA($O894:$U894)&gt;0,S894=""),"نسبة الجاهزية",""),IF(AND(COUNTA($O894:$U894)&gt;0,T894=""),"حالة الجاهزية",""),IF(AND(COUNTA($O894:$U894)&gt;0,U894=""),"التوصيات","")),"✓"),"✓"))))))))))</f>
        <v/>
      </c>
      <c r="E894" s="235"/>
      <c r="F894" s="236"/>
      <c r="G894" s="90"/>
      <c r="H894" s="239"/>
      <c r="I894" s="89"/>
      <c r="J894" s="142"/>
      <c r="K894" s="90"/>
      <c r="L894" s="90"/>
      <c r="M894" s="90"/>
      <c r="N894" s="89"/>
      <c r="O894" s="200"/>
      <c r="P894" s="201"/>
      <c r="Q894" s="201"/>
      <c r="R894" s="237"/>
      <c r="S894" s="202"/>
      <c r="T894" s="200"/>
      <c r="U894" s="203"/>
      <c r="V894" s="89"/>
      <c r="W894" s="89"/>
      <c r="X894" s="145"/>
      <c r="Y894" s="89"/>
      <c r="Z894" s="90"/>
      <c r="AA894" s="90"/>
      <c r="AB894" s="90"/>
      <c r="AC894" s="90"/>
      <c r="AD894" s="92"/>
      <c r="AE894" s="149" t="str">
        <f>IFERROR(VLOOKUP(Z894,LISTS!$AL$2:$AM$1000,2,FALSE()),"")</f>
        <v/>
      </c>
      <c r="AF894" s="151" t="str">
        <f>IFERROR(VLOOKUP(AA894,LISTS!$AO$2:$AP$1000,2,FALSE()),"")</f>
        <v/>
      </c>
      <c r="AG894" s="152" t="str">
        <f>IFERROR(VLOOKUP(AB894,LISTS!$AR$2:$AS$1000,2,FALSE()),"")</f>
        <v/>
      </c>
      <c r="AH894" s="154" t="str">
        <f>IFERROR(VLOOKUP(AC894,LISTS!$AU$2:$AV$1000,2,FALSE()),"")</f>
        <v/>
      </c>
      <c r="AI894" s="238" t="str">
        <f t="shared" si="68"/>
        <v>—</v>
      </c>
      <c r="AJ894" s="190" t="str">
        <f t="shared" si="69"/>
        <v>—</v>
      </c>
      <c r="AK894" s="157" t="str">
        <f t="shared" si="70"/>
        <v/>
      </c>
      <c r="AL894" s="160" t="str">
        <f t="shared" si="71"/>
        <v/>
      </c>
      <c r="AM894" s="210"/>
      <c r="AN894" s="209"/>
    </row>
    <row r="895" spans="1:40" ht="27.95" customHeight="1">
      <c r="A895" s="134" t="str">
        <f>IF(I895&lt;&gt;"",COUNTA($I$2:I895),"")</f>
        <v/>
      </c>
      <c r="B895" s="138" t="str">
        <f t="shared" si="72"/>
        <v/>
      </c>
      <c r="C895" s="93" t="str">
        <f t="array" ref="C895">IF(E895="","",IF(M895&lt;&gt;"",
M895&amp;"/"&amp;SUMPRODUCT((M$2:M895=M895)*1)&amp;" - "&amp;(ROW()-2),
"إداري/"&amp;SUMPRODUCT((M$2:M895="")*1)&amp;" - "&amp;(ROW()-2)))</f>
        <v/>
      </c>
      <c r="D895" s="141" t="str">
        <f>IF(AND(G895="",H895="",I895=""),"",IF(COUNTIFS(LISTS!$A$2:$A$67,G895,LISTS!$B$2:$B$67,H895,LISTS!$C$2:$C$67,I895)=0,"✗ هرم",IF(NOT(OR(Z895="ممتاز 100%",Z895="جيد 80%",Z895="مقبول 60%",Z895="خطر 40%",Z895="")),"✗ قائمة R",IF(NOT(OR(AA895="ممتاز 100%",AA895="جيد 85%",AA895="مقبول 70%",AA895="ضعيف 50%",AA895="")),"✗ قائمة S",IF(NOT(OR(AB895="مكتمل 100%",AB895="جزئي 60%",AB895="معلق 30%",AB895="مفتوح 0%",AB895="")),"✗ قائمة T",IF(NOT(OR(AC895="لا خصم 0",AC895="تأخير −5",AC895="عجز −10",AC895="جودة −15",AC895="امتثال −20",AC895="مخالفة −25",AC895="")),"✗ قائمة U",IF(AND(X895="لا",AC895&lt;&gt;"",AC895&lt;&gt;"لا خصم 0"),"✗ خصم",IF(AND(X895="نعم",AC895="لا خصم 0"),"✗ خصم",IF(AND(Z895="ممتاز 100%",AA895="ممتاز 100%",AB895&lt;&gt;"",AB895&lt;&gt;"مكتمل 100%"),"✗ إغلاق",IFERROR(IF(LEN(_xlfn.TEXTJOIN("، ",TRUE,IF(E895="","التاريخ",""),IF(F895="","الوقت",""),IF(G895="","المركز",""),IF(H895="","الدائرة",""),IF(I895="","القسم",""),IF(J895="","المسؤول",""),IF(K895="","نوع النشاط",""),IF(L895="","المشروع",""),IF(N895="","الممول",""),IF(V895="","الموضوع",""),IF(W895="","الملاحظة",""),IF(X895="","مشكلة",""),IF(Y895="","الإجراء",""),IF(Z895="","التنفيذ",""),IF(AA895="","الجودة",""),IF(AB895="","الإغلاق",""),IF(AC895="","الخصم",""),IF(AND(COUNTA($O895:$U895)&gt;0,O895=""),"مدير المشروع",""),IF(AND(COUNTA($O895:$U895)&gt;0,P895=""),"المستفيدين",""),IF(AND(COUNTA($O895:$U895)&gt;0,Q895=""),"المناطق",""),IF(AND(COUNTA($O895:$U895)&gt;0,R895=""),"الميزانية",""),IF(AND(COUNTA($O895:$U895)&gt;0,S895=""),"نسبة الجاهزية",""),IF(AND(COUNTA($O895:$U895)&gt;0,T895=""),"حالة الجاهزية",""),IF(AND(COUNTA($O895:$U895)&gt;0,U895=""),"التوصيات","")))&gt;0,"✗ ناقص: "&amp;_xlfn.TEXTJOIN("، ",TRUE,IF(E895="","التاريخ",""),IF(F895="","الوقت",""),IF(G895="","المركز",""),IF(H895="","الدائرة",""),IF(I895="","القسم",""),IF(J895="","المسؤول",""),IF(K895="","نوع النشاط",""),IF(L895="","المشروع",""),IF(N895="","الممول",""),IF(V895="","الموضوع",""),IF(W895="","الملاحظة",""),IF(X895="","مشكلة",""),IF(Y895="","الإجراء",""),IF(Z895="","التنفيذ",""),IF(AA895="","الجودة",""),IF(AB895="","الإغلاق",""),IF(AC895="","الخصم",""),IF(AND(COUNTA($O895:$U895)&gt;0,O895=""),"مدير المشروع",""),IF(AND(COUNTA($O895:$U895)&gt;0,P895=""),"المستفيدين",""),IF(AND(COUNTA($O895:$U895)&gt;0,Q895=""),"المناطق",""),IF(AND(COUNTA($O895:$U895)&gt;0,R895=""),"الميزانية",""),IF(AND(COUNTA($O895:$U895)&gt;0,S895=""),"نسبة الجاهزية",""),IF(AND(COUNTA($O895:$U895)&gt;0,T895=""),"حالة الجاهزية",""),IF(AND(COUNTA($O895:$U895)&gt;0,U895=""),"التوصيات","")),"✓"),"✓"))))))))))</f>
        <v/>
      </c>
      <c r="E895" s="235"/>
      <c r="F895" s="236"/>
      <c r="G895" s="90"/>
      <c r="H895" s="239"/>
      <c r="I895" s="89"/>
      <c r="J895" s="142"/>
      <c r="K895" s="90"/>
      <c r="L895" s="90"/>
      <c r="M895" s="90"/>
      <c r="N895" s="89"/>
      <c r="O895" s="200"/>
      <c r="P895" s="201"/>
      <c r="Q895" s="201"/>
      <c r="R895" s="237"/>
      <c r="S895" s="202"/>
      <c r="T895" s="200"/>
      <c r="U895" s="203"/>
      <c r="V895" s="89"/>
      <c r="W895" s="89"/>
      <c r="X895" s="145"/>
      <c r="Y895" s="89"/>
      <c r="Z895" s="90"/>
      <c r="AA895" s="90"/>
      <c r="AB895" s="90"/>
      <c r="AC895" s="90"/>
      <c r="AD895" s="92"/>
      <c r="AE895" s="149" t="str">
        <f>IFERROR(VLOOKUP(Z895,LISTS!$AL$2:$AM$1000,2,FALSE()),"")</f>
        <v/>
      </c>
      <c r="AF895" s="151" t="str">
        <f>IFERROR(VLOOKUP(AA895,LISTS!$AO$2:$AP$1000,2,FALSE()),"")</f>
        <v/>
      </c>
      <c r="AG895" s="152" t="str">
        <f>IFERROR(VLOOKUP(AB895,LISTS!$AR$2:$AS$1000,2,FALSE()),"")</f>
        <v/>
      </c>
      <c r="AH895" s="154" t="str">
        <f>IFERROR(VLOOKUP(AC895,LISTS!$AU$2:$AV$1000,2,FALSE()),"")</f>
        <v/>
      </c>
      <c r="AI895" s="238" t="str">
        <f t="shared" si="68"/>
        <v>—</v>
      </c>
      <c r="AJ895" s="190" t="str">
        <f t="shared" si="69"/>
        <v>—</v>
      </c>
      <c r="AK895" s="157" t="str">
        <f t="shared" si="70"/>
        <v/>
      </c>
      <c r="AL895" s="160" t="str">
        <f t="shared" si="71"/>
        <v/>
      </c>
      <c r="AM895" s="210"/>
      <c r="AN895" s="209"/>
    </row>
    <row r="896" spans="1:40" ht="27.95" customHeight="1">
      <c r="A896" s="134" t="str">
        <f>IF(I896&lt;&gt;"",COUNTA($I$2:I896),"")</f>
        <v/>
      </c>
      <c r="B896" s="138" t="str">
        <f t="shared" si="72"/>
        <v/>
      </c>
      <c r="C896" s="93" t="str">
        <f t="array" ref="C896">IF(E896="","",IF(M896&lt;&gt;"",
M896&amp;"/"&amp;SUMPRODUCT((M$2:M896=M896)*1)&amp;" - "&amp;(ROW()-2),
"إداري/"&amp;SUMPRODUCT((M$2:M896="")*1)&amp;" - "&amp;(ROW()-2)))</f>
        <v/>
      </c>
      <c r="D896" s="141" t="str">
        <f>IF(AND(G896="",H896="",I896=""),"",IF(COUNTIFS(LISTS!$A$2:$A$67,G896,LISTS!$B$2:$B$67,H896,LISTS!$C$2:$C$67,I896)=0,"✗ هرم",IF(NOT(OR(Z896="ممتاز 100%",Z896="جيد 80%",Z896="مقبول 60%",Z896="خطر 40%",Z896="")),"✗ قائمة R",IF(NOT(OR(AA896="ممتاز 100%",AA896="جيد 85%",AA896="مقبول 70%",AA896="ضعيف 50%",AA896="")),"✗ قائمة S",IF(NOT(OR(AB896="مكتمل 100%",AB896="جزئي 60%",AB896="معلق 30%",AB896="مفتوح 0%",AB896="")),"✗ قائمة T",IF(NOT(OR(AC896="لا خصم 0",AC896="تأخير −5",AC896="عجز −10",AC896="جودة −15",AC896="امتثال −20",AC896="مخالفة −25",AC896="")),"✗ قائمة U",IF(AND(X896="لا",AC896&lt;&gt;"",AC896&lt;&gt;"لا خصم 0"),"✗ خصم",IF(AND(X896="نعم",AC896="لا خصم 0"),"✗ خصم",IF(AND(Z896="ممتاز 100%",AA896="ممتاز 100%",AB896&lt;&gt;"",AB896&lt;&gt;"مكتمل 100%"),"✗ إغلاق",IFERROR(IF(LEN(_xlfn.TEXTJOIN("، ",TRUE,IF(E896="","التاريخ",""),IF(F896="","الوقت",""),IF(G896="","المركز",""),IF(H896="","الدائرة",""),IF(I896="","القسم",""),IF(J896="","المسؤول",""),IF(K896="","نوع النشاط",""),IF(L896="","المشروع",""),IF(N896="","الممول",""),IF(V896="","الموضوع",""),IF(W896="","الملاحظة",""),IF(X896="","مشكلة",""),IF(Y896="","الإجراء",""),IF(Z896="","التنفيذ",""),IF(AA896="","الجودة",""),IF(AB896="","الإغلاق",""),IF(AC896="","الخصم",""),IF(AND(COUNTA($O896:$U896)&gt;0,O896=""),"مدير المشروع",""),IF(AND(COUNTA($O896:$U896)&gt;0,P896=""),"المستفيدين",""),IF(AND(COUNTA($O896:$U896)&gt;0,Q896=""),"المناطق",""),IF(AND(COUNTA($O896:$U896)&gt;0,R896=""),"الميزانية",""),IF(AND(COUNTA($O896:$U896)&gt;0,S896=""),"نسبة الجاهزية",""),IF(AND(COUNTA($O896:$U896)&gt;0,T896=""),"حالة الجاهزية",""),IF(AND(COUNTA($O896:$U896)&gt;0,U896=""),"التوصيات","")))&gt;0,"✗ ناقص: "&amp;_xlfn.TEXTJOIN("، ",TRUE,IF(E896="","التاريخ",""),IF(F896="","الوقت",""),IF(G896="","المركز",""),IF(H896="","الدائرة",""),IF(I896="","القسم",""),IF(J896="","المسؤول",""),IF(K896="","نوع النشاط",""),IF(L896="","المشروع",""),IF(N896="","الممول",""),IF(V896="","الموضوع",""),IF(W896="","الملاحظة",""),IF(X896="","مشكلة",""),IF(Y896="","الإجراء",""),IF(Z896="","التنفيذ",""),IF(AA896="","الجودة",""),IF(AB896="","الإغلاق",""),IF(AC896="","الخصم",""),IF(AND(COUNTA($O896:$U896)&gt;0,O896=""),"مدير المشروع",""),IF(AND(COUNTA($O896:$U896)&gt;0,P896=""),"المستفيدين",""),IF(AND(COUNTA($O896:$U896)&gt;0,Q896=""),"المناطق",""),IF(AND(COUNTA($O896:$U896)&gt;0,R896=""),"الميزانية",""),IF(AND(COUNTA($O896:$U896)&gt;0,S896=""),"نسبة الجاهزية",""),IF(AND(COUNTA($O896:$U896)&gt;0,T896=""),"حالة الجاهزية",""),IF(AND(COUNTA($O896:$U896)&gt;0,U896=""),"التوصيات","")),"✓"),"✓"))))))))))</f>
        <v/>
      </c>
      <c r="E896" s="235"/>
      <c r="F896" s="236"/>
      <c r="G896" s="90"/>
      <c r="H896" s="239"/>
      <c r="I896" s="89"/>
      <c r="J896" s="142"/>
      <c r="K896" s="90"/>
      <c r="L896" s="90"/>
      <c r="M896" s="90"/>
      <c r="N896" s="89"/>
      <c r="O896" s="200"/>
      <c r="P896" s="201"/>
      <c r="Q896" s="201"/>
      <c r="R896" s="237"/>
      <c r="S896" s="202"/>
      <c r="T896" s="200"/>
      <c r="U896" s="203"/>
      <c r="V896" s="89"/>
      <c r="W896" s="89"/>
      <c r="X896" s="145"/>
      <c r="Y896" s="89"/>
      <c r="Z896" s="90"/>
      <c r="AA896" s="90"/>
      <c r="AB896" s="90"/>
      <c r="AC896" s="90"/>
      <c r="AD896" s="92"/>
      <c r="AE896" s="149" t="str">
        <f>IFERROR(VLOOKUP(Z896,LISTS!$AL$2:$AM$1000,2,FALSE()),"")</f>
        <v/>
      </c>
      <c r="AF896" s="151" t="str">
        <f>IFERROR(VLOOKUP(AA896,LISTS!$AO$2:$AP$1000,2,FALSE()),"")</f>
        <v/>
      </c>
      <c r="AG896" s="152" t="str">
        <f>IFERROR(VLOOKUP(AB896,LISTS!$AR$2:$AS$1000,2,FALSE()),"")</f>
        <v/>
      </c>
      <c r="AH896" s="154" t="str">
        <f>IFERROR(VLOOKUP(AC896,LISTS!$AU$2:$AV$1000,2,FALSE()),"")</f>
        <v/>
      </c>
      <c r="AI896" s="238" t="str">
        <f t="shared" si="68"/>
        <v>—</v>
      </c>
      <c r="AJ896" s="190" t="str">
        <f t="shared" si="69"/>
        <v>—</v>
      </c>
      <c r="AK896" s="157" t="str">
        <f t="shared" si="70"/>
        <v/>
      </c>
      <c r="AL896" s="160" t="str">
        <f t="shared" si="71"/>
        <v/>
      </c>
      <c r="AM896" s="210"/>
      <c r="AN896" s="209"/>
    </row>
    <row r="897" spans="1:40" ht="27.95" customHeight="1">
      <c r="A897" s="134" t="str">
        <f>IF(I897&lt;&gt;"",COUNTA($I$2:I897),"")</f>
        <v/>
      </c>
      <c r="B897" s="138" t="str">
        <f t="shared" si="72"/>
        <v/>
      </c>
      <c r="C897" s="93" t="str">
        <f t="array" ref="C897">IF(E897="","",IF(M897&lt;&gt;"",
M897&amp;"/"&amp;SUMPRODUCT((M$2:M897=M897)*1)&amp;" - "&amp;(ROW()-2),
"إداري/"&amp;SUMPRODUCT((M$2:M897="")*1)&amp;" - "&amp;(ROW()-2)))</f>
        <v/>
      </c>
      <c r="D897" s="141" t="str">
        <f>IF(AND(G897="",H897="",I897=""),"",IF(COUNTIFS(LISTS!$A$2:$A$67,G897,LISTS!$B$2:$B$67,H897,LISTS!$C$2:$C$67,I897)=0,"✗ هرم",IF(NOT(OR(Z897="ممتاز 100%",Z897="جيد 80%",Z897="مقبول 60%",Z897="خطر 40%",Z897="")),"✗ قائمة R",IF(NOT(OR(AA897="ممتاز 100%",AA897="جيد 85%",AA897="مقبول 70%",AA897="ضعيف 50%",AA897="")),"✗ قائمة S",IF(NOT(OR(AB897="مكتمل 100%",AB897="جزئي 60%",AB897="معلق 30%",AB897="مفتوح 0%",AB897="")),"✗ قائمة T",IF(NOT(OR(AC897="لا خصم 0",AC897="تأخير −5",AC897="عجز −10",AC897="جودة −15",AC897="امتثال −20",AC897="مخالفة −25",AC897="")),"✗ قائمة U",IF(AND(X897="لا",AC897&lt;&gt;"",AC897&lt;&gt;"لا خصم 0"),"✗ خصم",IF(AND(X897="نعم",AC897="لا خصم 0"),"✗ خصم",IF(AND(Z897="ممتاز 100%",AA897="ممتاز 100%",AB897&lt;&gt;"",AB897&lt;&gt;"مكتمل 100%"),"✗ إغلاق",IFERROR(IF(LEN(_xlfn.TEXTJOIN("، ",TRUE,IF(E897="","التاريخ",""),IF(F897="","الوقت",""),IF(G897="","المركز",""),IF(H897="","الدائرة",""),IF(I897="","القسم",""),IF(J897="","المسؤول",""),IF(K897="","نوع النشاط",""),IF(L897="","المشروع",""),IF(N897="","الممول",""),IF(V897="","الموضوع",""),IF(W897="","الملاحظة",""),IF(X897="","مشكلة",""),IF(Y897="","الإجراء",""),IF(Z897="","التنفيذ",""),IF(AA897="","الجودة",""),IF(AB897="","الإغلاق",""),IF(AC897="","الخصم",""),IF(AND(COUNTA($O897:$U897)&gt;0,O897=""),"مدير المشروع",""),IF(AND(COUNTA($O897:$U897)&gt;0,P897=""),"المستفيدين",""),IF(AND(COUNTA($O897:$U897)&gt;0,Q897=""),"المناطق",""),IF(AND(COUNTA($O897:$U897)&gt;0,R897=""),"الميزانية",""),IF(AND(COUNTA($O897:$U897)&gt;0,S897=""),"نسبة الجاهزية",""),IF(AND(COUNTA($O897:$U897)&gt;0,T897=""),"حالة الجاهزية",""),IF(AND(COUNTA($O897:$U897)&gt;0,U897=""),"التوصيات","")))&gt;0,"✗ ناقص: "&amp;_xlfn.TEXTJOIN("، ",TRUE,IF(E897="","التاريخ",""),IF(F897="","الوقت",""),IF(G897="","المركز",""),IF(H897="","الدائرة",""),IF(I897="","القسم",""),IF(J897="","المسؤول",""),IF(K897="","نوع النشاط",""),IF(L897="","المشروع",""),IF(N897="","الممول",""),IF(V897="","الموضوع",""),IF(W897="","الملاحظة",""),IF(X897="","مشكلة",""),IF(Y897="","الإجراء",""),IF(Z897="","التنفيذ",""),IF(AA897="","الجودة",""),IF(AB897="","الإغلاق",""),IF(AC897="","الخصم",""),IF(AND(COUNTA($O897:$U897)&gt;0,O897=""),"مدير المشروع",""),IF(AND(COUNTA($O897:$U897)&gt;0,P897=""),"المستفيدين",""),IF(AND(COUNTA($O897:$U897)&gt;0,Q897=""),"المناطق",""),IF(AND(COUNTA($O897:$U897)&gt;0,R897=""),"الميزانية",""),IF(AND(COUNTA($O897:$U897)&gt;0,S897=""),"نسبة الجاهزية",""),IF(AND(COUNTA($O897:$U897)&gt;0,T897=""),"حالة الجاهزية",""),IF(AND(COUNTA($O897:$U897)&gt;0,U897=""),"التوصيات","")),"✓"),"✓"))))))))))</f>
        <v/>
      </c>
      <c r="E897" s="235"/>
      <c r="F897" s="236"/>
      <c r="G897" s="90"/>
      <c r="H897" s="239"/>
      <c r="I897" s="89"/>
      <c r="J897" s="142"/>
      <c r="K897" s="90"/>
      <c r="L897" s="90"/>
      <c r="M897" s="90"/>
      <c r="N897" s="89"/>
      <c r="O897" s="200"/>
      <c r="P897" s="201"/>
      <c r="Q897" s="201"/>
      <c r="R897" s="237"/>
      <c r="S897" s="202"/>
      <c r="T897" s="200"/>
      <c r="U897" s="203"/>
      <c r="V897" s="89"/>
      <c r="W897" s="89"/>
      <c r="X897" s="145"/>
      <c r="Y897" s="89"/>
      <c r="Z897" s="90"/>
      <c r="AA897" s="90"/>
      <c r="AB897" s="90"/>
      <c r="AC897" s="90"/>
      <c r="AD897" s="92"/>
      <c r="AE897" s="149" t="str">
        <f>IFERROR(VLOOKUP(Z897,LISTS!$AL$2:$AM$1000,2,FALSE()),"")</f>
        <v/>
      </c>
      <c r="AF897" s="151" t="str">
        <f>IFERROR(VLOOKUP(AA897,LISTS!$AO$2:$AP$1000,2,FALSE()),"")</f>
        <v/>
      </c>
      <c r="AG897" s="152" t="str">
        <f>IFERROR(VLOOKUP(AB897,LISTS!$AR$2:$AS$1000,2,FALSE()),"")</f>
        <v/>
      </c>
      <c r="AH897" s="154" t="str">
        <f>IFERROR(VLOOKUP(AC897,LISTS!$AU$2:$AV$1000,2,FALSE()),"")</f>
        <v/>
      </c>
      <c r="AI897" s="238" t="str">
        <f t="shared" si="68"/>
        <v>—</v>
      </c>
      <c r="AJ897" s="190" t="str">
        <f t="shared" si="69"/>
        <v>—</v>
      </c>
      <c r="AK897" s="157" t="str">
        <f t="shared" si="70"/>
        <v/>
      </c>
      <c r="AL897" s="160" t="str">
        <f t="shared" si="71"/>
        <v/>
      </c>
      <c r="AM897" s="210"/>
      <c r="AN897" s="209"/>
    </row>
    <row r="898" spans="1:40" ht="27.95" customHeight="1">
      <c r="A898" s="134" t="str">
        <f>IF(I898&lt;&gt;"",COUNTA($I$2:I898),"")</f>
        <v/>
      </c>
      <c r="B898" s="138" t="str">
        <f t="shared" si="72"/>
        <v/>
      </c>
      <c r="C898" s="93" t="str">
        <f t="array" ref="C898">IF(E898="","",IF(M898&lt;&gt;"",
M898&amp;"/"&amp;SUMPRODUCT((M$2:M898=M898)*1)&amp;" - "&amp;(ROW()-2),
"إداري/"&amp;SUMPRODUCT((M$2:M898="")*1)&amp;" - "&amp;(ROW()-2)))</f>
        <v/>
      </c>
      <c r="D898" s="141" t="str">
        <f>IF(AND(G898="",H898="",I898=""),"",IF(COUNTIFS(LISTS!$A$2:$A$67,G898,LISTS!$B$2:$B$67,H898,LISTS!$C$2:$C$67,I898)=0,"✗ هرم",IF(NOT(OR(Z898="ممتاز 100%",Z898="جيد 80%",Z898="مقبول 60%",Z898="خطر 40%",Z898="")),"✗ قائمة R",IF(NOT(OR(AA898="ممتاز 100%",AA898="جيد 85%",AA898="مقبول 70%",AA898="ضعيف 50%",AA898="")),"✗ قائمة S",IF(NOT(OR(AB898="مكتمل 100%",AB898="جزئي 60%",AB898="معلق 30%",AB898="مفتوح 0%",AB898="")),"✗ قائمة T",IF(NOT(OR(AC898="لا خصم 0",AC898="تأخير −5",AC898="عجز −10",AC898="جودة −15",AC898="امتثال −20",AC898="مخالفة −25",AC898="")),"✗ قائمة U",IF(AND(X898="لا",AC898&lt;&gt;"",AC898&lt;&gt;"لا خصم 0"),"✗ خصم",IF(AND(X898="نعم",AC898="لا خصم 0"),"✗ خصم",IF(AND(Z898="ممتاز 100%",AA898="ممتاز 100%",AB898&lt;&gt;"",AB898&lt;&gt;"مكتمل 100%"),"✗ إغلاق",IFERROR(IF(LEN(_xlfn.TEXTJOIN("، ",TRUE,IF(E898="","التاريخ",""),IF(F898="","الوقت",""),IF(G898="","المركز",""),IF(H898="","الدائرة",""),IF(I898="","القسم",""),IF(J898="","المسؤول",""),IF(K898="","نوع النشاط",""),IF(L898="","المشروع",""),IF(N898="","الممول",""),IF(V898="","الموضوع",""),IF(W898="","الملاحظة",""),IF(X898="","مشكلة",""),IF(Y898="","الإجراء",""),IF(Z898="","التنفيذ",""),IF(AA898="","الجودة",""),IF(AB898="","الإغلاق",""),IF(AC898="","الخصم",""),IF(AND(COUNTA($O898:$U898)&gt;0,O898=""),"مدير المشروع",""),IF(AND(COUNTA($O898:$U898)&gt;0,P898=""),"المستفيدين",""),IF(AND(COUNTA($O898:$U898)&gt;0,Q898=""),"المناطق",""),IF(AND(COUNTA($O898:$U898)&gt;0,R898=""),"الميزانية",""),IF(AND(COUNTA($O898:$U898)&gt;0,S898=""),"نسبة الجاهزية",""),IF(AND(COUNTA($O898:$U898)&gt;0,T898=""),"حالة الجاهزية",""),IF(AND(COUNTA($O898:$U898)&gt;0,U898=""),"التوصيات","")))&gt;0,"✗ ناقص: "&amp;_xlfn.TEXTJOIN("، ",TRUE,IF(E898="","التاريخ",""),IF(F898="","الوقت",""),IF(G898="","المركز",""),IF(H898="","الدائرة",""),IF(I898="","القسم",""),IF(J898="","المسؤول",""),IF(K898="","نوع النشاط",""),IF(L898="","المشروع",""),IF(N898="","الممول",""),IF(V898="","الموضوع",""),IF(W898="","الملاحظة",""),IF(X898="","مشكلة",""),IF(Y898="","الإجراء",""),IF(Z898="","التنفيذ",""),IF(AA898="","الجودة",""),IF(AB898="","الإغلاق",""),IF(AC898="","الخصم",""),IF(AND(COUNTA($O898:$U898)&gt;0,O898=""),"مدير المشروع",""),IF(AND(COUNTA($O898:$U898)&gt;0,P898=""),"المستفيدين",""),IF(AND(COUNTA($O898:$U898)&gt;0,Q898=""),"المناطق",""),IF(AND(COUNTA($O898:$U898)&gt;0,R898=""),"الميزانية",""),IF(AND(COUNTA($O898:$U898)&gt;0,S898=""),"نسبة الجاهزية",""),IF(AND(COUNTA($O898:$U898)&gt;0,T898=""),"حالة الجاهزية",""),IF(AND(COUNTA($O898:$U898)&gt;0,U898=""),"التوصيات","")),"✓"),"✓"))))))))))</f>
        <v/>
      </c>
      <c r="E898" s="235"/>
      <c r="F898" s="236"/>
      <c r="G898" s="90"/>
      <c r="H898" s="239"/>
      <c r="I898" s="89"/>
      <c r="J898" s="142"/>
      <c r="K898" s="90"/>
      <c r="L898" s="90"/>
      <c r="M898" s="90"/>
      <c r="N898" s="89"/>
      <c r="O898" s="200"/>
      <c r="P898" s="201"/>
      <c r="Q898" s="201"/>
      <c r="R898" s="237"/>
      <c r="S898" s="202"/>
      <c r="T898" s="200"/>
      <c r="U898" s="203"/>
      <c r="V898" s="89"/>
      <c r="W898" s="89"/>
      <c r="X898" s="145"/>
      <c r="Y898" s="89"/>
      <c r="Z898" s="90"/>
      <c r="AA898" s="90"/>
      <c r="AB898" s="90"/>
      <c r="AC898" s="90"/>
      <c r="AD898" s="92"/>
      <c r="AE898" s="149" t="str">
        <f>IFERROR(VLOOKUP(Z898,LISTS!$AL$2:$AM$1000,2,FALSE()),"")</f>
        <v/>
      </c>
      <c r="AF898" s="151" t="str">
        <f>IFERROR(VLOOKUP(AA898,LISTS!$AO$2:$AP$1000,2,FALSE()),"")</f>
        <v/>
      </c>
      <c r="AG898" s="152" t="str">
        <f>IFERROR(VLOOKUP(AB898,LISTS!$AR$2:$AS$1000,2,FALSE()),"")</f>
        <v/>
      </c>
      <c r="AH898" s="154" t="str">
        <f>IFERROR(VLOOKUP(AC898,LISTS!$AU$2:$AV$1000,2,FALSE()),"")</f>
        <v/>
      </c>
      <c r="AI898" s="238" t="str">
        <f t="shared" ref="AI898:AI961" si="73">IF(OR(AE898="",AF898="",AG898=""),"—",IFERROR(ROUND(AE898*0.4+AF898*0.3+AG898*0.3-IF(ISNUMBER(AH898),AH898,0),1),"⚠️"))</f>
        <v>—</v>
      </c>
      <c r="AJ898" s="190" t="str">
        <f t="shared" ref="AJ898:AJ961" si="74">IF(AI898="—","—",IF(NOT(ISNUMBER(AI898)),"⚠️",IF(AI898&gt;=98,"🌟 ممتاز جدًا",IF(AI898&gt;=90,"⭐ ممتاز",IF(AI898&gt;=75,"🟢 جيد",IF(AI898&gt;=60,"🟡 مقبول",IF(AI898&gt;=40,"🔴 ضعيف","🚨 خطر شديد")))))))</f>
        <v>—</v>
      </c>
      <c r="AK898" s="157" t="str">
        <f t="shared" si="70"/>
        <v/>
      </c>
      <c r="AL898" s="160" t="str">
        <f t="shared" si="71"/>
        <v/>
      </c>
      <c r="AM898" s="210"/>
      <c r="AN898" s="209"/>
    </row>
    <row r="899" spans="1:40" ht="27.95" customHeight="1">
      <c r="A899" s="134" t="str">
        <f>IF(I899&lt;&gt;"",COUNTA($I$2:I899),"")</f>
        <v/>
      </c>
      <c r="B899" s="138" t="str">
        <f t="shared" si="72"/>
        <v/>
      </c>
      <c r="C899" s="93" t="str">
        <f t="array" ref="C899">IF(E899="","",IF(M899&lt;&gt;"",
M899&amp;"/"&amp;SUMPRODUCT((M$2:M899=M899)*1)&amp;" - "&amp;(ROW()-2),
"إداري/"&amp;SUMPRODUCT((M$2:M899="")*1)&amp;" - "&amp;(ROW()-2)))</f>
        <v/>
      </c>
      <c r="D899" s="141" t="str">
        <f>IF(AND(G899="",H899="",I899=""),"",IF(COUNTIFS(LISTS!$A$2:$A$67,G899,LISTS!$B$2:$B$67,H899,LISTS!$C$2:$C$67,I899)=0,"✗ هرم",IF(NOT(OR(Z899="ممتاز 100%",Z899="جيد 80%",Z899="مقبول 60%",Z899="خطر 40%",Z899="")),"✗ قائمة R",IF(NOT(OR(AA899="ممتاز 100%",AA899="جيد 85%",AA899="مقبول 70%",AA899="ضعيف 50%",AA899="")),"✗ قائمة S",IF(NOT(OR(AB899="مكتمل 100%",AB899="جزئي 60%",AB899="معلق 30%",AB899="مفتوح 0%",AB899="")),"✗ قائمة T",IF(NOT(OR(AC899="لا خصم 0",AC899="تأخير −5",AC899="عجز −10",AC899="جودة −15",AC899="امتثال −20",AC899="مخالفة −25",AC899="")),"✗ قائمة U",IF(AND(X899="لا",AC899&lt;&gt;"",AC899&lt;&gt;"لا خصم 0"),"✗ خصم",IF(AND(X899="نعم",AC899="لا خصم 0"),"✗ خصم",IF(AND(Z899="ممتاز 100%",AA899="ممتاز 100%",AB899&lt;&gt;"",AB899&lt;&gt;"مكتمل 100%"),"✗ إغلاق",IFERROR(IF(LEN(_xlfn.TEXTJOIN("، ",TRUE,IF(E899="","التاريخ",""),IF(F899="","الوقت",""),IF(G899="","المركز",""),IF(H899="","الدائرة",""),IF(I899="","القسم",""),IF(J899="","المسؤول",""),IF(K899="","نوع النشاط",""),IF(L899="","المشروع",""),IF(N899="","الممول",""),IF(V899="","الموضوع",""),IF(W899="","الملاحظة",""),IF(X899="","مشكلة",""),IF(Y899="","الإجراء",""),IF(Z899="","التنفيذ",""),IF(AA899="","الجودة",""),IF(AB899="","الإغلاق",""),IF(AC899="","الخصم",""),IF(AND(COUNTA($O899:$U899)&gt;0,O899=""),"مدير المشروع",""),IF(AND(COUNTA($O899:$U899)&gt;0,P899=""),"المستفيدين",""),IF(AND(COUNTA($O899:$U899)&gt;0,Q899=""),"المناطق",""),IF(AND(COUNTA($O899:$U899)&gt;0,R899=""),"الميزانية",""),IF(AND(COUNTA($O899:$U899)&gt;0,S899=""),"نسبة الجاهزية",""),IF(AND(COUNTA($O899:$U899)&gt;0,T899=""),"حالة الجاهزية",""),IF(AND(COUNTA($O899:$U899)&gt;0,U899=""),"التوصيات","")))&gt;0,"✗ ناقص: "&amp;_xlfn.TEXTJOIN("، ",TRUE,IF(E899="","التاريخ",""),IF(F899="","الوقت",""),IF(G899="","المركز",""),IF(H899="","الدائرة",""),IF(I899="","القسم",""),IF(J899="","المسؤول",""),IF(K899="","نوع النشاط",""),IF(L899="","المشروع",""),IF(N899="","الممول",""),IF(V899="","الموضوع",""),IF(W899="","الملاحظة",""),IF(X899="","مشكلة",""),IF(Y899="","الإجراء",""),IF(Z899="","التنفيذ",""),IF(AA899="","الجودة",""),IF(AB899="","الإغلاق",""),IF(AC899="","الخصم",""),IF(AND(COUNTA($O899:$U899)&gt;0,O899=""),"مدير المشروع",""),IF(AND(COUNTA($O899:$U899)&gt;0,P899=""),"المستفيدين",""),IF(AND(COUNTA($O899:$U899)&gt;0,Q899=""),"المناطق",""),IF(AND(COUNTA($O899:$U899)&gt;0,R899=""),"الميزانية",""),IF(AND(COUNTA($O899:$U899)&gt;0,S899=""),"نسبة الجاهزية",""),IF(AND(COUNTA($O899:$U899)&gt;0,T899=""),"حالة الجاهزية",""),IF(AND(COUNTA($O899:$U899)&gt;0,U899=""),"التوصيات","")),"✓"),"✓"))))))))))</f>
        <v/>
      </c>
      <c r="E899" s="235"/>
      <c r="F899" s="236"/>
      <c r="G899" s="90"/>
      <c r="H899" s="239"/>
      <c r="I899" s="89"/>
      <c r="J899" s="142"/>
      <c r="K899" s="90"/>
      <c r="L899" s="90"/>
      <c r="M899" s="90"/>
      <c r="N899" s="89"/>
      <c r="O899" s="200"/>
      <c r="P899" s="201"/>
      <c r="Q899" s="201"/>
      <c r="R899" s="237"/>
      <c r="S899" s="202"/>
      <c r="T899" s="200"/>
      <c r="U899" s="203"/>
      <c r="V899" s="89"/>
      <c r="W899" s="89"/>
      <c r="X899" s="145"/>
      <c r="Y899" s="89"/>
      <c r="Z899" s="90"/>
      <c r="AA899" s="90"/>
      <c r="AB899" s="90"/>
      <c r="AC899" s="90"/>
      <c r="AD899" s="92"/>
      <c r="AE899" s="149" t="str">
        <f>IFERROR(VLOOKUP(Z899,LISTS!$AL$2:$AM$1000,2,FALSE()),"")</f>
        <v/>
      </c>
      <c r="AF899" s="151" t="str">
        <f>IFERROR(VLOOKUP(AA899,LISTS!$AO$2:$AP$1000,2,FALSE()),"")</f>
        <v/>
      </c>
      <c r="AG899" s="152" t="str">
        <f>IFERROR(VLOOKUP(AB899,LISTS!$AR$2:$AS$1000,2,FALSE()),"")</f>
        <v/>
      </c>
      <c r="AH899" s="154" t="str">
        <f>IFERROR(VLOOKUP(AC899,LISTS!$AU$2:$AV$1000,2,FALSE()),"")</f>
        <v/>
      </c>
      <c r="AI899" s="238" t="str">
        <f t="shared" si="73"/>
        <v>—</v>
      </c>
      <c r="AJ899" s="190" t="str">
        <f t="shared" si="74"/>
        <v>—</v>
      </c>
      <c r="AK899" s="157" t="str">
        <f t="shared" si="70"/>
        <v/>
      </c>
      <c r="AL899" s="160" t="str">
        <f t="shared" si="71"/>
        <v/>
      </c>
      <c r="AM899" s="210"/>
      <c r="AN899" s="209"/>
    </row>
    <row r="900" spans="1:40" ht="27.95" customHeight="1">
      <c r="A900" s="134" t="str">
        <f>IF(I900&lt;&gt;"",COUNTA($I$2:I900),"")</f>
        <v/>
      </c>
      <c r="B900" s="138" t="str">
        <f t="shared" si="72"/>
        <v/>
      </c>
      <c r="C900" s="93" t="str">
        <f t="array" ref="C900">IF(E900="","",IF(M900&lt;&gt;"",
M900&amp;"/"&amp;SUMPRODUCT((M$2:M900=M900)*1)&amp;" - "&amp;(ROW()-2),
"إداري/"&amp;SUMPRODUCT((M$2:M900="")*1)&amp;" - "&amp;(ROW()-2)))</f>
        <v/>
      </c>
      <c r="D900" s="141" t="str">
        <f>IF(AND(G900="",H900="",I900=""),"",IF(COUNTIFS(LISTS!$A$2:$A$67,G900,LISTS!$B$2:$B$67,H900,LISTS!$C$2:$C$67,I900)=0,"✗ هرم",IF(NOT(OR(Z900="ممتاز 100%",Z900="جيد 80%",Z900="مقبول 60%",Z900="خطر 40%",Z900="")),"✗ قائمة R",IF(NOT(OR(AA900="ممتاز 100%",AA900="جيد 85%",AA900="مقبول 70%",AA900="ضعيف 50%",AA900="")),"✗ قائمة S",IF(NOT(OR(AB900="مكتمل 100%",AB900="جزئي 60%",AB900="معلق 30%",AB900="مفتوح 0%",AB900="")),"✗ قائمة T",IF(NOT(OR(AC900="لا خصم 0",AC900="تأخير −5",AC900="عجز −10",AC900="جودة −15",AC900="امتثال −20",AC900="مخالفة −25",AC900="")),"✗ قائمة U",IF(AND(X900="لا",AC900&lt;&gt;"",AC900&lt;&gt;"لا خصم 0"),"✗ خصم",IF(AND(X900="نعم",AC900="لا خصم 0"),"✗ خصم",IF(AND(Z900="ممتاز 100%",AA900="ممتاز 100%",AB900&lt;&gt;"",AB900&lt;&gt;"مكتمل 100%"),"✗ إغلاق",IFERROR(IF(LEN(_xlfn.TEXTJOIN("، ",TRUE,IF(E900="","التاريخ",""),IF(F900="","الوقت",""),IF(G900="","المركز",""),IF(H900="","الدائرة",""),IF(I900="","القسم",""),IF(J900="","المسؤول",""),IF(K900="","نوع النشاط",""),IF(L900="","المشروع",""),IF(N900="","الممول",""),IF(V900="","الموضوع",""),IF(W900="","الملاحظة",""),IF(X900="","مشكلة",""),IF(Y900="","الإجراء",""),IF(Z900="","التنفيذ",""),IF(AA900="","الجودة",""),IF(AB900="","الإغلاق",""),IF(AC900="","الخصم",""),IF(AND(COUNTA($O900:$U900)&gt;0,O900=""),"مدير المشروع",""),IF(AND(COUNTA($O900:$U900)&gt;0,P900=""),"المستفيدين",""),IF(AND(COUNTA($O900:$U900)&gt;0,Q900=""),"المناطق",""),IF(AND(COUNTA($O900:$U900)&gt;0,R900=""),"الميزانية",""),IF(AND(COUNTA($O900:$U900)&gt;0,S900=""),"نسبة الجاهزية",""),IF(AND(COUNTA($O900:$U900)&gt;0,T900=""),"حالة الجاهزية",""),IF(AND(COUNTA($O900:$U900)&gt;0,U900=""),"التوصيات","")))&gt;0,"✗ ناقص: "&amp;_xlfn.TEXTJOIN("، ",TRUE,IF(E900="","التاريخ",""),IF(F900="","الوقت",""),IF(G900="","المركز",""),IF(H900="","الدائرة",""),IF(I900="","القسم",""),IF(J900="","المسؤول",""),IF(K900="","نوع النشاط",""),IF(L900="","المشروع",""),IF(N900="","الممول",""),IF(V900="","الموضوع",""),IF(W900="","الملاحظة",""),IF(X900="","مشكلة",""),IF(Y900="","الإجراء",""),IF(Z900="","التنفيذ",""),IF(AA900="","الجودة",""),IF(AB900="","الإغلاق",""),IF(AC900="","الخصم",""),IF(AND(COUNTA($O900:$U900)&gt;0,O900=""),"مدير المشروع",""),IF(AND(COUNTA($O900:$U900)&gt;0,P900=""),"المستفيدين",""),IF(AND(COUNTA($O900:$U900)&gt;0,Q900=""),"المناطق",""),IF(AND(COUNTA($O900:$U900)&gt;0,R900=""),"الميزانية",""),IF(AND(COUNTA($O900:$U900)&gt;0,S900=""),"نسبة الجاهزية",""),IF(AND(COUNTA($O900:$U900)&gt;0,T900=""),"حالة الجاهزية",""),IF(AND(COUNTA($O900:$U900)&gt;0,U900=""),"التوصيات","")),"✓"),"✓"))))))))))</f>
        <v/>
      </c>
      <c r="E900" s="235"/>
      <c r="F900" s="236"/>
      <c r="G900" s="90"/>
      <c r="H900" s="239"/>
      <c r="I900" s="89"/>
      <c r="J900" s="142"/>
      <c r="K900" s="90"/>
      <c r="L900" s="90"/>
      <c r="M900" s="90"/>
      <c r="N900" s="89"/>
      <c r="O900" s="200"/>
      <c r="P900" s="201"/>
      <c r="Q900" s="201"/>
      <c r="R900" s="237"/>
      <c r="S900" s="202"/>
      <c r="T900" s="200"/>
      <c r="U900" s="203"/>
      <c r="V900" s="89"/>
      <c r="W900" s="89"/>
      <c r="X900" s="145"/>
      <c r="Y900" s="89"/>
      <c r="Z900" s="90"/>
      <c r="AA900" s="90"/>
      <c r="AB900" s="90"/>
      <c r="AC900" s="90"/>
      <c r="AD900" s="92"/>
      <c r="AE900" s="149" t="str">
        <f>IFERROR(VLOOKUP(Z900,LISTS!$AL$2:$AM$1000,2,FALSE()),"")</f>
        <v/>
      </c>
      <c r="AF900" s="151" t="str">
        <f>IFERROR(VLOOKUP(AA900,LISTS!$AO$2:$AP$1000,2,FALSE()),"")</f>
        <v/>
      </c>
      <c r="AG900" s="152" t="str">
        <f>IFERROR(VLOOKUP(AB900,LISTS!$AR$2:$AS$1000,2,FALSE()),"")</f>
        <v/>
      </c>
      <c r="AH900" s="154" t="str">
        <f>IFERROR(VLOOKUP(AC900,LISTS!$AU$2:$AV$1000,2,FALSE()),"")</f>
        <v/>
      </c>
      <c r="AI900" s="238" t="str">
        <f t="shared" si="73"/>
        <v>—</v>
      </c>
      <c r="AJ900" s="190" t="str">
        <f t="shared" si="74"/>
        <v>—</v>
      </c>
      <c r="AK900" s="157" t="str">
        <f t="shared" si="70"/>
        <v/>
      </c>
      <c r="AL900" s="160" t="str">
        <f t="shared" si="71"/>
        <v/>
      </c>
      <c r="AM900" s="210"/>
      <c r="AN900" s="209"/>
    </row>
    <row r="901" spans="1:40" ht="27.95" customHeight="1">
      <c r="A901" s="134" t="str">
        <f>IF(I901&lt;&gt;"",COUNTA($I$2:I901),"")</f>
        <v/>
      </c>
      <c r="B901" s="138" t="str">
        <f t="shared" si="72"/>
        <v/>
      </c>
      <c r="C901" s="93" t="str">
        <f t="array" ref="C901">IF(E901="","",IF(M901&lt;&gt;"",
M901&amp;"/"&amp;SUMPRODUCT((M$2:M901=M901)*1)&amp;" - "&amp;(ROW()-2),
"إداري/"&amp;SUMPRODUCT((M$2:M901="")*1)&amp;" - "&amp;(ROW()-2)))</f>
        <v/>
      </c>
      <c r="D901" s="141" t="str">
        <f>IF(AND(G901="",H901="",I901=""),"",IF(COUNTIFS(LISTS!$A$2:$A$67,G901,LISTS!$B$2:$B$67,H901,LISTS!$C$2:$C$67,I901)=0,"✗ هرم",IF(NOT(OR(Z901="ممتاز 100%",Z901="جيد 80%",Z901="مقبول 60%",Z901="خطر 40%",Z901="")),"✗ قائمة R",IF(NOT(OR(AA901="ممتاز 100%",AA901="جيد 85%",AA901="مقبول 70%",AA901="ضعيف 50%",AA901="")),"✗ قائمة S",IF(NOT(OR(AB901="مكتمل 100%",AB901="جزئي 60%",AB901="معلق 30%",AB901="مفتوح 0%",AB901="")),"✗ قائمة T",IF(NOT(OR(AC901="لا خصم 0",AC901="تأخير −5",AC901="عجز −10",AC901="جودة −15",AC901="امتثال −20",AC901="مخالفة −25",AC901="")),"✗ قائمة U",IF(AND(X901="لا",AC901&lt;&gt;"",AC901&lt;&gt;"لا خصم 0"),"✗ خصم",IF(AND(X901="نعم",AC901="لا خصم 0"),"✗ خصم",IF(AND(Z901="ممتاز 100%",AA901="ممتاز 100%",AB901&lt;&gt;"",AB901&lt;&gt;"مكتمل 100%"),"✗ إغلاق",IFERROR(IF(LEN(_xlfn.TEXTJOIN("، ",TRUE,IF(E901="","التاريخ",""),IF(F901="","الوقت",""),IF(G901="","المركز",""),IF(H901="","الدائرة",""),IF(I901="","القسم",""),IF(J901="","المسؤول",""),IF(K901="","نوع النشاط",""),IF(L901="","المشروع",""),IF(N901="","الممول",""),IF(V901="","الموضوع",""),IF(W901="","الملاحظة",""),IF(X901="","مشكلة",""),IF(Y901="","الإجراء",""),IF(Z901="","التنفيذ",""),IF(AA901="","الجودة",""),IF(AB901="","الإغلاق",""),IF(AC901="","الخصم",""),IF(AND(COUNTA($O901:$U901)&gt;0,O901=""),"مدير المشروع",""),IF(AND(COUNTA($O901:$U901)&gt;0,P901=""),"المستفيدين",""),IF(AND(COUNTA($O901:$U901)&gt;0,Q901=""),"المناطق",""),IF(AND(COUNTA($O901:$U901)&gt;0,R901=""),"الميزانية",""),IF(AND(COUNTA($O901:$U901)&gt;0,S901=""),"نسبة الجاهزية",""),IF(AND(COUNTA($O901:$U901)&gt;0,T901=""),"حالة الجاهزية",""),IF(AND(COUNTA($O901:$U901)&gt;0,U901=""),"التوصيات","")))&gt;0,"✗ ناقص: "&amp;_xlfn.TEXTJOIN("، ",TRUE,IF(E901="","التاريخ",""),IF(F901="","الوقت",""),IF(G901="","المركز",""),IF(H901="","الدائرة",""),IF(I901="","القسم",""),IF(J901="","المسؤول",""),IF(K901="","نوع النشاط",""),IF(L901="","المشروع",""),IF(N901="","الممول",""),IF(V901="","الموضوع",""),IF(W901="","الملاحظة",""),IF(X901="","مشكلة",""),IF(Y901="","الإجراء",""),IF(Z901="","التنفيذ",""),IF(AA901="","الجودة",""),IF(AB901="","الإغلاق",""),IF(AC901="","الخصم",""),IF(AND(COUNTA($O901:$U901)&gt;0,O901=""),"مدير المشروع",""),IF(AND(COUNTA($O901:$U901)&gt;0,P901=""),"المستفيدين",""),IF(AND(COUNTA($O901:$U901)&gt;0,Q901=""),"المناطق",""),IF(AND(COUNTA($O901:$U901)&gt;0,R901=""),"الميزانية",""),IF(AND(COUNTA($O901:$U901)&gt;0,S901=""),"نسبة الجاهزية",""),IF(AND(COUNTA($O901:$U901)&gt;0,T901=""),"حالة الجاهزية",""),IF(AND(COUNTA($O901:$U901)&gt;0,U901=""),"التوصيات","")),"✓"),"✓"))))))))))</f>
        <v/>
      </c>
      <c r="E901" s="235"/>
      <c r="F901" s="236"/>
      <c r="G901" s="90"/>
      <c r="H901" s="239"/>
      <c r="I901" s="89"/>
      <c r="J901" s="142"/>
      <c r="K901" s="90"/>
      <c r="L901" s="90"/>
      <c r="M901" s="90"/>
      <c r="N901" s="89"/>
      <c r="O901" s="200"/>
      <c r="P901" s="201"/>
      <c r="Q901" s="201"/>
      <c r="R901" s="237"/>
      <c r="S901" s="202"/>
      <c r="T901" s="200"/>
      <c r="U901" s="203"/>
      <c r="V901" s="89"/>
      <c r="W901" s="89"/>
      <c r="X901" s="145"/>
      <c r="Y901" s="89"/>
      <c r="Z901" s="90"/>
      <c r="AA901" s="90"/>
      <c r="AB901" s="90"/>
      <c r="AC901" s="90"/>
      <c r="AD901" s="92"/>
      <c r="AE901" s="149" t="str">
        <f>IFERROR(VLOOKUP(Z901,LISTS!$AL$2:$AM$1000,2,FALSE()),"")</f>
        <v/>
      </c>
      <c r="AF901" s="151" t="str">
        <f>IFERROR(VLOOKUP(AA901,LISTS!$AO$2:$AP$1000,2,FALSE()),"")</f>
        <v/>
      </c>
      <c r="AG901" s="152" t="str">
        <f>IFERROR(VLOOKUP(AB901,LISTS!$AR$2:$AS$1000,2,FALSE()),"")</f>
        <v/>
      </c>
      <c r="AH901" s="154" t="str">
        <f>IFERROR(VLOOKUP(AC901,LISTS!$AU$2:$AV$1000,2,FALSE()),"")</f>
        <v/>
      </c>
      <c r="AI901" s="238" t="str">
        <f t="shared" si="73"/>
        <v>—</v>
      </c>
      <c r="AJ901" s="190" t="str">
        <f t="shared" si="74"/>
        <v>—</v>
      </c>
      <c r="AK901" s="157" t="str">
        <f t="shared" si="70"/>
        <v/>
      </c>
      <c r="AL901" s="160" t="str">
        <f t="shared" si="71"/>
        <v/>
      </c>
      <c r="AM901" s="210"/>
      <c r="AN901" s="209"/>
    </row>
    <row r="902" spans="1:40" ht="27.95" customHeight="1">
      <c r="A902" s="134" t="str">
        <f>IF(I902&lt;&gt;"",COUNTA($I$2:I902),"")</f>
        <v/>
      </c>
      <c r="B902" s="138" t="str">
        <f t="shared" si="72"/>
        <v/>
      </c>
      <c r="C902" s="93" t="str">
        <f t="array" ref="C902">IF(E902="","",IF(M902&lt;&gt;"",
M902&amp;"/"&amp;SUMPRODUCT((M$2:M902=M902)*1)&amp;" - "&amp;(ROW()-2),
"إداري/"&amp;SUMPRODUCT((M$2:M902="")*1)&amp;" - "&amp;(ROW()-2)))</f>
        <v/>
      </c>
      <c r="D902" s="141" t="str">
        <f>IF(AND(G902="",H902="",I902=""),"",IF(COUNTIFS(LISTS!$A$2:$A$67,G902,LISTS!$B$2:$B$67,H902,LISTS!$C$2:$C$67,I902)=0,"✗ هرم",IF(NOT(OR(Z902="ممتاز 100%",Z902="جيد 80%",Z902="مقبول 60%",Z902="خطر 40%",Z902="")),"✗ قائمة R",IF(NOT(OR(AA902="ممتاز 100%",AA902="جيد 85%",AA902="مقبول 70%",AA902="ضعيف 50%",AA902="")),"✗ قائمة S",IF(NOT(OR(AB902="مكتمل 100%",AB902="جزئي 60%",AB902="معلق 30%",AB902="مفتوح 0%",AB902="")),"✗ قائمة T",IF(NOT(OR(AC902="لا خصم 0",AC902="تأخير −5",AC902="عجز −10",AC902="جودة −15",AC902="امتثال −20",AC902="مخالفة −25",AC902="")),"✗ قائمة U",IF(AND(X902="لا",AC902&lt;&gt;"",AC902&lt;&gt;"لا خصم 0"),"✗ خصم",IF(AND(X902="نعم",AC902="لا خصم 0"),"✗ خصم",IF(AND(Z902="ممتاز 100%",AA902="ممتاز 100%",AB902&lt;&gt;"",AB902&lt;&gt;"مكتمل 100%"),"✗ إغلاق",IFERROR(IF(LEN(_xlfn.TEXTJOIN("، ",TRUE,IF(E902="","التاريخ",""),IF(F902="","الوقت",""),IF(G902="","المركز",""),IF(H902="","الدائرة",""),IF(I902="","القسم",""),IF(J902="","المسؤول",""),IF(K902="","نوع النشاط",""),IF(L902="","المشروع",""),IF(N902="","الممول",""),IF(V902="","الموضوع",""),IF(W902="","الملاحظة",""),IF(X902="","مشكلة",""),IF(Y902="","الإجراء",""),IF(Z902="","التنفيذ",""),IF(AA902="","الجودة",""),IF(AB902="","الإغلاق",""),IF(AC902="","الخصم",""),IF(AND(COUNTA($O902:$U902)&gt;0,O902=""),"مدير المشروع",""),IF(AND(COUNTA($O902:$U902)&gt;0,P902=""),"المستفيدين",""),IF(AND(COUNTA($O902:$U902)&gt;0,Q902=""),"المناطق",""),IF(AND(COUNTA($O902:$U902)&gt;0,R902=""),"الميزانية",""),IF(AND(COUNTA($O902:$U902)&gt;0,S902=""),"نسبة الجاهزية",""),IF(AND(COUNTA($O902:$U902)&gt;0,T902=""),"حالة الجاهزية",""),IF(AND(COUNTA($O902:$U902)&gt;0,U902=""),"التوصيات","")))&gt;0,"✗ ناقص: "&amp;_xlfn.TEXTJOIN("، ",TRUE,IF(E902="","التاريخ",""),IF(F902="","الوقت",""),IF(G902="","المركز",""),IF(H902="","الدائرة",""),IF(I902="","القسم",""),IF(J902="","المسؤول",""),IF(K902="","نوع النشاط",""),IF(L902="","المشروع",""),IF(N902="","الممول",""),IF(V902="","الموضوع",""),IF(W902="","الملاحظة",""),IF(X902="","مشكلة",""),IF(Y902="","الإجراء",""),IF(Z902="","التنفيذ",""),IF(AA902="","الجودة",""),IF(AB902="","الإغلاق",""),IF(AC902="","الخصم",""),IF(AND(COUNTA($O902:$U902)&gt;0,O902=""),"مدير المشروع",""),IF(AND(COUNTA($O902:$U902)&gt;0,P902=""),"المستفيدين",""),IF(AND(COUNTA($O902:$U902)&gt;0,Q902=""),"المناطق",""),IF(AND(COUNTA($O902:$U902)&gt;0,R902=""),"الميزانية",""),IF(AND(COUNTA($O902:$U902)&gt;0,S902=""),"نسبة الجاهزية",""),IF(AND(COUNTA($O902:$U902)&gt;0,T902=""),"حالة الجاهزية",""),IF(AND(COUNTA($O902:$U902)&gt;0,U902=""),"التوصيات","")),"✓"),"✓"))))))))))</f>
        <v/>
      </c>
      <c r="E902" s="235"/>
      <c r="F902" s="236"/>
      <c r="G902" s="90"/>
      <c r="H902" s="239"/>
      <c r="I902" s="89"/>
      <c r="J902" s="142"/>
      <c r="K902" s="90"/>
      <c r="L902" s="90"/>
      <c r="M902" s="90"/>
      <c r="N902" s="89"/>
      <c r="O902" s="200"/>
      <c r="P902" s="201"/>
      <c r="Q902" s="201"/>
      <c r="R902" s="237"/>
      <c r="S902" s="202"/>
      <c r="T902" s="200"/>
      <c r="U902" s="203"/>
      <c r="V902" s="89"/>
      <c r="W902" s="89"/>
      <c r="X902" s="145"/>
      <c r="Y902" s="89"/>
      <c r="Z902" s="90"/>
      <c r="AA902" s="90"/>
      <c r="AB902" s="90"/>
      <c r="AC902" s="90"/>
      <c r="AD902" s="92"/>
      <c r="AE902" s="149" t="str">
        <f>IFERROR(VLOOKUP(Z902,LISTS!$AL$2:$AM$1000,2,FALSE()),"")</f>
        <v/>
      </c>
      <c r="AF902" s="151" t="str">
        <f>IFERROR(VLOOKUP(AA902,LISTS!$AO$2:$AP$1000,2,FALSE()),"")</f>
        <v/>
      </c>
      <c r="AG902" s="152" t="str">
        <f>IFERROR(VLOOKUP(AB902,LISTS!$AR$2:$AS$1000,2,FALSE()),"")</f>
        <v/>
      </c>
      <c r="AH902" s="154" t="str">
        <f>IFERROR(VLOOKUP(AC902,LISTS!$AU$2:$AV$1000,2,FALSE()),"")</f>
        <v/>
      </c>
      <c r="AI902" s="238" t="str">
        <f t="shared" si="73"/>
        <v>—</v>
      </c>
      <c r="AJ902" s="190" t="str">
        <f t="shared" si="74"/>
        <v>—</v>
      </c>
      <c r="AK902" s="157" t="str">
        <f t="shared" si="70"/>
        <v/>
      </c>
      <c r="AL902" s="160" t="str">
        <f t="shared" si="71"/>
        <v/>
      </c>
      <c r="AM902" s="210"/>
      <c r="AN902" s="209"/>
    </row>
    <row r="903" spans="1:40" ht="27.95" customHeight="1">
      <c r="A903" s="134" t="str">
        <f>IF(I903&lt;&gt;"",COUNTA($I$2:I903),"")</f>
        <v/>
      </c>
      <c r="B903" s="138" t="str">
        <f t="shared" si="72"/>
        <v/>
      </c>
      <c r="C903" s="93" t="str">
        <f t="array" ref="C903">IF(E903="","",IF(M903&lt;&gt;"",
M903&amp;"/"&amp;SUMPRODUCT((M$2:M903=M903)*1)&amp;" - "&amp;(ROW()-2),
"إداري/"&amp;SUMPRODUCT((M$2:M903="")*1)&amp;" - "&amp;(ROW()-2)))</f>
        <v/>
      </c>
      <c r="D903" s="141" t="str">
        <f>IF(AND(G903="",H903="",I903=""),"",IF(COUNTIFS(LISTS!$A$2:$A$67,G903,LISTS!$B$2:$B$67,H903,LISTS!$C$2:$C$67,I903)=0,"✗ هرم",IF(NOT(OR(Z903="ممتاز 100%",Z903="جيد 80%",Z903="مقبول 60%",Z903="خطر 40%",Z903="")),"✗ قائمة R",IF(NOT(OR(AA903="ممتاز 100%",AA903="جيد 85%",AA903="مقبول 70%",AA903="ضعيف 50%",AA903="")),"✗ قائمة S",IF(NOT(OR(AB903="مكتمل 100%",AB903="جزئي 60%",AB903="معلق 30%",AB903="مفتوح 0%",AB903="")),"✗ قائمة T",IF(NOT(OR(AC903="لا خصم 0",AC903="تأخير −5",AC903="عجز −10",AC903="جودة −15",AC903="امتثال −20",AC903="مخالفة −25",AC903="")),"✗ قائمة U",IF(AND(X903="لا",AC903&lt;&gt;"",AC903&lt;&gt;"لا خصم 0"),"✗ خصم",IF(AND(X903="نعم",AC903="لا خصم 0"),"✗ خصم",IF(AND(Z903="ممتاز 100%",AA903="ممتاز 100%",AB903&lt;&gt;"",AB903&lt;&gt;"مكتمل 100%"),"✗ إغلاق",IFERROR(IF(LEN(_xlfn.TEXTJOIN("، ",TRUE,IF(E903="","التاريخ",""),IF(F903="","الوقت",""),IF(G903="","المركز",""),IF(H903="","الدائرة",""),IF(I903="","القسم",""),IF(J903="","المسؤول",""),IF(K903="","نوع النشاط",""),IF(L903="","المشروع",""),IF(N903="","الممول",""),IF(V903="","الموضوع",""),IF(W903="","الملاحظة",""),IF(X903="","مشكلة",""),IF(Y903="","الإجراء",""),IF(Z903="","التنفيذ",""),IF(AA903="","الجودة",""),IF(AB903="","الإغلاق",""),IF(AC903="","الخصم",""),IF(AND(COUNTA($O903:$U903)&gt;0,O903=""),"مدير المشروع",""),IF(AND(COUNTA($O903:$U903)&gt;0,P903=""),"المستفيدين",""),IF(AND(COUNTA($O903:$U903)&gt;0,Q903=""),"المناطق",""),IF(AND(COUNTA($O903:$U903)&gt;0,R903=""),"الميزانية",""),IF(AND(COUNTA($O903:$U903)&gt;0,S903=""),"نسبة الجاهزية",""),IF(AND(COUNTA($O903:$U903)&gt;0,T903=""),"حالة الجاهزية",""),IF(AND(COUNTA($O903:$U903)&gt;0,U903=""),"التوصيات","")))&gt;0,"✗ ناقص: "&amp;_xlfn.TEXTJOIN("، ",TRUE,IF(E903="","التاريخ",""),IF(F903="","الوقت",""),IF(G903="","المركز",""),IF(H903="","الدائرة",""),IF(I903="","القسم",""),IF(J903="","المسؤول",""),IF(K903="","نوع النشاط",""),IF(L903="","المشروع",""),IF(N903="","الممول",""),IF(V903="","الموضوع",""),IF(W903="","الملاحظة",""),IF(X903="","مشكلة",""),IF(Y903="","الإجراء",""),IF(Z903="","التنفيذ",""),IF(AA903="","الجودة",""),IF(AB903="","الإغلاق",""),IF(AC903="","الخصم",""),IF(AND(COUNTA($O903:$U903)&gt;0,O903=""),"مدير المشروع",""),IF(AND(COUNTA($O903:$U903)&gt;0,P903=""),"المستفيدين",""),IF(AND(COUNTA($O903:$U903)&gt;0,Q903=""),"المناطق",""),IF(AND(COUNTA($O903:$U903)&gt;0,R903=""),"الميزانية",""),IF(AND(COUNTA($O903:$U903)&gt;0,S903=""),"نسبة الجاهزية",""),IF(AND(COUNTA($O903:$U903)&gt;0,T903=""),"حالة الجاهزية",""),IF(AND(COUNTA($O903:$U903)&gt;0,U903=""),"التوصيات","")),"✓"),"✓"))))))))))</f>
        <v/>
      </c>
      <c r="E903" s="235"/>
      <c r="F903" s="236"/>
      <c r="G903" s="90"/>
      <c r="H903" s="239"/>
      <c r="I903" s="89"/>
      <c r="J903" s="142"/>
      <c r="K903" s="90"/>
      <c r="L903" s="90"/>
      <c r="M903" s="90"/>
      <c r="N903" s="89"/>
      <c r="O903" s="200"/>
      <c r="P903" s="201"/>
      <c r="Q903" s="201"/>
      <c r="R903" s="237"/>
      <c r="S903" s="202"/>
      <c r="T903" s="200"/>
      <c r="U903" s="203"/>
      <c r="V903" s="89"/>
      <c r="W903" s="89"/>
      <c r="X903" s="145"/>
      <c r="Y903" s="89"/>
      <c r="Z903" s="90"/>
      <c r="AA903" s="90"/>
      <c r="AB903" s="90"/>
      <c r="AC903" s="90"/>
      <c r="AD903" s="92"/>
      <c r="AE903" s="149" t="str">
        <f>IFERROR(VLOOKUP(Z903,LISTS!$AL$2:$AM$1000,2,FALSE()),"")</f>
        <v/>
      </c>
      <c r="AF903" s="151" t="str">
        <f>IFERROR(VLOOKUP(AA903,LISTS!$AO$2:$AP$1000,2,FALSE()),"")</f>
        <v/>
      </c>
      <c r="AG903" s="152" t="str">
        <f>IFERROR(VLOOKUP(AB903,LISTS!$AR$2:$AS$1000,2,FALSE()),"")</f>
        <v/>
      </c>
      <c r="AH903" s="154" t="str">
        <f>IFERROR(VLOOKUP(AC903,LISTS!$AU$2:$AV$1000,2,FALSE()),"")</f>
        <v/>
      </c>
      <c r="AI903" s="238" t="str">
        <f t="shared" si="73"/>
        <v>—</v>
      </c>
      <c r="AJ903" s="190" t="str">
        <f t="shared" si="74"/>
        <v>—</v>
      </c>
      <c r="AK903" s="157" t="str">
        <f t="shared" si="70"/>
        <v/>
      </c>
      <c r="AL903" s="160" t="str">
        <f t="shared" si="71"/>
        <v/>
      </c>
      <c r="AM903" s="210"/>
      <c r="AN903" s="209"/>
    </row>
    <row r="904" spans="1:40" ht="27.95" customHeight="1">
      <c r="A904" s="134" t="str">
        <f>IF(I904&lt;&gt;"",COUNTA($I$2:I904),"")</f>
        <v/>
      </c>
      <c r="B904" s="138" t="str">
        <f t="shared" si="72"/>
        <v/>
      </c>
      <c r="C904" s="93" t="str">
        <f t="array" ref="C904">IF(E904="","",IF(M904&lt;&gt;"",
M904&amp;"/"&amp;SUMPRODUCT((M$2:M904=M904)*1)&amp;" - "&amp;(ROW()-2),
"إداري/"&amp;SUMPRODUCT((M$2:M904="")*1)&amp;" - "&amp;(ROW()-2)))</f>
        <v/>
      </c>
      <c r="D904" s="141" t="str">
        <f>IF(AND(G904="",H904="",I904=""),"",IF(COUNTIFS(LISTS!$A$2:$A$67,G904,LISTS!$B$2:$B$67,H904,LISTS!$C$2:$C$67,I904)=0,"✗ هرم",IF(NOT(OR(Z904="ممتاز 100%",Z904="جيد 80%",Z904="مقبول 60%",Z904="خطر 40%",Z904="")),"✗ قائمة R",IF(NOT(OR(AA904="ممتاز 100%",AA904="جيد 85%",AA904="مقبول 70%",AA904="ضعيف 50%",AA904="")),"✗ قائمة S",IF(NOT(OR(AB904="مكتمل 100%",AB904="جزئي 60%",AB904="معلق 30%",AB904="مفتوح 0%",AB904="")),"✗ قائمة T",IF(NOT(OR(AC904="لا خصم 0",AC904="تأخير −5",AC904="عجز −10",AC904="جودة −15",AC904="امتثال −20",AC904="مخالفة −25",AC904="")),"✗ قائمة U",IF(AND(X904="لا",AC904&lt;&gt;"",AC904&lt;&gt;"لا خصم 0"),"✗ خصم",IF(AND(X904="نعم",AC904="لا خصم 0"),"✗ خصم",IF(AND(Z904="ممتاز 100%",AA904="ممتاز 100%",AB904&lt;&gt;"",AB904&lt;&gt;"مكتمل 100%"),"✗ إغلاق",IFERROR(IF(LEN(_xlfn.TEXTJOIN("، ",TRUE,IF(E904="","التاريخ",""),IF(F904="","الوقت",""),IF(G904="","المركز",""),IF(H904="","الدائرة",""),IF(I904="","القسم",""),IF(J904="","المسؤول",""),IF(K904="","نوع النشاط",""),IF(L904="","المشروع",""),IF(N904="","الممول",""),IF(V904="","الموضوع",""),IF(W904="","الملاحظة",""),IF(X904="","مشكلة",""),IF(Y904="","الإجراء",""),IF(Z904="","التنفيذ",""),IF(AA904="","الجودة",""),IF(AB904="","الإغلاق",""),IF(AC904="","الخصم",""),IF(AND(COUNTA($O904:$U904)&gt;0,O904=""),"مدير المشروع",""),IF(AND(COUNTA($O904:$U904)&gt;0,P904=""),"المستفيدين",""),IF(AND(COUNTA($O904:$U904)&gt;0,Q904=""),"المناطق",""),IF(AND(COUNTA($O904:$U904)&gt;0,R904=""),"الميزانية",""),IF(AND(COUNTA($O904:$U904)&gt;0,S904=""),"نسبة الجاهزية",""),IF(AND(COUNTA($O904:$U904)&gt;0,T904=""),"حالة الجاهزية",""),IF(AND(COUNTA($O904:$U904)&gt;0,U904=""),"التوصيات","")))&gt;0,"✗ ناقص: "&amp;_xlfn.TEXTJOIN("، ",TRUE,IF(E904="","التاريخ",""),IF(F904="","الوقت",""),IF(G904="","المركز",""),IF(H904="","الدائرة",""),IF(I904="","القسم",""),IF(J904="","المسؤول",""),IF(K904="","نوع النشاط",""),IF(L904="","المشروع",""),IF(N904="","الممول",""),IF(V904="","الموضوع",""),IF(W904="","الملاحظة",""),IF(X904="","مشكلة",""),IF(Y904="","الإجراء",""),IF(Z904="","التنفيذ",""),IF(AA904="","الجودة",""),IF(AB904="","الإغلاق",""),IF(AC904="","الخصم",""),IF(AND(COUNTA($O904:$U904)&gt;0,O904=""),"مدير المشروع",""),IF(AND(COUNTA($O904:$U904)&gt;0,P904=""),"المستفيدين",""),IF(AND(COUNTA($O904:$U904)&gt;0,Q904=""),"المناطق",""),IF(AND(COUNTA($O904:$U904)&gt;0,R904=""),"الميزانية",""),IF(AND(COUNTA($O904:$U904)&gt;0,S904=""),"نسبة الجاهزية",""),IF(AND(COUNTA($O904:$U904)&gt;0,T904=""),"حالة الجاهزية",""),IF(AND(COUNTA($O904:$U904)&gt;0,U904=""),"التوصيات","")),"✓"),"✓"))))))))))</f>
        <v/>
      </c>
      <c r="E904" s="235"/>
      <c r="F904" s="236"/>
      <c r="G904" s="90"/>
      <c r="H904" s="239"/>
      <c r="I904" s="89"/>
      <c r="J904" s="142"/>
      <c r="K904" s="90"/>
      <c r="L904" s="90"/>
      <c r="M904" s="90"/>
      <c r="N904" s="89"/>
      <c r="O904" s="200"/>
      <c r="P904" s="201"/>
      <c r="Q904" s="201"/>
      <c r="R904" s="237"/>
      <c r="S904" s="202"/>
      <c r="T904" s="200"/>
      <c r="U904" s="203"/>
      <c r="V904" s="89"/>
      <c r="W904" s="89"/>
      <c r="X904" s="145"/>
      <c r="Y904" s="89"/>
      <c r="Z904" s="90"/>
      <c r="AA904" s="90"/>
      <c r="AB904" s="90"/>
      <c r="AC904" s="90"/>
      <c r="AD904" s="92"/>
      <c r="AE904" s="149" t="str">
        <f>IFERROR(VLOOKUP(Z904,LISTS!$AL$2:$AM$1000,2,FALSE()),"")</f>
        <v/>
      </c>
      <c r="AF904" s="151" t="str">
        <f>IFERROR(VLOOKUP(AA904,LISTS!$AO$2:$AP$1000,2,FALSE()),"")</f>
        <v/>
      </c>
      <c r="AG904" s="152" t="str">
        <f>IFERROR(VLOOKUP(AB904,LISTS!$AR$2:$AS$1000,2,FALSE()),"")</f>
        <v/>
      </c>
      <c r="AH904" s="154" t="str">
        <f>IFERROR(VLOOKUP(AC904,LISTS!$AU$2:$AV$1000,2,FALSE()),"")</f>
        <v/>
      </c>
      <c r="AI904" s="238" t="str">
        <f t="shared" si="73"/>
        <v>—</v>
      </c>
      <c r="AJ904" s="190" t="str">
        <f t="shared" si="74"/>
        <v>—</v>
      </c>
      <c r="AK904" s="157" t="str">
        <f t="shared" si="70"/>
        <v/>
      </c>
      <c r="AL904" s="160" t="str">
        <f t="shared" si="71"/>
        <v/>
      </c>
      <c r="AM904" s="210"/>
      <c r="AN904" s="209"/>
    </row>
    <row r="905" spans="1:40" ht="27.95" customHeight="1">
      <c r="A905" s="134" t="str">
        <f>IF(I905&lt;&gt;"",COUNTA($I$2:I905),"")</f>
        <v/>
      </c>
      <c r="B905" s="138" t="str">
        <f t="shared" si="72"/>
        <v/>
      </c>
      <c r="C905" s="93" t="str">
        <f t="array" ref="C905">IF(E905="","",IF(M905&lt;&gt;"",
M905&amp;"/"&amp;SUMPRODUCT((M$2:M905=M905)*1)&amp;" - "&amp;(ROW()-2),
"إداري/"&amp;SUMPRODUCT((M$2:M905="")*1)&amp;" - "&amp;(ROW()-2)))</f>
        <v/>
      </c>
      <c r="D905" s="141" t="str">
        <f>IF(AND(G905="",H905="",I905=""),"",IF(COUNTIFS(LISTS!$A$2:$A$67,G905,LISTS!$B$2:$B$67,H905,LISTS!$C$2:$C$67,I905)=0,"✗ هرم",IF(NOT(OR(Z905="ممتاز 100%",Z905="جيد 80%",Z905="مقبول 60%",Z905="خطر 40%",Z905="")),"✗ قائمة R",IF(NOT(OR(AA905="ممتاز 100%",AA905="جيد 85%",AA905="مقبول 70%",AA905="ضعيف 50%",AA905="")),"✗ قائمة S",IF(NOT(OR(AB905="مكتمل 100%",AB905="جزئي 60%",AB905="معلق 30%",AB905="مفتوح 0%",AB905="")),"✗ قائمة T",IF(NOT(OR(AC905="لا خصم 0",AC905="تأخير −5",AC905="عجز −10",AC905="جودة −15",AC905="امتثال −20",AC905="مخالفة −25",AC905="")),"✗ قائمة U",IF(AND(X905="لا",AC905&lt;&gt;"",AC905&lt;&gt;"لا خصم 0"),"✗ خصم",IF(AND(X905="نعم",AC905="لا خصم 0"),"✗ خصم",IF(AND(Z905="ممتاز 100%",AA905="ممتاز 100%",AB905&lt;&gt;"",AB905&lt;&gt;"مكتمل 100%"),"✗ إغلاق",IFERROR(IF(LEN(_xlfn.TEXTJOIN("، ",TRUE,IF(E905="","التاريخ",""),IF(F905="","الوقت",""),IF(G905="","المركز",""),IF(H905="","الدائرة",""),IF(I905="","القسم",""),IF(J905="","المسؤول",""),IF(K905="","نوع النشاط",""),IF(L905="","المشروع",""),IF(N905="","الممول",""),IF(V905="","الموضوع",""),IF(W905="","الملاحظة",""),IF(X905="","مشكلة",""),IF(Y905="","الإجراء",""),IF(Z905="","التنفيذ",""),IF(AA905="","الجودة",""),IF(AB905="","الإغلاق",""),IF(AC905="","الخصم",""),IF(AND(COUNTA($O905:$U905)&gt;0,O905=""),"مدير المشروع",""),IF(AND(COUNTA($O905:$U905)&gt;0,P905=""),"المستفيدين",""),IF(AND(COUNTA($O905:$U905)&gt;0,Q905=""),"المناطق",""),IF(AND(COUNTA($O905:$U905)&gt;0,R905=""),"الميزانية",""),IF(AND(COUNTA($O905:$U905)&gt;0,S905=""),"نسبة الجاهزية",""),IF(AND(COUNTA($O905:$U905)&gt;0,T905=""),"حالة الجاهزية",""),IF(AND(COUNTA($O905:$U905)&gt;0,U905=""),"التوصيات","")))&gt;0,"✗ ناقص: "&amp;_xlfn.TEXTJOIN("، ",TRUE,IF(E905="","التاريخ",""),IF(F905="","الوقت",""),IF(G905="","المركز",""),IF(H905="","الدائرة",""),IF(I905="","القسم",""),IF(J905="","المسؤول",""),IF(K905="","نوع النشاط",""),IF(L905="","المشروع",""),IF(N905="","الممول",""),IF(V905="","الموضوع",""),IF(W905="","الملاحظة",""),IF(X905="","مشكلة",""),IF(Y905="","الإجراء",""),IF(Z905="","التنفيذ",""),IF(AA905="","الجودة",""),IF(AB905="","الإغلاق",""),IF(AC905="","الخصم",""),IF(AND(COUNTA($O905:$U905)&gt;0,O905=""),"مدير المشروع",""),IF(AND(COUNTA($O905:$U905)&gt;0,P905=""),"المستفيدين",""),IF(AND(COUNTA($O905:$U905)&gt;0,Q905=""),"المناطق",""),IF(AND(COUNTA($O905:$U905)&gt;0,R905=""),"الميزانية",""),IF(AND(COUNTA($O905:$U905)&gt;0,S905=""),"نسبة الجاهزية",""),IF(AND(COUNTA($O905:$U905)&gt;0,T905=""),"حالة الجاهزية",""),IF(AND(COUNTA($O905:$U905)&gt;0,U905=""),"التوصيات","")),"✓"),"✓"))))))))))</f>
        <v/>
      </c>
      <c r="E905" s="235"/>
      <c r="F905" s="236"/>
      <c r="G905" s="90"/>
      <c r="H905" s="239"/>
      <c r="I905" s="89"/>
      <c r="J905" s="142"/>
      <c r="K905" s="90"/>
      <c r="L905" s="90"/>
      <c r="M905" s="90"/>
      <c r="N905" s="89"/>
      <c r="O905" s="200"/>
      <c r="P905" s="201"/>
      <c r="Q905" s="201"/>
      <c r="R905" s="237"/>
      <c r="S905" s="202"/>
      <c r="T905" s="200"/>
      <c r="U905" s="203"/>
      <c r="V905" s="89"/>
      <c r="W905" s="89"/>
      <c r="X905" s="145"/>
      <c r="Y905" s="89"/>
      <c r="Z905" s="90"/>
      <c r="AA905" s="90"/>
      <c r="AB905" s="90"/>
      <c r="AC905" s="90"/>
      <c r="AD905" s="92"/>
      <c r="AE905" s="149" t="str">
        <f>IFERROR(VLOOKUP(Z905,LISTS!$AL$2:$AM$1000,2,FALSE()),"")</f>
        <v/>
      </c>
      <c r="AF905" s="151" t="str">
        <f>IFERROR(VLOOKUP(AA905,LISTS!$AO$2:$AP$1000,2,FALSE()),"")</f>
        <v/>
      </c>
      <c r="AG905" s="152" t="str">
        <f>IFERROR(VLOOKUP(AB905,LISTS!$AR$2:$AS$1000,2,FALSE()),"")</f>
        <v/>
      </c>
      <c r="AH905" s="154" t="str">
        <f>IFERROR(VLOOKUP(AC905,LISTS!$AU$2:$AV$1000,2,FALSE()),"")</f>
        <v/>
      </c>
      <c r="AI905" s="238" t="str">
        <f t="shared" si="73"/>
        <v>—</v>
      </c>
      <c r="AJ905" s="190" t="str">
        <f t="shared" si="74"/>
        <v>—</v>
      </c>
      <c r="AK905" s="157" t="str">
        <f t="shared" si="70"/>
        <v/>
      </c>
      <c r="AL905" s="160" t="str">
        <f t="shared" si="71"/>
        <v/>
      </c>
      <c r="AM905" s="210"/>
      <c r="AN905" s="209"/>
    </row>
    <row r="906" spans="1:40" ht="27.95" customHeight="1">
      <c r="A906" s="134" t="str">
        <f>IF(I906&lt;&gt;"",COUNTA($I$2:I906),"")</f>
        <v/>
      </c>
      <c r="B906" s="138" t="str">
        <f t="shared" si="72"/>
        <v/>
      </c>
      <c r="C906" s="93" t="str">
        <f t="array" ref="C906">IF(E906="","",IF(M906&lt;&gt;"",
M906&amp;"/"&amp;SUMPRODUCT((M$2:M906=M906)*1)&amp;" - "&amp;(ROW()-2),
"إداري/"&amp;SUMPRODUCT((M$2:M906="")*1)&amp;" - "&amp;(ROW()-2)))</f>
        <v/>
      </c>
      <c r="D906" s="141" t="str">
        <f>IF(AND(G906="",H906="",I906=""),"",IF(COUNTIFS(LISTS!$A$2:$A$67,G906,LISTS!$B$2:$B$67,H906,LISTS!$C$2:$C$67,I906)=0,"✗ هرم",IF(NOT(OR(Z906="ممتاز 100%",Z906="جيد 80%",Z906="مقبول 60%",Z906="خطر 40%",Z906="")),"✗ قائمة R",IF(NOT(OR(AA906="ممتاز 100%",AA906="جيد 85%",AA906="مقبول 70%",AA906="ضعيف 50%",AA906="")),"✗ قائمة S",IF(NOT(OR(AB906="مكتمل 100%",AB906="جزئي 60%",AB906="معلق 30%",AB906="مفتوح 0%",AB906="")),"✗ قائمة T",IF(NOT(OR(AC906="لا خصم 0",AC906="تأخير −5",AC906="عجز −10",AC906="جودة −15",AC906="امتثال −20",AC906="مخالفة −25",AC906="")),"✗ قائمة U",IF(AND(X906="لا",AC906&lt;&gt;"",AC906&lt;&gt;"لا خصم 0"),"✗ خصم",IF(AND(X906="نعم",AC906="لا خصم 0"),"✗ خصم",IF(AND(Z906="ممتاز 100%",AA906="ممتاز 100%",AB906&lt;&gt;"",AB906&lt;&gt;"مكتمل 100%"),"✗ إغلاق",IFERROR(IF(LEN(_xlfn.TEXTJOIN("، ",TRUE,IF(E906="","التاريخ",""),IF(F906="","الوقت",""),IF(G906="","المركز",""),IF(H906="","الدائرة",""),IF(I906="","القسم",""),IF(J906="","المسؤول",""),IF(K906="","نوع النشاط",""),IF(L906="","المشروع",""),IF(N906="","الممول",""),IF(V906="","الموضوع",""),IF(W906="","الملاحظة",""),IF(X906="","مشكلة",""),IF(Y906="","الإجراء",""),IF(Z906="","التنفيذ",""),IF(AA906="","الجودة",""),IF(AB906="","الإغلاق",""),IF(AC906="","الخصم",""),IF(AND(COUNTA($O906:$U906)&gt;0,O906=""),"مدير المشروع",""),IF(AND(COUNTA($O906:$U906)&gt;0,P906=""),"المستفيدين",""),IF(AND(COUNTA($O906:$U906)&gt;0,Q906=""),"المناطق",""),IF(AND(COUNTA($O906:$U906)&gt;0,R906=""),"الميزانية",""),IF(AND(COUNTA($O906:$U906)&gt;0,S906=""),"نسبة الجاهزية",""),IF(AND(COUNTA($O906:$U906)&gt;0,T906=""),"حالة الجاهزية",""),IF(AND(COUNTA($O906:$U906)&gt;0,U906=""),"التوصيات","")))&gt;0,"✗ ناقص: "&amp;_xlfn.TEXTJOIN("، ",TRUE,IF(E906="","التاريخ",""),IF(F906="","الوقت",""),IF(G906="","المركز",""),IF(H906="","الدائرة",""),IF(I906="","القسم",""),IF(J906="","المسؤول",""),IF(K906="","نوع النشاط",""),IF(L906="","المشروع",""),IF(N906="","الممول",""),IF(V906="","الموضوع",""),IF(W906="","الملاحظة",""),IF(X906="","مشكلة",""),IF(Y906="","الإجراء",""),IF(Z906="","التنفيذ",""),IF(AA906="","الجودة",""),IF(AB906="","الإغلاق",""),IF(AC906="","الخصم",""),IF(AND(COUNTA($O906:$U906)&gt;0,O906=""),"مدير المشروع",""),IF(AND(COUNTA($O906:$U906)&gt;0,P906=""),"المستفيدين",""),IF(AND(COUNTA($O906:$U906)&gt;0,Q906=""),"المناطق",""),IF(AND(COUNTA($O906:$U906)&gt;0,R906=""),"الميزانية",""),IF(AND(COUNTA($O906:$U906)&gt;0,S906=""),"نسبة الجاهزية",""),IF(AND(COUNTA($O906:$U906)&gt;0,T906=""),"حالة الجاهزية",""),IF(AND(COUNTA($O906:$U906)&gt;0,U906=""),"التوصيات","")),"✓"),"✓"))))))))))</f>
        <v/>
      </c>
      <c r="E906" s="235"/>
      <c r="F906" s="236"/>
      <c r="G906" s="90"/>
      <c r="H906" s="239"/>
      <c r="I906" s="89"/>
      <c r="J906" s="142"/>
      <c r="K906" s="90"/>
      <c r="L906" s="90"/>
      <c r="M906" s="90"/>
      <c r="N906" s="89"/>
      <c r="O906" s="200"/>
      <c r="P906" s="201"/>
      <c r="Q906" s="201"/>
      <c r="R906" s="237"/>
      <c r="S906" s="202"/>
      <c r="T906" s="200"/>
      <c r="U906" s="203"/>
      <c r="V906" s="89"/>
      <c r="W906" s="89"/>
      <c r="X906" s="145"/>
      <c r="Y906" s="89"/>
      <c r="Z906" s="90"/>
      <c r="AA906" s="90"/>
      <c r="AB906" s="90"/>
      <c r="AC906" s="90"/>
      <c r="AD906" s="92"/>
      <c r="AE906" s="149" t="str">
        <f>IFERROR(VLOOKUP(Z906,LISTS!$AL$2:$AM$1000,2,FALSE()),"")</f>
        <v/>
      </c>
      <c r="AF906" s="151" t="str">
        <f>IFERROR(VLOOKUP(AA906,LISTS!$AO$2:$AP$1000,2,FALSE()),"")</f>
        <v/>
      </c>
      <c r="AG906" s="152" t="str">
        <f>IFERROR(VLOOKUP(AB906,LISTS!$AR$2:$AS$1000,2,FALSE()),"")</f>
        <v/>
      </c>
      <c r="AH906" s="154" t="str">
        <f>IFERROR(VLOOKUP(AC906,LISTS!$AU$2:$AV$1000,2,FALSE()),"")</f>
        <v/>
      </c>
      <c r="AI906" s="238" t="str">
        <f t="shared" si="73"/>
        <v>—</v>
      </c>
      <c r="AJ906" s="190" t="str">
        <f t="shared" si="74"/>
        <v>—</v>
      </c>
      <c r="AK906" s="157" t="str">
        <f t="shared" si="70"/>
        <v/>
      </c>
      <c r="AL906" s="160" t="str">
        <f t="shared" si="71"/>
        <v/>
      </c>
      <c r="AM906" s="210"/>
      <c r="AN906" s="209"/>
    </row>
    <row r="907" spans="1:40" ht="27.95" customHeight="1">
      <c r="A907" s="134" t="str">
        <f>IF(I907&lt;&gt;"",COUNTA($I$2:I907),"")</f>
        <v/>
      </c>
      <c r="B907" s="138" t="str">
        <f t="shared" si="72"/>
        <v/>
      </c>
      <c r="C907" s="93" t="str">
        <f t="array" ref="C907">IF(E907="","",IF(M907&lt;&gt;"",
M907&amp;"/"&amp;SUMPRODUCT((M$2:M907=M907)*1)&amp;" - "&amp;(ROW()-2),
"إداري/"&amp;SUMPRODUCT((M$2:M907="")*1)&amp;" - "&amp;(ROW()-2)))</f>
        <v/>
      </c>
      <c r="D907" s="141" t="str">
        <f>IF(AND(G907="",H907="",I907=""),"",IF(COUNTIFS(LISTS!$A$2:$A$67,G907,LISTS!$B$2:$B$67,H907,LISTS!$C$2:$C$67,I907)=0,"✗ هرم",IF(NOT(OR(Z907="ممتاز 100%",Z907="جيد 80%",Z907="مقبول 60%",Z907="خطر 40%",Z907="")),"✗ قائمة R",IF(NOT(OR(AA907="ممتاز 100%",AA907="جيد 85%",AA907="مقبول 70%",AA907="ضعيف 50%",AA907="")),"✗ قائمة S",IF(NOT(OR(AB907="مكتمل 100%",AB907="جزئي 60%",AB907="معلق 30%",AB907="مفتوح 0%",AB907="")),"✗ قائمة T",IF(NOT(OR(AC907="لا خصم 0",AC907="تأخير −5",AC907="عجز −10",AC907="جودة −15",AC907="امتثال −20",AC907="مخالفة −25",AC907="")),"✗ قائمة U",IF(AND(X907="لا",AC907&lt;&gt;"",AC907&lt;&gt;"لا خصم 0"),"✗ خصم",IF(AND(X907="نعم",AC907="لا خصم 0"),"✗ خصم",IF(AND(Z907="ممتاز 100%",AA907="ممتاز 100%",AB907&lt;&gt;"",AB907&lt;&gt;"مكتمل 100%"),"✗ إغلاق",IFERROR(IF(LEN(_xlfn.TEXTJOIN("، ",TRUE,IF(E907="","التاريخ",""),IF(F907="","الوقت",""),IF(G907="","المركز",""),IF(H907="","الدائرة",""),IF(I907="","القسم",""),IF(J907="","المسؤول",""),IF(K907="","نوع النشاط",""),IF(L907="","المشروع",""),IF(N907="","الممول",""),IF(V907="","الموضوع",""),IF(W907="","الملاحظة",""),IF(X907="","مشكلة",""),IF(Y907="","الإجراء",""),IF(Z907="","التنفيذ",""),IF(AA907="","الجودة",""),IF(AB907="","الإغلاق",""),IF(AC907="","الخصم",""),IF(AND(COUNTA($O907:$U907)&gt;0,O907=""),"مدير المشروع",""),IF(AND(COUNTA($O907:$U907)&gt;0,P907=""),"المستفيدين",""),IF(AND(COUNTA($O907:$U907)&gt;0,Q907=""),"المناطق",""),IF(AND(COUNTA($O907:$U907)&gt;0,R907=""),"الميزانية",""),IF(AND(COUNTA($O907:$U907)&gt;0,S907=""),"نسبة الجاهزية",""),IF(AND(COUNTA($O907:$U907)&gt;0,T907=""),"حالة الجاهزية",""),IF(AND(COUNTA($O907:$U907)&gt;0,U907=""),"التوصيات","")))&gt;0,"✗ ناقص: "&amp;_xlfn.TEXTJOIN("، ",TRUE,IF(E907="","التاريخ",""),IF(F907="","الوقت",""),IF(G907="","المركز",""),IF(H907="","الدائرة",""),IF(I907="","القسم",""),IF(J907="","المسؤول",""),IF(K907="","نوع النشاط",""),IF(L907="","المشروع",""),IF(N907="","الممول",""),IF(V907="","الموضوع",""),IF(W907="","الملاحظة",""),IF(X907="","مشكلة",""),IF(Y907="","الإجراء",""),IF(Z907="","التنفيذ",""),IF(AA907="","الجودة",""),IF(AB907="","الإغلاق",""),IF(AC907="","الخصم",""),IF(AND(COUNTA($O907:$U907)&gt;0,O907=""),"مدير المشروع",""),IF(AND(COUNTA($O907:$U907)&gt;0,P907=""),"المستفيدين",""),IF(AND(COUNTA($O907:$U907)&gt;0,Q907=""),"المناطق",""),IF(AND(COUNTA($O907:$U907)&gt;0,R907=""),"الميزانية",""),IF(AND(COUNTA($O907:$U907)&gt;0,S907=""),"نسبة الجاهزية",""),IF(AND(COUNTA($O907:$U907)&gt;0,T907=""),"حالة الجاهزية",""),IF(AND(COUNTA($O907:$U907)&gt;0,U907=""),"التوصيات","")),"✓"),"✓"))))))))))</f>
        <v/>
      </c>
      <c r="E907" s="235"/>
      <c r="F907" s="236"/>
      <c r="G907" s="90"/>
      <c r="H907" s="239"/>
      <c r="I907" s="89"/>
      <c r="J907" s="142"/>
      <c r="K907" s="90"/>
      <c r="L907" s="90"/>
      <c r="M907" s="90"/>
      <c r="N907" s="89"/>
      <c r="O907" s="200"/>
      <c r="P907" s="201"/>
      <c r="Q907" s="201"/>
      <c r="R907" s="237"/>
      <c r="S907" s="202"/>
      <c r="T907" s="200"/>
      <c r="U907" s="203"/>
      <c r="V907" s="89"/>
      <c r="W907" s="89"/>
      <c r="X907" s="145"/>
      <c r="Y907" s="89"/>
      <c r="Z907" s="90"/>
      <c r="AA907" s="90"/>
      <c r="AB907" s="90"/>
      <c r="AC907" s="90"/>
      <c r="AD907" s="92"/>
      <c r="AE907" s="149" t="str">
        <f>IFERROR(VLOOKUP(Z907,LISTS!$AL$2:$AM$1000,2,FALSE()),"")</f>
        <v/>
      </c>
      <c r="AF907" s="151" t="str">
        <f>IFERROR(VLOOKUP(AA907,LISTS!$AO$2:$AP$1000,2,FALSE()),"")</f>
        <v/>
      </c>
      <c r="AG907" s="152" t="str">
        <f>IFERROR(VLOOKUP(AB907,LISTS!$AR$2:$AS$1000,2,FALSE()),"")</f>
        <v/>
      </c>
      <c r="AH907" s="154" t="str">
        <f>IFERROR(VLOOKUP(AC907,LISTS!$AU$2:$AV$1000,2,FALSE()),"")</f>
        <v/>
      </c>
      <c r="AI907" s="238" t="str">
        <f t="shared" si="73"/>
        <v>—</v>
      </c>
      <c r="AJ907" s="190" t="str">
        <f t="shared" si="74"/>
        <v>—</v>
      </c>
      <c r="AK907" s="157" t="str">
        <f t="shared" si="70"/>
        <v/>
      </c>
      <c r="AL907" s="160" t="str">
        <f t="shared" si="71"/>
        <v/>
      </c>
      <c r="AM907" s="210"/>
      <c r="AN907" s="209"/>
    </row>
    <row r="908" spans="1:40" ht="27.95" customHeight="1">
      <c r="A908" s="134" t="str">
        <f>IF(I908&lt;&gt;"",COUNTA($I$2:I908),"")</f>
        <v/>
      </c>
      <c r="B908" s="138" t="str">
        <f t="shared" si="72"/>
        <v/>
      </c>
      <c r="C908" s="93" t="str">
        <f t="array" ref="C908">IF(E908="","",IF(M908&lt;&gt;"",
M908&amp;"/"&amp;SUMPRODUCT((M$2:M908=M908)*1)&amp;" - "&amp;(ROW()-2),
"إداري/"&amp;SUMPRODUCT((M$2:M908="")*1)&amp;" - "&amp;(ROW()-2)))</f>
        <v/>
      </c>
      <c r="D908" s="141" t="str">
        <f>IF(AND(G908="",H908="",I908=""),"",IF(COUNTIFS(LISTS!$A$2:$A$67,G908,LISTS!$B$2:$B$67,H908,LISTS!$C$2:$C$67,I908)=0,"✗ هرم",IF(NOT(OR(Z908="ممتاز 100%",Z908="جيد 80%",Z908="مقبول 60%",Z908="خطر 40%",Z908="")),"✗ قائمة R",IF(NOT(OR(AA908="ممتاز 100%",AA908="جيد 85%",AA908="مقبول 70%",AA908="ضعيف 50%",AA908="")),"✗ قائمة S",IF(NOT(OR(AB908="مكتمل 100%",AB908="جزئي 60%",AB908="معلق 30%",AB908="مفتوح 0%",AB908="")),"✗ قائمة T",IF(NOT(OR(AC908="لا خصم 0",AC908="تأخير −5",AC908="عجز −10",AC908="جودة −15",AC908="امتثال −20",AC908="مخالفة −25",AC908="")),"✗ قائمة U",IF(AND(X908="لا",AC908&lt;&gt;"",AC908&lt;&gt;"لا خصم 0"),"✗ خصم",IF(AND(X908="نعم",AC908="لا خصم 0"),"✗ خصم",IF(AND(Z908="ممتاز 100%",AA908="ممتاز 100%",AB908&lt;&gt;"",AB908&lt;&gt;"مكتمل 100%"),"✗ إغلاق",IFERROR(IF(LEN(_xlfn.TEXTJOIN("، ",TRUE,IF(E908="","التاريخ",""),IF(F908="","الوقت",""),IF(G908="","المركز",""),IF(H908="","الدائرة",""),IF(I908="","القسم",""),IF(J908="","المسؤول",""),IF(K908="","نوع النشاط",""),IF(L908="","المشروع",""),IF(N908="","الممول",""),IF(V908="","الموضوع",""),IF(W908="","الملاحظة",""),IF(X908="","مشكلة",""),IF(Y908="","الإجراء",""),IF(Z908="","التنفيذ",""),IF(AA908="","الجودة",""),IF(AB908="","الإغلاق",""),IF(AC908="","الخصم",""),IF(AND(COUNTA($O908:$U908)&gt;0,O908=""),"مدير المشروع",""),IF(AND(COUNTA($O908:$U908)&gt;0,P908=""),"المستفيدين",""),IF(AND(COUNTA($O908:$U908)&gt;0,Q908=""),"المناطق",""),IF(AND(COUNTA($O908:$U908)&gt;0,R908=""),"الميزانية",""),IF(AND(COUNTA($O908:$U908)&gt;0,S908=""),"نسبة الجاهزية",""),IF(AND(COUNTA($O908:$U908)&gt;0,T908=""),"حالة الجاهزية",""),IF(AND(COUNTA($O908:$U908)&gt;0,U908=""),"التوصيات","")))&gt;0,"✗ ناقص: "&amp;_xlfn.TEXTJOIN("، ",TRUE,IF(E908="","التاريخ",""),IF(F908="","الوقت",""),IF(G908="","المركز",""),IF(H908="","الدائرة",""),IF(I908="","القسم",""),IF(J908="","المسؤول",""),IF(K908="","نوع النشاط",""),IF(L908="","المشروع",""),IF(N908="","الممول",""),IF(V908="","الموضوع",""),IF(W908="","الملاحظة",""),IF(X908="","مشكلة",""),IF(Y908="","الإجراء",""),IF(Z908="","التنفيذ",""),IF(AA908="","الجودة",""),IF(AB908="","الإغلاق",""),IF(AC908="","الخصم",""),IF(AND(COUNTA($O908:$U908)&gt;0,O908=""),"مدير المشروع",""),IF(AND(COUNTA($O908:$U908)&gt;0,P908=""),"المستفيدين",""),IF(AND(COUNTA($O908:$U908)&gt;0,Q908=""),"المناطق",""),IF(AND(COUNTA($O908:$U908)&gt;0,R908=""),"الميزانية",""),IF(AND(COUNTA($O908:$U908)&gt;0,S908=""),"نسبة الجاهزية",""),IF(AND(COUNTA($O908:$U908)&gt;0,T908=""),"حالة الجاهزية",""),IF(AND(COUNTA($O908:$U908)&gt;0,U908=""),"التوصيات","")),"✓"),"✓"))))))))))</f>
        <v/>
      </c>
      <c r="E908" s="235"/>
      <c r="F908" s="236"/>
      <c r="G908" s="90"/>
      <c r="H908" s="239"/>
      <c r="I908" s="89"/>
      <c r="J908" s="142"/>
      <c r="K908" s="90"/>
      <c r="L908" s="90"/>
      <c r="M908" s="90"/>
      <c r="N908" s="89"/>
      <c r="O908" s="200"/>
      <c r="P908" s="201"/>
      <c r="Q908" s="201"/>
      <c r="R908" s="237"/>
      <c r="S908" s="202"/>
      <c r="T908" s="200"/>
      <c r="U908" s="203"/>
      <c r="V908" s="89"/>
      <c r="W908" s="89"/>
      <c r="X908" s="145"/>
      <c r="Y908" s="89"/>
      <c r="Z908" s="90"/>
      <c r="AA908" s="90"/>
      <c r="AB908" s="90"/>
      <c r="AC908" s="90"/>
      <c r="AD908" s="92"/>
      <c r="AE908" s="149" t="str">
        <f>IFERROR(VLOOKUP(Z908,LISTS!$AL$2:$AM$1000,2,FALSE()),"")</f>
        <v/>
      </c>
      <c r="AF908" s="151" t="str">
        <f>IFERROR(VLOOKUP(AA908,LISTS!$AO$2:$AP$1000,2,FALSE()),"")</f>
        <v/>
      </c>
      <c r="AG908" s="152" t="str">
        <f>IFERROR(VLOOKUP(AB908,LISTS!$AR$2:$AS$1000,2,FALSE()),"")</f>
        <v/>
      </c>
      <c r="AH908" s="154" t="str">
        <f>IFERROR(VLOOKUP(AC908,LISTS!$AU$2:$AV$1000,2,FALSE()),"")</f>
        <v/>
      </c>
      <c r="AI908" s="238" t="str">
        <f t="shared" si="73"/>
        <v>—</v>
      </c>
      <c r="AJ908" s="190" t="str">
        <f t="shared" si="74"/>
        <v>—</v>
      </c>
      <c r="AK908" s="157" t="str">
        <f t="shared" si="70"/>
        <v/>
      </c>
      <c r="AL908" s="160" t="str">
        <f t="shared" si="71"/>
        <v/>
      </c>
      <c r="AM908" s="210"/>
      <c r="AN908" s="209"/>
    </row>
    <row r="909" spans="1:40" ht="27.95" customHeight="1">
      <c r="A909" s="134" t="str">
        <f>IF(I909&lt;&gt;"",COUNTA($I$2:I909),"")</f>
        <v/>
      </c>
      <c r="B909" s="138" t="str">
        <f t="shared" si="72"/>
        <v/>
      </c>
      <c r="C909" s="93" t="str">
        <f t="array" ref="C909">IF(E909="","",IF(M909&lt;&gt;"",
M909&amp;"/"&amp;SUMPRODUCT((M$2:M909=M909)*1)&amp;" - "&amp;(ROW()-2),
"إداري/"&amp;SUMPRODUCT((M$2:M909="")*1)&amp;" - "&amp;(ROW()-2)))</f>
        <v/>
      </c>
      <c r="D909" s="141" t="str">
        <f>IF(AND(G909="",H909="",I909=""),"",IF(COUNTIFS(LISTS!$A$2:$A$67,G909,LISTS!$B$2:$B$67,H909,LISTS!$C$2:$C$67,I909)=0,"✗ هرم",IF(NOT(OR(Z909="ممتاز 100%",Z909="جيد 80%",Z909="مقبول 60%",Z909="خطر 40%",Z909="")),"✗ قائمة R",IF(NOT(OR(AA909="ممتاز 100%",AA909="جيد 85%",AA909="مقبول 70%",AA909="ضعيف 50%",AA909="")),"✗ قائمة S",IF(NOT(OR(AB909="مكتمل 100%",AB909="جزئي 60%",AB909="معلق 30%",AB909="مفتوح 0%",AB909="")),"✗ قائمة T",IF(NOT(OR(AC909="لا خصم 0",AC909="تأخير −5",AC909="عجز −10",AC909="جودة −15",AC909="امتثال −20",AC909="مخالفة −25",AC909="")),"✗ قائمة U",IF(AND(X909="لا",AC909&lt;&gt;"",AC909&lt;&gt;"لا خصم 0"),"✗ خصم",IF(AND(X909="نعم",AC909="لا خصم 0"),"✗ خصم",IF(AND(Z909="ممتاز 100%",AA909="ممتاز 100%",AB909&lt;&gt;"",AB909&lt;&gt;"مكتمل 100%"),"✗ إغلاق",IFERROR(IF(LEN(_xlfn.TEXTJOIN("، ",TRUE,IF(E909="","التاريخ",""),IF(F909="","الوقت",""),IF(G909="","المركز",""),IF(H909="","الدائرة",""),IF(I909="","القسم",""),IF(J909="","المسؤول",""),IF(K909="","نوع النشاط",""),IF(L909="","المشروع",""),IF(N909="","الممول",""),IF(V909="","الموضوع",""),IF(W909="","الملاحظة",""),IF(X909="","مشكلة",""),IF(Y909="","الإجراء",""),IF(Z909="","التنفيذ",""),IF(AA909="","الجودة",""),IF(AB909="","الإغلاق",""),IF(AC909="","الخصم",""),IF(AND(COUNTA($O909:$U909)&gt;0,O909=""),"مدير المشروع",""),IF(AND(COUNTA($O909:$U909)&gt;0,P909=""),"المستفيدين",""),IF(AND(COUNTA($O909:$U909)&gt;0,Q909=""),"المناطق",""),IF(AND(COUNTA($O909:$U909)&gt;0,R909=""),"الميزانية",""),IF(AND(COUNTA($O909:$U909)&gt;0,S909=""),"نسبة الجاهزية",""),IF(AND(COUNTA($O909:$U909)&gt;0,T909=""),"حالة الجاهزية",""),IF(AND(COUNTA($O909:$U909)&gt;0,U909=""),"التوصيات","")))&gt;0,"✗ ناقص: "&amp;_xlfn.TEXTJOIN("، ",TRUE,IF(E909="","التاريخ",""),IF(F909="","الوقت",""),IF(G909="","المركز",""),IF(H909="","الدائرة",""),IF(I909="","القسم",""),IF(J909="","المسؤول",""),IF(K909="","نوع النشاط",""),IF(L909="","المشروع",""),IF(N909="","الممول",""),IF(V909="","الموضوع",""),IF(W909="","الملاحظة",""),IF(X909="","مشكلة",""),IF(Y909="","الإجراء",""),IF(Z909="","التنفيذ",""),IF(AA909="","الجودة",""),IF(AB909="","الإغلاق",""),IF(AC909="","الخصم",""),IF(AND(COUNTA($O909:$U909)&gt;0,O909=""),"مدير المشروع",""),IF(AND(COUNTA($O909:$U909)&gt;0,P909=""),"المستفيدين",""),IF(AND(COUNTA($O909:$U909)&gt;0,Q909=""),"المناطق",""),IF(AND(COUNTA($O909:$U909)&gt;0,R909=""),"الميزانية",""),IF(AND(COUNTA($O909:$U909)&gt;0,S909=""),"نسبة الجاهزية",""),IF(AND(COUNTA($O909:$U909)&gt;0,T909=""),"حالة الجاهزية",""),IF(AND(COUNTA($O909:$U909)&gt;0,U909=""),"التوصيات","")),"✓"),"✓"))))))))))</f>
        <v/>
      </c>
      <c r="E909" s="235"/>
      <c r="F909" s="236"/>
      <c r="G909" s="90"/>
      <c r="H909" s="239"/>
      <c r="I909" s="89"/>
      <c r="J909" s="142"/>
      <c r="K909" s="90"/>
      <c r="L909" s="90"/>
      <c r="M909" s="90"/>
      <c r="N909" s="89"/>
      <c r="O909" s="200"/>
      <c r="P909" s="201"/>
      <c r="Q909" s="201"/>
      <c r="R909" s="237"/>
      <c r="S909" s="202"/>
      <c r="T909" s="200"/>
      <c r="U909" s="203"/>
      <c r="V909" s="89"/>
      <c r="W909" s="89"/>
      <c r="X909" s="145"/>
      <c r="Y909" s="89"/>
      <c r="Z909" s="90"/>
      <c r="AA909" s="90"/>
      <c r="AB909" s="90"/>
      <c r="AC909" s="90"/>
      <c r="AD909" s="92"/>
      <c r="AE909" s="149" t="str">
        <f>IFERROR(VLOOKUP(Z909,LISTS!$AL$2:$AM$1000,2,FALSE()),"")</f>
        <v/>
      </c>
      <c r="AF909" s="151" t="str">
        <f>IFERROR(VLOOKUP(AA909,LISTS!$AO$2:$AP$1000,2,FALSE()),"")</f>
        <v/>
      </c>
      <c r="AG909" s="152" t="str">
        <f>IFERROR(VLOOKUP(AB909,LISTS!$AR$2:$AS$1000,2,FALSE()),"")</f>
        <v/>
      </c>
      <c r="AH909" s="154" t="str">
        <f>IFERROR(VLOOKUP(AC909,LISTS!$AU$2:$AV$1000,2,FALSE()),"")</f>
        <v/>
      </c>
      <c r="AI909" s="238" t="str">
        <f t="shared" si="73"/>
        <v>—</v>
      </c>
      <c r="AJ909" s="190" t="str">
        <f t="shared" si="74"/>
        <v>—</v>
      </c>
      <c r="AK909" s="157" t="str">
        <f t="shared" si="70"/>
        <v/>
      </c>
      <c r="AL909" s="160" t="str">
        <f t="shared" si="71"/>
        <v/>
      </c>
      <c r="AM909" s="210"/>
      <c r="AN909" s="209"/>
    </row>
    <row r="910" spans="1:40" ht="27.95" customHeight="1">
      <c r="A910" s="134" t="str">
        <f>IF(I910&lt;&gt;"",COUNTA($I$2:I910),"")</f>
        <v/>
      </c>
      <c r="B910" s="138" t="str">
        <f t="shared" si="72"/>
        <v/>
      </c>
      <c r="C910" s="93" t="str">
        <f t="array" ref="C910">IF(E910="","",IF(M910&lt;&gt;"",
M910&amp;"/"&amp;SUMPRODUCT((M$2:M910=M910)*1)&amp;" - "&amp;(ROW()-2),
"إداري/"&amp;SUMPRODUCT((M$2:M910="")*1)&amp;" - "&amp;(ROW()-2)))</f>
        <v/>
      </c>
      <c r="D910" s="141" t="str">
        <f>IF(AND(G910="",H910="",I910=""),"",IF(COUNTIFS(LISTS!$A$2:$A$67,G910,LISTS!$B$2:$B$67,H910,LISTS!$C$2:$C$67,I910)=0,"✗ هرم",IF(NOT(OR(Z910="ممتاز 100%",Z910="جيد 80%",Z910="مقبول 60%",Z910="خطر 40%",Z910="")),"✗ قائمة R",IF(NOT(OR(AA910="ممتاز 100%",AA910="جيد 85%",AA910="مقبول 70%",AA910="ضعيف 50%",AA910="")),"✗ قائمة S",IF(NOT(OR(AB910="مكتمل 100%",AB910="جزئي 60%",AB910="معلق 30%",AB910="مفتوح 0%",AB910="")),"✗ قائمة T",IF(NOT(OR(AC910="لا خصم 0",AC910="تأخير −5",AC910="عجز −10",AC910="جودة −15",AC910="امتثال −20",AC910="مخالفة −25",AC910="")),"✗ قائمة U",IF(AND(X910="لا",AC910&lt;&gt;"",AC910&lt;&gt;"لا خصم 0"),"✗ خصم",IF(AND(X910="نعم",AC910="لا خصم 0"),"✗ خصم",IF(AND(Z910="ممتاز 100%",AA910="ممتاز 100%",AB910&lt;&gt;"",AB910&lt;&gt;"مكتمل 100%"),"✗ إغلاق",IFERROR(IF(LEN(_xlfn.TEXTJOIN("، ",TRUE,IF(E910="","التاريخ",""),IF(F910="","الوقت",""),IF(G910="","المركز",""),IF(H910="","الدائرة",""),IF(I910="","القسم",""),IF(J910="","المسؤول",""),IF(K910="","نوع النشاط",""),IF(L910="","المشروع",""),IF(N910="","الممول",""),IF(V910="","الموضوع",""),IF(W910="","الملاحظة",""),IF(X910="","مشكلة",""),IF(Y910="","الإجراء",""),IF(Z910="","التنفيذ",""),IF(AA910="","الجودة",""),IF(AB910="","الإغلاق",""),IF(AC910="","الخصم",""),IF(AND(COUNTA($O910:$U910)&gt;0,O910=""),"مدير المشروع",""),IF(AND(COUNTA($O910:$U910)&gt;0,P910=""),"المستفيدين",""),IF(AND(COUNTA($O910:$U910)&gt;0,Q910=""),"المناطق",""),IF(AND(COUNTA($O910:$U910)&gt;0,R910=""),"الميزانية",""),IF(AND(COUNTA($O910:$U910)&gt;0,S910=""),"نسبة الجاهزية",""),IF(AND(COUNTA($O910:$U910)&gt;0,T910=""),"حالة الجاهزية",""),IF(AND(COUNTA($O910:$U910)&gt;0,U910=""),"التوصيات","")))&gt;0,"✗ ناقص: "&amp;_xlfn.TEXTJOIN("، ",TRUE,IF(E910="","التاريخ",""),IF(F910="","الوقت",""),IF(G910="","المركز",""),IF(H910="","الدائرة",""),IF(I910="","القسم",""),IF(J910="","المسؤول",""),IF(K910="","نوع النشاط",""),IF(L910="","المشروع",""),IF(N910="","الممول",""),IF(V910="","الموضوع",""),IF(W910="","الملاحظة",""),IF(X910="","مشكلة",""),IF(Y910="","الإجراء",""),IF(Z910="","التنفيذ",""),IF(AA910="","الجودة",""),IF(AB910="","الإغلاق",""),IF(AC910="","الخصم",""),IF(AND(COUNTA($O910:$U910)&gt;0,O910=""),"مدير المشروع",""),IF(AND(COUNTA($O910:$U910)&gt;0,P910=""),"المستفيدين",""),IF(AND(COUNTA($O910:$U910)&gt;0,Q910=""),"المناطق",""),IF(AND(COUNTA($O910:$U910)&gt;0,R910=""),"الميزانية",""),IF(AND(COUNTA($O910:$U910)&gt;0,S910=""),"نسبة الجاهزية",""),IF(AND(COUNTA($O910:$U910)&gt;0,T910=""),"حالة الجاهزية",""),IF(AND(COUNTA($O910:$U910)&gt;0,U910=""),"التوصيات","")),"✓"),"✓"))))))))))</f>
        <v/>
      </c>
      <c r="E910" s="235"/>
      <c r="F910" s="236"/>
      <c r="G910" s="90"/>
      <c r="H910" s="239"/>
      <c r="I910" s="89"/>
      <c r="J910" s="142"/>
      <c r="K910" s="90"/>
      <c r="L910" s="90"/>
      <c r="M910" s="90"/>
      <c r="N910" s="89"/>
      <c r="O910" s="200"/>
      <c r="P910" s="201"/>
      <c r="Q910" s="201"/>
      <c r="R910" s="237"/>
      <c r="S910" s="202"/>
      <c r="T910" s="200"/>
      <c r="U910" s="203"/>
      <c r="V910" s="89"/>
      <c r="W910" s="89"/>
      <c r="X910" s="145"/>
      <c r="Y910" s="89"/>
      <c r="Z910" s="90"/>
      <c r="AA910" s="90"/>
      <c r="AB910" s="90"/>
      <c r="AC910" s="90"/>
      <c r="AD910" s="92"/>
      <c r="AE910" s="149" t="str">
        <f>IFERROR(VLOOKUP(Z910,LISTS!$AL$2:$AM$1000,2,FALSE()),"")</f>
        <v/>
      </c>
      <c r="AF910" s="151" t="str">
        <f>IFERROR(VLOOKUP(AA910,LISTS!$AO$2:$AP$1000,2,FALSE()),"")</f>
        <v/>
      </c>
      <c r="AG910" s="152" t="str">
        <f>IFERROR(VLOOKUP(AB910,LISTS!$AR$2:$AS$1000,2,FALSE()),"")</f>
        <v/>
      </c>
      <c r="AH910" s="154" t="str">
        <f>IFERROR(VLOOKUP(AC910,LISTS!$AU$2:$AV$1000,2,FALSE()),"")</f>
        <v/>
      </c>
      <c r="AI910" s="238" t="str">
        <f t="shared" si="73"/>
        <v>—</v>
      </c>
      <c r="AJ910" s="190" t="str">
        <f t="shared" si="74"/>
        <v>—</v>
      </c>
      <c r="AK910" s="157" t="str">
        <f t="shared" si="70"/>
        <v/>
      </c>
      <c r="AL910" s="160" t="str">
        <f t="shared" si="71"/>
        <v/>
      </c>
      <c r="AM910" s="210"/>
      <c r="AN910" s="209"/>
    </row>
    <row r="911" spans="1:40" ht="27.95" customHeight="1">
      <c r="A911" s="134" t="str">
        <f>IF(I911&lt;&gt;"",COUNTA($I$2:I911),"")</f>
        <v/>
      </c>
      <c r="B911" s="138" t="str">
        <f t="shared" si="72"/>
        <v/>
      </c>
      <c r="C911" s="93" t="str">
        <f t="array" ref="C911">IF(E911="","",IF(M911&lt;&gt;"",
M911&amp;"/"&amp;SUMPRODUCT((M$2:M911=M911)*1)&amp;" - "&amp;(ROW()-2),
"إداري/"&amp;SUMPRODUCT((M$2:M911="")*1)&amp;" - "&amp;(ROW()-2)))</f>
        <v/>
      </c>
      <c r="D911" s="141" t="str">
        <f>IF(AND(G911="",H911="",I911=""),"",IF(COUNTIFS(LISTS!$A$2:$A$67,G911,LISTS!$B$2:$B$67,H911,LISTS!$C$2:$C$67,I911)=0,"✗ هرم",IF(NOT(OR(Z911="ممتاز 100%",Z911="جيد 80%",Z911="مقبول 60%",Z911="خطر 40%",Z911="")),"✗ قائمة R",IF(NOT(OR(AA911="ممتاز 100%",AA911="جيد 85%",AA911="مقبول 70%",AA911="ضعيف 50%",AA911="")),"✗ قائمة S",IF(NOT(OR(AB911="مكتمل 100%",AB911="جزئي 60%",AB911="معلق 30%",AB911="مفتوح 0%",AB911="")),"✗ قائمة T",IF(NOT(OR(AC911="لا خصم 0",AC911="تأخير −5",AC911="عجز −10",AC911="جودة −15",AC911="امتثال −20",AC911="مخالفة −25",AC911="")),"✗ قائمة U",IF(AND(X911="لا",AC911&lt;&gt;"",AC911&lt;&gt;"لا خصم 0"),"✗ خصم",IF(AND(X911="نعم",AC911="لا خصم 0"),"✗ خصم",IF(AND(Z911="ممتاز 100%",AA911="ممتاز 100%",AB911&lt;&gt;"",AB911&lt;&gt;"مكتمل 100%"),"✗ إغلاق",IFERROR(IF(LEN(_xlfn.TEXTJOIN("، ",TRUE,IF(E911="","التاريخ",""),IF(F911="","الوقت",""),IF(G911="","المركز",""),IF(H911="","الدائرة",""),IF(I911="","القسم",""),IF(J911="","المسؤول",""),IF(K911="","نوع النشاط",""),IF(L911="","المشروع",""),IF(N911="","الممول",""),IF(V911="","الموضوع",""),IF(W911="","الملاحظة",""),IF(X911="","مشكلة",""),IF(Y911="","الإجراء",""),IF(Z911="","التنفيذ",""),IF(AA911="","الجودة",""),IF(AB911="","الإغلاق",""),IF(AC911="","الخصم",""),IF(AND(COUNTA($O911:$U911)&gt;0,O911=""),"مدير المشروع",""),IF(AND(COUNTA($O911:$U911)&gt;0,P911=""),"المستفيدين",""),IF(AND(COUNTA($O911:$U911)&gt;0,Q911=""),"المناطق",""),IF(AND(COUNTA($O911:$U911)&gt;0,R911=""),"الميزانية",""),IF(AND(COUNTA($O911:$U911)&gt;0,S911=""),"نسبة الجاهزية",""),IF(AND(COUNTA($O911:$U911)&gt;0,T911=""),"حالة الجاهزية",""),IF(AND(COUNTA($O911:$U911)&gt;0,U911=""),"التوصيات","")))&gt;0,"✗ ناقص: "&amp;_xlfn.TEXTJOIN("، ",TRUE,IF(E911="","التاريخ",""),IF(F911="","الوقت",""),IF(G911="","المركز",""),IF(H911="","الدائرة",""),IF(I911="","القسم",""),IF(J911="","المسؤول",""),IF(K911="","نوع النشاط",""),IF(L911="","المشروع",""),IF(N911="","الممول",""),IF(V911="","الموضوع",""),IF(W911="","الملاحظة",""),IF(X911="","مشكلة",""),IF(Y911="","الإجراء",""),IF(Z911="","التنفيذ",""),IF(AA911="","الجودة",""),IF(AB911="","الإغلاق",""),IF(AC911="","الخصم",""),IF(AND(COUNTA($O911:$U911)&gt;0,O911=""),"مدير المشروع",""),IF(AND(COUNTA($O911:$U911)&gt;0,P911=""),"المستفيدين",""),IF(AND(COUNTA($O911:$U911)&gt;0,Q911=""),"المناطق",""),IF(AND(COUNTA($O911:$U911)&gt;0,R911=""),"الميزانية",""),IF(AND(COUNTA($O911:$U911)&gt;0,S911=""),"نسبة الجاهزية",""),IF(AND(COUNTA($O911:$U911)&gt;0,T911=""),"حالة الجاهزية",""),IF(AND(COUNTA($O911:$U911)&gt;0,U911=""),"التوصيات","")),"✓"),"✓"))))))))))</f>
        <v/>
      </c>
      <c r="E911" s="235"/>
      <c r="F911" s="236"/>
      <c r="G911" s="90"/>
      <c r="H911" s="239"/>
      <c r="I911" s="89"/>
      <c r="J911" s="142"/>
      <c r="K911" s="90"/>
      <c r="L911" s="90"/>
      <c r="M911" s="90"/>
      <c r="N911" s="89"/>
      <c r="O911" s="200"/>
      <c r="P911" s="201"/>
      <c r="Q911" s="201"/>
      <c r="R911" s="237"/>
      <c r="S911" s="202"/>
      <c r="T911" s="200"/>
      <c r="U911" s="203"/>
      <c r="V911" s="89"/>
      <c r="W911" s="89"/>
      <c r="X911" s="145"/>
      <c r="Y911" s="89"/>
      <c r="Z911" s="90"/>
      <c r="AA911" s="90"/>
      <c r="AB911" s="90"/>
      <c r="AC911" s="90"/>
      <c r="AD911" s="92"/>
      <c r="AE911" s="149" t="str">
        <f>IFERROR(VLOOKUP(Z911,LISTS!$AL$2:$AM$1000,2,FALSE()),"")</f>
        <v/>
      </c>
      <c r="AF911" s="151" t="str">
        <f>IFERROR(VLOOKUP(AA911,LISTS!$AO$2:$AP$1000,2,FALSE()),"")</f>
        <v/>
      </c>
      <c r="AG911" s="152" t="str">
        <f>IFERROR(VLOOKUP(AB911,LISTS!$AR$2:$AS$1000,2,FALSE()),"")</f>
        <v/>
      </c>
      <c r="AH911" s="154" t="str">
        <f>IFERROR(VLOOKUP(AC911,LISTS!$AU$2:$AV$1000,2,FALSE()),"")</f>
        <v/>
      </c>
      <c r="AI911" s="238" t="str">
        <f t="shared" si="73"/>
        <v>—</v>
      </c>
      <c r="AJ911" s="190" t="str">
        <f t="shared" si="74"/>
        <v>—</v>
      </c>
      <c r="AK911" s="157" t="str">
        <f t="shared" si="70"/>
        <v/>
      </c>
      <c r="AL911" s="160" t="str">
        <f t="shared" si="71"/>
        <v/>
      </c>
      <c r="AM911" s="210"/>
      <c r="AN911" s="209"/>
    </row>
    <row r="912" spans="1:40" ht="27.95" customHeight="1">
      <c r="A912" s="134" t="str">
        <f>IF(I912&lt;&gt;"",COUNTA($I$2:I912),"")</f>
        <v/>
      </c>
      <c r="B912" s="138" t="str">
        <f t="shared" si="72"/>
        <v/>
      </c>
      <c r="C912" s="93" t="str">
        <f t="array" ref="C912">IF(E912="","",IF(M912&lt;&gt;"",
M912&amp;"/"&amp;SUMPRODUCT((M$2:M912=M912)*1)&amp;" - "&amp;(ROW()-2),
"إداري/"&amp;SUMPRODUCT((M$2:M912="")*1)&amp;" - "&amp;(ROW()-2)))</f>
        <v/>
      </c>
      <c r="D912" s="141" t="str">
        <f>IF(AND(G912="",H912="",I912=""),"",IF(COUNTIFS(LISTS!$A$2:$A$67,G912,LISTS!$B$2:$B$67,H912,LISTS!$C$2:$C$67,I912)=0,"✗ هرم",IF(NOT(OR(Z912="ممتاز 100%",Z912="جيد 80%",Z912="مقبول 60%",Z912="خطر 40%",Z912="")),"✗ قائمة R",IF(NOT(OR(AA912="ممتاز 100%",AA912="جيد 85%",AA912="مقبول 70%",AA912="ضعيف 50%",AA912="")),"✗ قائمة S",IF(NOT(OR(AB912="مكتمل 100%",AB912="جزئي 60%",AB912="معلق 30%",AB912="مفتوح 0%",AB912="")),"✗ قائمة T",IF(NOT(OR(AC912="لا خصم 0",AC912="تأخير −5",AC912="عجز −10",AC912="جودة −15",AC912="امتثال −20",AC912="مخالفة −25",AC912="")),"✗ قائمة U",IF(AND(X912="لا",AC912&lt;&gt;"",AC912&lt;&gt;"لا خصم 0"),"✗ خصم",IF(AND(X912="نعم",AC912="لا خصم 0"),"✗ خصم",IF(AND(Z912="ممتاز 100%",AA912="ممتاز 100%",AB912&lt;&gt;"",AB912&lt;&gt;"مكتمل 100%"),"✗ إغلاق",IFERROR(IF(LEN(_xlfn.TEXTJOIN("، ",TRUE,IF(E912="","التاريخ",""),IF(F912="","الوقت",""),IF(G912="","المركز",""),IF(H912="","الدائرة",""),IF(I912="","القسم",""),IF(J912="","المسؤول",""),IF(K912="","نوع النشاط",""),IF(L912="","المشروع",""),IF(N912="","الممول",""),IF(V912="","الموضوع",""),IF(W912="","الملاحظة",""),IF(X912="","مشكلة",""),IF(Y912="","الإجراء",""),IF(Z912="","التنفيذ",""),IF(AA912="","الجودة",""),IF(AB912="","الإغلاق",""),IF(AC912="","الخصم",""),IF(AND(COUNTA($O912:$U912)&gt;0,O912=""),"مدير المشروع",""),IF(AND(COUNTA($O912:$U912)&gt;0,P912=""),"المستفيدين",""),IF(AND(COUNTA($O912:$U912)&gt;0,Q912=""),"المناطق",""),IF(AND(COUNTA($O912:$U912)&gt;0,R912=""),"الميزانية",""),IF(AND(COUNTA($O912:$U912)&gt;0,S912=""),"نسبة الجاهزية",""),IF(AND(COUNTA($O912:$U912)&gt;0,T912=""),"حالة الجاهزية",""),IF(AND(COUNTA($O912:$U912)&gt;0,U912=""),"التوصيات","")))&gt;0,"✗ ناقص: "&amp;_xlfn.TEXTJOIN("، ",TRUE,IF(E912="","التاريخ",""),IF(F912="","الوقت",""),IF(G912="","المركز",""),IF(H912="","الدائرة",""),IF(I912="","القسم",""),IF(J912="","المسؤول",""),IF(K912="","نوع النشاط",""),IF(L912="","المشروع",""),IF(N912="","الممول",""),IF(V912="","الموضوع",""),IF(W912="","الملاحظة",""),IF(X912="","مشكلة",""),IF(Y912="","الإجراء",""),IF(Z912="","التنفيذ",""),IF(AA912="","الجودة",""),IF(AB912="","الإغلاق",""),IF(AC912="","الخصم",""),IF(AND(COUNTA($O912:$U912)&gt;0,O912=""),"مدير المشروع",""),IF(AND(COUNTA($O912:$U912)&gt;0,P912=""),"المستفيدين",""),IF(AND(COUNTA($O912:$U912)&gt;0,Q912=""),"المناطق",""),IF(AND(COUNTA($O912:$U912)&gt;0,R912=""),"الميزانية",""),IF(AND(COUNTA($O912:$U912)&gt;0,S912=""),"نسبة الجاهزية",""),IF(AND(COUNTA($O912:$U912)&gt;0,T912=""),"حالة الجاهزية",""),IF(AND(COUNTA($O912:$U912)&gt;0,U912=""),"التوصيات","")),"✓"),"✓"))))))))))</f>
        <v/>
      </c>
      <c r="E912" s="235"/>
      <c r="F912" s="236"/>
      <c r="G912" s="90"/>
      <c r="H912" s="239"/>
      <c r="I912" s="89"/>
      <c r="J912" s="142"/>
      <c r="K912" s="90"/>
      <c r="L912" s="90"/>
      <c r="M912" s="90"/>
      <c r="N912" s="89"/>
      <c r="O912" s="200"/>
      <c r="P912" s="201"/>
      <c r="Q912" s="201"/>
      <c r="R912" s="237"/>
      <c r="S912" s="202"/>
      <c r="T912" s="200"/>
      <c r="U912" s="203"/>
      <c r="V912" s="89"/>
      <c r="W912" s="89"/>
      <c r="X912" s="145"/>
      <c r="Y912" s="89"/>
      <c r="Z912" s="90"/>
      <c r="AA912" s="90"/>
      <c r="AB912" s="90"/>
      <c r="AC912" s="90"/>
      <c r="AD912" s="92"/>
      <c r="AE912" s="149" t="str">
        <f>IFERROR(VLOOKUP(Z912,LISTS!$AL$2:$AM$1000,2,FALSE()),"")</f>
        <v/>
      </c>
      <c r="AF912" s="151" t="str">
        <f>IFERROR(VLOOKUP(AA912,LISTS!$AO$2:$AP$1000,2,FALSE()),"")</f>
        <v/>
      </c>
      <c r="AG912" s="152" t="str">
        <f>IFERROR(VLOOKUP(AB912,LISTS!$AR$2:$AS$1000,2,FALSE()),"")</f>
        <v/>
      </c>
      <c r="AH912" s="154" t="str">
        <f>IFERROR(VLOOKUP(AC912,LISTS!$AU$2:$AV$1000,2,FALSE()),"")</f>
        <v/>
      </c>
      <c r="AI912" s="238" t="str">
        <f t="shared" si="73"/>
        <v>—</v>
      </c>
      <c r="AJ912" s="190" t="str">
        <f t="shared" si="74"/>
        <v>—</v>
      </c>
      <c r="AK912" s="157" t="str">
        <f t="shared" si="70"/>
        <v/>
      </c>
      <c r="AL912" s="160" t="str">
        <f t="shared" si="71"/>
        <v/>
      </c>
      <c r="AM912" s="210"/>
      <c r="AN912" s="209"/>
    </row>
    <row r="913" spans="1:40" ht="27.95" customHeight="1">
      <c r="A913" s="134" t="str">
        <f>IF(I913&lt;&gt;"",COUNTA($I$2:I913),"")</f>
        <v/>
      </c>
      <c r="B913" s="138" t="str">
        <f t="shared" si="72"/>
        <v/>
      </c>
      <c r="C913" s="93" t="str">
        <f t="array" ref="C913">IF(E913="","",IF(M913&lt;&gt;"",
M913&amp;"/"&amp;SUMPRODUCT((M$2:M913=M913)*1)&amp;" - "&amp;(ROW()-2),
"إداري/"&amp;SUMPRODUCT((M$2:M913="")*1)&amp;" - "&amp;(ROW()-2)))</f>
        <v/>
      </c>
      <c r="D913" s="141" t="str">
        <f>IF(AND(G913="",H913="",I913=""),"",IF(COUNTIFS(LISTS!$A$2:$A$67,G913,LISTS!$B$2:$B$67,H913,LISTS!$C$2:$C$67,I913)=0,"✗ هرم",IF(NOT(OR(Z913="ممتاز 100%",Z913="جيد 80%",Z913="مقبول 60%",Z913="خطر 40%",Z913="")),"✗ قائمة R",IF(NOT(OR(AA913="ممتاز 100%",AA913="جيد 85%",AA913="مقبول 70%",AA913="ضعيف 50%",AA913="")),"✗ قائمة S",IF(NOT(OR(AB913="مكتمل 100%",AB913="جزئي 60%",AB913="معلق 30%",AB913="مفتوح 0%",AB913="")),"✗ قائمة T",IF(NOT(OR(AC913="لا خصم 0",AC913="تأخير −5",AC913="عجز −10",AC913="جودة −15",AC913="امتثال −20",AC913="مخالفة −25",AC913="")),"✗ قائمة U",IF(AND(X913="لا",AC913&lt;&gt;"",AC913&lt;&gt;"لا خصم 0"),"✗ خصم",IF(AND(X913="نعم",AC913="لا خصم 0"),"✗ خصم",IF(AND(Z913="ممتاز 100%",AA913="ممتاز 100%",AB913&lt;&gt;"",AB913&lt;&gt;"مكتمل 100%"),"✗ إغلاق",IFERROR(IF(LEN(_xlfn.TEXTJOIN("، ",TRUE,IF(E913="","التاريخ",""),IF(F913="","الوقت",""),IF(G913="","المركز",""),IF(H913="","الدائرة",""),IF(I913="","القسم",""),IF(J913="","المسؤول",""),IF(K913="","نوع النشاط",""),IF(L913="","المشروع",""),IF(N913="","الممول",""),IF(V913="","الموضوع",""),IF(W913="","الملاحظة",""),IF(X913="","مشكلة",""),IF(Y913="","الإجراء",""),IF(Z913="","التنفيذ",""),IF(AA913="","الجودة",""),IF(AB913="","الإغلاق",""),IF(AC913="","الخصم",""),IF(AND(COUNTA($O913:$U913)&gt;0,O913=""),"مدير المشروع",""),IF(AND(COUNTA($O913:$U913)&gt;0,P913=""),"المستفيدين",""),IF(AND(COUNTA($O913:$U913)&gt;0,Q913=""),"المناطق",""),IF(AND(COUNTA($O913:$U913)&gt;0,R913=""),"الميزانية",""),IF(AND(COUNTA($O913:$U913)&gt;0,S913=""),"نسبة الجاهزية",""),IF(AND(COUNTA($O913:$U913)&gt;0,T913=""),"حالة الجاهزية",""),IF(AND(COUNTA($O913:$U913)&gt;0,U913=""),"التوصيات","")))&gt;0,"✗ ناقص: "&amp;_xlfn.TEXTJOIN("، ",TRUE,IF(E913="","التاريخ",""),IF(F913="","الوقت",""),IF(G913="","المركز",""),IF(H913="","الدائرة",""),IF(I913="","القسم",""),IF(J913="","المسؤول",""),IF(K913="","نوع النشاط",""),IF(L913="","المشروع",""),IF(N913="","الممول",""),IF(V913="","الموضوع",""),IF(W913="","الملاحظة",""),IF(X913="","مشكلة",""),IF(Y913="","الإجراء",""),IF(Z913="","التنفيذ",""),IF(AA913="","الجودة",""),IF(AB913="","الإغلاق",""),IF(AC913="","الخصم",""),IF(AND(COUNTA($O913:$U913)&gt;0,O913=""),"مدير المشروع",""),IF(AND(COUNTA($O913:$U913)&gt;0,P913=""),"المستفيدين",""),IF(AND(COUNTA($O913:$U913)&gt;0,Q913=""),"المناطق",""),IF(AND(COUNTA($O913:$U913)&gt;0,R913=""),"الميزانية",""),IF(AND(COUNTA($O913:$U913)&gt;0,S913=""),"نسبة الجاهزية",""),IF(AND(COUNTA($O913:$U913)&gt;0,T913=""),"حالة الجاهزية",""),IF(AND(COUNTA($O913:$U913)&gt;0,U913=""),"التوصيات","")),"✓"),"✓"))))))))))</f>
        <v/>
      </c>
      <c r="E913" s="235"/>
      <c r="F913" s="236"/>
      <c r="G913" s="90"/>
      <c r="H913" s="239"/>
      <c r="I913" s="89"/>
      <c r="J913" s="142"/>
      <c r="K913" s="90"/>
      <c r="L913" s="90"/>
      <c r="M913" s="90"/>
      <c r="N913" s="89"/>
      <c r="O913" s="200"/>
      <c r="P913" s="201"/>
      <c r="Q913" s="201"/>
      <c r="R913" s="237"/>
      <c r="S913" s="202"/>
      <c r="T913" s="200"/>
      <c r="U913" s="203"/>
      <c r="V913" s="89"/>
      <c r="W913" s="89"/>
      <c r="X913" s="145"/>
      <c r="Y913" s="89"/>
      <c r="Z913" s="90"/>
      <c r="AA913" s="90"/>
      <c r="AB913" s="90"/>
      <c r="AC913" s="90"/>
      <c r="AD913" s="92"/>
      <c r="AE913" s="149" t="str">
        <f>IFERROR(VLOOKUP(Z913,LISTS!$AL$2:$AM$1000,2,FALSE()),"")</f>
        <v/>
      </c>
      <c r="AF913" s="151" t="str">
        <f>IFERROR(VLOOKUP(AA913,LISTS!$AO$2:$AP$1000,2,FALSE()),"")</f>
        <v/>
      </c>
      <c r="AG913" s="152" t="str">
        <f>IFERROR(VLOOKUP(AB913,LISTS!$AR$2:$AS$1000,2,FALSE()),"")</f>
        <v/>
      </c>
      <c r="AH913" s="154" t="str">
        <f>IFERROR(VLOOKUP(AC913,LISTS!$AU$2:$AV$1000,2,FALSE()),"")</f>
        <v/>
      </c>
      <c r="AI913" s="238" t="str">
        <f t="shared" si="73"/>
        <v>—</v>
      </c>
      <c r="AJ913" s="190" t="str">
        <f t="shared" si="74"/>
        <v>—</v>
      </c>
      <c r="AK913" s="157" t="str">
        <f t="shared" si="70"/>
        <v/>
      </c>
      <c r="AL913" s="160" t="str">
        <f t="shared" si="71"/>
        <v/>
      </c>
      <c r="AM913" s="210"/>
      <c r="AN913" s="209"/>
    </row>
    <row r="914" spans="1:40" ht="27.95" customHeight="1">
      <c r="A914" s="134" t="str">
        <f>IF(I914&lt;&gt;"",COUNTA($I$2:I914),"")</f>
        <v/>
      </c>
      <c r="B914" s="138" t="str">
        <f t="shared" si="72"/>
        <v/>
      </c>
      <c r="C914" s="93" t="str">
        <f t="array" ref="C914">IF(E914="","",IF(M914&lt;&gt;"",
M914&amp;"/"&amp;SUMPRODUCT((M$2:M914=M914)*1)&amp;" - "&amp;(ROW()-2),
"إداري/"&amp;SUMPRODUCT((M$2:M914="")*1)&amp;" - "&amp;(ROW()-2)))</f>
        <v/>
      </c>
      <c r="D914" s="141" t="str">
        <f>IF(AND(G914="",H914="",I914=""),"",IF(COUNTIFS(LISTS!$A$2:$A$67,G914,LISTS!$B$2:$B$67,H914,LISTS!$C$2:$C$67,I914)=0,"✗ هرم",IF(NOT(OR(Z914="ممتاز 100%",Z914="جيد 80%",Z914="مقبول 60%",Z914="خطر 40%",Z914="")),"✗ قائمة R",IF(NOT(OR(AA914="ممتاز 100%",AA914="جيد 85%",AA914="مقبول 70%",AA914="ضعيف 50%",AA914="")),"✗ قائمة S",IF(NOT(OR(AB914="مكتمل 100%",AB914="جزئي 60%",AB914="معلق 30%",AB914="مفتوح 0%",AB914="")),"✗ قائمة T",IF(NOT(OR(AC914="لا خصم 0",AC914="تأخير −5",AC914="عجز −10",AC914="جودة −15",AC914="امتثال −20",AC914="مخالفة −25",AC914="")),"✗ قائمة U",IF(AND(X914="لا",AC914&lt;&gt;"",AC914&lt;&gt;"لا خصم 0"),"✗ خصم",IF(AND(X914="نعم",AC914="لا خصم 0"),"✗ خصم",IF(AND(Z914="ممتاز 100%",AA914="ممتاز 100%",AB914&lt;&gt;"",AB914&lt;&gt;"مكتمل 100%"),"✗ إغلاق",IFERROR(IF(LEN(_xlfn.TEXTJOIN("، ",TRUE,IF(E914="","التاريخ",""),IF(F914="","الوقت",""),IF(G914="","المركز",""),IF(H914="","الدائرة",""),IF(I914="","القسم",""),IF(J914="","المسؤول",""),IF(K914="","نوع النشاط",""),IF(L914="","المشروع",""),IF(N914="","الممول",""),IF(V914="","الموضوع",""),IF(W914="","الملاحظة",""),IF(X914="","مشكلة",""),IF(Y914="","الإجراء",""),IF(Z914="","التنفيذ",""),IF(AA914="","الجودة",""),IF(AB914="","الإغلاق",""),IF(AC914="","الخصم",""),IF(AND(COUNTA($O914:$U914)&gt;0,O914=""),"مدير المشروع",""),IF(AND(COUNTA($O914:$U914)&gt;0,P914=""),"المستفيدين",""),IF(AND(COUNTA($O914:$U914)&gt;0,Q914=""),"المناطق",""),IF(AND(COUNTA($O914:$U914)&gt;0,R914=""),"الميزانية",""),IF(AND(COUNTA($O914:$U914)&gt;0,S914=""),"نسبة الجاهزية",""),IF(AND(COUNTA($O914:$U914)&gt;0,T914=""),"حالة الجاهزية",""),IF(AND(COUNTA($O914:$U914)&gt;0,U914=""),"التوصيات","")))&gt;0,"✗ ناقص: "&amp;_xlfn.TEXTJOIN("، ",TRUE,IF(E914="","التاريخ",""),IF(F914="","الوقت",""),IF(G914="","المركز",""),IF(H914="","الدائرة",""),IF(I914="","القسم",""),IF(J914="","المسؤول",""),IF(K914="","نوع النشاط",""),IF(L914="","المشروع",""),IF(N914="","الممول",""),IF(V914="","الموضوع",""),IF(W914="","الملاحظة",""),IF(X914="","مشكلة",""),IF(Y914="","الإجراء",""),IF(Z914="","التنفيذ",""),IF(AA914="","الجودة",""),IF(AB914="","الإغلاق",""),IF(AC914="","الخصم",""),IF(AND(COUNTA($O914:$U914)&gt;0,O914=""),"مدير المشروع",""),IF(AND(COUNTA($O914:$U914)&gt;0,P914=""),"المستفيدين",""),IF(AND(COUNTA($O914:$U914)&gt;0,Q914=""),"المناطق",""),IF(AND(COUNTA($O914:$U914)&gt;0,R914=""),"الميزانية",""),IF(AND(COUNTA($O914:$U914)&gt;0,S914=""),"نسبة الجاهزية",""),IF(AND(COUNTA($O914:$U914)&gt;0,T914=""),"حالة الجاهزية",""),IF(AND(COUNTA($O914:$U914)&gt;0,U914=""),"التوصيات","")),"✓"),"✓"))))))))))</f>
        <v/>
      </c>
      <c r="E914" s="235"/>
      <c r="F914" s="236"/>
      <c r="G914" s="90"/>
      <c r="H914" s="239"/>
      <c r="I914" s="89"/>
      <c r="J914" s="142"/>
      <c r="K914" s="90"/>
      <c r="L914" s="90"/>
      <c r="M914" s="90"/>
      <c r="N914" s="89"/>
      <c r="O914" s="200"/>
      <c r="P914" s="201"/>
      <c r="Q914" s="201"/>
      <c r="R914" s="237"/>
      <c r="S914" s="202"/>
      <c r="T914" s="200"/>
      <c r="U914" s="203"/>
      <c r="V914" s="89"/>
      <c r="W914" s="89"/>
      <c r="X914" s="145"/>
      <c r="Y914" s="89"/>
      <c r="Z914" s="90"/>
      <c r="AA914" s="90"/>
      <c r="AB914" s="90"/>
      <c r="AC914" s="90"/>
      <c r="AD914" s="92"/>
      <c r="AE914" s="149" t="str">
        <f>IFERROR(VLOOKUP(Z914,LISTS!$AL$2:$AM$1000,2,FALSE()),"")</f>
        <v/>
      </c>
      <c r="AF914" s="151" t="str">
        <f>IFERROR(VLOOKUP(AA914,LISTS!$AO$2:$AP$1000,2,FALSE()),"")</f>
        <v/>
      </c>
      <c r="AG914" s="152" t="str">
        <f>IFERROR(VLOOKUP(AB914,LISTS!$AR$2:$AS$1000,2,FALSE()),"")</f>
        <v/>
      </c>
      <c r="AH914" s="154" t="str">
        <f>IFERROR(VLOOKUP(AC914,LISTS!$AU$2:$AV$1000,2,FALSE()),"")</f>
        <v/>
      </c>
      <c r="AI914" s="238" t="str">
        <f t="shared" si="73"/>
        <v>—</v>
      </c>
      <c r="AJ914" s="190" t="str">
        <f t="shared" si="74"/>
        <v>—</v>
      </c>
      <c r="AK914" s="157" t="str">
        <f t="shared" si="70"/>
        <v/>
      </c>
      <c r="AL914" s="160" t="str">
        <f t="shared" si="71"/>
        <v/>
      </c>
      <c r="AM914" s="210"/>
      <c r="AN914" s="209"/>
    </row>
    <row r="915" spans="1:40" ht="27.95" customHeight="1">
      <c r="A915" s="134" t="str">
        <f>IF(I915&lt;&gt;"",COUNTA($I$2:I915),"")</f>
        <v/>
      </c>
      <c r="B915" s="138" t="str">
        <f t="shared" si="72"/>
        <v/>
      </c>
      <c r="C915" s="93" t="str">
        <f t="array" ref="C915">IF(E915="","",IF(M915&lt;&gt;"",
M915&amp;"/"&amp;SUMPRODUCT((M$2:M915=M915)*1)&amp;" - "&amp;(ROW()-2),
"إداري/"&amp;SUMPRODUCT((M$2:M915="")*1)&amp;" - "&amp;(ROW()-2)))</f>
        <v/>
      </c>
      <c r="D915" s="141" t="str">
        <f>IF(AND(G915="",H915="",I915=""),"",IF(COUNTIFS(LISTS!$A$2:$A$67,G915,LISTS!$B$2:$B$67,H915,LISTS!$C$2:$C$67,I915)=0,"✗ هرم",IF(NOT(OR(Z915="ممتاز 100%",Z915="جيد 80%",Z915="مقبول 60%",Z915="خطر 40%",Z915="")),"✗ قائمة R",IF(NOT(OR(AA915="ممتاز 100%",AA915="جيد 85%",AA915="مقبول 70%",AA915="ضعيف 50%",AA915="")),"✗ قائمة S",IF(NOT(OR(AB915="مكتمل 100%",AB915="جزئي 60%",AB915="معلق 30%",AB915="مفتوح 0%",AB915="")),"✗ قائمة T",IF(NOT(OR(AC915="لا خصم 0",AC915="تأخير −5",AC915="عجز −10",AC915="جودة −15",AC915="امتثال −20",AC915="مخالفة −25",AC915="")),"✗ قائمة U",IF(AND(X915="لا",AC915&lt;&gt;"",AC915&lt;&gt;"لا خصم 0"),"✗ خصم",IF(AND(X915="نعم",AC915="لا خصم 0"),"✗ خصم",IF(AND(Z915="ممتاز 100%",AA915="ممتاز 100%",AB915&lt;&gt;"",AB915&lt;&gt;"مكتمل 100%"),"✗ إغلاق",IFERROR(IF(LEN(_xlfn.TEXTJOIN("، ",TRUE,IF(E915="","التاريخ",""),IF(F915="","الوقت",""),IF(G915="","المركز",""),IF(H915="","الدائرة",""),IF(I915="","القسم",""),IF(J915="","المسؤول",""),IF(K915="","نوع النشاط",""),IF(L915="","المشروع",""),IF(N915="","الممول",""),IF(V915="","الموضوع",""),IF(W915="","الملاحظة",""),IF(X915="","مشكلة",""),IF(Y915="","الإجراء",""),IF(Z915="","التنفيذ",""),IF(AA915="","الجودة",""),IF(AB915="","الإغلاق",""),IF(AC915="","الخصم",""),IF(AND(COUNTA($O915:$U915)&gt;0,O915=""),"مدير المشروع",""),IF(AND(COUNTA($O915:$U915)&gt;0,P915=""),"المستفيدين",""),IF(AND(COUNTA($O915:$U915)&gt;0,Q915=""),"المناطق",""),IF(AND(COUNTA($O915:$U915)&gt;0,R915=""),"الميزانية",""),IF(AND(COUNTA($O915:$U915)&gt;0,S915=""),"نسبة الجاهزية",""),IF(AND(COUNTA($O915:$U915)&gt;0,T915=""),"حالة الجاهزية",""),IF(AND(COUNTA($O915:$U915)&gt;0,U915=""),"التوصيات","")))&gt;0,"✗ ناقص: "&amp;_xlfn.TEXTJOIN("، ",TRUE,IF(E915="","التاريخ",""),IF(F915="","الوقت",""),IF(G915="","المركز",""),IF(H915="","الدائرة",""),IF(I915="","القسم",""),IF(J915="","المسؤول",""),IF(K915="","نوع النشاط",""),IF(L915="","المشروع",""),IF(N915="","الممول",""),IF(V915="","الموضوع",""),IF(W915="","الملاحظة",""),IF(X915="","مشكلة",""),IF(Y915="","الإجراء",""),IF(Z915="","التنفيذ",""),IF(AA915="","الجودة",""),IF(AB915="","الإغلاق",""),IF(AC915="","الخصم",""),IF(AND(COUNTA($O915:$U915)&gt;0,O915=""),"مدير المشروع",""),IF(AND(COUNTA($O915:$U915)&gt;0,P915=""),"المستفيدين",""),IF(AND(COUNTA($O915:$U915)&gt;0,Q915=""),"المناطق",""),IF(AND(COUNTA($O915:$U915)&gt;0,R915=""),"الميزانية",""),IF(AND(COUNTA($O915:$U915)&gt;0,S915=""),"نسبة الجاهزية",""),IF(AND(COUNTA($O915:$U915)&gt;0,T915=""),"حالة الجاهزية",""),IF(AND(COUNTA($O915:$U915)&gt;0,U915=""),"التوصيات","")),"✓"),"✓"))))))))))</f>
        <v/>
      </c>
      <c r="E915" s="235"/>
      <c r="F915" s="236"/>
      <c r="G915" s="90"/>
      <c r="H915" s="239"/>
      <c r="I915" s="89"/>
      <c r="J915" s="142"/>
      <c r="K915" s="90"/>
      <c r="L915" s="90"/>
      <c r="M915" s="90"/>
      <c r="N915" s="89"/>
      <c r="O915" s="200"/>
      <c r="P915" s="201"/>
      <c r="Q915" s="201"/>
      <c r="R915" s="237"/>
      <c r="S915" s="202"/>
      <c r="T915" s="200"/>
      <c r="U915" s="203"/>
      <c r="V915" s="89"/>
      <c r="W915" s="89"/>
      <c r="X915" s="145"/>
      <c r="Y915" s="89"/>
      <c r="Z915" s="90"/>
      <c r="AA915" s="90"/>
      <c r="AB915" s="90"/>
      <c r="AC915" s="90"/>
      <c r="AD915" s="92"/>
      <c r="AE915" s="149" t="str">
        <f>IFERROR(VLOOKUP(Z915,LISTS!$AL$2:$AM$1000,2,FALSE()),"")</f>
        <v/>
      </c>
      <c r="AF915" s="151" t="str">
        <f>IFERROR(VLOOKUP(AA915,LISTS!$AO$2:$AP$1000,2,FALSE()),"")</f>
        <v/>
      </c>
      <c r="AG915" s="152" t="str">
        <f>IFERROR(VLOOKUP(AB915,LISTS!$AR$2:$AS$1000,2,FALSE()),"")</f>
        <v/>
      </c>
      <c r="AH915" s="154" t="str">
        <f>IFERROR(VLOOKUP(AC915,LISTS!$AU$2:$AV$1000,2,FALSE()),"")</f>
        <v/>
      </c>
      <c r="AI915" s="238" t="str">
        <f t="shared" si="73"/>
        <v>—</v>
      </c>
      <c r="AJ915" s="190" t="str">
        <f t="shared" si="74"/>
        <v>—</v>
      </c>
      <c r="AK915" s="157" t="str">
        <f t="shared" si="70"/>
        <v/>
      </c>
      <c r="AL915" s="160" t="str">
        <f t="shared" si="71"/>
        <v/>
      </c>
      <c r="AM915" s="210"/>
      <c r="AN915" s="209"/>
    </row>
    <row r="916" spans="1:40" ht="27.95" customHeight="1">
      <c r="A916" s="134" t="str">
        <f>IF(I916&lt;&gt;"",COUNTA($I$2:I916),"")</f>
        <v/>
      </c>
      <c r="B916" s="138" t="str">
        <f t="shared" si="72"/>
        <v/>
      </c>
      <c r="C916" s="93" t="str">
        <f t="array" ref="C916">IF(E916="","",IF(M916&lt;&gt;"",
M916&amp;"/"&amp;SUMPRODUCT((M$2:M916=M916)*1)&amp;" - "&amp;(ROW()-2),
"إداري/"&amp;SUMPRODUCT((M$2:M916="")*1)&amp;" - "&amp;(ROW()-2)))</f>
        <v/>
      </c>
      <c r="D916" s="141" t="str">
        <f>IF(AND(G916="",H916="",I916=""),"",IF(COUNTIFS(LISTS!$A$2:$A$67,G916,LISTS!$B$2:$B$67,H916,LISTS!$C$2:$C$67,I916)=0,"✗ هرم",IF(NOT(OR(Z916="ممتاز 100%",Z916="جيد 80%",Z916="مقبول 60%",Z916="خطر 40%",Z916="")),"✗ قائمة R",IF(NOT(OR(AA916="ممتاز 100%",AA916="جيد 85%",AA916="مقبول 70%",AA916="ضعيف 50%",AA916="")),"✗ قائمة S",IF(NOT(OR(AB916="مكتمل 100%",AB916="جزئي 60%",AB916="معلق 30%",AB916="مفتوح 0%",AB916="")),"✗ قائمة T",IF(NOT(OR(AC916="لا خصم 0",AC916="تأخير −5",AC916="عجز −10",AC916="جودة −15",AC916="امتثال −20",AC916="مخالفة −25",AC916="")),"✗ قائمة U",IF(AND(X916="لا",AC916&lt;&gt;"",AC916&lt;&gt;"لا خصم 0"),"✗ خصم",IF(AND(X916="نعم",AC916="لا خصم 0"),"✗ خصم",IF(AND(Z916="ممتاز 100%",AA916="ممتاز 100%",AB916&lt;&gt;"",AB916&lt;&gt;"مكتمل 100%"),"✗ إغلاق",IFERROR(IF(LEN(_xlfn.TEXTJOIN("، ",TRUE,IF(E916="","التاريخ",""),IF(F916="","الوقت",""),IF(G916="","المركز",""),IF(H916="","الدائرة",""),IF(I916="","القسم",""),IF(J916="","المسؤول",""),IF(K916="","نوع النشاط",""),IF(L916="","المشروع",""),IF(N916="","الممول",""),IF(V916="","الموضوع",""),IF(W916="","الملاحظة",""),IF(X916="","مشكلة",""),IF(Y916="","الإجراء",""),IF(Z916="","التنفيذ",""),IF(AA916="","الجودة",""),IF(AB916="","الإغلاق",""),IF(AC916="","الخصم",""),IF(AND(COUNTA($O916:$U916)&gt;0,O916=""),"مدير المشروع",""),IF(AND(COUNTA($O916:$U916)&gt;0,P916=""),"المستفيدين",""),IF(AND(COUNTA($O916:$U916)&gt;0,Q916=""),"المناطق",""),IF(AND(COUNTA($O916:$U916)&gt;0,R916=""),"الميزانية",""),IF(AND(COUNTA($O916:$U916)&gt;0,S916=""),"نسبة الجاهزية",""),IF(AND(COUNTA($O916:$U916)&gt;0,T916=""),"حالة الجاهزية",""),IF(AND(COUNTA($O916:$U916)&gt;0,U916=""),"التوصيات","")))&gt;0,"✗ ناقص: "&amp;_xlfn.TEXTJOIN("، ",TRUE,IF(E916="","التاريخ",""),IF(F916="","الوقت",""),IF(G916="","المركز",""),IF(H916="","الدائرة",""),IF(I916="","القسم",""),IF(J916="","المسؤول",""),IF(K916="","نوع النشاط",""),IF(L916="","المشروع",""),IF(N916="","الممول",""),IF(V916="","الموضوع",""),IF(W916="","الملاحظة",""),IF(X916="","مشكلة",""),IF(Y916="","الإجراء",""),IF(Z916="","التنفيذ",""),IF(AA916="","الجودة",""),IF(AB916="","الإغلاق",""),IF(AC916="","الخصم",""),IF(AND(COUNTA($O916:$U916)&gt;0,O916=""),"مدير المشروع",""),IF(AND(COUNTA($O916:$U916)&gt;0,P916=""),"المستفيدين",""),IF(AND(COUNTA($O916:$U916)&gt;0,Q916=""),"المناطق",""),IF(AND(COUNTA($O916:$U916)&gt;0,R916=""),"الميزانية",""),IF(AND(COUNTA($O916:$U916)&gt;0,S916=""),"نسبة الجاهزية",""),IF(AND(COUNTA($O916:$U916)&gt;0,T916=""),"حالة الجاهزية",""),IF(AND(COUNTA($O916:$U916)&gt;0,U916=""),"التوصيات","")),"✓"),"✓"))))))))))</f>
        <v/>
      </c>
      <c r="E916" s="235"/>
      <c r="F916" s="236"/>
      <c r="G916" s="90"/>
      <c r="H916" s="239"/>
      <c r="I916" s="89"/>
      <c r="J916" s="142"/>
      <c r="K916" s="90"/>
      <c r="L916" s="90"/>
      <c r="M916" s="90"/>
      <c r="N916" s="89"/>
      <c r="O916" s="200"/>
      <c r="P916" s="201"/>
      <c r="Q916" s="201"/>
      <c r="R916" s="237"/>
      <c r="S916" s="202"/>
      <c r="T916" s="200"/>
      <c r="U916" s="203"/>
      <c r="V916" s="89"/>
      <c r="W916" s="89"/>
      <c r="X916" s="145"/>
      <c r="Y916" s="89"/>
      <c r="Z916" s="90"/>
      <c r="AA916" s="90"/>
      <c r="AB916" s="90"/>
      <c r="AC916" s="90"/>
      <c r="AD916" s="92"/>
      <c r="AE916" s="149" t="str">
        <f>IFERROR(VLOOKUP(Z916,LISTS!$AL$2:$AM$1000,2,FALSE()),"")</f>
        <v/>
      </c>
      <c r="AF916" s="151" t="str">
        <f>IFERROR(VLOOKUP(AA916,LISTS!$AO$2:$AP$1000,2,FALSE()),"")</f>
        <v/>
      </c>
      <c r="AG916" s="152" t="str">
        <f>IFERROR(VLOOKUP(AB916,LISTS!$AR$2:$AS$1000,2,FALSE()),"")</f>
        <v/>
      </c>
      <c r="AH916" s="154" t="str">
        <f>IFERROR(VLOOKUP(AC916,LISTS!$AU$2:$AV$1000,2,FALSE()),"")</f>
        <v/>
      </c>
      <c r="AI916" s="238" t="str">
        <f t="shared" si="73"/>
        <v>—</v>
      </c>
      <c r="AJ916" s="190" t="str">
        <f t="shared" si="74"/>
        <v>—</v>
      </c>
      <c r="AK916" s="157" t="str">
        <f t="shared" si="70"/>
        <v/>
      </c>
      <c r="AL916" s="160" t="str">
        <f t="shared" si="71"/>
        <v/>
      </c>
      <c r="AM916" s="210"/>
      <c r="AN916" s="209"/>
    </row>
    <row r="917" spans="1:40" ht="27.95" customHeight="1">
      <c r="A917" s="134" t="str">
        <f>IF(I917&lt;&gt;"",COUNTA($I$2:I917),"")</f>
        <v/>
      </c>
      <c r="B917" s="138" t="str">
        <f t="shared" si="72"/>
        <v/>
      </c>
      <c r="C917" s="93" t="str">
        <f t="array" ref="C917">IF(E917="","",IF(M917&lt;&gt;"",
M917&amp;"/"&amp;SUMPRODUCT((M$2:M917=M917)*1)&amp;" - "&amp;(ROW()-2),
"إداري/"&amp;SUMPRODUCT((M$2:M917="")*1)&amp;" - "&amp;(ROW()-2)))</f>
        <v/>
      </c>
      <c r="D917" s="141" t="str">
        <f>IF(AND(G917="",H917="",I917=""),"",IF(COUNTIFS(LISTS!$A$2:$A$67,G917,LISTS!$B$2:$B$67,H917,LISTS!$C$2:$C$67,I917)=0,"✗ هرم",IF(NOT(OR(Z917="ممتاز 100%",Z917="جيد 80%",Z917="مقبول 60%",Z917="خطر 40%",Z917="")),"✗ قائمة R",IF(NOT(OR(AA917="ممتاز 100%",AA917="جيد 85%",AA917="مقبول 70%",AA917="ضعيف 50%",AA917="")),"✗ قائمة S",IF(NOT(OR(AB917="مكتمل 100%",AB917="جزئي 60%",AB917="معلق 30%",AB917="مفتوح 0%",AB917="")),"✗ قائمة T",IF(NOT(OR(AC917="لا خصم 0",AC917="تأخير −5",AC917="عجز −10",AC917="جودة −15",AC917="امتثال −20",AC917="مخالفة −25",AC917="")),"✗ قائمة U",IF(AND(X917="لا",AC917&lt;&gt;"",AC917&lt;&gt;"لا خصم 0"),"✗ خصم",IF(AND(X917="نعم",AC917="لا خصم 0"),"✗ خصم",IF(AND(Z917="ممتاز 100%",AA917="ممتاز 100%",AB917&lt;&gt;"",AB917&lt;&gt;"مكتمل 100%"),"✗ إغلاق",IFERROR(IF(LEN(_xlfn.TEXTJOIN("، ",TRUE,IF(E917="","التاريخ",""),IF(F917="","الوقت",""),IF(G917="","المركز",""),IF(H917="","الدائرة",""),IF(I917="","القسم",""),IF(J917="","المسؤول",""),IF(K917="","نوع النشاط",""),IF(L917="","المشروع",""),IF(N917="","الممول",""),IF(V917="","الموضوع",""),IF(W917="","الملاحظة",""),IF(X917="","مشكلة",""),IF(Y917="","الإجراء",""),IF(Z917="","التنفيذ",""),IF(AA917="","الجودة",""),IF(AB917="","الإغلاق",""),IF(AC917="","الخصم",""),IF(AND(COUNTA($O917:$U917)&gt;0,O917=""),"مدير المشروع",""),IF(AND(COUNTA($O917:$U917)&gt;0,P917=""),"المستفيدين",""),IF(AND(COUNTA($O917:$U917)&gt;0,Q917=""),"المناطق",""),IF(AND(COUNTA($O917:$U917)&gt;0,R917=""),"الميزانية",""),IF(AND(COUNTA($O917:$U917)&gt;0,S917=""),"نسبة الجاهزية",""),IF(AND(COUNTA($O917:$U917)&gt;0,T917=""),"حالة الجاهزية",""),IF(AND(COUNTA($O917:$U917)&gt;0,U917=""),"التوصيات","")))&gt;0,"✗ ناقص: "&amp;_xlfn.TEXTJOIN("، ",TRUE,IF(E917="","التاريخ",""),IF(F917="","الوقت",""),IF(G917="","المركز",""),IF(H917="","الدائرة",""),IF(I917="","القسم",""),IF(J917="","المسؤول",""),IF(K917="","نوع النشاط",""),IF(L917="","المشروع",""),IF(N917="","الممول",""),IF(V917="","الموضوع",""),IF(W917="","الملاحظة",""),IF(X917="","مشكلة",""),IF(Y917="","الإجراء",""),IF(Z917="","التنفيذ",""),IF(AA917="","الجودة",""),IF(AB917="","الإغلاق",""),IF(AC917="","الخصم",""),IF(AND(COUNTA($O917:$U917)&gt;0,O917=""),"مدير المشروع",""),IF(AND(COUNTA($O917:$U917)&gt;0,P917=""),"المستفيدين",""),IF(AND(COUNTA($O917:$U917)&gt;0,Q917=""),"المناطق",""),IF(AND(COUNTA($O917:$U917)&gt;0,R917=""),"الميزانية",""),IF(AND(COUNTA($O917:$U917)&gt;0,S917=""),"نسبة الجاهزية",""),IF(AND(COUNTA($O917:$U917)&gt;0,T917=""),"حالة الجاهزية",""),IF(AND(COUNTA($O917:$U917)&gt;0,U917=""),"التوصيات","")),"✓"),"✓"))))))))))</f>
        <v/>
      </c>
      <c r="E917" s="235"/>
      <c r="F917" s="236"/>
      <c r="G917" s="90"/>
      <c r="H917" s="239"/>
      <c r="I917" s="89"/>
      <c r="J917" s="142"/>
      <c r="K917" s="90"/>
      <c r="L917" s="90"/>
      <c r="M917" s="90"/>
      <c r="N917" s="89"/>
      <c r="O917" s="200"/>
      <c r="P917" s="201"/>
      <c r="Q917" s="201"/>
      <c r="R917" s="237"/>
      <c r="S917" s="202"/>
      <c r="T917" s="200"/>
      <c r="U917" s="203"/>
      <c r="V917" s="89"/>
      <c r="W917" s="89"/>
      <c r="X917" s="145"/>
      <c r="Y917" s="89"/>
      <c r="Z917" s="90"/>
      <c r="AA917" s="90"/>
      <c r="AB917" s="90"/>
      <c r="AC917" s="90"/>
      <c r="AD917" s="92"/>
      <c r="AE917" s="149" t="str">
        <f>IFERROR(VLOOKUP(Z917,LISTS!$AL$2:$AM$1000,2,FALSE()),"")</f>
        <v/>
      </c>
      <c r="AF917" s="151" t="str">
        <f>IFERROR(VLOOKUP(AA917,LISTS!$AO$2:$AP$1000,2,FALSE()),"")</f>
        <v/>
      </c>
      <c r="AG917" s="152" t="str">
        <f>IFERROR(VLOOKUP(AB917,LISTS!$AR$2:$AS$1000,2,FALSE()),"")</f>
        <v/>
      </c>
      <c r="AH917" s="154" t="str">
        <f>IFERROR(VLOOKUP(AC917,LISTS!$AU$2:$AV$1000,2,FALSE()),"")</f>
        <v/>
      </c>
      <c r="AI917" s="238" t="str">
        <f t="shared" si="73"/>
        <v>—</v>
      </c>
      <c r="AJ917" s="190" t="str">
        <f t="shared" si="74"/>
        <v>—</v>
      </c>
      <c r="AK917" s="157" t="str">
        <f t="shared" si="70"/>
        <v/>
      </c>
      <c r="AL917" s="160" t="str">
        <f t="shared" si="71"/>
        <v/>
      </c>
      <c r="AM917" s="210"/>
      <c r="AN917" s="209"/>
    </row>
    <row r="918" spans="1:40" ht="27.95" customHeight="1">
      <c r="A918" s="134" t="str">
        <f>IF(I918&lt;&gt;"",COUNTA($I$2:I918),"")</f>
        <v/>
      </c>
      <c r="B918" s="138" t="str">
        <f t="shared" si="72"/>
        <v/>
      </c>
      <c r="C918" s="93" t="str">
        <f t="array" ref="C918">IF(E918="","",IF(M918&lt;&gt;"",
M918&amp;"/"&amp;SUMPRODUCT((M$2:M918=M918)*1)&amp;" - "&amp;(ROW()-2),
"إداري/"&amp;SUMPRODUCT((M$2:M918="")*1)&amp;" - "&amp;(ROW()-2)))</f>
        <v/>
      </c>
      <c r="D918" s="141" t="str">
        <f>IF(AND(G918="",H918="",I918=""),"",IF(COUNTIFS(LISTS!$A$2:$A$67,G918,LISTS!$B$2:$B$67,H918,LISTS!$C$2:$C$67,I918)=0,"✗ هرم",IF(NOT(OR(Z918="ممتاز 100%",Z918="جيد 80%",Z918="مقبول 60%",Z918="خطر 40%",Z918="")),"✗ قائمة R",IF(NOT(OR(AA918="ممتاز 100%",AA918="جيد 85%",AA918="مقبول 70%",AA918="ضعيف 50%",AA918="")),"✗ قائمة S",IF(NOT(OR(AB918="مكتمل 100%",AB918="جزئي 60%",AB918="معلق 30%",AB918="مفتوح 0%",AB918="")),"✗ قائمة T",IF(NOT(OR(AC918="لا خصم 0",AC918="تأخير −5",AC918="عجز −10",AC918="جودة −15",AC918="امتثال −20",AC918="مخالفة −25",AC918="")),"✗ قائمة U",IF(AND(X918="لا",AC918&lt;&gt;"",AC918&lt;&gt;"لا خصم 0"),"✗ خصم",IF(AND(X918="نعم",AC918="لا خصم 0"),"✗ خصم",IF(AND(Z918="ممتاز 100%",AA918="ممتاز 100%",AB918&lt;&gt;"",AB918&lt;&gt;"مكتمل 100%"),"✗ إغلاق",IFERROR(IF(LEN(_xlfn.TEXTJOIN("، ",TRUE,IF(E918="","التاريخ",""),IF(F918="","الوقت",""),IF(G918="","المركز",""),IF(H918="","الدائرة",""),IF(I918="","القسم",""),IF(J918="","المسؤول",""),IF(K918="","نوع النشاط",""),IF(L918="","المشروع",""),IF(N918="","الممول",""),IF(V918="","الموضوع",""),IF(W918="","الملاحظة",""),IF(X918="","مشكلة",""),IF(Y918="","الإجراء",""),IF(Z918="","التنفيذ",""),IF(AA918="","الجودة",""),IF(AB918="","الإغلاق",""),IF(AC918="","الخصم",""),IF(AND(COUNTA($O918:$U918)&gt;0,O918=""),"مدير المشروع",""),IF(AND(COUNTA($O918:$U918)&gt;0,P918=""),"المستفيدين",""),IF(AND(COUNTA($O918:$U918)&gt;0,Q918=""),"المناطق",""),IF(AND(COUNTA($O918:$U918)&gt;0,R918=""),"الميزانية",""),IF(AND(COUNTA($O918:$U918)&gt;0,S918=""),"نسبة الجاهزية",""),IF(AND(COUNTA($O918:$U918)&gt;0,T918=""),"حالة الجاهزية",""),IF(AND(COUNTA($O918:$U918)&gt;0,U918=""),"التوصيات","")))&gt;0,"✗ ناقص: "&amp;_xlfn.TEXTJOIN("، ",TRUE,IF(E918="","التاريخ",""),IF(F918="","الوقت",""),IF(G918="","المركز",""),IF(H918="","الدائرة",""),IF(I918="","القسم",""),IF(J918="","المسؤول",""),IF(K918="","نوع النشاط",""),IF(L918="","المشروع",""),IF(N918="","الممول",""),IF(V918="","الموضوع",""),IF(W918="","الملاحظة",""),IF(X918="","مشكلة",""),IF(Y918="","الإجراء",""),IF(Z918="","التنفيذ",""),IF(AA918="","الجودة",""),IF(AB918="","الإغلاق",""),IF(AC918="","الخصم",""),IF(AND(COUNTA($O918:$U918)&gt;0,O918=""),"مدير المشروع",""),IF(AND(COUNTA($O918:$U918)&gt;0,P918=""),"المستفيدين",""),IF(AND(COUNTA($O918:$U918)&gt;0,Q918=""),"المناطق",""),IF(AND(COUNTA($O918:$U918)&gt;0,R918=""),"الميزانية",""),IF(AND(COUNTA($O918:$U918)&gt;0,S918=""),"نسبة الجاهزية",""),IF(AND(COUNTA($O918:$U918)&gt;0,T918=""),"حالة الجاهزية",""),IF(AND(COUNTA($O918:$U918)&gt;0,U918=""),"التوصيات","")),"✓"),"✓"))))))))))</f>
        <v/>
      </c>
      <c r="E918" s="235"/>
      <c r="F918" s="236"/>
      <c r="G918" s="90"/>
      <c r="H918" s="239"/>
      <c r="I918" s="89"/>
      <c r="J918" s="142"/>
      <c r="K918" s="90"/>
      <c r="L918" s="90"/>
      <c r="M918" s="90"/>
      <c r="N918" s="89"/>
      <c r="O918" s="200"/>
      <c r="P918" s="201"/>
      <c r="Q918" s="201"/>
      <c r="R918" s="237"/>
      <c r="S918" s="202"/>
      <c r="T918" s="200"/>
      <c r="U918" s="203"/>
      <c r="V918" s="89"/>
      <c r="W918" s="89"/>
      <c r="X918" s="145"/>
      <c r="Y918" s="89"/>
      <c r="Z918" s="90"/>
      <c r="AA918" s="90"/>
      <c r="AB918" s="90"/>
      <c r="AC918" s="90"/>
      <c r="AD918" s="92"/>
      <c r="AE918" s="149" t="str">
        <f>IFERROR(VLOOKUP(Z918,LISTS!$AL$2:$AM$1000,2,FALSE()),"")</f>
        <v/>
      </c>
      <c r="AF918" s="151" t="str">
        <f>IFERROR(VLOOKUP(AA918,LISTS!$AO$2:$AP$1000,2,FALSE()),"")</f>
        <v/>
      </c>
      <c r="AG918" s="152" t="str">
        <f>IFERROR(VLOOKUP(AB918,LISTS!$AR$2:$AS$1000,2,FALSE()),"")</f>
        <v/>
      </c>
      <c r="AH918" s="154" t="str">
        <f>IFERROR(VLOOKUP(AC918,LISTS!$AU$2:$AV$1000,2,FALSE()),"")</f>
        <v/>
      </c>
      <c r="AI918" s="238" t="str">
        <f t="shared" si="73"/>
        <v>—</v>
      </c>
      <c r="AJ918" s="190" t="str">
        <f t="shared" si="74"/>
        <v>—</v>
      </c>
      <c r="AK918" s="157" t="str">
        <f t="shared" si="70"/>
        <v/>
      </c>
      <c r="AL918" s="160" t="str">
        <f t="shared" si="71"/>
        <v/>
      </c>
      <c r="AM918" s="210"/>
      <c r="AN918" s="209"/>
    </row>
    <row r="919" spans="1:40" ht="27.95" customHeight="1">
      <c r="A919" s="134" t="str">
        <f>IF(I919&lt;&gt;"",COUNTA($I$2:I919),"")</f>
        <v/>
      </c>
      <c r="B919" s="138" t="str">
        <f t="shared" si="72"/>
        <v/>
      </c>
      <c r="C919" s="93" t="str">
        <f t="array" ref="C919">IF(E919="","",IF(M919&lt;&gt;"",
M919&amp;"/"&amp;SUMPRODUCT((M$2:M919=M919)*1)&amp;" - "&amp;(ROW()-2),
"إداري/"&amp;SUMPRODUCT((M$2:M919="")*1)&amp;" - "&amp;(ROW()-2)))</f>
        <v/>
      </c>
      <c r="D919" s="141" t="str">
        <f>IF(AND(G919="",H919="",I919=""),"",IF(COUNTIFS(LISTS!$A$2:$A$67,G919,LISTS!$B$2:$B$67,H919,LISTS!$C$2:$C$67,I919)=0,"✗ هرم",IF(NOT(OR(Z919="ممتاز 100%",Z919="جيد 80%",Z919="مقبول 60%",Z919="خطر 40%",Z919="")),"✗ قائمة R",IF(NOT(OR(AA919="ممتاز 100%",AA919="جيد 85%",AA919="مقبول 70%",AA919="ضعيف 50%",AA919="")),"✗ قائمة S",IF(NOT(OR(AB919="مكتمل 100%",AB919="جزئي 60%",AB919="معلق 30%",AB919="مفتوح 0%",AB919="")),"✗ قائمة T",IF(NOT(OR(AC919="لا خصم 0",AC919="تأخير −5",AC919="عجز −10",AC919="جودة −15",AC919="امتثال −20",AC919="مخالفة −25",AC919="")),"✗ قائمة U",IF(AND(X919="لا",AC919&lt;&gt;"",AC919&lt;&gt;"لا خصم 0"),"✗ خصم",IF(AND(X919="نعم",AC919="لا خصم 0"),"✗ خصم",IF(AND(Z919="ممتاز 100%",AA919="ممتاز 100%",AB919&lt;&gt;"",AB919&lt;&gt;"مكتمل 100%"),"✗ إغلاق",IFERROR(IF(LEN(_xlfn.TEXTJOIN("، ",TRUE,IF(E919="","التاريخ",""),IF(F919="","الوقت",""),IF(G919="","المركز",""),IF(H919="","الدائرة",""),IF(I919="","القسم",""),IF(J919="","المسؤول",""),IF(K919="","نوع النشاط",""),IF(L919="","المشروع",""),IF(N919="","الممول",""),IF(V919="","الموضوع",""),IF(W919="","الملاحظة",""),IF(X919="","مشكلة",""),IF(Y919="","الإجراء",""),IF(Z919="","التنفيذ",""),IF(AA919="","الجودة",""),IF(AB919="","الإغلاق",""),IF(AC919="","الخصم",""),IF(AND(COUNTA($O919:$U919)&gt;0,O919=""),"مدير المشروع",""),IF(AND(COUNTA($O919:$U919)&gt;0,P919=""),"المستفيدين",""),IF(AND(COUNTA($O919:$U919)&gt;0,Q919=""),"المناطق",""),IF(AND(COUNTA($O919:$U919)&gt;0,R919=""),"الميزانية",""),IF(AND(COUNTA($O919:$U919)&gt;0,S919=""),"نسبة الجاهزية",""),IF(AND(COUNTA($O919:$U919)&gt;0,T919=""),"حالة الجاهزية",""),IF(AND(COUNTA($O919:$U919)&gt;0,U919=""),"التوصيات","")))&gt;0,"✗ ناقص: "&amp;_xlfn.TEXTJOIN("، ",TRUE,IF(E919="","التاريخ",""),IF(F919="","الوقت",""),IF(G919="","المركز",""),IF(H919="","الدائرة",""),IF(I919="","القسم",""),IF(J919="","المسؤول",""),IF(K919="","نوع النشاط",""),IF(L919="","المشروع",""),IF(N919="","الممول",""),IF(V919="","الموضوع",""),IF(W919="","الملاحظة",""),IF(X919="","مشكلة",""),IF(Y919="","الإجراء",""),IF(Z919="","التنفيذ",""),IF(AA919="","الجودة",""),IF(AB919="","الإغلاق",""),IF(AC919="","الخصم",""),IF(AND(COUNTA($O919:$U919)&gt;0,O919=""),"مدير المشروع",""),IF(AND(COUNTA($O919:$U919)&gt;0,P919=""),"المستفيدين",""),IF(AND(COUNTA($O919:$U919)&gt;0,Q919=""),"المناطق",""),IF(AND(COUNTA($O919:$U919)&gt;0,R919=""),"الميزانية",""),IF(AND(COUNTA($O919:$U919)&gt;0,S919=""),"نسبة الجاهزية",""),IF(AND(COUNTA($O919:$U919)&gt;0,T919=""),"حالة الجاهزية",""),IF(AND(COUNTA($O919:$U919)&gt;0,U919=""),"التوصيات","")),"✓"),"✓"))))))))))</f>
        <v/>
      </c>
      <c r="E919" s="235"/>
      <c r="F919" s="236"/>
      <c r="G919" s="90"/>
      <c r="H919" s="239"/>
      <c r="I919" s="89"/>
      <c r="J919" s="142"/>
      <c r="K919" s="90"/>
      <c r="L919" s="90"/>
      <c r="M919" s="90"/>
      <c r="N919" s="89"/>
      <c r="O919" s="200"/>
      <c r="P919" s="201"/>
      <c r="Q919" s="201"/>
      <c r="R919" s="237"/>
      <c r="S919" s="202"/>
      <c r="T919" s="200"/>
      <c r="U919" s="203"/>
      <c r="V919" s="89"/>
      <c r="W919" s="89"/>
      <c r="X919" s="145"/>
      <c r="Y919" s="89"/>
      <c r="Z919" s="90"/>
      <c r="AA919" s="90"/>
      <c r="AB919" s="90"/>
      <c r="AC919" s="90"/>
      <c r="AD919" s="92"/>
      <c r="AE919" s="149" t="str">
        <f>IFERROR(VLOOKUP(Z919,LISTS!$AL$2:$AM$1000,2,FALSE()),"")</f>
        <v/>
      </c>
      <c r="AF919" s="151" t="str">
        <f>IFERROR(VLOOKUP(AA919,LISTS!$AO$2:$AP$1000,2,FALSE()),"")</f>
        <v/>
      </c>
      <c r="AG919" s="152" t="str">
        <f>IFERROR(VLOOKUP(AB919,LISTS!$AR$2:$AS$1000,2,FALSE()),"")</f>
        <v/>
      </c>
      <c r="AH919" s="154" t="str">
        <f>IFERROR(VLOOKUP(AC919,LISTS!$AU$2:$AV$1000,2,FALSE()),"")</f>
        <v/>
      </c>
      <c r="AI919" s="238" t="str">
        <f t="shared" si="73"/>
        <v>—</v>
      </c>
      <c r="AJ919" s="190" t="str">
        <f t="shared" si="74"/>
        <v>—</v>
      </c>
      <c r="AK919" s="157" t="str">
        <f t="shared" si="70"/>
        <v/>
      </c>
      <c r="AL919" s="160" t="str">
        <f t="shared" si="71"/>
        <v/>
      </c>
      <c r="AM919" s="210"/>
      <c r="AN919" s="209"/>
    </row>
    <row r="920" spans="1:40" ht="27.95" customHeight="1">
      <c r="A920" s="134" t="str">
        <f>IF(I920&lt;&gt;"",COUNTA($I$2:I920),"")</f>
        <v/>
      </c>
      <c r="B920" s="138" t="str">
        <f t="shared" si="72"/>
        <v/>
      </c>
      <c r="C920" s="93" t="str">
        <f t="array" ref="C920">IF(E920="","",IF(M920&lt;&gt;"",
M920&amp;"/"&amp;SUMPRODUCT((M$2:M920=M920)*1)&amp;" - "&amp;(ROW()-2),
"إداري/"&amp;SUMPRODUCT((M$2:M920="")*1)&amp;" - "&amp;(ROW()-2)))</f>
        <v/>
      </c>
      <c r="D920" s="141" t="str">
        <f>IF(AND(G920="",H920="",I920=""),"",IF(COUNTIFS(LISTS!$A$2:$A$67,G920,LISTS!$B$2:$B$67,H920,LISTS!$C$2:$C$67,I920)=0,"✗ هرم",IF(NOT(OR(Z920="ممتاز 100%",Z920="جيد 80%",Z920="مقبول 60%",Z920="خطر 40%",Z920="")),"✗ قائمة R",IF(NOT(OR(AA920="ممتاز 100%",AA920="جيد 85%",AA920="مقبول 70%",AA920="ضعيف 50%",AA920="")),"✗ قائمة S",IF(NOT(OR(AB920="مكتمل 100%",AB920="جزئي 60%",AB920="معلق 30%",AB920="مفتوح 0%",AB920="")),"✗ قائمة T",IF(NOT(OR(AC920="لا خصم 0",AC920="تأخير −5",AC920="عجز −10",AC920="جودة −15",AC920="امتثال −20",AC920="مخالفة −25",AC920="")),"✗ قائمة U",IF(AND(X920="لا",AC920&lt;&gt;"",AC920&lt;&gt;"لا خصم 0"),"✗ خصم",IF(AND(X920="نعم",AC920="لا خصم 0"),"✗ خصم",IF(AND(Z920="ممتاز 100%",AA920="ممتاز 100%",AB920&lt;&gt;"",AB920&lt;&gt;"مكتمل 100%"),"✗ إغلاق",IFERROR(IF(LEN(_xlfn.TEXTJOIN("، ",TRUE,IF(E920="","التاريخ",""),IF(F920="","الوقت",""),IF(G920="","المركز",""),IF(H920="","الدائرة",""),IF(I920="","القسم",""),IF(J920="","المسؤول",""),IF(K920="","نوع النشاط",""),IF(L920="","المشروع",""),IF(N920="","الممول",""),IF(V920="","الموضوع",""),IF(W920="","الملاحظة",""),IF(X920="","مشكلة",""),IF(Y920="","الإجراء",""),IF(Z920="","التنفيذ",""),IF(AA920="","الجودة",""),IF(AB920="","الإغلاق",""),IF(AC920="","الخصم",""),IF(AND(COUNTA($O920:$U920)&gt;0,O920=""),"مدير المشروع",""),IF(AND(COUNTA($O920:$U920)&gt;0,P920=""),"المستفيدين",""),IF(AND(COUNTA($O920:$U920)&gt;0,Q920=""),"المناطق",""),IF(AND(COUNTA($O920:$U920)&gt;0,R920=""),"الميزانية",""),IF(AND(COUNTA($O920:$U920)&gt;0,S920=""),"نسبة الجاهزية",""),IF(AND(COUNTA($O920:$U920)&gt;0,T920=""),"حالة الجاهزية",""),IF(AND(COUNTA($O920:$U920)&gt;0,U920=""),"التوصيات","")))&gt;0,"✗ ناقص: "&amp;_xlfn.TEXTJOIN("، ",TRUE,IF(E920="","التاريخ",""),IF(F920="","الوقت",""),IF(G920="","المركز",""),IF(H920="","الدائرة",""),IF(I920="","القسم",""),IF(J920="","المسؤول",""),IF(K920="","نوع النشاط",""),IF(L920="","المشروع",""),IF(N920="","الممول",""),IF(V920="","الموضوع",""),IF(W920="","الملاحظة",""),IF(X920="","مشكلة",""),IF(Y920="","الإجراء",""),IF(Z920="","التنفيذ",""),IF(AA920="","الجودة",""),IF(AB920="","الإغلاق",""),IF(AC920="","الخصم",""),IF(AND(COUNTA($O920:$U920)&gt;0,O920=""),"مدير المشروع",""),IF(AND(COUNTA($O920:$U920)&gt;0,P920=""),"المستفيدين",""),IF(AND(COUNTA($O920:$U920)&gt;0,Q920=""),"المناطق",""),IF(AND(COUNTA($O920:$U920)&gt;0,R920=""),"الميزانية",""),IF(AND(COUNTA($O920:$U920)&gt;0,S920=""),"نسبة الجاهزية",""),IF(AND(COUNTA($O920:$U920)&gt;0,T920=""),"حالة الجاهزية",""),IF(AND(COUNTA($O920:$U920)&gt;0,U920=""),"التوصيات","")),"✓"),"✓"))))))))))</f>
        <v/>
      </c>
      <c r="E920" s="235"/>
      <c r="F920" s="236"/>
      <c r="G920" s="90"/>
      <c r="H920" s="239"/>
      <c r="I920" s="89"/>
      <c r="J920" s="142"/>
      <c r="K920" s="90"/>
      <c r="L920" s="90"/>
      <c r="M920" s="90"/>
      <c r="N920" s="89"/>
      <c r="O920" s="200"/>
      <c r="P920" s="201"/>
      <c r="Q920" s="201"/>
      <c r="R920" s="237"/>
      <c r="S920" s="202"/>
      <c r="T920" s="200"/>
      <c r="U920" s="203"/>
      <c r="V920" s="89"/>
      <c r="W920" s="89"/>
      <c r="X920" s="145"/>
      <c r="Y920" s="89"/>
      <c r="Z920" s="90"/>
      <c r="AA920" s="90"/>
      <c r="AB920" s="90"/>
      <c r="AC920" s="90"/>
      <c r="AD920" s="92"/>
      <c r="AE920" s="149" t="str">
        <f>IFERROR(VLOOKUP(Z920,LISTS!$AL$2:$AM$1000,2,FALSE()),"")</f>
        <v/>
      </c>
      <c r="AF920" s="151" t="str">
        <f>IFERROR(VLOOKUP(AA920,LISTS!$AO$2:$AP$1000,2,FALSE()),"")</f>
        <v/>
      </c>
      <c r="AG920" s="152" t="str">
        <f>IFERROR(VLOOKUP(AB920,LISTS!$AR$2:$AS$1000,2,FALSE()),"")</f>
        <v/>
      </c>
      <c r="AH920" s="154" t="str">
        <f>IFERROR(VLOOKUP(AC920,LISTS!$AU$2:$AV$1000,2,FALSE()),"")</f>
        <v/>
      </c>
      <c r="AI920" s="238" t="str">
        <f t="shared" si="73"/>
        <v>—</v>
      </c>
      <c r="AJ920" s="190" t="str">
        <f t="shared" si="74"/>
        <v>—</v>
      </c>
      <c r="AK920" s="157" t="str">
        <f t="shared" si="70"/>
        <v/>
      </c>
      <c r="AL920" s="160" t="str">
        <f t="shared" si="71"/>
        <v/>
      </c>
      <c r="AM920" s="210"/>
      <c r="AN920" s="209"/>
    </row>
    <row r="921" spans="1:40" ht="27.95" customHeight="1">
      <c r="A921" s="134" t="str">
        <f>IF(I921&lt;&gt;"",COUNTA($I$2:I921),"")</f>
        <v/>
      </c>
      <c r="B921" s="138" t="str">
        <f t="shared" si="72"/>
        <v/>
      </c>
      <c r="C921" s="93" t="str">
        <f t="array" ref="C921">IF(E921="","",IF(M921&lt;&gt;"",
M921&amp;"/"&amp;SUMPRODUCT((M$2:M921=M921)*1)&amp;" - "&amp;(ROW()-2),
"إداري/"&amp;SUMPRODUCT((M$2:M921="")*1)&amp;" - "&amp;(ROW()-2)))</f>
        <v/>
      </c>
      <c r="D921" s="141" t="str">
        <f>IF(AND(G921="",H921="",I921=""),"",IF(COUNTIFS(LISTS!$A$2:$A$67,G921,LISTS!$B$2:$B$67,H921,LISTS!$C$2:$C$67,I921)=0,"✗ هرم",IF(NOT(OR(Z921="ممتاز 100%",Z921="جيد 80%",Z921="مقبول 60%",Z921="خطر 40%",Z921="")),"✗ قائمة R",IF(NOT(OR(AA921="ممتاز 100%",AA921="جيد 85%",AA921="مقبول 70%",AA921="ضعيف 50%",AA921="")),"✗ قائمة S",IF(NOT(OR(AB921="مكتمل 100%",AB921="جزئي 60%",AB921="معلق 30%",AB921="مفتوح 0%",AB921="")),"✗ قائمة T",IF(NOT(OR(AC921="لا خصم 0",AC921="تأخير −5",AC921="عجز −10",AC921="جودة −15",AC921="امتثال −20",AC921="مخالفة −25",AC921="")),"✗ قائمة U",IF(AND(X921="لا",AC921&lt;&gt;"",AC921&lt;&gt;"لا خصم 0"),"✗ خصم",IF(AND(X921="نعم",AC921="لا خصم 0"),"✗ خصم",IF(AND(Z921="ممتاز 100%",AA921="ممتاز 100%",AB921&lt;&gt;"",AB921&lt;&gt;"مكتمل 100%"),"✗ إغلاق",IFERROR(IF(LEN(_xlfn.TEXTJOIN("، ",TRUE,IF(E921="","التاريخ",""),IF(F921="","الوقت",""),IF(G921="","المركز",""),IF(H921="","الدائرة",""),IF(I921="","القسم",""),IF(J921="","المسؤول",""),IF(K921="","نوع النشاط",""),IF(L921="","المشروع",""),IF(N921="","الممول",""),IF(V921="","الموضوع",""),IF(W921="","الملاحظة",""),IF(X921="","مشكلة",""),IF(Y921="","الإجراء",""),IF(Z921="","التنفيذ",""),IF(AA921="","الجودة",""),IF(AB921="","الإغلاق",""),IF(AC921="","الخصم",""),IF(AND(COUNTA($O921:$U921)&gt;0,O921=""),"مدير المشروع",""),IF(AND(COUNTA($O921:$U921)&gt;0,P921=""),"المستفيدين",""),IF(AND(COUNTA($O921:$U921)&gt;0,Q921=""),"المناطق",""),IF(AND(COUNTA($O921:$U921)&gt;0,R921=""),"الميزانية",""),IF(AND(COUNTA($O921:$U921)&gt;0,S921=""),"نسبة الجاهزية",""),IF(AND(COUNTA($O921:$U921)&gt;0,T921=""),"حالة الجاهزية",""),IF(AND(COUNTA($O921:$U921)&gt;0,U921=""),"التوصيات","")))&gt;0,"✗ ناقص: "&amp;_xlfn.TEXTJOIN("، ",TRUE,IF(E921="","التاريخ",""),IF(F921="","الوقت",""),IF(G921="","المركز",""),IF(H921="","الدائرة",""),IF(I921="","القسم",""),IF(J921="","المسؤول",""),IF(K921="","نوع النشاط",""),IF(L921="","المشروع",""),IF(N921="","الممول",""),IF(V921="","الموضوع",""),IF(W921="","الملاحظة",""),IF(X921="","مشكلة",""),IF(Y921="","الإجراء",""),IF(Z921="","التنفيذ",""),IF(AA921="","الجودة",""),IF(AB921="","الإغلاق",""),IF(AC921="","الخصم",""),IF(AND(COUNTA($O921:$U921)&gt;0,O921=""),"مدير المشروع",""),IF(AND(COUNTA($O921:$U921)&gt;0,P921=""),"المستفيدين",""),IF(AND(COUNTA($O921:$U921)&gt;0,Q921=""),"المناطق",""),IF(AND(COUNTA($O921:$U921)&gt;0,R921=""),"الميزانية",""),IF(AND(COUNTA($O921:$U921)&gt;0,S921=""),"نسبة الجاهزية",""),IF(AND(COUNTA($O921:$U921)&gt;0,T921=""),"حالة الجاهزية",""),IF(AND(COUNTA($O921:$U921)&gt;0,U921=""),"التوصيات","")),"✓"),"✓"))))))))))</f>
        <v/>
      </c>
      <c r="E921" s="235"/>
      <c r="F921" s="236"/>
      <c r="G921" s="90"/>
      <c r="H921" s="239"/>
      <c r="I921" s="89"/>
      <c r="J921" s="142"/>
      <c r="K921" s="90"/>
      <c r="L921" s="90"/>
      <c r="M921" s="90"/>
      <c r="N921" s="89"/>
      <c r="O921" s="200"/>
      <c r="P921" s="201"/>
      <c r="Q921" s="201"/>
      <c r="R921" s="237"/>
      <c r="S921" s="202"/>
      <c r="T921" s="200"/>
      <c r="U921" s="203"/>
      <c r="V921" s="89"/>
      <c r="W921" s="89"/>
      <c r="X921" s="145"/>
      <c r="Y921" s="89"/>
      <c r="Z921" s="90"/>
      <c r="AA921" s="90"/>
      <c r="AB921" s="90"/>
      <c r="AC921" s="90"/>
      <c r="AD921" s="92"/>
      <c r="AE921" s="149" t="str">
        <f>IFERROR(VLOOKUP(Z921,LISTS!$AL$2:$AM$1000,2,FALSE()),"")</f>
        <v/>
      </c>
      <c r="AF921" s="151" t="str">
        <f>IFERROR(VLOOKUP(AA921,LISTS!$AO$2:$AP$1000,2,FALSE()),"")</f>
        <v/>
      </c>
      <c r="AG921" s="152" t="str">
        <f>IFERROR(VLOOKUP(AB921,LISTS!$AR$2:$AS$1000,2,FALSE()),"")</f>
        <v/>
      </c>
      <c r="AH921" s="154" t="str">
        <f>IFERROR(VLOOKUP(AC921,LISTS!$AU$2:$AV$1000,2,FALSE()),"")</f>
        <v/>
      </c>
      <c r="AI921" s="238" t="str">
        <f t="shared" si="73"/>
        <v>—</v>
      </c>
      <c r="AJ921" s="190" t="str">
        <f t="shared" si="74"/>
        <v>—</v>
      </c>
      <c r="AK921" s="157" t="str">
        <f t="shared" si="70"/>
        <v/>
      </c>
      <c r="AL921" s="160" t="str">
        <f t="shared" si="71"/>
        <v/>
      </c>
      <c r="AM921" s="210"/>
      <c r="AN921" s="209"/>
    </row>
    <row r="922" spans="1:40" ht="27.95" customHeight="1">
      <c r="A922" s="134" t="str">
        <f>IF(I922&lt;&gt;"",COUNTA($I$2:I922),"")</f>
        <v/>
      </c>
      <c r="B922" s="138" t="str">
        <f t="shared" si="72"/>
        <v/>
      </c>
      <c r="C922" s="93" t="str">
        <f t="array" ref="C922">IF(E922="","",IF(M922&lt;&gt;"",
M922&amp;"/"&amp;SUMPRODUCT((M$2:M922=M922)*1)&amp;" - "&amp;(ROW()-2),
"إداري/"&amp;SUMPRODUCT((M$2:M922="")*1)&amp;" - "&amp;(ROW()-2)))</f>
        <v/>
      </c>
      <c r="D922" s="141" t="str">
        <f>IF(AND(G922="",H922="",I922=""),"",IF(COUNTIFS(LISTS!$A$2:$A$67,G922,LISTS!$B$2:$B$67,H922,LISTS!$C$2:$C$67,I922)=0,"✗ هرم",IF(NOT(OR(Z922="ممتاز 100%",Z922="جيد 80%",Z922="مقبول 60%",Z922="خطر 40%",Z922="")),"✗ قائمة R",IF(NOT(OR(AA922="ممتاز 100%",AA922="جيد 85%",AA922="مقبول 70%",AA922="ضعيف 50%",AA922="")),"✗ قائمة S",IF(NOT(OR(AB922="مكتمل 100%",AB922="جزئي 60%",AB922="معلق 30%",AB922="مفتوح 0%",AB922="")),"✗ قائمة T",IF(NOT(OR(AC922="لا خصم 0",AC922="تأخير −5",AC922="عجز −10",AC922="جودة −15",AC922="امتثال −20",AC922="مخالفة −25",AC922="")),"✗ قائمة U",IF(AND(X922="لا",AC922&lt;&gt;"",AC922&lt;&gt;"لا خصم 0"),"✗ خصم",IF(AND(X922="نعم",AC922="لا خصم 0"),"✗ خصم",IF(AND(Z922="ممتاز 100%",AA922="ممتاز 100%",AB922&lt;&gt;"",AB922&lt;&gt;"مكتمل 100%"),"✗ إغلاق",IFERROR(IF(LEN(_xlfn.TEXTJOIN("، ",TRUE,IF(E922="","التاريخ",""),IF(F922="","الوقت",""),IF(G922="","المركز",""),IF(H922="","الدائرة",""),IF(I922="","القسم",""),IF(J922="","المسؤول",""),IF(K922="","نوع النشاط",""),IF(L922="","المشروع",""),IF(N922="","الممول",""),IF(V922="","الموضوع",""),IF(W922="","الملاحظة",""),IF(X922="","مشكلة",""),IF(Y922="","الإجراء",""),IF(Z922="","التنفيذ",""),IF(AA922="","الجودة",""),IF(AB922="","الإغلاق",""),IF(AC922="","الخصم",""),IF(AND(COUNTA($O922:$U922)&gt;0,O922=""),"مدير المشروع",""),IF(AND(COUNTA($O922:$U922)&gt;0,P922=""),"المستفيدين",""),IF(AND(COUNTA($O922:$U922)&gt;0,Q922=""),"المناطق",""),IF(AND(COUNTA($O922:$U922)&gt;0,R922=""),"الميزانية",""),IF(AND(COUNTA($O922:$U922)&gt;0,S922=""),"نسبة الجاهزية",""),IF(AND(COUNTA($O922:$U922)&gt;0,T922=""),"حالة الجاهزية",""),IF(AND(COUNTA($O922:$U922)&gt;0,U922=""),"التوصيات","")))&gt;0,"✗ ناقص: "&amp;_xlfn.TEXTJOIN("، ",TRUE,IF(E922="","التاريخ",""),IF(F922="","الوقت",""),IF(G922="","المركز",""),IF(H922="","الدائرة",""),IF(I922="","القسم",""),IF(J922="","المسؤول",""),IF(K922="","نوع النشاط",""),IF(L922="","المشروع",""),IF(N922="","الممول",""),IF(V922="","الموضوع",""),IF(W922="","الملاحظة",""),IF(X922="","مشكلة",""),IF(Y922="","الإجراء",""),IF(Z922="","التنفيذ",""),IF(AA922="","الجودة",""),IF(AB922="","الإغلاق",""),IF(AC922="","الخصم",""),IF(AND(COUNTA($O922:$U922)&gt;0,O922=""),"مدير المشروع",""),IF(AND(COUNTA($O922:$U922)&gt;0,P922=""),"المستفيدين",""),IF(AND(COUNTA($O922:$U922)&gt;0,Q922=""),"المناطق",""),IF(AND(COUNTA($O922:$U922)&gt;0,R922=""),"الميزانية",""),IF(AND(COUNTA($O922:$U922)&gt;0,S922=""),"نسبة الجاهزية",""),IF(AND(COUNTA($O922:$U922)&gt;0,T922=""),"حالة الجاهزية",""),IF(AND(COUNTA($O922:$U922)&gt;0,U922=""),"التوصيات","")),"✓"),"✓"))))))))))</f>
        <v/>
      </c>
      <c r="E922" s="235"/>
      <c r="F922" s="236"/>
      <c r="G922" s="90"/>
      <c r="H922" s="239"/>
      <c r="I922" s="89"/>
      <c r="J922" s="142"/>
      <c r="K922" s="90"/>
      <c r="L922" s="90"/>
      <c r="M922" s="90"/>
      <c r="N922" s="89"/>
      <c r="O922" s="200"/>
      <c r="P922" s="201"/>
      <c r="Q922" s="201"/>
      <c r="R922" s="237"/>
      <c r="S922" s="202"/>
      <c r="T922" s="200"/>
      <c r="U922" s="203"/>
      <c r="V922" s="89"/>
      <c r="W922" s="89"/>
      <c r="X922" s="145"/>
      <c r="Y922" s="89"/>
      <c r="Z922" s="90"/>
      <c r="AA922" s="90"/>
      <c r="AB922" s="90"/>
      <c r="AC922" s="90"/>
      <c r="AD922" s="92"/>
      <c r="AE922" s="149" t="str">
        <f>IFERROR(VLOOKUP(Z922,LISTS!$AL$2:$AM$1000,2,FALSE()),"")</f>
        <v/>
      </c>
      <c r="AF922" s="151" t="str">
        <f>IFERROR(VLOOKUP(AA922,LISTS!$AO$2:$AP$1000,2,FALSE()),"")</f>
        <v/>
      </c>
      <c r="AG922" s="152" t="str">
        <f>IFERROR(VLOOKUP(AB922,LISTS!$AR$2:$AS$1000,2,FALSE()),"")</f>
        <v/>
      </c>
      <c r="AH922" s="154" t="str">
        <f>IFERROR(VLOOKUP(AC922,LISTS!$AU$2:$AV$1000,2,FALSE()),"")</f>
        <v/>
      </c>
      <c r="AI922" s="238" t="str">
        <f t="shared" si="73"/>
        <v>—</v>
      </c>
      <c r="AJ922" s="190" t="str">
        <f t="shared" si="74"/>
        <v>—</v>
      </c>
      <c r="AK922" s="157" t="str">
        <f t="shared" si="70"/>
        <v/>
      </c>
      <c r="AL922" s="160" t="str">
        <f t="shared" si="71"/>
        <v/>
      </c>
      <c r="AM922" s="210"/>
      <c r="AN922" s="209"/>
    </row>
    <row r="923" spans="1:40" ht="27.95" customHeight="1">
      <c r="A923" s="134" t="str">
        <f>IF(I923&lt;&gt;"",COUNTA($I$2:I923),"")</f>
        <v/>
      </c>
      <c r="B923" s="138" t="str">
        <f t="shared" si="72"/>
        <v/>
      </c>
      <c r="C923" s="93" t="str">
        <f t="array" ref="C923">IF(E923="","",IF(M923&lt;&gt;"",
M923&amp;"/"&amp;SUMPRODUCT((M$2:M923=M923)*1)&amp;" - "&amp;(ROW()-2),
"إداري/"&amp;SUMPRODUCT((M$2:M923="")*1)&amp;" - "&amp;(ROW()-2)))</f>
        <v/>
      </c>
      <c r="D923" s="141" t="str">
        <f>IF(AND(G923="",H923="",I923=""),"",IF(COUNTIFS(LISTS!$A$2:$A$67,G923,LISTS!$B$2:$B$67,H923,LISTS!$C$2:$C$67,I923)=0,"✗ هرم",IF(NOT(OR(Z923="ممتاز 100%",Z923="جيد 80%",Z923="مقبول 60%",Z923="خطر 40%",Z923="")),"✗ قائمة R",IF(NOT(OR(AA923="ممتاز 100%",AA923="جيد 85%",AA923="مقبول 70%",AA923="ضعيف 50%",AA923="")),"✗ قائمة S",IF(NOT(OR(AB923="مكتمل 100%",AB923="جزئي 60%",AB923="معلق 30%",AB923="مفتوح 0%",AB923="")),"✗ قائمة T",IF(NOT(OR(AC923="لا خصم 0",AC923="تأخير −5",AC923="عجز −10",AC923="جودة −15",AC923="امتثال −20",AC923="مخالفة −25",AC923="")),"✗ قائمة U",IF(AND(X923="لا",AC923&lt;&gt;"",AC923&lt;&gt;"لا خصم 0"),"✗ خصم",IF(AND(X923="نعم",AC923="لا خصم 0"),"✗ خصم",IF(AND(Z923="ممتاز 100%",AA923="ممتاز 100%",AB923&lt;&gt;"",AB923&lt;&gt;"مكتمل 100%"),"✗ إغلاق",IFERROR(IF(LEN(_xlfn.TEXTJOIN("، ",TRUE,IF(E923="","التاريخ",""),IF(F923="","الوقت",""),IF(G923="","المركز",""),IF(H923="","الدائرة",""),IF(I923="","القسم",""),IF(J923="","المسؤول",""),IF(K923="","نوع النشاط",""),IF(L923="","المشروع",""),IF(N923="","الممول",""),IF(V923="","الموضوع",""),IF(W923="","الملاحظة",""),IF(X923="","مشكلة",""),IF(Y923="","الإجراء",""),IF(Z923="","التنفيذ",""),IF(AA923="","الجودة",""),IF(AB923="","الإغلاق",""),IF(AC923="","الخصم",""),IF(AND(COUNTA($O923:$U923)&gt;0,O923=""),"مدير المشروع",""),IF(AND(COUNTA($O923:$U923)&gt;0,P923=""),"المستفيدين",""),IF(AND(COUNTA($O923:$U923)&gt;0,Q923=""),"المناطق",""),IF(AND(COUNTA($O923:$U923)&gt;0,R923=""),"الميزانية",""),IF(AND(COUNTA($O923:$U923)&gt;0,S923=""),"نسبة الجاهزية",""),IF(AND(COUNTA($O923:$U923)&gt;0,T923=""),"حالة الجاهزية",""),IF(AND(COUNTA($O923:$U923)&gt;0,U923=""),"التوصيات","")))&gt;0,"✗ ناقص: "&amp;_xlfn.TEXTJOIN("، ",TRUE,IF(E923="","التاريخ",""),IF(F923="","الوقت",""),IF(G923="","المركز",""),IF(H923="","الدائرة",""),IF(I923="","القسم",""),IF(J923="","المسؤول",""),IF(K923="","نوع النشاط",""),IF(L923="","المشروع",""),IF(N923="","الممول",""),IF(V923="","الموضوع",""),IF(W923="","الملاحظة",""),IF(X923="","مشكلة",""),IF(Y923="","الإجراء",""),IF(Z923="","التنفيذ",""),IF(AA923="","الجودة",""),IF(AB923="","الإغلاق",""),IF(AC923="","الخصم",""),IF(AND(COUNTA($O923:$U923)&gt;0,O923=""),"مدير المشروع",""),IF(AND(COUNTA($O923:$U923)&gt;0,P923=""),"المستفيدين",""),IF(AND(COUNTA($O923:$U923)&gt;0,Q923=""),"المناطق",""),IF(AND(COUNTA($O923:$U923)&gt;0,R923=""),"الميزانية",""),IF(AND(COUNTA($O923:$U923)&gt;0,S923=""),"نسبة الجاهزية",""),IF(AND(COUNTA($O923:$U923)&gt;0,T923=""),"حالة الجاهزية",""),IF(AND(COUNTA($O923:$U923)&gt;0,U923=""),"التوصيات","")),"✓"),"✓"))))))))))</f>
        <v/>
      </c>
      <c r="E923" s="235"/>
      <c r="F923" s="236"/>
      <c r="G923" s="90"/>
      <c r="H923" s="239"/>
      <c r="I923" s="89"/>
      <c r="J923" s="142"/>
      <c r="K923" s="90"/>
      <c r="L923" s="90"/>
      <c r="M923" s="90"/>
      <c r="N923" s="89"/>
      <c r="O923" s="200"/>
      <c r="P923" s="201"/>
      <c r="Q923" s="201"/>
      <c r="R923" s="237"/>
      <c r="S923" s="202"/>
      <c r="T923" s="200"/>
      <c r="U923" s="203"/>
      <c r="V923" s="89"/>
      <c r="W923" s="89"/>
      <c r="X923" s="145"/>
      <c r="Y923" s="89"/>
      <c r="Z923" s="90"/>
      <c r="AA923" s="90"/>
      <c r="AB923" s="90"/>
      <c r="AC923" s="90"/>
      <c r="AD923" s="92"/>
      <c r="AE923" s="149" t="str">
        <f>IFERROR(VLOOKUP(Z923,LISTS!$AL$2:$AM$1000,2,FALSE()),"")</f>
        <v/>
      </c>
      <c r="AF923" s="151" t="str">
        <f>IFERROR(VLOOKUP(AA923,LISTS!$AO$2:$AP$1000,2,FALSE()),"")</f>
        <v/>
      </c>
      <c r="AG923" s="152" t="str">
        <f>IFERROR(VLOOKUP(AB923,LISTS!$AR$2:$AS$1000,2,FALSE()),"")</f>
        <v/>
      </c>
      <c r="AH923" s="154" t="str">
        <f>IFERROR(VLOOKUP(AC923,LISTS!$AU$2:$AV$1000,2,FALSE()),"")</f>
        <v/>
      </c>
      <c r="AI923" s="238" t="str">
        <f t="shared" si="73"/>
        <v>—</v>
      </c>
      <c r="AJ923" s="190" t="str">
        <f t="shared" si="74"/>
        <v>—</v>
      </c>
      <c r="AK923" s="157" t="str">
        <f t="shared" si="70"/>
        <v/>
      </c>
      <c r="AL923" s="160" t="str">
        <f t="shared" si="71"/>
        <v/>
      </c>
      <c r="AM923" s="210"/>
      <c r="AN923" s="209"/>
    </row>
    <row r="924" spans="1:40" ht="27.95" customHeight="1">
      <c r="A924" s="134" t="str">
        <f>IF(I924&lt;&gt;"",COUNTA($I$2:I924),"")</f>
        <v/>
      </c>
      <c r="B924" s="138" t="str">
        <f t="shared" si="72"/>
        <v/>
      </c>
      <c r="C924" s="93" t="str">
        <f t="array" ref="C924">IF(E924="","",IF(M924&lt;&gt;"",
M924&amp;"/"&amp;SUMPRODUCT((M$2:M924=M924)*1)&amp;" - "&amp;(ROW()-2),
"إداري/"&amp;SUMPRODUCT((M$2:M924="")*1)&amp;" - "&amp;(ROW()-2)))</f>
        <v/>
      </c>
      <c r="D924" s="141" t="str">
        <f>IF(AND(G924="",H924="",I924=""),"",IF(COUNTIFS(LISTS!$A$2:$A$67,G924,LISTS!$B$2:$B$67,H924,LISTS!$C$2:$C$67,I924)=0,"✗ هرم",IF(NOT(OR(Z924="ممتاز 100%",Z924="جيد 80%",Z924="مقبول 60%",Z924="خطر 40%",Z924="")),"✗ قائمة R",IF(NOT(OR(AA924="ممتاز 100%",AA924="جيد 85%",AA924="مقبول 70%",AA924="ضعيف 50%",AA924="")),"✗ قائمة S",IF(NOT(OR(AB924="مكتمل 100%",AB924="جزئي 60%",AB924="معلق 30%",AB924="مفتوح 0%",AB924="")),"✗ قائمة T",IF(NOT(OR(AC924="لا خصم 0",AC924="تأخير −5",AC924="عجز −10",AC924="جودة −15",AC924="امتثال −20",AC924="مخالفة −25",AC924="")),"✗ قائمة U",IF(AND(X924="لا",AC924&lt;&gt;"",AC924&lt;&gt;"لا خصم 0"),"✗ خصم",IF(AND(X924="نعم",AC924="لا خصم 0"),"✗ خصم",IF(AND(Z924="ممتاز 100%",AA924="ممتاز 100%",AB924&lt;&gt;"",AB924&lt;&gt;"مكتمل 100%"),"✗ إغلاق",IFERROR(IF(LEN(_xlfn.TEXTJOIN("، ",TRUE,IF(E924="","التاريخ",""),IF(F924="","الوقت",""),IF(G924="","المركز",""),IF(H924="","الدائرة",""),IF(I924="","القسم",""),IF(J924="","المسؤول",""),IF(K924="","نوع النشاط",""),IF(L924="","المشروع",""),IF(N924="","الممول",""),IF(V924="","الموضوع",""),IF(W924="","الملاحظة",""),IF(X924="","مشكلة",""),IF(Y924="","الإجراء",""),IF(Z924="","التنفيذ",""),IF(AA924="","الجودة",""),IF(AB924="","الإغلاق",""),IF(AC924="","الخصم",""),IF(AND(COUNTA($O924:$U924)&gt;0,O924=""),"مدير المشروع",""),IF(AND(COUNTA($O924:$U924)&gt;0,P924=""),"المستفيدين",""),IF(AND(COUNTA($O924:$U924)&gt;0,Q924=""),"المناطق",""),IF(AND(COUNTA($O924:$U924)&gt;0,R924=""),"الميزانية",""),IF(AND(COUNTA($O924:$U924)&gt;0,S924=""),"نسبة الجاهزية",""),IF(AND(COUNTA($O924:$U924)&gt;0,T924=""),"حالة الجاهزية",""),IF(AND(COUNTA($O924:$U924)&gt;0,U924=""),"التوصيات","")))&gt;0,"✗ ناقص: "&amp;_xlfn.TEXTJOIN("، ",TRUE,IF(E924="","التاريخ",""),IF(F924="","الوقت",""),IF(G924="","المركز",""),IF(H924="","الدائرة",""),IF(I924="","القسم",""),IF(J924="","المسؤول",""),IF(K924="","نوع النشاط",""),IF(L924="","المشروع",""),IF(N924="","الممول",""),IF(V924="","الموضوع",""),IF(W924="","الملاحظة",""),IF(X924="","مشكلة",""),IF(Y924="","الإجراء",""),IF(Z924="","التنفيذ",""),IF(AA924="","الجودة",""),IF(AB924="","الإغلاق",""),IF(AC924="","الخصم",""),IF(AND(COUNTA($O924:$U924)&gt;0,O924=""),"مدير المشروع",""),IF(AND(COUNTA($O924:$U924)&gt;0,P924=""),"المستفيدين",""),IF(AND(COUNTA($O924:$U924)&gt;0,Q924=""),"المناطق",""),IF(AND(COUNTA($O924:$U924)&gt;0,R924=""),"الميزانية",""),IF(AND(COUNTA($O924:$U924)&gt;0,S924=""),"نسبة الجاهزية",""),IF(AND(COUNTA($O924:$U924)&gt;0,T924=""),"حالة الجاهزية",""),IF(AND(COUNTA($O924:$U924)&gt;0,U924=""),"التوصيات","")),"✓"),"✓"))))))))))</f>
        <v/>
      </c>
      <c r="E924" s="235"/>
      <c r="F924" s="236"/>
      <c r="G924" s="90"/>
      <c r="H924" s="239"/>
      <c r="I924" s="89"/>
      <c r="J924" s="142"/>
      <c r="K924" s="90"/>
      <c r="L924" s="90"/>
      <c r="M924" s="90"/>
      <c r="N924" s="89"/>
      <c r="O924" s="200"/>
      <c r="P924" s="201"/>
      <c r="Q924" s="201"/>
      <c r="R924" s="237"/>
      <c r="S924" s="202"/>
      <c r="T924" s="200"/>
      <c r="U924" s="203"/>
      <c r="V924" s="89"/>
      <c r="W924" s="89"/>
      <c r="X924" s="145"/>
      <c r="Y924" s="89"/>
      <c r="Z924" s="90"/>
      <c r="AA924" s="90"/>
      <c r="AB924" s="90"/>
      <c r="AC924" s="90"/>
      <c r="AD924" s="92"/>
      <c r="AE924" s="149" t="str">
        <f>IFERROR(VLOOKUP(Z924,LISTS!$AL$2:$AM$1000,2,FALSE()),"")</f>
        <v/>
      </c>
      <c r="AF924" s="151" t="str">
        <f>IFERROR(VLOOKUP(AA924,LISTS!$AO$2:$AP$1000,2,FALSE()),"")</f>
        <v/>
      </c>
      <c r="AG924" s="152" t="str">
        <f>IFERROR(VLOOKUP(AB924,LISTS!$AR$2:$AS$1000,2,FALSE()),"")</f>
        <v/>
      </c>
      <c r="AH924" s="154" t="str">
        <f>IFERROR(VLOOKUP(AC924,LISTS!$AU$2:$AV$1000,2,FALSE()),"")</f>
        <v/>
      </c>
      <c r="AI924" s="238" t="str">
        <f t="shared" si="73"/>
        <v>—</v>
      </c>
      <c r="AJ924" s="190" t="str">
        <f t="shared" si="74"/>
        <v>—</v>
      </c>
      <c r="AK924" s="157" t="str">
        <f t="shared" si="70"/>
        <v/>
      </c>
      <c r="AL924" s="160" t="str">
        <f t="shared" si="71"/>
        <v/>
      </c>
      <c r="AM924" s="210"/>
      <c r="AN924" s="209"/>
    </row>
    <row r="925" spans="1:40" ht="27.95" customHeight="1">
      <c r="A925" s="134" t="str">
        <f>IF(I925&lt;&gt;"",COUNTA($I$2:I925),"")</f>
        <v/>
      </c>
      <c r="B925" s="138" t="str">
        <f t="shared" si="72"/>
        <v/>
      </c>
      <c r="C925" s="93" t="str">
        <f t="array" ref="C925">IF(E925="","",IF(M925&lt;&gt;"",
M925&amp;"/"&amp;SUMPRODUCT((M$2:M925=M925)*1)&amp;" - "&amp;(ROW()-2),
"إداري/"&amp;SUMPRODUCT((M$2:M925="")*1)&amp;" - "&amp;(ROW()-2)))</f>
        <v/>
      </c>
      <c r="D925" s="141" t="str">
        <f>IF(AND(G925="",H925="",I925=""),"",IF(COUNTIFS(LISTS!$A$2:$A$67,G925,LISTS!$B$2:$B$67,H925,LISTS!$C$2:$C$67,I925)=0,"✗ هرم",IF(NOT(OR(Z925="ممتاز 100%",Z925="جيد 80%",Z925="مقبول 60%",Z925="خطر 40%",Z925="")),"✗ قائمة R",IF(NOT(OR(AA925="ممتاز 100%",AA925="جيد 85%",AA925="مقبول 70%",AA925="ضعيف 50%",AA925="")),"✗ قائمة S",IF(NOT(OR(AB925="مكتمل 100%",AB925="جزئي 60%",AB925="معلق 30%",AB925="مفتوح 0%",AB925="")),"✗ قائمة T",IF(NOT(OR(AC925="لا خصم 0",AC925="تأخير −5",AC925="عجز −10",AC925="جودة −15",AC925="امتثال −20",AC925="مخالفة −25",AC925="")),"✗ قائمة U",IF(AND(X925="لا",AC925&lt;&gt;"",AC925&lt;&gt;"لا خصم 0"),"✗ خصم",IF(AND(X925="نعم",AC925="لا خصم 0"),"✗ خصم",IF(AND(Z925="ممتاز 100%",AA925="ممتاز 100%",AB925&lt;&gt;"",AB925&lt;&gt;"مكتمل 100%"),"✗ إغلاق",IFERROR(IF(LEN(_xlfn.TEXTJOIN("، ",TRUE,IF(E925="","التاريخ",""),IF(F925="","الوقت",""),IF(G925="","المركز",""),IF(H925="","الدائرة",""),IF(I925="","القسم",""),IF(J925="","المسؤول",""),IF(K925="","نوع النشاط",""),IF(L925="","المشروع",""),IF(N925="","الممول",""),IF(V925="","الموضوع",""),IF(W925="","الملاحظة",""),IF(X925="","مشكلة",""),IF(Y925="","الإجراء",""),IF(Z925="","التنفيذ",""),IF(AA925="","الجودة",""),IF(AB925="","الإغلاق",""),IF(AC925="","الخصم",""),IF(AND(COUNTA($O925:$U925)&gt;0,O925=""),"مدير المشروع",""),IF(AND(COUNTA($O925:$U925)&gt;0,P925=""),"المستفيدين",""),IF(AND(COUNTA($O925:$U925)&gt;0,Q925=""),"المناطق",""),IF(AND(COUNTA($O925:$U925)&gt;0,R925=""),"الميزانية",""),IF(AND(COUNTA($O925:$U925)&gt;0,S925=""),"نسبة الجاهزية",""),IF(AND(COUNTA($O925:$U925)&gt;0,T925=""),"حالة الجاهزية",""),IF(AND(COUNTA($O925:$U925)&gt;0,U925=""),"التوصيات","")))&gt;0,"✗ ناقص: "&amp;_xlfn.TEXTJOIN("، ",TRUE,IF(E925="","التاريخ",""),IF(F925="","الوقت",""),IF(G925="","المركز",""),IF(H925="","الدائرة",""),IF(I925="","القسم",""),IF(J925="","المسؤول",""),IF(K925="","نوع النشاط",""),IF(L925="","المشروع",""),IF(N925="","الممول",""),IF(V925="","الموضوع",""),IF(W925="","الملاحظة",""),IF(X925="","مشكلة",""),IF(Y925="","الإجراء",""),IF(Z925="","التنفيذ",""),IF(AA925="","الجودة",""),IF(AB925="","الإغلاق",""),IF(AC925="","الخصم",""),IF(AND(COUNTA($O925:$U925)&gt;0,O925=""),"مدير المشروع",""),IF(AND(COUNTA($O925:$U925)&gt;0,P925=""),"المستفيدين",""),IF(AND(COUNTA($O925:$U925)&gt;0,Q925=""),"المناطق",""),IF(AND(COUNTA($O925:$U925)&gt;0,R925=""),"الميزانية",""),IF(AND(COUNTA($O925:$U925)&gt;0,S925=""),"نسبة الجاهزية",""),IF(AND(COUNTA($O925:$U925)&gt;0,T925=""),"حالة الجاهزية",""),IF(AND(COUNTA($O925:$U925)&gt;0,U925=""),"التوصيات","")),"✓"),"✓"))))))))))</f>
        <v/>
      </c>
      <c r="E925" s="235"/>
      <c r="F925" s="236"/>
      <c r="G925" s="90"/>
      <c r="H925" s="239"/>
      <c r="I925" s="89"/>
      <c r="J925" s="142"/>
      <c r="K925" s="90"/>
      <c r="L925" s="90"/>
      <c r="M925" s="90"/>
      <c r="N925" s="89"/>
      <c r="O925" s="200"/>
      <c r="P925" s="201"/>
      <c r="Q925" s="201"/>
      <c r="R925" s="237"/>
      <c r="S925" s="202"/>
      <c r="T925" s="200"/>
      <c r="U925" s="203"/>
      <c r="V925" s="89"/>
      <c r="W925" s="89"/>
      <c r="X925" s="145"/>
      <c r="Y925" s="89"/>
      <c r="Z925" s="90"/>
      <c r="AA925" s="90"/>
      <c r="AB925" s="90"/>
      <c r="AC925" s="90"/>
      <c r="AD925" s="92"/>
      <c r="AE925" s="149" t="str">
        <f>IFERROR(VLOOKUP(Z925,LISTS!$AL$2:$AM$1000,2,FALSE()),"")</f>
        <v/>
      </c>
      <c r="AF925" s="151" t="str">
        <f>IFERROR(VLOOKUP(AA925,LISTS!$AO$2:$AP$1000,2,FALSE()),"")</f>
        <v/>
      </c>
      <c r="AG925" s="152" t="str">
        <f>IFERROR(VLOOKUP(AB925,LISTS!$AR$2:$AS$1000,2,FALSE()),"")</f>
        <v/>
      </c>
      <c r="AH925" s="154" t="str">
        <f>IFERROR(VLOOKUP(AC925,LISTS!$AU$2:$AV$1000,2,FALSE()),"")</f>
        <v/>
      </c>
      <c r="AI925" s="238" t="str">
        <f t="shared" si="73"/>
        <v>—</v>
      </c>
      <c r="AJ925" s="190" t="str">
        <f t="shared" si="74"/>
        <v>—</v>
      </c>
      <c r="AK925" s="157" t="str">
        <f t="shared" si="70"/>
        <v/>
      </c>
      <c r="AL925" s="160" t="str">
        <f t="shared" si="71"/>
        <v/>
      </c>
      <c r="AM925" s="210"/>
      <c r="AN925" s="209"/>
    </row>
    <row r="926" spans="1:40" ht="27.95" customHeight="1">
      <c r="A926" s="134" t="str">
        <f>IF(I926&lt;&gt;"",COUNTA($I$2:I926),"")</f>
        <v/>
      </c>
      <c r="B926" s="138" t="str">
        <f t="shared" si="72"/>
        <v/>
      </c>
      <c r="C926" s="93" t="str">
        <f t="array" ref="C926">IF(E926="","",IF(M926&lt;&gt;"",
M926&amp;"/"&amp;SUMPRODUCT((M$2:M926=M926)*1)&amp;" - "&amp;(ROW()-2),
"إداري/"&amp;SUMPRODUCT((M$2:M926="")*1)&amp;" - "&amp;(ROW()-2)))</f>
        <v/>
      </c>
      <c r="D926" s="141" t="str">
        <f>IF(AND(G926="",H926="",I926=""),"",IF(COUNTIFS(LISTS!$A$2:$A$67,G926,LISTS!$B$2:$B$67,H926,LISTS!$C$2:$C$67,I926)=0,"✗ هرم",IF(NOT(OR(Z926="ممتاز 100%",Z926="جيد 80%",Z926="مقبول 60%",Z926="خطر 40%",Z926="")),"✗ قائمة R",IF(NOT(OR(AA926="ممتاز 100%",AA926="جيد 85%",AA926="مقبول 70%",AA926="ضعيف 50%",AA926="")),"✗ قائمة S",IF(NOT(OR(AB926="مكتمل 100%",AB926="جزئي 60%",AB926="معلق 30%",AB926="مفتوح 0%",AB926="")),"✗ قائمة T",IF(NOT(OR(AC926="لا خصم 0",AC926="تأخير −5",AC926="عجز −10",AC926="جودة −15",AC926="امتثال −20",AC926="مخالفة −25",AC926="")),"✗ قائمة U",IF(AND(X926="لا",AC926&lt;&gt;"",AC926&lt;&gt;"لا خصم 0"),"✗ خصم",IF(AND(X926="نعم",AC926="لا خصم 0"),"✗ خصم",IF(AND(Z926="ممتاز 100%",AA926="ممتاز 100%",AB926&lt;&gt;"",AB926&lt;&gt;"مكتمل 100%"),"✗ إغلاق",IFERROR(IF(LEN(_xlfn.TEXTJOIN("، ",TRUE,IF(E926="","التاريخ",""),IF(F926="","الوقت",""),IF(G926="","المركز",""),IF(H926="","الدائرة",""),IF(I926="","القسم",""),IF(J926="","المسؤول",""),IF(K926="","نوع النشاط",""),IF(L926="","المشروع",""),IF(N926="","الممول",""),IF(V926="","الموضوع",""),IF(W926="","الملاحظة",""),IF(X926="","مشكلة",""),IF(Y926="","الإجراء",""),IF(Z926="","التنفيذ",""),IF(AA926="","الجودة",""),IF(AB926="","الإغلاق",""),IF(AC926="","الخصم",""),IF(AND(COUNTA($O926:$U926)&gt;0,O926=""),"مدير المشروع",""),IF(AND(COUNTA($O926:$U926)&gt;0,P926=""),"المستفيدين",""),IF(AND(COUNTA($O926:$U926)&gt;0,Q926=""),"المناطق",""),IF(AND(COUNTA($O926:$U926)&gt;0,R926=""),"الميزانية",""),IF(AND(COUNTA($O926:$U926)&gt;0,S926=""),"نسبة الجاهزية",""),IF(AND(COUNTA($O926:$U926)&gt;0,T926=""),"حالة الجاهزية",""),IF(AND(COUNTA($O926:$U926)&gt;0,U926=""),"التوصيات","")))&gt;0,"✗ ناقص: "&amp;_xlfn.TEXTJOIN("، ",TRUE,IF(E926="","التاريخ",""),IF(F926="","الوقت",""),IF(G926="","المركز",""),IF(H926="","الدائرة",""),IF(I926="","القسم",""),IF(J926="","المسؤول",""),IF(K926="","نوع النشاط",""),IF(L926="","المشروع",""),IF(N926="","الممول",""),IF(V926="","الموضوع",""),IF(W926="","الملاحظة",""),IF(X926="","مشكلة",""),IF(Y926="","الإجراء",""),IF(Z926="","التنفيذ",""),IF(AA926="","الجودة",""),IF(AB926="","الإغلاق",""),IF(AC926="","الخصم",""),IF(AND(COUNTA($O926:$U926)&gt;0,O926=""),"مدير المشروع",""),IF(AND(COUNTA($O926:$U926)&gt;0,P926=""),"المستفيدين",""),IF(AND(COUNTA($O926:$U926)&gt;0,Q926=""),"المناطق",""),IF(AND(COUNTA($O926:$U926)&gt;0,R926=""),"الميزانية",""),IF(AND(COUNTA($O926:$U926)&gt;0,S926=""),"نسبة الجاهزية",""),IF(AND(COUNTA($O926:$U926)&gt;0,T926=""),"حالة الجاهزية",""),IF(AND(COUNTA($O926:$U926)&gt;0,U926=""),"التوصيات","")),"✓"),"✓"))))))))))</f>
        <v/>
      </c>
      <c r="E926" s="235"/>
      <c r="F926" s="236"/>
      <c r="G926" s="90"/>
      <c r="H926" s="239"/>
      <c r="I926" s="89"/>
      <c r="J926" s="142"/>
      <c r="K926" s="90"/>
      <c r="L926" s="90"/>
      <c r="M926" s="90"/>
      <c r="N926" s="89"/>
      <c r="O926" s="200"/>
      <c r="P926" s="201"/>
      <c r="Q926" s="201"/>
      <c r="R926" s="237"/>
      <c r="S926" s="202"/>
      <c r="T926" s="200"/>
      <c r="U926" s="203"/>
      <c r="V926" s="89"/>
      <c r="W926" s="89"/>
      <c r="X926" s="145"/>
      <c r="Y926" s="89"/>
      <c r="Z926" s="90"/>
      <c r="AA926" s="90"/>
      <c r="AB926" s="90"/>
      <c r="AC926" s="90"/>
      <c r="AD926" s="92"/>
      <c r="AE926" s="149" t="str">
        <f>IFERROR(VLOOKUP(Z926,LISTS!$AL$2:$AM$1000,2,FALSE()),"")</f>
        <v/>
      </c>
      <c r="AF926" s="151" t="str">
        <f>IFERROR(VLOOKUP(AA926,LISTS!$AO$2:$AP$1000,2,FALSE()),"")</f>
        <v/>
      </c>
      <c r="AG926" s="152" t="str">
        <f>IFERROR(VLOOKUP(AB926,LISTS!$AR$2:$AS$1000,2,FALSE()),"")</f>
        <v/>
      </c>
      <c r="AH926" s="154" t="str">
        <f>IFERROR(VLOOKUP(AC926,LISTS!$AU$2:$AV$1000,2,FALSE()),"")</f>
        <v/>
      </c>
      <c r="AI926" s="238" t="str">
        <f t="shared" si="73"/>
        <v>—</v>
      </c>
      <c r="AJ926" s="190" t="str">
        <f t="shared" si="74"/>
        <v>—</v>
      </c>
      <c r="AK926" s="157" t="str">
        <f t="shared" ref="AK926:AK989" si="75">IF(E926="","",MONTH(E926))</f>
        <v/>
      </c>
      <c r="AL926" s="160" t="str">
        <f t="shared" ref="AL926:AL989" si="76">IF(E926="","",YEAR(E926))</f>
        <v/>
      </c>
      <c r="AM926" s="210"/>
      <c r="AN926" s="209"/>
    </row>
    <row r="927" spans="1:40" ht="27.95" customHeight="1">
      <c r="A927" s="134" t="str">
        <f>IF(I927&lt;&gt;"",COUNTA($I$2:I927),"")</f>
        <v/>
      </c>
      <c r="B927" s="138" t="str">
        <f t="shared" ref="B927:B976" si="77">IF(E927="","",CHOOSE(WEEKDAY(E927,2),"الاثنين","الثلاثاء","الأربعاء","الخميس","الجمعة","السبت","الأحد"))</f>
        <v/>
      </c>
      <c r="C927" s="93" t="str">
        <f t="array" ref="C927">IF(E927="","",IF(M927&lt;&gt;"",
M927&amp;"/"&amp;SUMPRODUCT((M$2:M927=M927)*1)&amp;" - "&amp;(ROW()-2),
"إداري/"&amp;SUMPRODUCT((M$2:M927="")*1)&amp;" - "&amp;(ROW()-2)))</f>
        <v/>
      </c>
      <c r="D927" s="141" t="str">
        <f>IF(AND(G927="",H927="",I927=""),"",IF(COUNTIFS(LISTS!$A$2:$A$67,G927,LISTS!$B$2:$B$67,H927,LISTS!$C$2:$C$67,I927)=0,"✗ هرم",IF(NOT(OR(Z927="ممتاز 100%",Z927="جيد 80%",Z927="مقبول 60%",Z927="خطر 40%",Z927="")),"✗ قائمة R",IF(NOT(OR(AA927="ممتاز 100%",AA927="جيد 85%",AA927="مقبول 70%",AA927="ضعيف 50%",AA927="")),"✗ قائمة S",IF(NOT(OR(AB927="مكتمل 100%",AB927="جزئي 60%",AB927="معلق 30%",AB927="مفتوح 0%",AB927="")),"✗ قائمة T",IF(NOT(OR(AC927="لا خصم 0",AC927="تأخير −5",AC927="عجز −10",AC927="جودة −15",AC927="امتثال −20",AC927="مخالفة −25",AC927="")),"✗ قائمة U",IF(AND(X927="لا",AC927&lt;&gt;"",AC927&lt;&gt;"لا خصم 0"),"✗ خصم",IF(AND(X927="نعم",AC927="لا خصم 0"),"✗ خصم",IF(AND(Z927="ممتاز 100%",AA927="ممتاز 100%",AB927&lt;&gt;"",AB927&lt;&gt;"مكتمل 100%"),"✗ إغلاق",IFERROR(IF(LEN(_xlfn.TEXTJOIN("، ",TRUE,IF(E927="","التاريخ",""),IF(F927="","الوقت",""),IF(G927="","المركز",""),IF(H927="","الدائرة",""),IF(I927="","القسم",""),IF(J927="","المسؤول",""),IF(K927="","نوع النشاط",""),IF(L927="","المشروع",""),IF(N927="","الممول",""),IF(V927="","الموضوع",""),IF(W927="","الملاحظة",""),IF(X927="","مشكلة",""),IF(Y927="","الإجراء",""),IF(Z927="","التنفيذ",""),IF(AA927="","الجودة",""),IF(AB927="","الإغلاق",""),IF(AC927="","الخصم",""),IF(AND(COUNTA($O927:$U927)&gt;0,O927=""),"مدير المشروع",""),IF(AND(COUNTA($O927:$U927)&gt;0,P927=""),"المستفيدين",""),IF(AND(COUNTA($O927:$U927)&gt;0,Q927=""),"المناطق",""),IF(AND(COUNTA($O927:$U927)&gt;0,R927=""),"الميزانية",""),IF(AND(COUNTA($O927:$U927)&gt;0,S927=""),"نسبة الجاهزية",""),IF(AND(COUNTA($O927:$U927)&gt;0,T927=""),"حالة الجاهزية",""),IF(AND(COUNTA($O927:$U927)&gt;0,U927=""),"التوصيات","")))&gt;0,"✗ ناقص: "&amp;_xlfn.TEXTJOIN("، ",TRUE,IF(E927="","التاريخ",""),IF(F927="","الوقت",""),IF(G927="","المركز",""),IF(H927="","الدائرة",""),IF(I927="","القسم",""),IF(J927="","المسؤول",""),IF(K927="","نوع النشاط",""),IF(L927="","المشروع",""),IF(N927="","الممول",""),IF(V927="","الموضوع",""),IF(W927="","الملاحظة",""),IF(X927="","مشكلة",""),IF(Y927="","الإجراء",""),IF(Z927="","التنفيذ",""),IF(AA927="","الجودة",""),IF(AB927="","الإغلاق",""),IF(AC927="","الخصم",""),IF(AND(COUNTA($O927:$U927)&gt;0,O927=""),"مدير المشروع",""),IF(AND(COUNTA($O927:$U927)&gt;0,P927=""),"المستفيدين",""),IF(AND(COUNTA($O927:$U927)&gt;0,Q927=""),"المناطق",""),IF(AND(COUNTA($O927:$U927)&gt;0,R927=""),"الميزانية",""),IF(AND(COUNTA($O927:$U927)&gt;0,S927=""),"نسبة الجاهزية",""),IF(AND(COUNTA($O927:$U927)&gt;0,T927=""),"حالة الجاهزية",""),IF(AND(COUNTA($O927:$U927)&gt;0,U927=""),"التوصيات","")),"✓"),"✓"))))))))))</f>
        <v/>
      </c>
      <c r="E927" s="235"/>
      <c r="F927" s="236"/>
      <c r="G927" s="90"/>
      <c r="H927" s="239"/>
      <c r="I927" s="89"/>
      <c r="J927" s="142"/>
      <c r="K927" s="90"/>
      <c r="L927" s="90"/>
      <c r="M927" s="90"/>
      <c r="N927" s="89"/>
      <c r="O927" s="200"/>
      <c r="P927" s="201"/>
      <c r="Q927" s="201"/>
      <c r="R927" s="237"/>
      <c r="S927" s="202"/>
      <c r="T927" s="200"/>
      <c r="U927" s="203"/>
      <c r="V927" s="89"/>
      <c r="W927" s="89"/>
      <c r="X927" s="145"/>
      <c r="Y927" s="89"/>
      <c r="Z927" s="90"/>
      <c r="AA927" s="90"/>
      <c r="AB927" s="90"/>
      <c r="AC927" s="90"/>
      <c r="AD927" s="92"/>
      <c r="AE927" s="149" t="str">
        <f>IFERROR(VLOOKUP(Z927,LISTS!$AL$2:$AM$1000,2,FALSE()),"")</f>
        <v/>
      </c>
      <c r="AF927" s="151" t="str">
        <f>IFERROR(VLOOKUP(AA927,LISTS!$AO$2:$AP$1000,2,FALSE()),"")</f>
        <v/>
      </c>
      <c r="AG927" s="152" t="str">
        <f>IFERROR(VLOOKUP(AB927,LISTS!$AR$2:$AS$1000,2,FALSE()),"")</f>
        <v/>
      </c>
      <c r="AH927" s="154" t="str">
        <f>IFERROR(VLOOKUP(AC927,LISTS!$AU$2:$AV$1000,2,FALSE()),"")</f>
        <v/>
      </c>
      <c r="AI927" s="238" t="str">
        <f t="shared" si="73"/>
        <v>—</v>
      </c>
      <c r="AJ927" s="190" t="str">
        <f t="shared" si="74"/>
        <v>—</v>
      </c>
      <c r="AK927" s="157" t="str">
        <f t="shared" si="75"/>
        <v/>
      </c>
      <c r="AL927" s="160" t="str">
        <f t="shared" si="76"/>
        <v/>
      </c>
      <c r="AM927" s="210"/>
      <c r="AN927" s="209"/>
    </row>
    <row r="928" spans="1:40" ht="27.95" customHeight="1">
      <c r="A928" s="134" t="str">
        <f>IF(I928&lt;&gt;"",COUNTA($I$2:I928),"")</f>
        <v/>
      </c>
      <c r="B928" s="138" t="str">
        <f t="shared" si="77"/>
        <v/>
      </c>
      <c r="C928" s="93" t="str">
        <f t="array" ref="C928">IF(E928="","",IF(M928&lt;&gt;"",
M928&amp;"/"&amp;SUMPRODUCT((M$2:M928=M928)*1)&amp;" - "&amp;(ROW()-2),
"إداري/"&amp;SUMPRODUCT((M$2:M928="")*1)&amp;" - "&amp;(ROW()-2)))</f>
        <v/>
      </c>
      <c r="D928" s="141" t="str">
        <f>IF(AND(G928="",H928="",I928=""),"",IF(COUNTIFS(LISTS!$A$2:$A$67,G928,LISTS!$B$2:$B$67,H928,LISTS!$C$2:$C$67,I928)=0,"✗ هرم",IF(NOT(OR(Z928="ممتاز 100%",Z928="جيد 80%",Z928="مقبول 60%",Z928="خطر 40%",Z928="")),"✗ قائمة R",IF(NOT(OR(AA928="ممتاز 100%",AA928="جيد 85%",AA928="مقبول 70%",AA928="ضعيف 50%",AA928="")),"✗ قائمة S",IF(NOT(OR(AB928="مكتمل 100%",AB928="جزئي 60%",AB928="معلق 30%",AB928="مفتوح 0%",AB928="")),"✗ قائمة T",IF(NOT(OR(AC928="لا خصم 0",AC928="تأخير −5",AC928="عجز −10",AC928="جودة −15",AC928="امتثال −20",AC928="مخالفة −25",AC928="")),"✗ قائمة U",IF(AND(X928="لا",AC928&lt;&gt;"",AC928&lt;&gt;"لا خصم 0"),"✗ خصم",IF(AND(X928="نعم",AC928="لا خصم 0"),"✗ خصم",IF(AND(Z928="ممتاز 100%",AA928="ممتاز 100%",AB928&lt;&gt;"",AB928&lt;&gt;"مكتمل 100%"),"✗ إغلاق",IFERROR(IF(LEN(_xlfn.TEXTJOIN("، ",TRUE,IF(E928="","التاريخ",""),IF(F928="","الوقت",""),IF(G928="","المركز",""),IF(H928="","الدائرة",""),IF(I928="","القسم",""),IF(J928="","المسؤول",""),IF(K928="","نوع النشاط",""),IF(L928="","المشروع",""),IF(N928="","الممول",""),IF(V928="","الموضوع",""),IF(W928="","الملاحظة",""),IF(X928="","مشكلة",""),IF(Y928="","الإجراء",""),IF(Z928="","التنفيذ",""),IF(AA928="","الجودة",""),IF(AB928="","الإغلاق",""),IF(AC928="","الخصم",""),IF(AND(COUNTA($O928:$U928)&gt;0,O928=""),"مدير المشروع",""),IF(AND(COUNTA($O928:$U928)&gt;0,P928=""),"المستفيدين",""),IF(AND(COUNTA($O928:$U928)&gt;0,Q928=""),"المناطق",""),IF(AND(COUNTA($O928:$U928)&gt;0,R928=""),"الميزانية",""),IF(AND(COUNTA($O928:$U928)&gt;0,S928=""),"نسبة الجاهزية",""),IF(AND(COUNTA($O928:$U928)&gt;0,T928=""),"حالة الجاهزية",""),IF(AND(COUNTA($O928:$U928)&gt;0,U928=""),"التوصيات","")))&gt;0,"✗ ناقص: "&amp;_xlfn.TEXTJOIN("، ",TRUE,IF(E928="","التاريخ",""),IF(F928="","الوقت",""),IF(G928="","المركز",""),IF(H928="","الدائرة",""),IF(I928="","القسم",""),IF(J928="","المسؤول",""),IF(K928="","نوع النشاط",""),IF(L928="","المشروع",""),IF(N928="","الممول",""),IF(V928="","الموضوع",""),IF(W928="","الملاحظة",""),IF(X928="","مشكلة",""),IF(Y928="","الإجراء",""),IF(Z928="","التنفيذ",""),IF(AA928="","الجودة",""),IF(AB928="","الإغلاق",""),IF(AC928="","الخصم",""),IF(AND(COUNTA($O928:$U928)&gt;0,O928=""),"مدير المشروع",""),IF(AND(COUNTA($O928:$U928)&gt;0,P928=""),"المستفيدين",""),IF(AND(COUNTA($O928:$U928)&gt;0,Q928=""),"المناطق",""),IF(AND(COUNTA($O928:$U928)&gt;0,R928=""),"الميزانية",""),IF(AND(COUNTA($O928:$U928)&gt;0,S928=""),"نسبة الجاهزية",""),IF(AND(COUNTA($O928:$U928)&gt;0,T928=""),"حالة الجاهزية",""),IF(AND(COUNTA($O928:$U928)&gt;0,U928=""),"التوصيات","")),"✓"),"✓"))))))))))</f>
        <v/>
      </c>
      <c r="E928" s="235"/>
      <c r="F928" s="236"/>
      <c r="G928" s="90"/>
      <c r="H928" s="239"/>
      <c r="I928" s="89"/>
      <c r="J928" s="142"/>
      <c r="K928" s="90"/>
      <c r="L928" s="90"/>
      <c r="M928" s="90"/>
      <c r="N928" s="89"/>
      <c r="O928" s="200"/>
      <c r="P928" s="201"/>
      <c r="Q928" s="201"/>
      <c r="R928" s="237"/>
      <c r="S928" s="202"/>
      <c r="T928" s="200"/>
      <c r="U928" s="203"/>
      <c r="V928" s="89"/>
      <c r="W928" s="89"/>
      <c r="X928" s="145"/>
      <c r="Y928" s="89"/>
      <c r="Z928" s="90"/>
      <c r="AA928" s="90"/>
      <c r="AB928" s="90"/>
      <c r="AC928" s="90"/>
      <c r="AD928" s="92"/>
      <c r="AE928" s="149" t="str">
        <f>IFERROR(VLOOKUP(Z928,LISTS!$AL$2:$AM$1000,2,FALSE()),"")</f>
        <v/>
      </c>
      <c r="AF928" s="151" t="str">
        <f>IFERROR(VLOOKUP(AA928,LISTS!$AO$2:$AP$1000,2,FALSE()),"")</f>
        <v/>
      </c>
      <c r="AG928" s="152" t="str">
        <f>IFERROR(VLOOKUP(AB928,LISTS!$AR$2:$AS$1000,2,FALSE()),"")</f>
        <v/>
      </c>
      <c r="AH928" s="154" t="str">
        <f>IFERROR(VLOOKUP(AC928,LISTS!$AU$2:$AV$1000,2,FALSE()),"")</f>
        <v/>
      </c>
      <c r="AI928" s="238" t="str">
        <f t="shared" si="73"/>
        <v>—</v>
      </c>
      <c r="AJ928" s="190" t="str">
        <f t="shared" si="74"/>
        <v>—</v>
      </c>
      <c r="AK928" s="157" t="str">
        <f t="shared" si="75"/>
        <v/>
      </c>
      <c r="AL928" s="160" t="str">
        <f t="shared" si="76"/>
        <v/>
      </c>
      <c r="AM928" s="210"/>
      <c r="AN928" s="209"/>
    </row>
    <row r="929" spans="1:40" ht="27.95" customHeight="1">
      <c r="A929" s="134" t="str">
        <f>IF(I929&lt;&gt;"",COUNTA($I$2:I929),"")</f>
        <v/>
      </c>
      <c r="B929" s="138" t="str">
        <f t="shared" si="77"/>
        <v/>
      </c>
      <c r="C929" s="93" t="str">
        <f t="array" ref="C929">IF(E929="","",IF(M929&lt;&gt;"",
M929&amp;"/"&amp;SUMPRODUCT((M$2:M929=M929)*1)&amp;" - "&amp;(ROW()-2),
"إداري/"&amp;SUMPRODUCT((M$2:M929="")*1)&amp;" - "&amp;(ROW()-2)))</f>
        <v/>
      </c>
      <c r="D929" s="141" t="str">
        <f>IF(AND(G929="",H929="",I929=""),"",IF(COUNTIFS(LISTS!$A$2:$A$67,G929,LISTS!$B$2:$B$67,H929,LISTS!$C$2:$C$67,I929)=0,"✗ هرم",IF(NOT(OR(Z929="ممتاز 100%",Z929="جيد 80%",Z929="مقبول 60%",Z929="خطر 40%",Z929="")),"✗ قائمة R",IF(NOT(OR(AA929="ممتاز 100%",AA929="جيد 85%",AA929="مقبول 70%",AA929="ضعيف 50%",AA929="")),"✗ قائمة S",IF(NOT(OR(AB929="مكتمل 100%",AB929="جزئي 60%",AB929="معلق 30%",AB929="مفتوح 0%",AB929="")),"✗ قائمة T",IF(NOT(OR(AC929="لا خصم 0",AC929="تأخير −5",AC929="عجز −10",AC929="جودة −15",AC929="امتثال −20",AC929="مخالفة −25",AC929="")),"✗ قائمة U",IF(AND(X929="لا",AC929&lt;&gt;"",AC929&lt;&gt;"لا خصم 0"),"✗ خصم",IF(AND(X929="نعم",AC929="لا خصم 0"),"✗ خصم",IF(AND(Z929="ممتاز 100%",AA929="ممتاز 100%",AB929&lt;&gt;"",AB929&lt;&gt;"مكتمل 100%"),"✗ إغلاق",IFERROR(IF(LEN(_xlfn.TEXTJOIN("، ",TRUE,IF(E929="","التاريخ",""),IF(F929="","الوقت",""),IF(G929="","المركز",""),IF(H929="","الدائرة",""),IF(I929="","القسم",""),IF(J929="","المسؤول",""),IF(K929="","نوع النشاط",""),IF(L929="","المشروع",""),IF(N929="","الممول",""),IF(V929="","الموضوع",""),IF(W929="","الملاحظة",""),IF(X929="","مشكلة",""),IF(Y929="","الإجراء",""),IF(Z929="","التنفيذ",""),IF(AA929="","الجودة",""),IF(AB929="","الإغلاق",""),IF(AC929="","الخصم",""),IF(AND(COUNTA($O929:$U929)&gt;0,O929=""),"مدير المشروع",""),IF(AND(COUNTA($O929:$U929)&gt;0,P929=""),"المستفيدين",""),IF(AND(COUNTA($O929:$U929)&gt;0,Q929=""),"المناطق",""),IF(AND(COUNTA($O929:$U929)&gt;0,R929=""),"الميزانية",""),IF(AND(COUNTA($O929:$U929)&gt;0,S929=""),"نسبة الجاهزية",""),IF(AND(COUNTA($O929:$U929)&gt;0,T929=""),"حالة الجاهزية",""),IF(AND(COUNTA($O929:$U929)&gt;0,U929=""),"التوصيات","")))&gt;0,"✗ ناقص: "&amp;_xlfn.TEXTJOIN("، ",TRUE,IF(E929="","التاريخ",""),IF(F929="","الوقت",""),IF(G929="","المركز",""),IF(H929="","الدائرة",""),IF(I929="","القسم",""),IF(J929="","المسؤول",""),IF(K929="","نوع النشاط",""),IF(L929="","المشروع",""),IF(N929="","الممول",""),IF(V929="","الموضوع",""),IF(W929="","الملاحظة",""),IF(X929="","مشكلة",""),IF(Y929="","الإجراء",""),IF(Z929="","التنفيذ",""),IF(AA929="","الجودة",""),IF(AB929="","الإغلاق",""),IF(AC929="","الخصم",""),IF(AND(COUNTA($O929:$U929)&gt;0,O929=""),"مدير المشروع",""),IF(AND(COUNTA($O929:$U929)&gt;0,P929=""),"المستفيدين",""),IF(AND(COUNTA($O929:$U929)&gt;0,Q929=""),"المناطق",""),IF(AND(COUNTA($O929:$U929)&gt;0,R929=""),"الميزانية",""),IF(AND(COUNTA($O929:$U929)&gt;0,S929=""),"نسبة الجاهزية",""),IF(AND(COUNTA($O929:$U929)&gt;0,T929=""),"حالة الجاهزية",""),IF(AND(COUNTA($O929:$U929)&gt;0,U929=""),"التوصيات","")),"✓"),"✓"))))))))))</f>
        <v/>
      </c>
      <c r="E929" s="235"/>
      <c r="F929" s="236"/>
      <c r="G929" s="90"/>
      <c r="H929" s="239"/>
      <c r="I929" s="89"/>
      <c r="J929" s="142"/>
      <c r="K929" s="90"/>
      <c r="L929" s="90"/>
      <c r="M929" s="90"/>
      <c r="N929" s="89"/>
      <c r="O929" s="200"/>
      <c r="P929" s="201"/>
      <c r="Q929" s="201"/>
      <c r="R929" s="237"/>
      <c r="S929" s="202"/>
      <c r="T929" s="200"/>
      <c r="U929" s="203"/>
      <c r="V929" s="89"/>
      <c r="W929" s="89"/>
      <c r="X929" s="145"/>
      <c r="Y929" s="89"/>
      <c r="Z929" s="90"/>
      <c r="AA929" s="90"/>
      <c r="AB929" s="90"/>
      <c r="AC929" s="90"/>
      <c r="AD929" s="92"/>
      <c r="AE929" s="149" t="str">
        <f>IFERROR(VLOOKUP(Z929,LISTS!$AL$2:$AM$1000,2,FALSE()),"")</f>
        <v/>
      </c>
      <c r="AF929" s="151" t="str">
        <f>IFERROR(VLOOKUP(AA929,LISTS!$AO$2:$AP$1000,2,FALSE()),"")</f>
        <v/>
      </c>
      <c r="AG929" s="152" t="str">
        <f>IFERROR(VLOOKUP(AB929,LISTS!$AR$2:$AS$1000,2,FALSE()),"")</f>
        <v/>
      </c>
      <c r="AH929" s="154" t="str">
        <f>IFERROR(VLOOKUP(AC929,LISTS!$AU$2:$AV$1000,2,FALSE()),"")</f>
        <v/>
      </c>
      <c r="AI929" s="238" t="str">
        <f t="shared" si="73"/>
        <v>—</v>
      </c>
      <c r="AJ929" s="190" t="str">
        <f t="shared" si="74"/>
        <v>—</v>
      </c>
      <c r="AK929" s="157" t="str">
        <f t="shared" si="75"/>
        <v/>
      </c>
      <c r="AL929" s="160" t="str">
        <f t="shared" si="76"/>
        <v/>
      </c>
      <c r="AM929" s="210"/>
      <c r="AN929" s="209"/>
    </row>
    <row r="930" spans="1:40" ht="27.95" customHeight="1">
      <c r="A930" s="134" t="str">
        <f>IF(I930&lt;&gt;"",COUNTA($I$2:I930),"")</f>
        <v/>
      </c>
      <c r="B930" s="138" t="str">
        <f t="shared" si="77"/>
        <v/>
      </c>
      <c r="C930" s="93" t="str">
        <f t="array" ref="C930">IF(E930="","",IF(M930&lt;&gt;"",
M930&amp;"/"&amp;SUMPRODUCT((M$2:M930=M930)*1)&amp;" - "&amp;(ROW()-2),
"إداري/"&amp;SUMPRODUCT((M$2:M930="")*1)&amp;" - "&amp;(ROW()-2)))</f>
        <v/>
      </c>
      <c r="D930" s="141" t="str">
        <f>IF(AND(G930="",H930="",I930=""),"",IF(COUNTIFS(LISTS!$A$2:$A$67,G930,LISTS!$B$2:$B$67,H930,LISTS!$C$2:$C$67,I930)=0,"✗ هرم",IF(NOT(OR(Z930="ممتاز 100%",Z930="جيد 80%",Z930="مقبول 60%",Z930="خطر 40%",Z930="")),"✗ قائمة R",IF(NOT(OR(AA930="ممتاز 100%",AA930="جيد 85%",AA930="مقبول 70%",AA930="ضعيف 50%",AA930="")),"✗ قائمة S",IF(NOT(OR(AB930="مكتمل 100%",AB930="جزئي 60%",AB930="معلق 30%",AB930="مفتوح 0%",AB930="")),"✗ قائمة T",IF(NOT(OR(AC930="لا خصم 0",AC930="تأخير −5",AC930="عجز −10",AC930="جودة −15",AC930="امتثال −20",AC930="مخالفة −25",AC930="")),"✗ قائمة U",IF(AND(X930="لا",AC930&lt;&gt;"",AC930&lt;&gt;"لا خصم 0"),"✗ خصم",IF(AND(X930="نعم",AC930="لا خصم 0"),"✗ خصم",IF(AND(Z930="ممتاز 100%",AA930="ممتاز 100%",AB930&lt;&gt;"",AB930&lt;&gt;"مكتمل 100%"),"✗ إغلاق",IFERROR(IF(LEN(_xlfn.TEXTJOIN("، ",TRUE,IF(E930="","التاريخ",""),IF(F930="","الوقت",""),IF(G930="","المركز",""),IF(H930="","الدائرة",""),IF(I930="","القسم",""),IF(J930="","المسؤول",""),IF(K930="","نوع النشاط",""),IF(L930="","المشروع",""),IF(N930="","الممول",""),IF(V930="","الموضوع",""),IF(W930="","الملاحظة",""),IF(X930="","مشكلة",""),IF(Y930="","الإجراء",""),IF(Z930="","التنفيذ",""),IF(AA930="","الجودة",""),IF(AB930="","الإغلاق",""),IF(AC930="","الخصم",""),IF(AND(COUNTA($O930:$U930)&gt;0,O930=""),"مدير المشروع",""),IF(AND(COUNTA($O930:$U930)&gt;0,P930=""),"المستفيدين",""),IF(AND(COUNTA($O930:$U930)&gt;0,Q930=""),"المناطق",""),IF(AND(COUNTA($O930:$U930)&gt;0,R930=""),"الميزانية",""),IF(AND(COUNTA($O930:$U930)&gt;0,S930=""),"نسبة الجاهزية",""),IF(AND(COUNTA($O930:$U930)&gt;0,T930=""),"حالة الجاهزية",""),IF(AND(COUNTA($O930:$U930)&gt;0,U930=""),"التوصيات","")))&gt;0,"✗ ناقص: "&amp;_xlfn.TEXTJOIN("، ",TRUE,IF(E930="","التاريخ",""),IF(F930="","الوقت",""),IF(G930="","المركز",""),IF(H930="","الدائرة",""),IF(I930="","القسم",""),IF(J930="","المسؤول",""),IF(K930="","نوع النشاط",""),IF(L930="","المشروع",""),IF(N930="","الممول",""),IF(V930="","الموضوع",""),IF(W930="","الملاحظة",""),IF(X930="","مشكلة",""),IF(Y930="","الإجراء",""),IF(Z930="","التنفيذ",""),IF(AA930="","الجودة",""),IF(AB930="","الإغلاق",""),IF(AC930="","الخصم",""),IF(AND(COUNTA($O930:$U930)&gt;0,O930=""),"مدير المشروع",""),IF(AND(COUNTA($O930:$U930)&gt;0,P930=""),"المستفيدين",""),IF(AND(COUNTA($O930:$U930)&gt;0,Q930=""),"المناطق",""),IF(AND(COUNTA($O930:$U930)&gt;0,R930=""),"الميزانية",""),IF(AND(COUNTA($O930:$U930)&gt;0,S930=""),"نسبة الجاهزية",""),IF(AND(COUNTA($O930:$U930)&gt;0,T930=""),"حالة الجاهزية",""),IF(AND(COUNTA($O930:$U930)&gt;0,U930=""),"التوصيات","")),"✓"),"✓"))))))))))</f>
        <v/>
      </c>
      <c r="E930" s="235"/>
      <c r="F930" s="236"/>
      <c r="G930" s="90"/>
      <c r="H930" s="239"/>
      <c r="I930" s="89"/>
      <c r="J930" s="142"/>
      <c r="K930" s="90"/>
      <c r="L930" s="90"/>
      <c r="M930" s="90"/>
      <c r="N930" s="89"/>
      <c r="O930" s="200"/>
      <c r="P930" s="201"/>
      <c r="Q930" s="201"/>
      <c r="R930" s="237"/>
      <c r="S930" s="202"/>
      <c r="T930" s="200"/>
      <c r="U930" s="203"/>
      <c r="V930" s="89"/>
      <c r="W930" s="89"/>
      <c r="X930" s="145"/>
      <c r="Y930" s="89"/>
      <c r="Z930" s="90"/>
      <c r="AA930" s="90"/>
      <c r="AB930" s="90"/>
      <c r="AC930" s="90"/>
      <c r="AD930" s="92"/>
      <c r="AE930" s="149" t="str">
        <f>IFERROR(VLOOKUP(Z930,LISTS!$AL$2:$AM$1000,2,FALSE()),"")</f>
        <v/>
      </c>
      <c r="AF930" s="151" t="str">
        <f>IFERROR(VLOOKUP(AA930,LISTS!$AO$2:$AP$1000,2,FALSE()),"")</f>
        <v/>
      </c>
      <c r="AG930" s="152" t="str">
        <f>IFERROR(VLOOKUP(AB930,LISTS!$AR$2:$AS$1000,2,FALSE()),"")</f>
        <v/>
      </c>
      <c r="AH930" s="154" t="str">
        <f>IFERROR(VLOOKUP(AC930,LISTS!$AU$2:$AV$1000,2,FALSE()),"")</f>
        <v/>
      </c>
      <c r="AI930" s="238" t="str">
        <f t="shared" si="73"/>
        <v>—</v>
      </c>
      <c r="AJ930" s="190" t="str">
        <f t="shared" si="74"/>
        <v>—</v>
      </c>
      <c r="AK930" s="157" t="str">
        <f t="shared" si="75"/>
        <v/>
      </c>
      <c r="AL930" s="160" t="str">
        <f t="shared" si="76"/>
        <v/>
      </c>
      <c r="AM930" s="210"/>
      <c r="AN930" s="209"/>
    </row>
    <row r="931" spans="1:40" ht="27.95" customHeight="1">
      <c r="A931" s="134" t="str">
        <f>IF(I931&lt;&gt;"",COUNTA($I$2:I931),"")</f>
        <v/>
      </c>
      <c r="B931" s="138" t="str">
        <f t="shared" si="77"/>
        <v/>
      </c>
      <c r="C931" s="93" t="str">
        <f t="array" ref="C931">IF(E931="","",IF(M931&lt;&gt;"",
M931&amp;"/"&amp;SUMPRODUCT((M$2:M931=M931)*1)&amp;" - "&amp;(ROW()-2),
"إداري/"&amp;SUMPRODUCT((M$2:M931="")*1)&amp;" - "&amp;(ROW()-2)))</f>
        <v/>
      </c>
      <c r="D931" s="141" t="str">
        <f>IF(AND(G931="",H931="",I931=""),"",IF(COUNTIFS(LISTS!$A$2:$A$67,G931,LISTS!$B$2:$B$67,H931,LISTS!$C$2:$C$67,I931)=0,"✗ هرم",IF(NOT(OR(Z931="ممتاز 100%",Z931="جيد 80%",Z931="مقبول 60%",Z931="خطر 40%",Z931="")),"✗ قائمة R",IF(NOT(OR(AA931="ممتاز 100%",AA931="جيد 85%",AA931="مقبول 70%",AA931="ضعيف 50%",AA931="")),"✗ قائمة S",IF(NOT(OR(AB931="مكتمل 100%",AB931="جزئي 60%",AB931="معلق 30%",AB931="مفتوح 0%",AB931="")),"✗ قائمة T",IF(NOT(OR(AC931="لا خصم 0",AC931="تأخير −5",AC931="عجز −10",AC931="جودة −15",AC931="امتثال −20",AC931="مخالفة −25",AC931="")),"✗ قائمة U",IF(AND(X931="لا",AC931&lt;&gt;"",AC931&lt;&gt;"لا خصم 0"),"✗ خصم",IF(AND(X931="نعم",AC931="لا خصم 0"),"✗ خصم",IF(AND(Z931="ممتاز 100%",AA931="ممتاز 100%",AB931&lt;&gt;"",AB931&lt;&gt;"مكتمل 100%"),"✗ إغلاق",IFERROR(IF(LEN(_xlfn.TEXTJOIN("، ",TRUE,IF(E931="","التاريخ",""),IF(F931="","الوقت",""),IF(G931="","المركز",""),IF(H931="","الدائرة",""),IF(I931="","القسم",""),IF(J931="","المسؤول",""),IF(K931="","نوع النشاط",""),IF(L931="","المشروع",""),IF(N931="","الممول",""),IF(V931="","الموضوع",""),IF(W931="","الملاحظة",""),IF(X931="","مشكلة",""),IF(Y931="","الإجراء",""),IF(Z931="","التنفيذ",""),IF(AA931="","الجودة",""),IF(AB931="","الإغلاق",""),IF(AC931="","الخصم",""),IF(AND(COUNTA($O931:$U931)&gt;0,O931=""),"مدير المشروع",""),IF(AND(COUNTA($O931:$U931)&gt;0,P931=""),"المستفيدين",""),IF(AND(COUNTA($O931:$U931)&gt;0,Q931=""),"المناطق",""),IF(AND(COUNTA($O931:$U931)&gt;0,R931=""),"الميزانية",""),IF(AND(COUNTA($O931:$U931)&gt;0,S931=""),"نسبة الجاهزية",""),IF(AND(COUNTA($O931:$U931)&gt;0,T931=""),"حالة الجاهزية",""),IF(AND(COUNTA($O931:$U931)&gt;0,U931=""),"التوصيات","")))&gt;0,"✗ ناقص: "&amp;_xlfn.TEXTJOIN("، ",TRUE,IF(E931="","التاريخ",""),IF(F931="","الوقت",""),IF(G931="","المركز",""),IF(H931="","الدائرة",""),IF(I931="","القسم",""),IF(J931="","المسؤول",""),IF(K931="","نوع النشاط",""),IF(L931="","المشروع",""),IF(N931="","الممول",""),IF(V931="","الموضوع",""),IF(W931="","الملاحظة",""),IF(X931="","مشكلة",""),IF(Y931="","الإجراء",""),IF(Z931="","التنفيذ",""),IF(AA931="","الجودة",""),IF(AB931="","الإغلاق",""),IF(AC931="","الخصم",""),IF(AND(COUNTA($O931:$U931)&gt;0,O931=""),"مدير المشروع",""),IF(AND(COUNTA($O931:$U931)&gt;0,P931=""),"المستفيدين",""),IF(AND(COUNTA($O931:$U931)&gt;0,Q931=""),"المناطق",""),IF(AND(COUNTA($O931:$U931)&gt;0,R931=""),"الميزانية",""),IF(AND(COUNTA($O931:$U931)&gt;0,S931=""),"نسبة الجاهزية",""),IF(AND(COUNTA($O931:$U931)&gt;0,T931=""),"حالة الجاهزية",""),IF(AND(COUNTA($O931:$U931)&gt;0,U931=""),"التوصيات","")),"✓"),"✓"))))))))))</f>
        <v/>
      </c>
      <c r="E931" s="235"/>
      <c r="F931" s="236"/>
      <c r="G931" s="90"/>
      <c r="H931" s="239"/>
      <c r="I931" s="89"/>
      <c r="J931" s="142"/>
      <c r="K931" s="90"/>
      <c r="L931" s="90"/>
      <c r="M931" s="90"/>
      <c r="N931" s="89"/>
      <c r="O931" s="200"/>
      <c r="P931" s="201"/>
      <c r="Q931" s="201"/>
      <c r="R931" s="237"/>
      <c r="S931" s="202"/>
      <c r="T931" s="200"/>
      <c r="U931" s="203"/>
      <c r="V931" s="89"/>
      <c r="W931" s="89"/>
      <c r="X931" s="145"/>
      <c r="Y931" s="89"/>
      <c r="Z931" s="90"/>
      <c r="AA931" s="90"/>
      <c r="AB931" s="90"/>
      <c r="AC931" s="90"/>
      <c r="AD931" s="92"/>
      <c r="AE931" s="149" t="str">
        <f>IFERROR(VLOOKUP(Z931,LISTS!$AL$2:$AM$1000,2,FALSE()),"")</f>
        <v/>
      </c>
      <c r="AF931" s="151" t="str">
        <f>IFERROR(VLOOKUP(AA931,LISTS!$AO$2:$AP$1000,2,FALSE()),"")</f>
        <v/>
      </c>
      <c r="AG931" s="152" t="str">
        <f>IFERROR(VLOOKUP(AB931,LISTS!$AR$2:$AS$1000,2,FALSE()),"")</f>
        <v/>
      </c>
      <c r="AH931" s="154" t="str">
        <f>IFERROR(VLOOKUP(AC931,LISTS!$AU$2:$AV$1000,2,FALSE()),"")</f>
        <v/>
      </c>
      <c r="AI931" s="238" t="str">
        <f t="shared" si="73"/>
        <v>—</v>
      </c>
      <c r="AJ931" s="190" t="str">
        <f t="shared" si="74"/>
        <v>—</v>
      </c>
      <c r="AK931" s="157" t="str">
        <f t="shared" si="75"/>
        <v/>
      </c>
      <c r="AL931" s="160" t="str">
        <f t="shared" si="76"/>
        <v/>
      </c>
      <c r="AM931" s="210"/>
      <c r="AN931" s="209"/>
    </row>
    <row r="932" spans="1:40" ht="27.95" customHeight="1">
      <c r="A932" s="134" t="str">
        <f>IF(I932&lt;&gt;"",COUNTA($I$2:I932),"")</f>
        <v/>
      </c>
      <c r="B932" s="138" t="str">
        <f t="shared" si="77"/>
        <v/>
      </c>
      <c r="C932" s="93" t="str">
        <f t="array" ref="C932">IF(E932="","",IF(M932&lt;&gt;"",
M932&amp;"/"&amp;SUMPRODUCT((M$2:M932=M932)*1)&amp;" - "&amp;(ROW()-2),
"إداري/"&amp;SUMPRODUCT((M$2:M932="")*1)&amp;" - "&amp;(ROW()-2)))</f>
        <v/>
      </c>
      <c r="D932" s="141" t="str">
        <f>IF(AND(G932="",H932="",I932=""),"",IF(COUNTIFS(LISTS!$A$2:$A$67,G932,LISTS!$B$2:$B$67,H932,LISTS!$C$2:$C$67,I932)=0,"✗ هرم",IF(NOT(OR(Z932="ممتاز 100%",Z932="جيد 80%",Z932="مقبول 60%",Z932="خطر 40%",Z932="")),"✗ قائمة R",IF(NOT(OR(AA932="ممتاز 100%",AA932="جيد 85%",AA932="مقبول 70%",AA932="ضعيف 50%",AA932="")),"✗ قائمة S",IF(NOT(OR(AB932="مكتمل 100%",AB932="جزئي 60%",AB932="معلق 30%",AB932="مفتوح 0%",AB932="")),"✗ قائمة T",IF(NOT(OR(AC932="لا خصم 0",AC932="تأخير −5",AC932="عجز −10",AC932="جودة −15",AC932="امتثال −20",AC932="مخالفة −25",AC932="")),"✗ قائمة U",IF(AND(X932="لا",AC932&lt;&gt;"",AC932&lt;&gt;"لا خصم 0"),"✗ خصم",IF(AND(X932="نعم",AC932="لا خصم 0"),"✗ خصم",IF(AND(Z932="ممتاز 100%",AA932="ممتاز 100%",AB932&lt;&gt;"",AB932&lt;&gt;"مكتمل 100%"),"✗ إغلاق",IFERROR(IF(LEN(_xlfn.TEXTJOIN("، ",TRUE,IF(E932="","التاريخ",""),IF(F932="","الوقت",""),IF(G932="","المركز",""),IF(H932="","الدائرة",""),IF(I932="","القسم",""),IF(J932="","المسؤول",""),IF(K932="","نوع النشاط",""),IF(L932="","المشروع",""),IF(N932="","الممول",""),IF(V932="","الموضوع",""),IF(W932="","الملاحظة",""),IF(X932="","مشكلة",""),IF(Y932="","الإجراء",""),IF(Z932="","التنفيذ",""),IF(AA932="","الجودة",""),IF(AB932="","الإغلاق",""),IF(AC932="","الخصم",""),IF(AND(COUNTA($O932:$U932)&gt;0,O932=""),"مدير المشروع",""),IF(AND(COUNTA($O932:$U932)&gt;0,P932=""),"المستفيدين",""),IF(AND(COUNTA($O932:$U932)&gt;0,Q932=""),"المناطق",""),IF(AND(COUNTA($O932:$U932)&gt;0,R932=""),"الميزانية",""),IF(AND(COUNTA($O932:$U932)&gt;0,S932=""),"نسبة الجاهزية",""),IF(AND(COUNTA($O932:$U932)&gt;0,T932=""),"حالة الجاهزية",""),IF(AND(COUNTA($O932:$U932)&gt;0,U932=""),"التوصيات","")))&gt;0,"✗ ناقص: "&amp;_xlfn.TEXTJOIN("، ",TRUE,IF(E932="","التاريخ",""),IF(F932="","الوقت",""),IF(G932="","المركز",""),IF(H932="","الدائرة",""),IF(I932="","القسم",""),IF(J932="","المسؤول",""),IF(K932="","نوع النشاط",""),IF(L932="","المشروع",""),IF(N932="","الممول",""),IF(V932="","الموضوع",""),IF(W932="","الملاحظة",""),IF(X932="","مشكلة",""),IF(Y932="","الإجراء",""),IF(Z932="","التنفيذ",""),IF(AA932="","الجودة",""),IF(AB932="","الإغلاق",""),IF(AC932="","الخصم",""),IF(AND(COUNTA($O932:$U932)&gt;0,O932=""),"مدير المشروع",""),IF(AND(COUNTA($O932:$U932)&gt;0,P932=""),"المستفيدين",""),IF(AND(COUNTA($O932:$U932)&gt;0,Q932=""),"المناطق",""),IF(AND(COUNTA($O932:$U932)&gt;0,R932=""),"الميزانية",""),IF(AND(COUNTA($O932:$U932)&gt;0,S932=""),"نسبة الجاهزية",""),IF(AND(COUNTA($O932:$U932)&gt;0,T932=""),"حالة الجاهزية",""),IF(AND(COUNTA($O932:$U932)&gt;0,U932=""),"التوصيات","")),"✓"),"✓"))))))))))</f>
        <v/>
      </c>
      <c r="E932" s="235"/>
      <c r="F932" s="236"/>
      <c r="G932" s="90"/>
      <c r="H932" s="239"/>
      <c r="I932" s="89"/>
      <c r="J932" s="142"/>
      <c r="K932" s="90"/>
      <c r="L932" s="90"/>
      <c r="M932" s="90"/>
      <c r="N932" s="89"/>
      <c r="O932" s="200"/>
      <c r="P932" s="201"/>
      <c r="Q932" s="201"/>
      <c r="R932" s="237"/>
      <c r="S932" s="202"/>
      <c r="T932" s="200"/>
      <c r="U932" s="203"/>
      <c r="V932" s="89"/>
      <c r="W932" s="89"/>
      <c r="X932" s="145"/>
      <c r="Y932" s="89"/>
      <c r="Z932" s="90"/>
      <c r="AA932" s="90"/>
      <c r="AB932" s="90"/>
      <c r="AC932" s="90"/>
      <c r="AD932" s="92"/>
      <c r="AE932" s="149" t="str">
        <f>IFERROR(VLOOKUP(Z932,LISTS!$AL$2:$AM$1000,2,FALSE()),"")</f>
        <v/>
      </c>
      <c r="AF932" s="151" t="str">
        <f>IFERROR(VLOOKUP(AA932,LISTS!$AO$2:$AP$1000,2,FALSE()),"")</f>
        <v/>
      </c>
      <c r="AG932" s="152" t="str">
        <f>IFERROR(VLOOKUP(AB932,LISTS!$AR$2:$AS$1000,2,FALSE()),"")</f>
        <v/>
      </c>
      <c r="AH932" s="154" t="str">
        <f>IFERROR(VLOOKUP(AC932,LISTS!$AU$2:$AV$1000,2,FALSE()),"")</f>
        <v/>
      </c>
      <c r="AI932" s="238" t="str">
        <f t="shared" si="73"/>
        <v>—</v>
      </c>
      <c r="AJ932" s="190" t="str">
        <f t="shared" si="74"/>
        <v>—</v>
      </c>
      <c r="AK932" s="157" t="str">
        <f t="shared" si="75"/>
        <v/>
      </c>
      <c r="AL932" s="160" t="str">
        <f t="shared" si="76"/>
        <v/>
      </c>
      <c r="AM932" s="210"/>
      <c r="AN932" s="209"/>
    </row>
    <row r="933" spans="1:40" ht="27.95" customHeight="1">
      <c r="A933" s="134" t="str">
        <f>IF(I933&lt;&gt;"",COUNTA($I$2:I933),"")</f>
        <v/>
      </c>
      <c r="B933" s="138" t="str">
        <f t="shared" si="77"/>
        <v/>
      </c>
      <c r="C933" s="93" t="str">
        <f t="array" ref="C933">IF(E933="","",IF(M933&lt;&gt;"",
M933&amp;"/"&amp;SUMPRODUCT((M$2:M933=M933)*1)&amp;" - "&amp;(ROW()-2),
"إداري/"&amp;SUMPRODUCT((M$2:M933="")*1)&amp;" - "&amp;(ROW()-2)))</f>
        <v/>
      </c>
      <c r="D933" s="141" t="str">
        <f>IF(AND(G933="",H933="",I933=""),"",IF(COUNTIFS(LISTS!$A$2:$A$67,G933,LISTS!$B$2:$B$67,H933,LISTS!$C$2:$C$67,I933)=0,"✗ هرم",IF(NOT(OR(Z933="ممتاز 100%",Z933="جيد 80%",Z933="مقبول 60%",Z933="خطر 40%",Z933="")),"✗ قائمة R",IF(NOT(OR(AA933="ممتاز 100%",AA933="جيد 85%",AA933="مقبول 70%",AA933="ضعيف 50%",AA933="")),"✗ قائمة S",IF(NOT(OR(AB933="مكتمل 100%",AB933="جزئي 60%",AB933="معلق 30%",AB933="مفتوح 0%",AB933="")),"✗ قائمة T",IF(NOT(OR(AC933="لا خصم 0",AC933="تأخير −5",AC933="عجز −10",AC933="جودة −15",AC933="امتثال −20",AC933="مخالفة −25",AC933="")),"✗ قائمة U",IF(AND(X933="لا",AC933&lt;&gt;"",AC933&lt;&gt;"لا خصم 0"),"✗ خصم",IF(AND(X933="نعم",AC933="لا خصم 0"),"✗ خصم",IF(AND(Z933="ممتاز 100%",AA933="ممتاز 100%",AB933&lt;&gt;"",AB933&lt;&gt;"مكتمل 100%"),"✗ إغلاق",IFERROR(IF(LEN(_xlfn.TEXTJOIN("، ",TRUE,IF(E933="","التاريخ",""),IF(F933="","الوقت",""),IF(G933="","المركز",""),IF(H933="","الدائرة",""),IF(I933="","القسم",""),IF(J933="","المسؤول",""),IF(K933="","نوع النشاط",""),IF(L933="","المشروع",""),IF(N933="","الممول",""),IF(V933="","الموضوع",""),IF(W933="","الملاحظة",""),IF(X933="","مشكلة",""),IF(Y933="","الإجراء",""),IF(Z933="","التنفيذ",""),IF(AA933="","الجودة",""),IF(AB933="","الإغلاق",""),IF(AC933="","الخصم",""),IF(AND(COUNTA($O933:$U933)&gt;0,O933=""),"مدير المشروع",""),IF(AND(COUNTA($O933:$U933)&gt;0,P933=""),"المستفيدين",""),IF(AND(COUNTA($O933:$U933)&gt;0,Q933=""),"المناطق",""),IF(AND(COUNTA($O933:$U933)&gt;0,R933=""),"الميزانية",""),IF(AND(COUNTA($O933:$U933)&gt;0,S933=""),"نسبة الجاهزية",""),IF(AND(COUNTA($O933:$U933)&gt;0,T933=""),"حالة الجاهزية",""),IF(AND(COUNTA($O933:$U933)&gt;0,U933=""),"التوصيات","")))&gt;0,"✗ ناقص: "&amp;_xlfn.TEXTJOIN("، ",TRUE,IF(E933="","التاريخ",""),IF(F933="","الوقت",""),IF(G933="","المركز",""),IF(H933="","الدائرة",""),IF(I933="","القسم",""),IF(J933="","المسؤول",""),IF(K933="","نوع النشاط",""),IF(L933="","المشروع",""),IF(N933="","الممول",""),IF(V933="","الموضوع",""),IF(W933="","الملاحظة",""),IF(X933="","مشكلة",""),IF(Y933="","الإجراء",""),IF(Z933="","التنفيذ",""),IF(AA933="","الجودة",""),IF(AB933="","الإغلاق",""),IF(AC933="","الخصم",""),IF(AND(COUNTA($O933:$U933)&gt;0,O933=""),"مدير المشروع",""),IF(AND(COUNTA($O933:$U933)&gt;0,P933=""),"المستفيدين",""),IF(AND(COUNTA($O933:$U933)&gt;0,Q933=""),"المناطق",""),IF(AND(COUNTA($O933:$U933)&gt;0,R933=""),"الميزانية",""),IF(AND(COUNTA($O933:$U933)&gt;0,S933=""),"نسبة الجاهزية",""),IF(AND(COUNTA($O933:$U933)&gt;0,T933=""),"حالة الجاهزية",""),IF(AND(COUNTA($O933:$U933)&gt;0,U933=""),"التوصيات","")),"✓"),"✓"))))))))))</f>
        <v/>
      </c>
      <c r="E933" s="235"/>
      <c r="F933" s="236"/>
      <c r="G933" s="90"/>
      <c r="H933" s="239"/>
      <c r="I933" s="89"/>
      <c r="J933" s="142"/>
      <c r="K933" s="90"/>
      <c r="L933" s="90"/>
      <c r="M933" s="90"/>
      <c r="N933" s="89"/>
      <c r="O933" s="200"/>
      <c r="P933" s="201"/>
      <c r="Q933" s="201"/>
      <c r="R933" s="237"/>
      <c r="S933" s="202"/>
      <c r="T933" s="200"/>
      <c r="U933" s="203"/>
      <c r="V933" s="89"/>
      <c r="W933" s="89"/>
      <c r="X933" s="145"/>
      <c r="Y933" s="89"/>
      <c r="Z933" s="90"/>
      <c r="AA933" s="90"/>
      <c r="AB933" s="90"/>
      <c r="AC933" s="90"/>
      <c r="AD933" s="92"/>
      <c r="AE933" s="149" t="str">
        <f>IFERROR(VLOOKUP(Z933,LISTS!$AL$2:$AM$1000,2,FALSE()),"")</f>
        <v/>
      </c>
      <c r="AF933" s="151" t="str">
        <f>IFERROR(VLOOKUP(AA933,LISTS!$AO$2:$AP$1000,2,FALSE()),"")</f>
        <v/>
      </c>
      <c r="AG933" s="152" t="str">
        <f>IFERROR(VLOOKUP(AB933,LISTS!$AR$2:$AS$1000,2,FALSE()),"")</f>
        <v/>
      </c>
      <c r="AH933" s="154" t="str">
        <f>IFERROR(VLOOKUP(AC933,LISTS!$AU$2:$AV$1000,2,FALSE()),"")</f>
        <v/>
      </c>
      <c r="AI933" s="238" t="str">
        <f t="shared" si="73"/>
        <v>—</v>
      </c>
      <c r="AJ933" s="190" t="str">
        <f t="shared" si="74"/>
        <v>—</v>
      </c>
      <c r="AK933" s="157" t="str">
        <f t="shared" si="75"/>
        <v/>
      </c>
      <c r="AL933" s="160" t="str">
        <f t="shared" si="76"/>
        <v/>
      </c>
      <c r="AM933" s="210"/>
      <c r="AN933" s="209"/>
    </row>
    <row r="934" spans="1:40" ht="27.95" customHeight="1">
      <c r="A934" s="134" t="str">
        <f>IF(I934&lt;&gt;"",COUNTA($I$2:I934),"")</f>
        <v/>
      </c>
      <c r="B934" s="138" t="str">
        <f t="shared" si="77"/>
        <v/>
      </c>
      <c r="C934" s="93" t="str">
        <f t="array" ref="C934">IF(E934="","",IF(M934&lt;&gt;"",
M934&amp;"/"&amp;SUMPRODUCT((M$2:M934=M934)*1)&amp;" - "&amp;(ROW()-2),
"إداري/"&amp;SUMPRODUCT((M$2:M934="")*1)&amp;" - "&amp;(ROW()-2)))</f>
        <v/>
      </c>
      <c r="D934" s="141" t="str">
        <f>IF(AND(G934="",H934="",I934=""),"",IF(COUNTIFS(LISTS!$A$2:$A$67,G934,LISTS!$B$2:$B$67,H934,LISTS!$C$2:$C$67,I934)=0,"✗ هرم",IF(NOT(OR(Z934="ممتاز 100%",Z934="جيد 80%",Z934="مقبول 60%",Z934="خطر 40%",Z934="")),"✗ قائمة R",IF(NOT(OR(AA934="ممتاز 100%",AA934="جيد 85%",AA934="مقبول 70%",AA934="ضعيف 50%",AA934="")),"✗ قائمة S",IF(NOT(OR(AB934="مكتمل 100%",AB934="جزئي 60%",AB934="معلق 30%",AB934="مفتوح 0%",AB934="")),"✗ قائمة T",IF(NOT(OR(AC934="لا خصم 0",AC934="تأخير −5",AC934="عجز −10",AC934="جودة −15",AC934="امتثال −20",AC934="مخالفة −25",AC934="")),"✗ قائمة U",IF(AND(X934="لا",AC934&lt;&gt;"",AC934&lt;&gt;"لا خصم 0"),"✗ خصم",IF(AND(X934="نعم",AC934="لا خصم 0"),"✗ خصم",IF(AND(Z934="ممتاز 100%",AA934="ممتاز 100%",AB934&lt;&gt;"",AB934&lt;&gt;"مكتمل 100%"),"✗ إغلاق",IFERROR(IF(LEN(_xlfn.TEXTJOIN("، ",TRUE,IF(E934="","التاريخ",""),IF(F934="","الوقت",""),IF(G934="","المركز",""),IF(H934="","الدائرة",""),IF(I934="","القسم",""),IF(J934="","المسؤول",""),IF(K934="","نوع النشاط",""),IF(L934="","المشروع",""),IF(N934="","الممول",""),IF(V934="","الموضوع",""),IF(W934="","الملاحظة",""),IF(X934="","مشكلة",""),IF(Y934="","الإجراء",""),IF(Z934="","التنفيذ",""),IF(AA934="","الجودة",""),IF(AB934="","الإغلاق",""),IF(AC934="","الخصم",""),IF(AND(COUNTA($O934:$U934)&gt;0,O934=""),"مدير المشروع",""),IF(AND(COUNTA($O934:$U934)&gt;0,P934=""),"المستفيدين",""),IF(AND(COUNTA($O934:$U934)&gt;0,Q934=""),"المناطق",""),IF(AND(COUNTA($O934:$U934)&gt;0,R934=""),"الميزانية",""),IF(AND(COUNTA($O934:$U934)&gt;0,S934=""),"نسبة الجاهزية",""),IF(AND(COUNTA($O934:$U934)&gt;0,T934=""),"حالة الجاهزية",""),IF(AND(COUNTA($O934:$U934)&gt;0,U934=""),"التوصيات","")))&gt;0,"✗ ناقص: "&amp;_xlfn.TEXTJOIN("، ",TRUE,IF(E934="","التاريخ",""),IF(F934="","الوقت",""),IF(G934="","المركز",""),IF(H934="","الدائرة",""),IF(I934="","القسم",""),IF(J934="","المسؤول",""),IF(K934="","نوع النشاط",""),IF(L934="","المشروع",""),IF(N934="","الممول",""),IF(V934="","الموضوع",""),IF(W934="","الملاحظة",""),IF(X934="","مشكلة",""),IF(Y934="","الإجراء",""),IF(Z934="","التنفيذ",""),IF(AA934="","الجودة",""),IF(AB934="","الإغلاق",""),IF(AC934="","الخصم",""),IF(AND(COUNTA($O934:$U934)&gt;0,O934=""),"مدير المشروع",""),IF(AND(COUNTA($O934:$U934)&gt;0,P934=""),"المستفيدين",""),IF(AND(COUNTA($O934:$U934)&gt;0,Q934=""),"المناطق",""),IF(AND(COUNTA($O934:$U934)&gt;0,R934=""),"الميزانية",""),IF(AND(COUNTA($O934:$U934)&gt;0,S934=""),"نسبة الجاهزية",""),IF(AND(COUNTA($O934:$U934)&gt;0,T934=""),"حالة الجاهزية",""),IF(AND(COUNTA($O934:$U934)&gt;0,U934=""),"التوصيات","")),"✓"),"✓"))))))))))</f>
        <v/>
      </c>
      <c r="E934" s="235"/>
      <c r="F934" s="236"/>
      <c r="G934" s="90"/>
      <c r="H934" s="239"/>
      <c r="I934" s="89"/>
      <c r="J934" s="142"/>
      <c r="K934" s="90"/>
      <c r="L934" s="90"/>
      <c r="M934" s="90"/>
      <c r="N934" s="89"/>
      <c r="O934" s="200"/>
      <c r="P934" s="201"/>
      <c r="Q934" s="201"/>
      <c r="R934" s="237"/>
      <c r="S934" s="202"/>
      <c r="T934" s="200"/>
      <c r="U934" s="203"/>
      <c r="V934" s="89"/>
      <c r="W934" s="89"/>
      <c r="X934" s="145"/>
      <c r="Y934" s="89"/>
      <c r="Z934" s="90"/>
      <c r="AA934" s="90"/>
      <c r="AB934" s="90"/>
      <c r="AC934" s="90"/>
      <c r="AD934" s="92"/>
      <c r="AE934" s="149" t="str">
        <f>IFERROR(VLOOKUP(Z934,LISTS!$AL$2:$AM$1000,2,FALSE()),"")</f>
        <v/>
      </c>
      <c r="AF934" s="151" t="str">
        <f>IFERROR(VLOOKUP(AA934,LISTS!$AO$2:$AP$1000,2,FALSE()),"")</f>
        <v/>
      </c>
      <c r="AG934" s="152" t="str">
        <f>IFERROR(VLOOKUP(AB934,LISTS!$AR$2:$AS$1000,2,FALSE()),"")</f>
        <v/>
      </c>
      <c r="AH934" s="154" t="str">
        <f>IFERROR(VLOOKUP(AC934,LISTS!$AU$2:$AV$1000,2,FALSE()),"")</f>
        <v/>
      </c>
      <c r="AI934" s="238" t="str">
        <f t="shared" si="73"/>
        <v>—</v>
      </c>
      <c r="AJ934" s="190" t="str">
        <f t="shared" si="74"/>
        <v>—</v>
      </c>
      <c r="AK934" s="157" t="str">
        <f t="shared" si="75"/>
        <v/>
      </c>
      <c r="AL934" s="160" t="str">
        <f t="shared" si="76"/>
        <v/>
      </c>
      <c r="AM934" s="210"/>
      <c r="AN934" s="209"/>
    </row>
    <row r="935" spans="1:40" ht="27.95" customHeight="1">
      <c r="A935" s="134" t="str">
        <f>IF(I935&lt;&gt;"",COUNTA($I$2:I935),"")</f>
        <v/>
      </c>
      <c r="B935" s="138" t="str">
        <f t="shared" si="77"/>
        <v/>
      </c>
      <c r="C935" s="93" t="str">
        <f t="array" ref="C935">IF(E935="","",IF(M935&lt;&gt;"",
M935&amp;"/"&amp;SUMPRODUCT((M$2:M935=M935)*1)&amp;" - "&amp;(ROW()-2),
"إداري/"&amp;SUMPRODUCT((M$2:M935="")*1)&amp;" - "&amp;(ROW()-2)))</f>
        <v/>
      </c>
      <c r="D935" s="141" t="str">
        <f>IF(AND(G935="",H935="",I935=""),"",IF(COUNTIFS(LISTS!$A$2:$A$67,G935,LISTS!$B$2:$B$67,H935,LISTS!$C$2:$C$67,I935)=0,"✗ هرم",IF(NOT(OR(Z935="ممتاز 100%",Z935="جيد 80%",Z935="مقبول 60%",Z935="خطر 40%",Z935="")),"✗ قائمة R",IF(NOT(OR(AA935="ممتاز 100%",AA935="جيد 85%",AA935="مقبول 70%",AA935="ضعيف 50%",AA935="")),"✗ قائمة S",IF(NOT(OR(AB935="مكتمل 100%",AB935="جزئي 60%",AB935="معلق 30%",AB935="مفتوح 0%",AB935="")),"✗ قائمة T",IF(NOT(OR(AC935="لا خصم 0",AC935="تأخير −5",AC935="عجز −10",AC935="جودة −15",AC935="امتثال −20",AC935="مخالفة −25",AC935="")),"✗ قائمة U",IF(AND(X935="لا",AC935&lt;&gt;"",AC935&lt;&gt;"لا خصم 0"),"✗ خصم",IF(AND(X935="نعم",AC935="لا خصم 0"),"✗ خصم",IF(AND(Z935="ممتاز 100%",AA935="ممتاز 100%",AB935&lt;&gt;"",AB935&lt;&gt;"مكتمل 100%"),"✗ إغلاق",IFERROR(IF(LEN(_xlfn.TEXTJOIN("، ",TRUE,IF(E935="","التاريخ",""),IF(F935="","الوقت",""),IF(G935="","المركز",""),IF(H935="","الدائرة",""),IF(I935="","القسم",""),IF(J935="","المسؤول",""),IF(K935="","نوع النشاط",""),IF(L935="","المشروع",""),IF(N935="","الممول",""),IF(V935="","الموضوع",""),IF(W935="","الملاحظة",""),IF(X935="","مشكلة",""),IF(Y935="","الإجراء",""),IF(Z935="","التنفيذ",""),IF(AA935="","الجودة",""),IF(AB935="","الإغلاق",""),IF(AC935="","الخصم",""),IF(AND(COUNTA($O935:$U935)&gt;0,O935=""),"مدير المشروع",""),IF(AND(COUNTA($O935:$U935)&gt;0,P935=""),"المستفيدين",""),IF(AND(COUNTA($O935:$U935)&gt;0,Q935=""),"المناطق",""),IF(AND(COUNTA($O935:$U935)&gt;0,R935=""),"الميزانية",""),IF(AND(COUNTA($O935:$U935)&gt;0,S935=""),"نسبة الجاهزية",""),IF(AND(COUNTA($O935:$U935)&gt;0,T935=""),"حالة الجاهزية",""),IF(AND(COUNTA($O935:$U935)&gt;0,U935=""),"التوصيات","")))&gt;0,"✗ ناقص: "&amp;_xlfn.TEXTJOIN("، ",TRUE,IF(E935="","التاريخ",""),IF(F935="","الوقت",""),IF(G935="","المركز",""),IF(H935="","الدائرة",""),IF(I935="","القسم",""),IF(J935="","المسؤول",""),IF(K935="","نوع النشاط",""),IF(L935="","المشروع",""),IF(N935="","الممول",""),IF(V935="","الموضوع",""),IF(W935="","الملاحظة",""),IF(X935="","مشكلة",""),IF(Y935="","الإجراء",""),IF(Z935="","التنفيذ",""),IF(AA935="","الجودة",""),IF(AB935="","الإغلاق",""),IF(AC935="","الخصم",""),IF(AND(COUNTA($O935:$U935)&gt;0,O935=""),"مدير المشروع",""),IF(AND(COUNTA($O935:$U935)&gt;0,P935=""),"المستفيدين",""),IF(AND(COUNTA($O935:$U935)&gt;0,Q935=""),"المناطق",""),IF(AND(COUNTA($O935:$U935)&gt;0,R935=""),"الميزانية",""),IF(AND(COUNTA($O935:$U935)&gt;0,S935=""),"نسبة الجاهزية",""),IF(AND(COUNTA($O935:$U935)&gt;0,T935=""),"حالة الجاهزية",""),IF(AND(COUNTA($O935:$U935)&gt;0,U935=""),"التوصيات","")),"✓"),"✓"))))))))))</f>
        <v/>
      </c>
      <c r="E935" s="235"/>
      <c r="F935" s="236"/>
      <c r="G935" s="90"/>
      <c r="H935" s="239"/>
      <c r="I935" s="89"/>
      <c r="J935" s="142"/>
      <c r="K935" s="90"/>
      <c r="L935" s="90"/>
      <c r="M935" s="90"/>
      <c r="N935" s="89"/>
      <c r="O935" s="200"/>
      <c r="P935" s="201"/>
      <c r="Q935" s="201"/>
      <c r="R935" s="237"/>
      <c r="S935" s="202"/>
      <c r="T935" s="200"/>
      <c r="U935" s="203"/>
      <c r="V935" s="89"/>
      <c r="W935" s="89"/>
      <c r="X935" s="145"/>
      <c r="Y935" s="89"/>
      <c r="Z935" s="90"/>
      <c r="AA935" s="90"/>
      <c r="AB935" s="90"/>
      <c r="AC935" s="90"/>
      <c r="AD935" s="92"/>
      <c r="AE935" s="149" t="str">
        <f>IFERROR(VLOOKUP(Z935,LISTS!$AL$2:$AM$1000,2,FALSE()),"")</f>
        <v/>
      </c>
      <c r="AF935" s="151" t="str">
        <f>IFERROR(VLOOKUP(AA935,LISTS!$AO$2:$AP$1000,2,FALSE()),"")</f>
        <v/>
      </c>
      <c r="AG935" s="152" t="str">
        <f>IFERROR(VLOOKUP(AB935,LISTS!$AR$2:$AS$1000,2,FALSE()),"")</f>
        <v/>
      </c>
      <c r="AH935" s="154" t="str">
        <f>IFERROR(VLOOKUP(AC935,LISTS!$AU$2:$AV$1000,2,FALSE()),"")</f>
        <v/>
      </c>
      <c r="AI935" s="238" t="str">
        <f t="shared" si="73"/>
        <v>—</v>
      </c>
      <c r="AJ935" s="190" t="str">
        <f t="shared" si="74"/>
        <v>—</v>
      </c>
      <c r="AK935" s="157" t="str">
        <f t="shared" si="75"/>
        <v/>
      </c>
      <c r="AL935" s="160" t="str">
        <f t="shared" si="76"/>
        <v/>
      </c>
      <c r="AM935" s="210"/>
      <c r="AN935" s="209"/>
    </row>
    <row r="936" spans="1:40" ht="27.95" customHeight="1">
      <c r="A936" s="134" t="str">
        <f>IF(I936&lt;&gt;"",COUNTA($I$2:I936),"")</f>
        <v/>
      </c>
      <c r="B936" s="138" t="str">
        <f t="shared" si="77"/>
        <v/>
      </c>
      <c r="C936" s="93" t="str">
        <f t="array" ref="C936">IF(E936="","",IF(M936&lt;&gt;"",
M936&amp;"/"&amp;SUMPRODUCT((M$2:M936=M936)*1)&amp;" - "&amp;(ROW()-2),
"إداري/"&amp;SUMPRODUCT((M$2:M936="")*1)&amp;" - "&amp;(ROW()-2)))</f>
        <v/>
      </c>
      <c r="D936" s="141" t="str">
        <f>IF(AND(G936="",H936="",I936=""),"",IF(COUNTIFS(LISTS!$A$2:$A$67,G936,LISTS!$B$2:$B$67,H936,LISTS!$C$2:$C$67,I936)=0,"✗ هرم",IF(NOT(OR(Z936="ممتاز 100%",Z936="جيد 80%",Z936="مقبول 60%",Z936="خطر 40%",Z936="")),"✗ قائمة R",IF(NOT(OR(AA936="ممتاز 100%",AA936="جيد 85%",AA936="مقبول 70%",AA936="ضعيف 50%",AA936="")),"✗ قائمة S",IF(NOT(OR(AB936="مكتمل 100%",AB936="جزئي 60%",AB936="معلق 30%",AB936="مفتوح 0%",AB936="")),"✗ قائمة T",IF(NOT(OR(AC936="لا خصم 0",AC936="تأخير −5",AC936="عجز −10",AC936="جودة −15",AC936="امتثال −20",AC936="مخالفة −25",AC936="")),"✗ قائمة U",IF(AND(X936="لا",AC936&lt;&gt;"",AC936&lt;&gt;"لا خصم 0"),"✗ خصم",IF(AND(X936="نعم",AC936="لا خصم 0"),"✗ خصم",IF(AND(Z936="ممتاز 100%",AA936="ممتاز 100%",AB936&lt;&gt;"",AB936&lt;&gt;"مكتمل 100%"),"✗ إغلاق",IFERROR(IF(LEN(_xlfn.TEXTJOIN("، ",TRUE,IF(E936="","التاريخ",""),IF(F936="","الوقت",""),IF(G936="","المركز",""),IF(H936="","الدائرة",""),IF(I936="","القسم",""),IF(J936="","المسؤول",""),IF(K936="","نوع النشاط",""),IF(L936="","المشروع",""),IF(N936="","الممول",""),IF(V936="","الموضوع",""),IF(W936="","الملاحظة",""),IF(X936="","مشكلة",""),IF(Y936="","الإجراء",""),IF(Z936="","التنفيذ",""),IF(AA936="","الجودة",""),IF(AB936="","الإغلاق",""),IF(AC936="","الخصم",""),IF(AND(COUNTA($O936:$U936)&gt;0,O936=""),"مدير المشروع",""),IF(AND(COUNTA($O936:$U936)&gt;0,P936=""),"المستفيدين",""),IF(AND(COUNTA($O936:$U936)&gt;0,Q936=""),"المناطق",""),IF(AND(COUNTA($O936:$U936)&gt;0,R936=""),"الميزانية",""),IF(AND(COUNTA($O936:$U936)&gt;0,S936=""),"نسبة الجاهزية",""),IF(AND(COUNTA($O936:$U936)&gt;0,T936=""),"حالة الجاهزية",""),IF(AND(COUNTA($O936:$U936)&gt;0,U936=""),"التوصيات","")))&gt;0,"✗ ناقص: "&amp;_xlfn.TEXTJOIN("، ",TRUE,IF(E936="","التاريخ",""),IF(F936="","الوقت",""),IF(G936="","المركز",""),IF(H936="","الدائرة",""),IF(I936="","القسم",""),IF(J936="","المسؤول",""),IF(K936="","نوع النشاط",""),IF(L936="","المشروع",""),IF(N936="","الممول",""),IF(V936="","الموضوع",""),IF(W936="","الملاحظة",""),IF(X936="","مشكلة",""),IF(Y936="","الإجراء",""),IF(Z936="","التنفيذ",""),IF(AA936="","الجودة",""),IF(AB936="","الإغلاق",""),IF(AC936="","الخصم",""),IF(AND(COUNTA($O936:$U936)&gt;0,O936=""),"مدير المشروع",""),IF(AND(COUNTA($O936:$U936)&gt;0,P936=""),"المستفيدين",""),IF(AND(COUNTA($O936:$U936)&gt;0,Q936=""),"المناطق",""),IF(AND(COUNTA($O936:$U936)&gt;0,R936=""),"الميزانية",""),IF(AND(COUNTA($O936:$U936)&gt;0,S936=""),"نسبة الجاهزية",""),IF(AND(COUNTA($O936:$U936)&gt;0,T936=""),"حالة الجاهزية",""),IF(AND(COUNTA($O936:$U936)&gt;0,U936=""),"التوصيات","")),"✓"),"✓"))))))))))</f>
        <v/>
      </c>
      <c r="E936" s="235"/>
      <c r="F936" s="236"/>
      <c r="G936" s="90"/>
      <c r="H936" s="239"/>
      <c r="I936" s="89"/>
      <c r="J936" s="142"/>
      <c r="K936" s="90"/>
      <c r="L936" s="90"/>
      <c r="M936" s="90"/>
      <c r="N936" s="89"/>
      <c r="O936" s="200"/>
      <c r="P936" s="201"/>
      <c r="Q936" s="201"/>
      <c r="R936" s="237"/>
      <c r="S936" s="202"/>
      <c r="T936" s="200"/>
      <c r="U936" s="203"/>
      <c r="V936" s="89"/>
      <c r="W936" s="89"/>
      <c r="X936" s="145"/>
      <c r="Y936" s="89"/>
      <c r="Z936" s="90"/>
      <c r="AA936" s="90"/>
      <c r="AB936" s="90"/>
      <c r="AC936" s="90"/>
      <c r="AD936" s="92"/>
      <c r="AE936" s="149" t="str">
        <f>IFERROR(VLOOKUP(Z936,LISTS!$AL$2:$AM$1000,2,FALSE()),"")</f>
        <v/>
      </c>
      <c r="AF936" s="151" t="str">
        <f>IFERROR(VLOOKUP(AA936,LISTS!$AO$2:$AP$1000,2,FALSE()),"")</f>
        <v/>
      </c>
      <c r="AG936" s="152" t="str">
        <f>IFERROR(VLOOKUP(AB936,LISTS!$AR$2:$AS$1000,2,FALSE()),"")</f>
        <v/>
      </c>
      <c r="AH936" s="154" t="str">
        <f>IFERROR(VLOOKUP(AC936,LISTS!$AU$2:$AV$1000,2,FALSE()),"")</f>
        <v/>
      </c>
      <c r="AI936" s="238" t="str">
        <f t="shared" si="73"/>
        <v>—</v>
      </c>
      <c r="AJ936" s="190" t="str">
        <f t="shared" si="74"/>
        <v>—</v>
      </c>
      <c r="AK936" s="157" t="str">
        <f t="shared" si="75"/>
        <v/>
      </c>
      <c r="AL936" s="160" t="str">
        <f t="shared" si="76"/>
        <v/>
      </c>
      <c r="AM936" s="210"/>
      <c r="AN936" s="209"/>
    </row>
    <row r="937" spans="1:40" ht="27.95" customHeight="1">
      <c r="A937" s="134" t="str">
        <f>IF(I937&lt;&gt;"",COUNTA($I$2:I937),"")</f>
        <v/>
      </c>
      <c r="B937" s="138" t="str">
        <f t="shared" si="77"/>
        <v/>
      </c>
      <c r="C937" s="93" t="str">
        <f t="array" ref="C937">IF(E937="","",IF(M937&lt;&gt;"",
M937&amp;"/"&amp;SUMPRODUCT((M$2:M937=M937)*1)&amp;" - "&amp;(ROW()-2),
"إداري/"&amp;SUMPRODUCT((M$2:M937="")*1)&amp;" - "&amp;(ROW()-2)))</f>
        <v/>
      </c>
      <c r="D937" s="141" t="str">
        <f>IF(AND(G937="",H937="",I937=""),"",IF(COUNTIFS(LISTS!$A$2:$A$67,G937,LISTS!$B$2:$B$67,H937,LISTS!$C$2:$C$67,I937)=0,"✗ هرم",IF(NOT(OR(Z937="ممتاز 100%",Z937="جيد 80%",Z937="مقبول 60%",Z937="خطر 40%",Z937="")),"✗ قائمة R",IF(NOT(OR(AA937="ممتاز 100%",AA937="جيد 85%",AA937="مقبول 70%",AA937="ضعيف 50%",AA937="")),"✗ قائمة S",IF(NOT(OR(AB937="مكتمل 100%",AB937="جزئي 60%",AB937="معلق 30%",AB937="مفتوح 0%",AB937="")),"✗ قائمة T",IF(NOT(OR(AC937="لا خصم 0",AC937="تأخير −5",AC937="عجز −10",AC937="جودة −15",AC937="امتثال −20",AC937="مخالفة −25",AC937="")),"✗ قائمة U",IF(AND(X937="لا",AC937&lt;&gt;"",AC937&lt;&gt;"لا خصم 0"),"✗ خصم",IF(AND(X937="نعم",AC937="لا خصم 0"),"✗ خصم",IF(AND(Z937="ممتاز 100%",AA937="ممتاز 100%",AB937&lt;&gt;"",AB937&lt;&gt;"مكتمل 100%"),"✗ إغلاق",IFERROR(IF(LEN(_xlfn.TEXTJOIN("، ",TRUE,IF(E937="","التاريخ",""),IF(F937="","الوقت",""),IF(G937="","المركز",""),IF(H937="","الدائرة",""),IF(I937="","القسم",""),IF(J937="","المسؤول",""),IF(K937="","نوع النشاط",""),IF(L937="","المشروع",""),IF(N937="","الممول",""),IF(V937="","الموضوع",""),IF(W937="","الملاحظة",""),IF(X937="","مشكلة",""),IF(Y937="","الإجراء",""),IF(Z937="","التنفيذ",""),IF(AA937="","الجودة",""),IF(AB937="","الإغلاق",""),IF(AC937="","الخصم",""),IF(AND(COUNTA($O937:$U937)&gt;0,O937=""),"مدير المشروع",""),IF(AND(COUNTA($O937:$U937)&gt;0,P937=""),"المستفيدين",""),IF(AND(COUNTA($O937:$U937)&gt;0,Q937=""),"المناطق",""),IF(AND(COUNTA($O937:$U937)&gt;0,R937=""),"الميزانية",""),IF(AND(COUNTA($O937:$U937)&gt;0,S937=""),"نسبة الجاهزية",""),IF(AND(COUNTA($O937:$U937)&gt;0,T937=""),"حالة الجاهزية",""),IF(AND(COUNTA($O937:$U937)&gt;0,U937=""),"التوصيات","")))&gt;0,"✗ ناقص: "&amp;_xlfn.TEXTJOIN("، ",TRUE,IF(E937="","التاريخ",""),IF(F937="","الوقت",""),IF(G937="","المركز",""),IF(H937="","الدائرة",""),IF(I937="","القسم",""),IF(J937="","المسؤول",""),IF(K937="","نوع النشاط",""),IF(L937="","المشروع",""),IF(N937="","الممول",""),IF(V937="","الموضوع",""),IF(W937="","الملاحظة",""),IF(X937="","مشكلة",""),IF(Y937="","الإجراء",""),IF(Z937="","التنفيذ",""),IF(AA937="","الجودة",""),IF(AB937="","الإغلاق",""),IF(AC937="","الخصم",""),IF(AND(COUNTA($O937:$U937)&gt;0,O937=""),"مدير المشروع",""),IF(AND(COUNTA($O937:$U937)&gt;0,P937=""),"المستفيدين",""),IF(AND(COUNTA($O937:$U937)&gt;0,Q937=""),"المناطق",""),IF(AND(COUNTA($O937:$U937)&gt;0,R937=""),"الميزانية",""),IF(AND(COUNTA($O937:$U937)&gt;0,S937=""),"نسبة الجاهزية",""),IF(AND(COUNTA($O937:$U937)&gt;0,T937=""),"حالة الجاهزية",""),IF(AND(COUNTA($O937:$U937)&gt;0,U937=""),"التوصيات","")),"✓"),"✓"))))))))))</f>
        <v/>
      </c>
      <c r="E937" s="235"/>
      <c r="F937" s="236"/>
      <c r="G937" s="90"/>
      <c r="H937" s="239"/>
      <c r="I937" s="89"/>
      <c r="J937" s="142"/>
      <c r="K937" s="90"/>
      <c r="L937" s="90"/>
      <c r="M937" s="90"/>
      <c r="N937" s="89"/>
      <c r="O937" s="200"/>
      <c r="P937" s="201"/>
      <c r="Q937" s="201"/>
      <c r="R937" s="237"/>
      <c r="S937" s="202"/>
      <c r="T937" s="200"/>
      <c r="U937" s="203"/>
      <c r="V937" s="89"/>
      <c r="W937" s="89"/>
      <c r="X937" s="145"/>
      <c r="Y937" s="89"/>
      <c r="Z937" s="90"/>
      <c r="AA937" s="90"/>
      <c r="AB937" s="90"/>
      <c r="AC937" s="90"/>
      <c r="AD937" s="92"/>
      <c r="AE937" s="149" t="str">
        <f>IFERROR(VLOOKUP(Z937,LISTS!$AL$2:$AM$1000,2,FALSE()),"")</f>
        <v/>
      </c>
      <c r="AF937" s="151" t="str">
        <f>IFERROR(VLOOKUP(AA937,LISTS!$AO$2:$AP$1000,2,FALSE()),"")</f>
        <v/>
      </c>
      <c r="AG937" s="152" t="str">
        <f>IFERROR(VLOOKUP(AB937,LISTS!$AR$2:$AS$1000,2,FALSE()),"")</f>
        <v/>
      </c>
      <c r="AH937" s="154" t="str">
        <f>IFERROR(VLOOKUP(AC937,LISTS!$AU$2:$AV$1000,2,FALSE()),"")</f>
        <v/>
      </c>
      <c r="AI937" s="238" t="str">
        <f t="shared" si="73"/>
        <v>—</v>
      </c>
      <c r="AJ937" s="190" t="str">
        <f t="shared" si="74"/>
        <v>—</v>
      </c>
      <c r="AK937" s="157" t="str">
        <f t="shared" si="75"/>
        <v/>
      </c>
      <c r="AL937" s="160" t="str">
        <f t="shared" si="76"/>
        <v/>
      </c>
      <c r="AM937" s="210"/>
      <c r="AN937" s="209"/>
    </row>
    <row r="938" spans="1:40" ht="27.95" customHeight="1">
      <c r="A938" s="134" t="str">
        <f>IF(I938&lt;&gt;"",COUNTA($I$2:I938),"")</f>
        <v/>
      </c>
      <c r="B938" s="138" t="str">
        <f t="shared" si="77"/>
        <v/>
      </c>
      <c r="C938" s="93" t="str">
        <f t="array" ref="C938">IF(E938="","",IF(M938&lt;&gt;"",
M938&amp;"/"&amp;SUMPRODUCT((M$2:M938=M938)*1)&amp;" - "&amp;(ROW()-2),
"إداري/"&amp;SUMPRODUCT((M$2:M938="")*1)&amp;" - "&amp;(ROW()-2)))</f>
        <v/>
      </c>
      <c r="D938" s="141" t="str">
        <f>IF(AND(G938="",H938="",I938=""),"",IF(COUNTIFS(LISTS!$A$2:$A$67,G938,LISTS!$B$2:$B$67,H938,LISTS!$C$2:$C$67,I938)=0,"✗ هرم",IF(NOT(OR(Z938="ممتاز 100%",Z938="جيد 80%",Z938="مقبول 60%",Z938="خطر 40%",Z938="")),"✗ قائمة R",IF(NOT(OR(AA938="ممتاز 100%",AA938="جيد 85%",AA938="مقبول 70%",AA938="ضعيف 50%",AA938="")),"✗ قائمة S",IF(NOT(OR(AB938="مكتمل 100%",AB938="جزئي 60%",AB938="معلق 30%",AB938="مفتوح 0%",AB938="")),"✗ قائمة T",IF(NOT(OR(AC938="لا خصم 0",AC938="تأخير −5",AC938="عجز −10",AC938="جودة −15",AC938="امتثال −20",AC938="مخالفة −25",AC938="")),"✗ قائمة U",IF(AND(X938="لا",AC938&lt;&gt;"",AC938&lt;&gt;"لا خصم 0"),"✗ خصم",IF(AND(X938="نعم",AC938="لا خصم 0"),"✗ خصم",IF(AND(Z938="ممتاز 100%",AA938="ممتاز 100%",AB938&lt;&gt;"",AB938&lt;&gt;"مكتمل 100%"),"✗ إغلاق",IFERROR(IF(LEN(_xlfn.TEXTJOIN("، ",TRUE,IF(E938="","التاريخ",""),IF(F938="","الوقت",""),IF(G938="","المركز",""),IF(H938="","الدائرة",""),IF(I938="","القسم",""),IF(J938="","المسؤول",""),IF(K938="","نوع النشاط",""),IF(L938="","المشروع",""),IF(N938="","الممول",""),IF(V938="","الموضوع",""),IF(W938="","الملاحظة",""),IF(X938="","مشكلة",""),IF(Y938="","الإجراء",""),IF(Z938="","التنفيذ",""),IF(AA938="","الجودة",""),IF(AB938="","الإغلاق",""),IF(AC938="","الخصم",""),IF(AND(COUNTA($O938:$U938)&gt;0,O938=""),"مدير المشروع",""),IF(AND(COUNTA($O938:$U938)&gt;0,P938=""),"المستفيدين",""),IF(AND(COUNTA($O938:$U938)&gt;0,Q938=""),"المناطق",""),IF(AND(COUNTA($O938:$U938)&gt;0,R938=""),"الميزانية",""),IF(AND(COUNTA($O938:$U938)&gt;0,S938=""),"نسبة الجاهزية",""),IF(AND(COUNTA($O938:$U938)&gt;0,T938=""),"حالة الجاهزية",""),IF(AND(COUNTA($O938:$U938)&gt;0,U938=""),"التوصيات","")))&gt;0,"✗ ناقص: "&amp;_xlfn.TEXTJOIN("، ",TRUE,IF(E938="","التاريخ",""),IF(F938="","الوقت",""),IF(G938="","المركز",""),IF(H938="","الدائرة",""),IF(I938="","القسم",""),IF(J938="","المسؤول",""),IF(K938="","نوع النشاط",""),IF(L938="","المشروع",""),IF(N938="","الممول",""),IF(V938="","الموضوع",""),IF(W938="","الملاحظة",""),IF(X938="","مشكلة",""),IF(Y938="","الإجراء",""),IF(Z938="","التنفيذ",""),IF(AA938="","الجودة",""),IF(AB938="","الإغلاق",""),IF(AC938="","الخصم",""),IF(AND(COUNTA($O938:$U938)&gt;0,O938=""),"مدير المشروع",""),IF(AND(COUNTA($O938:$U938)&gt;0,P938=""),"المستفيدين",""),IF(AND(COUNTA($O938:$U938)&gt;0,Q938=""),"المناطق",""),IF(AND(COUNTA($O938:$U938)&gt;0,R938=""),"الميزانية",""),IF(AND(COUNTA($O938:$U938)&gt;0,S938=""),"نسبة الجاهزية",""),IF(AND(COUNTA($O938:$U938)&gt;0,T938=""),"حالة الجاهزية",""),IF(AND(COUNTA($O938:$U938)&gt;0,U938=""),"التوصيات","")),"✓"),"✓"))))))))))</f>
        <v/>
      </c>
      <c r="E938" s="235"/>
      <c r="F938" s="236"/>
      <c r="G938" s="90"/>
      <c r="H938" s="239"/>
      <c r="I938" s="89"/>
      <c r="J938" s="142"/>
      <c r="K938" s="90"/>
      <c r="L938" s="90"/>
      <c r="M938" s="90"/>
      <c r="N938" s="89"/>
      <c r="O938" s="200"/>
      <c r="P938" s="201"/>
      <c r="Q938" s="201"/>
      <c r="R938" s="237"/>
      <c r="S938" s="202"/>
      <c r="T938" s="200"/>
      <c r="U938" s="203"/>
      <c r="V938" s="89"/>
      <c r="W938" s="89"/>
      <c r="X938" s="145"/>
      <c r="Y938" s="89"/>
      <c r="Z938" s="90"/>
      <c r="AA938" s="90"/>
      <c r="AB938" s="90"/>
      <c r="AC938" s="90"/>
      <c r="AD938" s="92"/>
      <c r="AE938" s="149" t="str">
        <f>IFERROR(VLOOKUP(Z938,LISTS!$AL$2:$AM$1000,2,FALSE()),"")</f>
        <v/>
      </c>
      <c r="AF938" s="151" t="str">
        <f>IFERROR(VLOOKUP(AA938,LISTS!$AO$2:$AP$1000,2,FALSE()),"")</f>
        <v/>
      </c>
      <c r="AG938" s="152" t="str">
        <f>IFERROR(VLOOKUP(AB938,LISTS!$AR$2:$AS$1000,2,FALSE()),"")</f>
        <v/>
      </c>
      <c r="AH938" s="154" t="str">
        <f>IFERROR(VLOOKUP(AC938,LISTS!$AU$2:$AV$1000,2,FALSE()),"")</f>
        <v/>
      </c>
      <c r="AI938" s="238" t="str">
        <f t="shared" si="73"/>
        <v>—</v>
      </c>
      <c r="AJ938" s="190" t="str">
        <f t="shared" si="74"/>
        <v>—</v>
      </c>
      <c r="AK938" s="157" t="str">
        <f t="shared" si="75"/>
        <v/>
      </c>
      <c r="AL938" s="160" t="str">
        <f t="shared" si="76"/>
        <v/>
      </c>
      <c r="AM938" s="210"/>
      <c r="AN938" s="209"/>
    </row>
    <row r="939" spans="1:40" ht="27.95" customHeight="1">
      <c r="A939" s="134" t="str">
        <f>IF(I939&lt;&gt;"",COUNTA($I$2:I939),"")</f>
        <v/>
      </c>
      <c r="B939" s="138" t="str">
        <f t="shared" si="77"/>
        <v/>
      </c>
      <c r="C939" s="93" t="str">
        <f t="array" ref="C939">IF(E939="","",IF(M939&lt;&gt;"",
M939&amp;"/"&amp;SUMPRODUCT((M$2:M939=M939)*1)&amp;" - "&amp;(ROW()-2),
"إداري/"&amp;SUMPRODUCT((M$2:M939="")*1)&amp;" - "&amp;(ROW()-2)))</f>
        <v/>
      </c>
      <c r="D939" s="141" t="str">
        <f>IF(AND(G939="",H939="",I939=""),"",IF(COUNTIFS(LISTS!$A$2:$A$67,G939,LISTS!$B$2:$B$67,H939,LISTS!$C$2:$C$67,I939)=0,"✗ هرم",IF(NOT(OR(Z939="ممتاز 100%",Z939="جيد 80%",Z939="مقبول 60%",Z939="خطر 40%",Z939="")),"✗ قائمة R",IF(NOT(OR(AA939="ممتاز 100%",AA939="جيد 85%",AA939="مقبول 70%",AA939="ضعيف 50%",AA939="")),"✗ قائمة S",IF(NOT(OR(AB939="مكتمل 100%",AB939="جزئي 60%",AB939="معلق 30%",AB939="مفتوح 0%",AB939="")),"✗ قائمة T",IF(NOT(OR(AC939="لا خصم 0",AC939="تأخير −5",AC939="عجز −10",AC939="جودة −15",AC939="امتثال −20",AC939="مخالفة −25",AC939="")),"✗ قائمة U",IF(AND(X939="لا",AC939&lt;&gt;"",AC939&lt;&gt;"لا خصم 0"),"✗ خصم",IF(AND(X939="نعم",AC939="لا خصم 0"),"✗ خصم",IF(AND(Z939="ممتاز 100%",AA939="ممتاز 100%",AB939&lt;&gt;"",AB939&lt;&gt;"مكتمل 100%"),"✗ إغلاق",IFERROR(IF(LEN(_xlfn.TEXTJOIN("، ",TRUE,IF(E939="","التاريخ",""),IF(F939="","الوقت",""),IF(G939="","المركز",""),IF(H939="","الدائرة",""),IF(I939="","القسم",""),IF(J939="","المسؤول",""),IF(K939="","نوع النشاط",""),IF(L939="","المشروع",""),IF(N939="","الممول",""),IF(V939="","الموضوع",""),IF(W939="","الملاحظة",""),IF(X939="","مشكلة",""),IF(Y939="","الإجراء",""),IF(Z939="","التنفيذ",""),IF(AA939="","الجودة",""),IF(AB939="","الإغلاق",""),IF(AC939="","الخصم",""),IF(AND(COUNTA($O939:$U939)&gt;0,O939=""),"مدير المشروع",""),IF(AND(COUNTA($O939:$U939)&gt;0,P939=""),"المستفيدين",""),IF(AND(COUNTA($O939:$U939)&gt;0,Q939=""),"المناطق",""),IF(AND(COUNTA($O939:$U939)&gt;0,R939=""),"الميزانية",""),IF(AND(COUNTA($O939:$U939)&gt;0,S939=""),"نسبة الجاهزية",""),IF(AND(COUNTA($O939:$U939)&gt;0,T939=""),"حالة الجاهزية",""),IF(AND(COUNTA($O939:$U939)&gt;0,U939=""),"التوصيات","")))&gt;0,"✗ ناقص: "&amp;_xlfn.TEXTJOIN("، ",TRUE,IF(E939="","التاريخ",""),IF(F939="","الوقت",""),IF(G939="","المركز",""),IF(H939="","الدائرة",""),IF(I939="","القسم",""),IF(J939="","المسؤول",""),IF(K939="","نوع النشاط",""),IF(L939="","المشروع",""),IF(N939="","الممول",""),IF(V939="","الموضوع",""),IF(W939="","الملاحظة",""),IF(X939="","مشكلة",""),IF(Y939="","الإجراء",""),IF(Z939="","التنفيذ",""),IF(AA939="","الجودة",""),IF(AB939="","الإغلاق",""),IF(AC939="","الخصم",""),IF(AND(COUNTA($O939:$U939)&gt;0,O939=""),"مدير المشروع",""),IF(AND(COUNTA($O939:$U939)&gt;0,P939=""),"المستفيدين",""),IF(AND(COUNTA($O939:$U939)&gt;0,Q939=""),"المناطق",""),IF(AND(COUNTA($O939:$U939)&gt;0,R939=""),"الميزانية",""),IF(AND(COUNTA($O939:$U939)&gt;0,S939=""),"نسبة الجاهزية",""),IF(AND(COUNTA($O939:$U939)&gt;0,T939=""),"حالة الجاهزية",""),IF(AND(COUNTA($O939:$U939)&gt;0,U939=""),"التوصيات","")),"✓"),"✓"))))))))))</f>
        <v/>
      </c>
      <c r="E939" s="235"/>
      <c r="F939" s="236"/>
      <c r="G939" s="90"/>
      <c r="H939" s="239"/>
      <c r="I939" s="89"/>
      <c r="J939" s="142"/>
      <c r="K939" s="90"/>
      <c r="L939" s="90"/>
      <c r="M939" s="90"/>
      <c r="N939" s="89"/>
      <c r="O939" s="200"/>
      <c r="P939" s="201"/>
      <c r="Q939" s="201"/>
      <c r="R939" s="237"/>
      <c r="S939" s="202"/>
      <c r="T939" s="200"/>
      <c r="U939" s="203"/>
      <c r="V939" s="89"/>
      <c r="W939" s="89"/>
      <c r="X939" s="145"/>
      <c r="Y939" s="89"/>
      <c r="Z939" s="90"/>
      <c r="AA939" s="90"/>
      <c r="AB939" s="90"/>
      <c r="AC939" s="90"/>
      <c r="AD939" s="92"/>
      <c r="AE939" s="149" t="str">
        <f>IFERROR(VLOOKUP(Z939,LISTS!$AL$2:$AM$1000,2,FALSE()),"")</f>
        <v/>
      </c>
      <c r="AF939" s="151" t="str">
        <f>IFERROR(VLOOKUP(AA939,LISTS!$AO$2:$AP$1000,2,FALSE()),"")</f>
        <v/>
      </c>
      <c r="AG939" s="152" t="str">
        <f>IFERROR(VLOOKUP(AB939,LISTS!$AR$2:$AS$1000,2,FALSE()),"")</f>
        <v/>
      </c>
      <c r="AH939" s="154" t="str">
        <f>IFERROR(VLOOKUP(AC939,LISTS!$AU$2:$AV$1000,2,FALSE()),"")</f>
        <v/>
      </c>
      <c r="AI939" s="238" t="str">
        <f t="shared" si="73"/>
        <v>—</v>
      </c>
      <c r="AJ939" s="190" t="str">
        <f t="shared" si="74"/>
        <v>—</v>
      </c>
      <c r="AK939" s="157" t="str">
        <f t="shared" si="75"/>
        <v/>
      </c>
      <c r="AL939" s="160" t="str">
        <f t="shared" si="76"/>
        <v/>
      </c>
      <c r="AM939" s="210"/>
      <c r="AN939" s="209"/>
    </row>
    <row r="940" spans="1:40" ht="27.95" customHeight="1">
      <c r="A940" s="134" t="str">
        <f>IF(I940&lt;&gt;"",COUNTA($I$2:I940),"")</f>
        <v/>
      </c>
      <c r="B940" s="138" t="str">
        <f t="shared" si="77"/>
        <v/>
      </c>
      <c r="C940" s="93" t="str">
        <f t="array" ref="C940">IF(E940="","",IF(M940&lt;&gt;"",
M940&amp;"/"&amp;SUMPRODUCT((M$2:M940=M940)*1)&amp;" - "&amp;(ROW()-2),
"إداري/"&amp;SUMPRODUCT((M$2:M940="")*1)&amp;" - "&amp;(ROW()-2)))</f>
        <v/>
      </c>
      <c r="D940" s="141" t="str">
        <f>IF(AND(G940="",H940="",I940=""),"",IF(COUNTIFS(LISTS!$A$2:$A$67,G940,LISTS!$B$2:$B$67,H940,LISTS!$C$2:$C$67,I940)=0,"✗ هرم",IF(NOT(OR(Z940="ممتاز 100%",Z940="جيد 80%",Z940="مقبول 60%",Z940="خطر 40%",Z940="")),"✗ قائمة R",IF(NOT(OR(AA940="ممتاز 100%",AA940="جيد 85%",AA940="مقبول 70%",AA940="ضعيف 50%",AA940="")),"✗ قائمة S",IF(NOT(OR(AB940="مكتمل 100%",AB940="جزئي 60%",AB940="معلق 30%",AB940="مفتوح 0%",AB940="")),"✗ قائمة T",IF(NOT(OR(AC940="لا خصم 0",AC940="تأخير −5",AC940="عجز −10",AC940="جودة −15",AC940="امتثال −20",AC940="مخالفة −25",AC940="")),"✗ قائمة U",IF(AND(X940="لا",AC940&lt;&gt;"",AC940&lt;&gt;"لا خصم 0"),"✗ خصم",IF(AND(X940="نعم",AC940="لا خصم 0"),"✗ خصم",IF(AND(Z940="ممتاز 100%",AA940="ممتاز 100%",AB940&lt;&gt;"",AB940&lt;&gt;"مكتمل 100%"),"✗ إغلاق",IFERROR(IF(LEN(_xlfn.TEXTJOIN("، ",TRUE,IF(E940="","التاريخ",""),IF(F940="","الوقت",""),IF(G940="","المركز",""),IF(H940="","الدائرة",""),IF(I940="","القسم",""),IF(J940="","المسؤول",""),IF(K940="","نوع النشاط",""),IF(L940="","المشروع",""),IF(N940="","الممول",""),IF(V940="","الموضوع",""),IF(W940="","الملاحظة",""),IF(X940="","مشكلة",""),IF(Y940="","الإجراء",""),IF(Z940="","التنفيذ",""),IF(AA940="","الجودة",""),IF(AB940="","الإغلاق",""),IF(AC940="","الخصم",""),IF(AND(COUNTA($O940:$U940)&gt;0,O940=""),"مدير المشروع",""),IF(AND(COUNTA($O940:$U940)&gt;0,P940=""),"المستفيدين",""),IF(AND(COUNTA($O940:$U940)&gt;0,Q940=""),"المناطق",""),IF(AND(COUNTA($O940:$U940)&gt;0,R940=""),"الميزانية",""),IF(AND(COUNTA($O940:$U940)&gt;0,S940=""),"نسبة الجاهزية",""),IF(AND(COUNTA($O940:$U940)&gt;0,T940=""),"حالة الجاهزية",""),IF(AND(COUNTA($O940:$U940)&gt;0,U940=""),"التوصيات","")))&gt;0,"✗ ناقص: "&amp;_xlfn.TEXTJOIN("، ",TRUE,IF(E940="","التاريخ",""),IF(F940="","الوقت",""),IF(G940="","المركز",""),IF(H940="","الدائرة",""),IF(I940="","القسم",""),IF(J940="","المسؤول",""),IF(K940="","نوع النشاط",""),IF(L940="","المشروع",""),IF(N940="","الممول",""),IF(V940="","الموضوع",""),IF(W940="","الملاحظة",""),IF(X940="","مشكلة",""),IF(Y940="","الإجراء",""),IF(Z940="","التنفيذ",""),IF(AA940="","الجودة",""),IF(AB940="","الإغلاق",""),IF(AC940="","الخصم",""),IF(AND(COUNTA($O940:$U940)&gt;0,O940=""),"مدير المشروع",""),IF(AND(COUNTA($O940:$U940)&gt;0,P940=""),"المستفيدين",""),IF(AND(COUNTA($O940:$U940)&gt;0,Q940=""),"المناطق",""),IF(AND(COUNTA($O940:$U940)&gt;0,R940=""),"الميزانية",""),IF(AND(COUNTA($O940:$U940)&gt;0,S940=""),"نسبة الجاهزية",""),IF(AND(COUNTA($O940:$U940)&gt;0,T940=""),"حالة الجاهزية",""),IF(AND(COUNTA($O940:$U940)&gt;0,U940=""),"التوصيات","")),"✓"),"✓"))))))))))</f>
        <v/>
      </c>
      <c r="E940" s="235"/>
      <c r="F940" s="236"/>
      <c r="G940" s="90"/>
      <c r="H940" s="239"/>
      <c r="I940" s="89"/>
      <c r="J940" s="142"/>
      <c r="K940" s="90"/>
      <c r="L940" s="90"/>
      <c r="M940" s="90"/>
      <c r="N940" s="89"/>
      <c r="O940" s="200"/>
      <c r="P940" s="201"/>
      <c r="Q940" s="201"/>
      <c r="R940" s="237"/>
      <c r="S940" s="202"/>
      <c r="T940" s="200"/>
      <c r="U940" s="203"/>
      <c r="V940" s="89"/>
      <c r="W940" s="89"/>
      <c r="X940" s="145"/>
      <c r="Y940" s="89"/>
      <c r="Z940" s="90"/>
      <c r="AA940" s="90"/>
      <c r="AB940" s="90"/>
      <c r="AC940" s="90"/>
      <c r="AD940" s="92"/>
      <c r="AE940" s="149" t="str">
        <f>IFERROR(VLOOKUP(Z940,LISTS!$AL$2:$AM$1000,2,FALSE()),"")</f>
        <v/>
      </c>
      <c r="AF940" s="151" t="str">
        <f>IFERROR(VLOOKUP(AA940,LISTS!$AO$2:$AP$1000,2,FALSE()),"")</f>
        <v/>
      </c>
      <c r="AG940" s="152" t="str">
        <f>IFERROR(VLOOKUP(AB940,LISTS!$AR$2:$AS$1000,2,FALSE()),"")</f>
        <v/>
      </c>
      <c r="AH940" s="154" t="str">
        <f>IFERROR(VLOOKUP(AC940,LISTS!$AU$2:$AV$1000,2,FALSE()),"")</f>
        <v/>
      </c>
      <c r="AI940" s="238" t="str">
        <f t="shared" si="73"/>
        <v>—</v>
      </c>
      <c r="AJ940" s="190" t="str">
        <f t="shared" si="74"/>
        <v>—</v>
      </c>
      <c r="AK940" s="157" t="str">
        <f t="shared" si="75"/>
        <v/>
      </c>
      <c r="AL940" s="160" t="str">
        <f t="shared" si="76"/>
        <v/>
      </c>
      <c r="AM940" s="210"/>
      <c r="AN940" s="209"/>
    </row>
    <row r="941" spans="1:40" ht="27.95" customHeight="1">
      <c r="A941" s="134" t="str">
        <f>IF(I941&lt;&gt;"",COUNTA($I$2:I941),"")</f>
        <v/>
      </c>
      <c r="B941" s="138" t="str">
        <f t="shared" si="77"/>
        <v/>
      </c>
      <c r="C941" s="93" t="str">
        <f t="array" ref="C941">IF(E941="","",IF(M941&lt;&gt;"",
M941&amp;"/"&amp;SUMPRODUCT((M$2:M941=M941)*1)&amp;" - "&amp;(ROW()-2),
"إداري/"&amp;SUMPRODUCT((M$2:M941="")*1)&amp;" - "&amp;(ROW()-2)))</f>
        <v/>
      </c>
      <c r="D941" s="141" t="str">
        <f>IF(AND(G941="",H941="",I941=""),"",IF(COUNTIFS(LISTS!$A$2:$A$67,G941,LISTS!$B$2:$B$67,H941,LISTS!$C$2:$C$67,I941)=0,"✗ هرم",IF(NOT(OR(Z941="ممتاز 100%",Z941="جيد 80%",Z941="مقبول 60%",Z941="خطر 40%",Z941="")),"✗ قائمة R",IF(NOT(OR(AA941="ممتاز 100%",AA941="جيد 85%",AA941="مقبول 70%",AA941="ضعيف 50%",AA941="")),"✗ قائمة S",IF(NOT(OR(AB941="مكتمل 100%",AB941="جزئي 60%",AB941="معلق 30%",AB941="مفتوح 0%",AB941="")),"✗ قائمة T",IF(NOT(OR(AC941="لا خصم 0",AC941="تأخير −5",AC941="عجز −10",AC941="جودة −15",AC941="امتثال −20",AC941="مخالفة −25",AC941="")),"✗ قائمة U",IF(AND(X941="لا",AC941&lt;&gt;"",AC941&lt;&gt;"لا خصم 0"),"✗ خصم",IF(AND(X941="نعم",AC941="لا خصم 0"),"✗ خصم",IF(AND(Z941="ممتاز 100%",AA941="ممتاز 100%",AB941&lt;&gt;"",AB941&lt;&gt;"مكتمل 100%"),"✗ إغلاق",IFERROR(IF(LEN(_xlfn.TEXTJOIN("، ",TRUE,IF(E941="","التاريخ",""),IF(F941="","الوقت",""),IF(G941="","المركز",""),IF(H941="","الدائرة",""),IF(I941="","القسم",""),IF(J941="","المسؤول",""),IF(K941="","نوع النشاط",""),IF(L941="","المشروع",""),IF(N941="","الممول",""),IF(V941="","الموضوع",""),IF(W941="","الملاحظة",""),IF(X941="","مشكلة",""),IF(Y941="","الإجراء",""),IF(Z941="","التنفيذ",""),IF(AA941="","الجودة",""),IF(AB941="","الإغلاق",""),IF(AC941="","الخصم",""),IF(AND(COUNTA($O941:$U941)&gt;0,O941=""),"مدير المشروع",""),IF(AND(COUNTA($O941:$U941)&gt;0,P941=""),"المستفيدين",""),IF(AND(COUNTA($O941:$U941)&gt;0,Q941=""),"المناطق",""),IF(AND(COUNTA($O941:$U941)&gt;0,R941=""),"الميزانية",""),IF(AND(COUNTA($O941:$U941)&gt;0,S941=""),"نسبة الجاهزية",""),IF(AND(COUNTA($O941:$U941)&gt;0,T941=""),"حالة الجاهزية",""),IF(AND(COUNTA($O941:$U941)&gt;0,U941=""),"التوصيات","")))&gt;0,"✗ ناقص: "&amp;_xlfn.TEXTJOIN("، ",TRUE,IF(E941="","التاريخ",""),IF(F941="","الوقت",""),IF(G941="","المركز",""),IF(H941="","الدائرة",""),IF(I941="","القسم",""),IF(J941="","المسؤول",""),IF(K941="","نوع النشاط",""),IF(L941="","المشروع",""),IF(N941="","الممول",""),IF(V941="","الموضوع",""),IF(W941="","الملاحظة",""),IF(X941="","مشكلة",""),IF(Y941="","الإجراء",""),IF(Z941="","التنفيذ",""),IF(AA941="","الجودة",""),IF(AB941="","الإغلاق",""),IF(AC941="","الخصم",""),IF(AND(COUNTA($O941:$U941)&gt;0,O941=""),"مدير المشروع",""),IF(AND(COUNTA($O941:$U941)&gt;0,P941=""),"المستفيدين",""),IF(AND(COUNTA($O941:$U941)&gt;0,Q941=""),"المناطق",""),IF(AND(COUNTA($O941:$U941)&gt;0,R941=""),"الميزانية",""),IF(AND(COUNTA($O941:$U941)&gt;0,S941=""),"نسبة الجاهزية",""),IF(AND(COUNTA($O941:$U941)&gt;0,T941=""),"حالة الجاهزية",""),IF(AND(COUNTA($O941:$U941)&gt;0,U941=""),"التوصيات","")),"✓"),"✓"))))))))))</f>
        <v/>
      </c>
      <c r="E941" s="235"/>
      <c r="F941" s="236"/>
      <c r="G941" s="90"/>
      <c r="H941" s="239"/>
      <c r="I941" s="89"/>
      <c r="J941" s="142"/>
      <c r="K941" s="90"/>
      <c r="L941" s="90"/>
      <c r="M941" s="90"/>
      <c r="N941" s="89"/>
      <c r="O941" s="200"/>
      <c r="P941" s="201"/>
      <c r="Q941" s="201"/>
      <c r="R941" s="237"/>
      <c r="S941" s="202"/>
      <c r="T941" s="200"/>
      <c r="U941" s="203"/>
      <c r="V941" s="89"/>
      <c r="W941" s="89"/>
      <c r="X941" s="145"/>
      <c r="Y941" s="89"/>
      <c r="Z941" s="90"/>
      <c r="AA941" s="90"/>
      <c r="AB941" s="90"/>
      <c r="AC941" s="90"/>
      <c r="AD941" s="92"/>
      <c r="AE941" s="149" t="str">
        <f>IFERROR(VLOOKUP(Z941,LISTS!$AL$2:$AM$1000,2,FALSE()),"")</f>
        <v/>
      </c>
      <c r="AF941" s="151" t="str">
        <f>IFERROR(VLOOKUP(AA941,LISTS!$AO$2:$AP$1000,2,FALSE()),"")</f>
        <v/>
      </c>
      <c r="AG941" s="152" t="str">
        <f>IFERROR(VLOOKUP(AB941,LISTS!$AR$2:$AS$1000,2,FALSE()),"")</f>
        <v/>
      </c>
      <c r="AH941" s="154" t="str">
        <f>IFERROR(VLOOKUP(AC941,LISTS!$AU$2:$AV$1000,2,FALSE()),"")</f>
        <v/>
      </c>
      <c r="AI941" s="238" t="str">
        <f t="shared" si="73"/>
        <v>—</v>
      </c>
      <c r="AJ941" s="190" t="str">
        <f t="shared" si="74"/>
        <v>—</v>
      </c>
      <c r="AK941" s="157" t="str">
        <f t="shared" si="75"/>
        <v/>
      </c>
      <c r="AL941" s="160" t="str">
        <f t="shared" si="76"/>
        <v/>
      </c>
      <c r="AM941" s="210"/>
      <c r="AN941" s="209"/>
    </row>
    <row r="942" spans="1:40" ht="27.95" customHeight="1">
      <c r="A942" s="134" t="str">
        <f>IF(I942&lt;&gt;"",COUNTA($I$2:I942),"")</f>
        <v/>
      </c>
      <c r="B942" s="138" t="str">
        <f t="shared" si="77"/>
        <v/>
      </c>
      <c r="C942" s="93" t="str">
        <f t="array" ref="C942">IF(E942="","",IF(M942&lt;&gt;"",
M942&amp;"/"&amp;SUMPRODUCT((M$2:M942=M942)*1)&amp;" - "&amp;(ROW()-2),
"إداري/"&amp;SUMPRODUCT((M$2:M942="")*1)&amp;" - "&amp;(ROW()-2)))</f>
        <v/>
      </c>
      <c r="D942" s="141" t="str">
        <f>IF(AND(G942="",H942="",I942=""),"",IF(COUNTIFS(LISTS!$A$2:$A$67,G942,LISTS!$B$2:$B$67,H942,LISTS!$C$2:$C$67,I942)=0,"✗ هرم",IF(NOT(OR(Z942="ممتاز 100%",Z942="جيد 80%",Z942="مقبول 60%",Z942="خطر 40%",Z942="")),"✗ قائمة R",IF(NOT(OR(AA942="ممتاز 100%",AA942="جيد 85%",AA942="مقبول 70%",AA942="ضعيف 50%",AA942="")),"✗ قائمة S",IF(NOT(OR(AB942="مكتمل 100%",AB942="جزئي 60%",AB942="معلق 30%",AB942="مفتوح 0%",AB942="")),"✗ قائمة T",IF(NOT(OR(AC942="لا خصم 0",AC942="تأخير −5",AC942="عجز −10",AC942="جودة −15",AC942="امتثال −20",AC942="مخالفة −25",AC942="")),"✗ قائمة U",IF(AND(X942="لا",AC942&lt;&gt;"",AC942&lt;&gt;"لا خصم 0"),"✗ خصم",IF(AND(X942="نعم",AC942="لا خصم 0"),"✗ خصم",IF(AND(Z942="ممتاز 100%",AA942="ممتاز 100%",AB942&lt;&gt;"",AB942&lt;&gt;"مكتمل 100%"),"✗ إغلاق",IFERROR(IF(LEN(_xlfn.TEXTJOIN("، ",TRUE,IF(E942="","التاريخ",""),IF(F942="","الوقت",""),IF(G942="","المركز",""),IF(H942="","الدائرة",""),IF(I942="","القسم",""),IF(J942="","المسؤول",""),IF(K942="","نوع النشاط",""),IF(L942="","المشروع",""),IF(N942="","الممول",""),IF(V942="","الموضوع",""),IF(W942="","الملاحظة",""),IF(X942="","مشكلة",""),IF(Y942="","الإجراء",""),IF(Z942="","التنفيذ",""),IF(AA942="","الجودة",""),IF(AB942="","الإغلاق",""),IF(AC942="","الخصم",""),IF(AND(COUNTA($O942:$U942)&gt;0,O942=""),"مدير المشروع",""),IF(AND(COUNTA($O942:$U942)&gt;0,P942=""),"المستفيدين",""),IF(AND(COUNTA($O942:$U942)&gt;0,Q942=""),"المناطق",""),IF(AND(COUNTA($O942:$U942)&gt;0,R942=""),"الميزانية",""),IF(AND(COUNTA($O942:$U942)&gt;0,S942=""),"نسبة الجاهزية",""),IF(AND(COUNTA($O942:$U942)&gt;0,T942=""),"حالة الجاهزية",""),IF(AND(COUNTA($O942:$U942)&gt;0,U942=""),"التوصيات","")))&gt;0,"✗ ناقص: "&amp;_xlfn.TEXTJOIN("، ",TRUE,IF(E942="","التاريخ",""),IF(F942="","الوقت",""),IF(G942="","المركز",""),IF(H942="","الدائرة",""),IF(I942="","القسم",""),IF(J942="","المسؤول",""),IF(K942="","نوع النشاط",""),IF(L942="","المشروع",""),IF(N942="","الممول",""),IF(V942="","الموضوع",""),IF(W942="","الملاحظة",""),IF(X942="","مشكلة",""),IF(Y942="","الإجراء",""),IF(Z942="","التنفيذ",""),IF(AA942="","الجودة",""),IF(AB942="","الإغلاق",""),IF(AC942="","الخصم",""),IF(AND(COUNTA($O942:$U942)&gt;0,O942=""),"مدير المشروع",""),IF(AND(COUNTA($O942:$U942)&gt;0,P942=""),"المستفيدين",""),IF(AND(COUNTA($O942:$U942)&gt;0,Q942=""),"المناطق",""),IF(AND(COUNTA($O942:$U942)&gt;0,R942=""),"الميزانية",""),IF(AND(COUNTA($O942:$U942)&gt;0,S942=""),"نسبة الجاهزية",""),IF(AND(COUNTA($O942:$U942)&gt;0,T942=""),"حالة الجاهزية",""),IF(AND(COUNTA($O942:$U942)&gt;0,U942=""),"التوصيات","")),"✓"),"✓"))))))))))</f>
        <v/>
      </c>
      <c r="E942" s="235"/>
      <c r="F942" s="236"/>
      <c r="G942" s="90"/>
      <c r="H942" s="239"/>
      <c r="I942" s="89"/>
      <c r="J942" s="142"/>
      <c r="K942" s="90"/>
      <c r="L942" s="90"/>
      <c r="M942" s="90"/>
      <c r="N942" s="89"/>
      <c r="O942" s="200"/>
      <c r="P942" s="201"/>
      <c r="Q942" s="201"/>
      <c r="R942" s="237"/>
      <c r="S942" s="202"/>
      <c r="T942" s="200"/>
      <c r="U942" s="203"/>
      <c r="V942" s="89"/>
      <c r="W942" s="89"/>
      <c r="X942" s="145"/>
      <c r="Y942" s="89"/>
      <c r="Z942" s="90"/>
      <c r="AA942" s="90"/>
      <c r="AB942" s="90"/>
      <c r="AC942" s="90"/>
      <c r="AD942" s="92"/>
      <c r="AE942" s="149" t="str">
        <f>IFERROR(VLOOKUP(Z942,LISTS!$AL$2:$AM$1000,2,FALSE()),"")</f>
        <v/>
      </c>
      <c r="AF942" s="151" t="str">
        <f>IFERROR(VLOOKUP(AA942,LISTS!$AO$2:$AP$1000,2,FALSE()),"")</f>
        <v/>
      </c>
      <c r="AG942" s="152" t="str">
        <f>IFERROR(VLOOKUP(AB942,LISTS!$AR$2:$AS$1000,2,FALSE()),"")</f>
        <v/>
      </c>
      <c r="AH942" s="154" t="str">
        <f>IFERROR(VLOOKUP(AC942,LISTS!$AU$2:$AV$1000,2,FALSE()),"")</f>
        <v/>
      </c>
      <c r="AI942" s="238" t="str">
        <f t="shared" si="73"/>
        <v>—</v>
      </c>
      <c r="AJ942" s="190" t="str">
        <f t="shared" si="74"/>
        <v>—</v>
      </c>
      <c r="AK942" s="157" t="str">
        <f t="shared" si="75"/>
        <v/>
      </c>
      <c r="AL942" s="160" t="str">
        <f t="shared" si="76"/>
        <v/>
      </c>
      <c r="AM942" s="210"/>
      <c r="AN942" s="209"/>
    </row>
    <row r="943" spans="1:40" ht="27.95" customHeight="1">
      <c r="A943" s="134" t="str">
        <f>IF(I943&lt;&gt;"",COUNTA($I$2:I943),"")</f>
        <v/>
      </c>
      <c r="B943" s="138" t="str">
        <f t="shared" si="77"/>
        <v/>
      </c>
      <c r="C943" s="93" t="str">
        <f t="array" ref="C943">IF(E943="","",IF(M943&lt;&gt;"",
M943&amp;"/"&amp;SUMPRODUCT((M$2:M943=M943)*1)&amp;" - "&amp;(ROW()-2),
"إداري/"&amp;SUMPRODUCT((M$2:M943="")*1)&amp;" - "&amp;(ROW()-2)))</f>
        <v/>
      </c>
      <c r="D943" s="141" t="str">
        <f>IF(AND(G943="",H943="",I943=""),"",IF(COUNTIFS(LISTS!$A$2:$A$67,G943,LISTS!$B$2:$B$67,H943,LISTS!$C$2:$C$67,I943)=0,"✗ هرم",IF(NOT(OR(Z943="ممتاز 100%",Z943="جيد 80%",Z943="مقبول 60%",Z943="خطر 40%",Z943="")),"✗ قائمة R",IF(NOT(OR(AA943="ممتاز 100%",AA943="جيد 85%",AA943="مقبول 70%",AA943="ضعيف 50%",AA943="")),"✗ قائمة S",IF(NOT(OR(AB943="مكتمل 100%",AB943="جزئي 60%",AB943="معلق 30%",AB943="مفتوح 0%",AB943="")),"✗ قائمة T",IF(NOT(OR(AC943="لا خصم 0",AC943="تأخير −5",AC943="عجز −10",AC943="جودة −15",AC943="امتثال −20",AC943="مخالفة −25",AC943="")),"✗ قائمة U",IF(AND(X943="لا",AC943&lt;&gt;"",AC943&lt;&gt;"لا خصم 0"),"✗ خصم",IF(AND(X943="نعم",AC943="لا خصم 0"),"✗ خصم",IF(AND(Z943="ممتاز 100%",AA943="ممتاز 100%",AB943&lt;&gt;"",AB943&lt;&gt;"مكتمل 100%"),"✗ إغلاق",IFERROR(IF(LEN(_xlfn.TEXTJOIN("، ",TRUE,IF(E943="","التاريخ",""),IF(F943="","الوقت",""),IF(G943="","المركز",""),IF(H943="","الدائرة",""),IF(I943="","القسم",""),IF(J943="","المسؤول",""),IF(K943="","نوع النشاط",""),IF(L943="","المشروع",""),IF(N943="","الممول",""),IF(V943="","الموضوع",""),IF(W943="","الملاحظة",""),IF(X943="","مشكلة",""),IF(Y943="","الإجراء",""),IF(Z943="","التنفيذ",""),IF(AA943="","الجودة",""),IF(AB943="","الإغلاق",""),IF(AC943="","الخصم",""),IF(AND(COUNTA($O943:$U943)&gt;0,O943=""),"مدير المشروع",""),IF(AND(COUNTA($O943:$U943)&gt;0,P943=""),"المستفيدين",""),IF(AND(COUNTA($O943:$U943)&gt;0,Q943=""),"المناطق",""),IF(AND(COUNTA($O943:$U943)&gt;0,R943=""),"الميزانية",""),IF(AND(COUNTA($O943:$U943)&gt;0,S943=""),"نسبة الجاهزية",""),IF(AND(COUNTA($O943:$U943)&gt;0,T943=""),"حالة الجاهزية",""),IF(AND(COUNTA($O943:$U943)&gt;0,U943=""),"التوصيات","")))&gt;0,"✗ ناقص: "&amp;_xlfn.TEXTJOIN("، ",TRUE,IF(E943="","التاريخ",""),IF(F943="","الوقت",""),IF(G943="","المركز",""),IF(H943="","الدائرة",""),IF(I943="","القسم",""),IF(J943="","المسؤول",""),IF(K943="","نوع النشاط",""),IF(L943="","المشروع",""),IF(N943="","الممول",""),IF(V943="","الموضوع",""),IF(W943="","الملاحظة",""),IF(X943="","مشكلة",""),IF(Y943="","الإجراء",""),IF(Z943="","التنفيذ",""),IF(AA943="","الجودة",""),IF(AB943="","الإغلاق",""),IF(AC943="","الخصم",""),IF(AND(COUNTA($O943:$U943)&gt;0,O943=""),"مدير المشروع",""),IF(AND(COUNTA($O943:$U943)&gt;0,P943=""),"المستفيدين",""),IF(AND(COUNTA($O943:$U943)&gt;0,Q943=""),"المناطق",""),IF(AND(COUNTA($O943:$U943)&gt;0,R943=""),"الميزانية",""),IF(AND(COUNTA($O943:$U943)&gt;0,S943=""),"نسبة الجاهزية",""),IF(AND(COUNTA($O943:$U943)&gt;0,T943=""),"حالة الجاهزية",""),IF(AND(COUNTA($O943:$U943)&gt;0,U943=""),"التوصيات","")),"✓"),"✓"))))))))))</f>
        <v/>
      </c>
      <c r="E943" s="235"/>
      <c r="F943" s="236"/>
      <c r="G943" s="90"/>
      <c r="H943" s="239"/>
      <c r="I943" s="89"/>
      <c r="J943" s="142"/>
      <c r="K943" s="90"/>
      <c r="L943" s="90"/>
      <c r="M943" s="90"/>
      <c r="N943" s="89"/>
      <c r="O943" s="200"/>
      <c r="P943" s="201"/>
      <c r="Q943" s="201"/>
      <c r="R943" s="237"/>
      <c r="S943" s="202"/>
      <c r="T943" s="200"/>
      <c r="U943" s="203"/>
      <c r="V943" s="89"/>
      <c r="W943" s="89"/>
      <c r="X943" s="145"/>
      <c r="Y943" s="89"/>
      <c r="Z943" s="90"/>
      <c r="AA943" s="90"/>
      <c r="AB943" s="90"/>
      <c r="AC943" s="90"/>
      <c r="AD943" s="92"/>
      <c r="AE943" s="149" t="str">
        <f>IFERROR(VLOOKUP(Z943,LISTS!$AL$2:$AM$1000,2,FALSE()),"")</f>
        <v/>
      </c>
      <c r="AF943" s="151" t="str">
        <f>IFERROR(VLOOKUP(AA943,LISTS!$AO$2:$AP$1000,2,FALSE()),"")</f>
        <v/>
      </c>
      <c r="AG943" s="152" t="str">
        <f>IFERROR(VLOOKUP(AB943,LISTS!$AR$2:$AS$1000,2,FALSE()),"")</f>
        <v/>
      </c>
      <c r="AH943" s="154" t="str">
        <f>IFERROR(VLOOKUP(AC943,LISTS!$AU$2:$AV$1000,2,FALSE()),"")</f>
        <v/>
      </c>
      <c r="AI943" s="238" t="str">
        <f t="shared" si="73"/>
        <v>—</v>
      </c>
      <c r="AJ943" s="190" t="str">
        <f t="shared" si="74"/>
        <v>—</v>
      </c>
      <c r="AK943" s="157" t="str">
        <f t="shared" si="75"/>
        <v/>
      </c>
      <c r="AL943" s="160" t="str">
        <f t="shared" si="76"/>
        <v/>
      </c>
      <c r="AM943" s="210"/>
      <c r="AN943" s="209"/>
    </row>
    <row r="944" spans="1:40" ht="27.95" customHeight="1">
      <c r="A944" s="134" t="str">
        <f>IF(I944&lt;&gt;"",COUNTA($I$2:I944),"")</f>
        <v/>
      </c>
      <c r="B944" s="138" t="str">
        <f t="shared" si="77"/>
        <v/>
      </c>
      <c r="C944" s="93" t="str">
        <f t="array" ref="C944">IF(E944="","",IF(M944&lt;&gt;"",
M944&amp;"/"&amp;SUMPRODUCT((M$2:M944=M944)*1)&amp;" - "&amp;(ROW()-2),
"إداري/"&amp;SUMPRODUCT((M$2:M944="")*1)&amp;" - "&amp;(ROW()-2)))</f>
        <v/>
      </c>
      <c r="D944" s="141" t="str">
        <f>IF(AND(G944="",H944="",I944=""),"",IF(COUNTIFS(LISTS!$A$2:$A$67,G944,LISTS!$B$2:$B$67,H944,LISTS!$C$2:$C$67,I944)=0,"✗ هرم",IF(NOT(OR(Z944="ممتاز 100%",Z944="جيد 80%",Z944="مقبول 60%",Z944="خطر 40%",Z944="")),"✗ قائمة R",IF(NOT(OR(AA944="ممتاز 100%",AA944="جيد 85%",AA944="مقبول 70%",AA944="ضعيف 50%",AA944="")),"✗ قائمة S",IF(NOT(OR(AB944="مكتمل 100%",AB944="جزئي 60%",AB944="معلق 30%",AB944="مفتوح 0%",AB944="")),"✗ قائمة T",IF(NOT(OR(AC944="لا خصم 0",AC944="تأخير −5",AC944="عجز −10",AC944="جودة −15",AC944="امتثال −20",AC944="مخالفة −25",AC944="")),"✗ قائمة U",IF(AND(X944="لا",AC944&lt;&gt;"",AC944&lt;&gt;"لا خصم 0"),"✗ خصم",IF(AND(X944="نعم",AC944="لا خصم 0"),"✗ خصم",IF(AND(Z944="ممتاز 100%",AA944="ممتاز 100%",AB944&lt;&gt;"",AB944&lt;&gt;"مكتمل 100%"),"✗ إغلاق",IFERROR(IF(LEN(_xlfn.TEXTJOIN("، ",TRUE,IF(E944="","التاريخ",""),IF(F944="","الوقت",""),IF(G944="","المركز",""),IF(H944="","الدائرة",""),IF(I944="","القسم",""),IF(J944="","المسؤول",""),IF(K944="","نوع النشاط",""),IF(L944="","المشروع",""),IF(N944="","الممول",""),IF(V944="","الموضوع",""),IF(W944="","الملاحظة",""),IF(X944="","مشكلة",""),IF(Y944="","الإجراء",""),IF(Z944="","التنفيذ",""),IF(AA944="","الجودة",""),IF(AB944="","الإغلاق",""),IF(AC944="","الخصم",""),IF(AND(COUNTA($O944:$U944)&gt;0,O944=""),"مدير المشروع",""),IF(AND(COUNTA($O944:$U944)&gt;0,P944=""),"المستفيدين",""),IF(AND(COUNTA($O944:$U944)&gt;0,Q944=""),"المناطق",""),IF(AND(COUNTA($O944:$U944)&gt;0,R944=""),"الميزانية",""),IF(AND(COUNTA($O944:$U944)&gt;0,S944=""),"نسبة الجاهزية",""),IF(AND(COUNTA($O944:$U944)&gt;0,T944=""),"حالة الجاهزية",""),IF(AND(COUNTA($O944:$U944)&gt;0,U944=""),"التوصيات","")))&gt;0,"✗ ناقص: "&amp;_xlfn.TEXTJOIN("، ",TRUE,IF(E944="","التاريخ",""),IF(F944="","الوقت",""),IF(G944="","المركز",""),IF(H944="","الدائرة",""),IF(I944="","القسم",""),IF(J944="","المسؤول",""),IF(K944="","نوع النشاط",""),IF(L944="","المشروع",""),IF(N944="","الممول",""),IF(V944="","الموضوع",""),IF(W944="","الملاحظة",""),IF(X944="","مشكلة",""),IF(Y944="","الإجراء",""),IF(Z944="","التنفيذ",""),IF(AA944="","الجودة",""),IF(AB944="","الإغلاق",""),IF(AC944="","الخصم",""),IF(AND(COUNTA($O944:$U944)&gt;0,O944=""),"مدير المشروع",""),IF(AND(COUNTA($O944:$U944)&gt;0,P944=""),"المستفيدين",""),IF(AND(COUNTA($O944:$U944)&gt;0,Q944=""),"المناطق",""),IF(AND(COUNTA($O944:$U944)&gt;0,R944=""),"الميزانية",""),IF(AND(COUNTA($O944:$U944)&gt;0,S944=""),"نسبة الجاهزية",""),IF(AND(COUNTA($O944:$U944)&gt;0,T944=""),"حالة الجاهزية",""),IF(AND(COUNTA($O944:$U944)&gt;0,U944=""),"التوصيات","")),"✓"),"✓"))))))))))</f>
        <v/>
      </c>
      <c r="E944" s="235"/>
      <c r="F944" s="236"/>
      <c r="G944" s="90"/>
      <c r="H944" s="239"/>
      <c r="I944" s="89"/>
      <c r="J944" s="142"/>
      <c r="K944" s="90"/>
      <c r="L944" s="90"/>
      <c r="M944" s="90"/>
      <c r="N944" s="89"/>
      <c r="O944" s="200"/>
      <c r="P944" s="201"/>
      <c r="Q944" s="201"/>
      <c r="R944" s="237"/>
      <c r="S944" s="202"/>
      <c r="T944" s="200"/>
      <c r="U944" s="203"/>
      <c r="V944" s="89"/>
      <c r="W944" s="89"/>
      <c r="X944" s="145"/>
      <c r="Y944" s="89"/>
      <c r="Z944" s="90"/>
      <c r="AA944" s="90"/>
      <c r="AB944" s="90"/>
      <c r="AC944" s="90"/>
      <c r="AD944" s="92"/>
      <c r="AE944" s="149" t="str">
        <f>IFERROR(VLOOKUP(Z944,LISTS!$AL$2:$AM$1000,2,FALSE()),"")</f>
        <v/>
      </c>
      <c r="AF944" s="151" t="str">
        <f>IFERROR(VLOOKUP(AA944,LISTS!$AO$2:$AP$1000,2,FALSE()),"")</f>
        <v/>
      </c>
      <c r="AG944" s="152" t="str">
        <f>IFERROR(VLOOKUP(AB944,LISTS!$AR$2:$AS$1000,2,FALSE()),"")</f>
        <v/>
      </c>
      <c r="AH944" s="154" t="str">
        <f>IFERROR(VLOOKUP(AC944,LISTS!$AU$2:$AV$1000,2,FALSE()),"")</f>
        <v/>
      </c>
      <c r="AI944" s="238" t="str">
        <f t="shared" si="73"/>
        <v>—</v>
      </c>
      <c r="AJ944" s="190" t="str">
        <f t="shared" si="74"/>
        <v>—</v>
      </c>
      <c r="AK944" s="157" t="str">
        <f t="shared" si="75"/>
        <v/>
      </c>
      <c r="AL944" s="160" t="str">
        <f t="shared" si="76"/>
        <v/>
      </c>
      <c r="AM944" s="210"/>
      <c r="AN944" s="209"/>
    </row>
    <row r="945" spans="1:40" ht="27.95" customHeight="1">
      <c r="A945" s="134" t="str">
        <f>IF(I945&lt;&gt;"",COUNTA($I$2:I945),"")</f>
        <v/>
      </c>
      <c r="B945" s="138" t="str">
        <f t="shared" si="77"/>
        <v/>
      </c>
      <c r="C945" s="93" t="str">
        <f t="array" ref="C945">IF(E945="","",IF(M945&lt;&gt;"",
M945&amp;"/"&amp;SUMPRODUCT((M$2:M945=M945)*1)&amp;" - "&amp;(ROW()-2),
"إداري/"&amp;SUMPRODUCT((M$2:M945="")*1)&amp;" - "&amp;(ROW()-2)))</f>
        <v/>
      </c>
      <c r="D945" s="141" t="str">
        <f>IF(AND(G945="",H945="",I945=""),"",IF(COUNTIFS(LISTS!$A$2:$A$67,G945,LISTS!$B$2:$B$67,H945,LISTS!$C$2:$C$67,I945)=0,"✗ هرم",IF(NOT(OR(Z945="ممتاز 100%",Z945="جيد 80%",Z945="مقبول 60%",Z945="خطر 40%",Z945="")),"✗ قائمة R",IF(NOT(OR(AA945="ممتاز 100%",AA945="جيد 85%",AA945="مقبول 70%",AA945="ضعيف 50%",AA945="")),"✗ قائمة S",IF(NOT(OR(AB945="مكتمل 100%",AB945="جزئي 60%",AB945="معلق 30%",AB945="مفتوح 0%",AB945="")),"✗ قائمة T",IF(NOT(OR(AC945="لا خصم 0",AC945="تأخير −5",AC945="عجز −10",AC945="جودة −15",AC945="امتثال −20",AC945="مخالفة −25",AC945="")),"✗ قائمة U",IF(AND(X945="لا",AC945&lt;&gt;"",AC945&lt;&gt;"لا خصم 0"),"✗ خصم",IF(AND(X945="نعم",AC945="لا خصم 0"),"✗ خصم",IF(AND(Z945="ممتاز 100%",AA945="ممتاز 100%",AB945&lt;&gt;"",AB945&lt;&gt;"مكتمل 100%"),"✗ إغلاق",IFERROR(IF(LEN(_xlfn.TEXTJOIN("، ",TRUE,IF(E945="","التاريخ",""),IF(F945="","الوقت",""),IF(G945="","المركز",""),IF(H945="","الدائرة",""),IF(I945="","القسم",""),IF(J945="","المسؤول",""),IF(K945="","نوع النشاط",""),IF(L945="","المشروع",""),IF(N945="","الممول",""),IF(V945="","الموضوع",""),IF(W945="","الملاحظة",""),IF(X945="","مشكلة",""),IF(Y945="","الإجراء",""),IF(Z945="","التنفيذ",""),IF(AA945="","الجودة",""),IF(AB945="","الإغلاق",""),IF(AC945="","الخصم",""),IF(AND(COUNTA($O945:$U945)&gt;0,O945=""),"مدير المشروع",""),IF(AND(COUNTA($O945:$U945)&gt;0,P945=""),"المستفيدين",""),IF(AND(COUNTA($O945:$U945)&gt;0,Q945=""),"المناطق",""),IF(AND(COUNTA($O945:$U945)&gt;0,R945=""),"الميزانية",""),IF(AND(COUNTA($O945:$U945)&gt;0,S945=""),"نسبة الجاهزية",""),IF(AND(COUNTA($O945:$U945)&gt;0,T945=""),"حالة الجاهزية",""),IF(AND(COUNTA($O945:$U945)&gt;0,U945=""),"التوصيات","")))&gt;0,"✗ ناقص: "&amp;_xlfn.TEXTJOIN("، ",TRUE,IF(E945="","التاريخ",""),IF(F945="","الوقت",""),IF(G945="","المركز",""),IF(H945="","الدائرة",""),IF(I945="","القسم",""),IF(J945="","المسؤول",""),IF(K945="","نوع النشاط",""),IF(L945="","المشروع",""),IF(N945="","الممول",""),IF(V945="","الموضوع",""),IF(W945="","الملاحظة",""),IF(X945="","مشكلة",""),IF(Y945="","الإجراء",""),IF(Z945="","التنفيذ",""),IF(AA945="","الجودة",""),IF(AB945="","الإغلاق",""),IF(AC945="","الخصم",""),IF(AND(COUNTA($O945:$U945)&gt;0,O945=""),"مدير المشروع",""),IF(AND(COUNTA($O945:$U945)&gt;0,P945=""),"المستفيدين",""),IF(AND(COUNTA($O945:$U945)&gt;0,Q945=""),"المناطق",""),IF(AND(COUNTA($O945:$U945)&gt;0,R945=""),"الميزانية",""),IF(AND(COUNTA($O945:$U945)&gt;0,S945=""),"نسبة الجاهزية",""),IF(AND(COUNTA($O945:$U945)&gt;0,T945=""),"حالة الجاهزية",""),IF(AND(COUNTA($O945:$U945)&gt;0,U945=""),"التوصيات","")),"✓"),"✓"))))))))))</f>
        <v/>
      </c>
      <c r="E945" s="235"/>
      <c r="F945" s="236"/>
      <c r="G945" s="90"/>
      <c r="H945" s="239"/>
      <c r="I945" s="89"/>
      <c r="J945" s="142"/>
      <c r="K945" s="90"/>
      <c r="L945" s="90"/>
      <c r="M945" s="90"/>
      <c r="N945" s="89"/>
      <c r="O945" s="200"/>
      <c r="P945" s="201"/>
      <c r="Q945" s="201"/>
      <c r="R945" s="237"/>
      <c r="S945" s="202"/>
      <c r="T945" s="200"/>
      <c r="U945" s="203"/>
      <c r="V945" s="89"/>
      <c r="W945" s="89"/>
      <c r="X945" s="145"/>
      <c r="Y945" s="89"/>
      <c r="Z945" s="90"/>
      <c r="AA945" s="90"/>
      <c r="AB945" s="90"/>
      <c r="AC945" s="90"/>
      <c r="AD945" s="92"/>
      <c r="AE945" s="149" t="str">
        <f>IFERROR(VLOOKUP(Z945,LISTS!$AL$2:$AM$1000,2,FALSE()),"")</f>
        <v/>
      </c>
      <c r="AF945" s="151" t="str">
        <f>IFERROR(VLOOKUP(AA945,LISTS!$AO$2:$AP$1000,2,FALSE()),"")</f>
        <v/>
      </c>
      <c r="AG945" s="152" t="str">
        <f>IFERROR(VLOOKUP(AB945,LISTS!$AR$2:$AS$1000,2,FALSE()),"")</f>
        <v/>
      </c>
      <c r="AH945" s="154" t="str">
        <f>IFERROR(VLOOKUP(AC945,LISTS!$AU$2:$AV$1000,2,FALSE()),"")</f>
        <v/>
      </c>
      <c r="AI945" s="238" t="str">
        <f t="shared" si="73"/>
        <v>—</v>
      </c>
      <c r="AJ945" s="190" t="str">
        <f t="shared" si="74"/>
        <v>—</v>
      </c>
      <c r="AK945" s="157" t="str">
        <f t="shared" si="75"/>
        <v/>
      </c>
      <c r="AL945" s="160" t="str">
        <f t="shared" si="76"/>
        <v/>
      </c>
      <c r="AM945" s="210"/>
      <c r="AN945" s="209"/>
    </row>
    <row r="946" spans="1:40" ht="27.95" customHeight="1">
      <c r="A946" s="134" t="str">
        <f>IF(I946&lt;&gt;"",COUNTA($I$2:I946),"")</f>
        <v/>
      </c>
      <c r="B946" s="138" t="str">
        <f t="shared" si="77"/>
        <v/>
      </c>
      <c r="C946" s="93" t="str">
        <f t="array" ref="C946">IF(E946="","",IF(M946&lt;&gt;"",
M946&amp;"/"&amp;SUMPRODUCT((M$2:M946=M946)*1)&amp;" - "&amp;(ROW()-2),
"إداري/"&amp;SUMPRODUCT((M$2:M946="")*1)&amp;" - "&amp;(ROW()-2)))</f>
        <v/>
      </c>
      <c r="D946" s="141" t="str">
        <f>IF(AND(G946="",H946="",I946=""),"",IF(COUNTIFS(LISTS!$A$2:$A$67,G946,LISTS!$B$2:$B$67,H946,LISTS!$C$2:$C$67,I946)=0,"✗ هرم",IF(NOT(OR(Z946="ممتاز 100%",Z946="جيد 80%",Z946="مقبول 60%",Z946="خطر 40%",Z946="")),"✗ قائمة R",IF(NOT(OR(AA946="ممتاز 100%",AA946="جيد 85%",AA946="مقبول 70%",AA946="ضعيف 50%",AA946="")),"✗ قائمة S",IF(NOT(OR(AB946="مكتمل 100%",AB946="جزئي 60%",AB946="معلق 30%",AB946="مفتوح 0%",AB946="")),"✗ قائمة T",IF(NOT(OR(AC946="لا خصم 0",AC946="تأخير −5",AC946="عجز −10",AC946="جودة −15",AC946="امتثال −20",AC946="مخالفة −25",AC946="")),"✗ قائمة U",IF(AND(X946="لا",AC946&lt;&gt;"",AC946&lt;&gt;"لا خصم 0"),"✗ خصم",IF(AND(X946="نعم",AC946="لا خصم 0"),"✗ خصم",IF(AND(Z946="ممتاز 100%",AA946="ممتاز 100%",AB946&lt;&gt;"",AB946&lt;&gt;"مكتمل 100%"),"✗ إغلاق",IFERROR(IF(LEN(_xlfn.TEXTJOIN("، ",TRUE,IF(E946="","التاريخ",""),IF(F946="","الوقت",""),IF(G946="","المركز",""),IF(H946="","الدائرة",""),IF(I946="","القسم",""),IF(J946="","المسؤول",""),IF(K946="","نوع النشاط",""),IF(L946="","المشروع",""),IF(N946="","الممول",""),IF(V946="","الموضوع",""),IF(W946="","الملاحظة",""),IF(X946="","مشكلة",""),IF(Y946="","الإجراء",""),IF(Z946="","التنفيذ",""),IF(AA946="","الجودة",""),IF(AB946="","الإغلاق",""),IF(AC946="","الخصم",""),IF(AND(COUNTA($O946:$U946)&gt;0,O946=""),"مدير المشروع",""),IF(AND(COUNTA($O946:$U946)&gt;0,P946=""),"المستفيدين",""),IF(AND(COUNTA($O946:$U946)&gt;0,Q946=""),"المناطق",""),IF(AND(COUNTA($O946:$U946)&gt;0,R946=""),"الميزانية",""),IF(AND(COUNTA($O946:$U946)&gt;0,S946=""),"نسبة الجاهزية",""),IF(AND(COUNTA($O946:$U946)&gt;0,T946=""),"حالة الجاهزية",""),IF(AND(COUNTA($O946:$U946)&gt;0,U946=""),"التوصيات","")))&gt;0,"✗ ناقص: "&amp;_xlfn.TEXTJOIN("، ",TRUE,IF(E946="","التاريخ",""),IF(F946="","الوقت",""),IF(G946="","المركز",""),IF(H946="","الدائرة",""),IF(I946="","القسم",""),IF(J946="","المسؤول",""),IF(K946="","نوع النشاط",""),IF(L946="","المشروع",""),IF(N946="","الممول",""),IF(V946="","الموضوع",""),IF(W946="","الملاحظة",""),IF(X946="","مشكلة",""),IF(Y946="","الإجراء",""),IF(Z946="","التنفيذ",""),IF(AA946="","الجودة",""),IF(AB946="","الإغلاق",""),IF(AC946="","الخصم",""),IF(AND(COUNTA($O946:$U946)&gt;0,O946=""),"مدير المشروع",""),IF(AND(COUNTA($O946:$U946)&gt;0,P946=""),"المستفيدين",""),IF(AND(COUNTA($O946:$U946)&gt;0,Q946=""),"المناطق",""),IF(AND(COUNTA($O946:$U946)&gt;0,R946=""),"الميزانية",""),IF(AND(COUNTA($O946:$U946)&gt;0,S946=""),"نسبة الجاهزية",""),IF(AND(COUNTA($O946:$U946)&gt;0,T946=""),"حالة الجاهزية",""),IF(AND(COUNTA($O946:$U946)&gt;0,U946=""),"التوصيات","")),"✓"),"✓"))))))))))</f>
        <v/>
      </c>
      <c r="E946" s="235"/>
      <c r="F946" s="236"/>
      <c r="G946" s="90"/>
      <c r="H946" s="239"/>
      <c r="I946" s="89"/>
      <c r="J946" s="142"/>
      <c r="K946" s="90"/>
      <c r="L946" s="90"/>
      <c r="M946" s="90"/>
      <c r="N946" s="89"/>
      <c r="O946" s="200"/>
      <c r="P946" s="201"/>
      <c r="Q946" s="201"/>
      <c r="R946" s="237"/>
      <c r="S946" s="202"/>
      <c r="T946" s="200"/>
      <c r="U946" s="203"/>
      <c r="V946" s="89"/>
      <c r="W946" s="89"/>
      <c r="X946" s="145"/>
      <c r="Y946" s="89"/>
      <c r="Z946" s="90"/>
      <c r="AA946" s="90"/>
      <c r="AB946" s="90"/>
      <c r="AC946" s="90"/>
      <c r="AD946" s="92"/>
      <c r="AE946" s="149" t="str">
        <f>IFERROR(VLOOKUP(Z946,LISTS!$AL$2:$AM$1000,2,FALSE()),"")</f>
        <v/>
      </c>
      <c r="AF946" s="151" t="str">
        <f>IFERROR(VLOOKUP(AA946,LISTS!$AO$2:$AP$1000,2,FALSE()),"")</f>
        <v/>
      </c>
      <c r="AG946" s="152" t="str">
        <f>IFERROR(VLOOKUP(AB946,LISTS!$AR$2:$AS$1000,2,FALSE()),"")</f>
        <v/>
      </c>
      <c r="AH946" s="154" t="str">
        <f>IFERROR(VLOOKUP(AC946,LISTS!$AU$2:$AV$1000,2,FALSE()),"")</f>
        <v/>
      </c>
      <c r="AI946" s="238" t="str">
        <f t="shared" si="73"/>
        <v>—</v>
      </c>
      <c r="AJ946" s="190" t="str">
        <f t="shared" si="74"/>
        <v>—</v>
      </c>
      <c r="AK946" s="157" t="str">
        <f t="shared" si="75"/>
        <v/>
      </c>
      <c r="AL946" s="160" t="str">
        <f t="shared" si="76"/>
        <v/>
      </c>
      <c r="AM946" s="210"/>
      <c r="AN946" s="209"/>
    </row>
    <row r="947" spans="1:40" ht="27.95" customHeight="1">
      <c r="A947" s="134" t="str">
        <f>IF(I947&lt;&gt;"",COUNTA($I$2:I947),"")</f>
        <v/>
      </c>
      <c r="B947" s="138" t="str">
        <f t="shared" si="77"/>
        <v/>
      </c>
      <c r="C947" s="93" t="str">
        <f t="array" ref="C947">IF(E947="","",IF(M947&lt;&gt;"",
M947&amp;"/"&amp;SUMPRODUCT((M$2:M947=M947)*1)&amp;" - "&amp;(ROW()-2),
"إداري/"&amp;SUMPRODUCT((M$2:M947="")*1)&amp;" - "&amp;(ROW()-2)))</f>
        <v/>
      </c>
      <c r="D947" s="141" t="str">
        <f>IF(AND(G947="",H947="",I947=""),"",IF(COUNTIFS(LISTS!$A$2:$A$67,G947,LISTS!$B$2:$B$67,H947,LISTS!$C$2:$C$67,I947)=0,"✗ هرم",IF(NOT(OR(Z947="ممتاز 100%",Z947="جيد 80%",Z947="مقبول 60%",Z947="خطر 40%",Z947="")),"✗ قائمة R",IF(NOT(OR(AA947="ممتاز 100%",AA947="جيد 85%",AA947="مقبول 70%",AA947="ضعيف 50%",AA947="")),"✗ قائمة S",IF(NOT(OR(AB947="مكتمل 100%",AB947="جزئي 60%",AB947="معلق 30%",AB947="مفتوح 0%",AB947="")),"✗ قائمة T",IF(NOT(OR(AC947="لا خصم 0",AC947="تأخير −5",AC947="عجز −10",AC947="جودة −15",AC947="امتثال −20",AC947="مخالفة −25",AC947="")),"✗ قائمة U",IF(AND(X947="لا",AC947&lt;&gt;"",AC947&lt;&gt;"لا خصم 0"),"✗ خصم",IF(AND(X947="نعم",AC947="لا خصم 0"),"✗ خصم",IF(AND(Z947="ممتاز 100%",AA947="ممتاز 100%",AB947&lt;&gt;"",AB947&lt;&gt;"مكتمل 100%"),"✗ إغلاق",IFERROR(IF(LEN(_xlfn.TEXTJOIN("، ",TRUE,IF(E947="","التاريخ",""),IF(F947="","الوقت",""),IF(G947="","المركز",""),IF(H947="","الدائرة",""),IF(I947="","القسم",""),IF(J947="","المسؤول",""),IF(K947="","نوع النشاط",""),IF(L947="","المشروع",""),IF(N947="","الممول",""),IF(V947="","الموضوع",""),IF(W947="","الملاحظة",""),IF(X947="","مشكلة",""),IF(Y947="","الإجراء",""),IF(Z947="","التنفيذ",""),IF(AA947="","الجودة",""),IF(AB947="","الإغلاق",""),IF(AC947="","الخصم",""),IF(AND(COUNTA($O947:$U947)&gt;0,O947=""),"مدير المشروع",""),IF(AND(COUNTA($O947:$U947)&gt;0,P947=""),"المستفيدين",""),IF(AND(COUNTA($O947:$U947)&gt;0,Q947=""),"المناطق",""),IF(AND(COUNTA($O947:$U947)&gt;0,R947=""),"الميزانية",""),IF(AND(COUNTA($O947:$U947)&gt;0,S947=""),"نسبة الجاهزية",""),IF(AND(COUNTA($O947:$U947)&gt;0,T947=""),"حالة الجاهزية",""),IF(AND(COUNTA($O947:$U947)&gt;0,U947=""),"التوصيات","")))&gt;0,"✗ ناقص: "&amp;_xlfn.TEXTJOIN("، ",TRUE,IF(E947="","التاريخ",""),IF(F947="","الوقت",""),IF(G947="","المركز",""),IF(H947="","الدائرة",""),IF(I947="","القسم",""),IF(J947="","المسؤول",""),IF(K947="","نوع النشاط",""),IF(L947="","المشروع",""),IF(N947="","الممول",""),IF(V947="","الموضوع",""),IF(W947="","الملاحظة",""),IF(X947="","مشكلة",""),IF(Y947="","الإجراء",""),IF(Z947="","التنفيذ",""),IF(AA947="","الجودة",""),IF(AB947="","الإغلاق",""),IF(AC947="","الخصم",""),IF(AND(COUNTA($O947:$U947)&gt;0,O947=""),"مدير المشروع",""),IF(AND(COUNTA($O947:$U947)&gt;0,P947=""),"المستفيدين",""),IF(AND(COUNTA($O947:$U947)&gt;0,Q947=""),"المناطق",""),IF(AND(COUNTA($O947:$U947)&gt;0,R947=""),"الميزانية",""),IF(AND(COUNTA($O947:$U947)&gt;0,S947=""),"نسبة الجاهزية",""),IF(AND(COUNTA($O947:$U947)&gt;0,T947=""),"حالة الجاهزية",""),IF(AND(COUNTA($O947:$U947)&gt;0,U947=""),"التوصيات","")),"✓"),"✓"))))))))))</f>
        <v/>
      </c>
      <c r="E947" s="235"/>
      <c r="F947" s="236"/>
      <c r="G947" s="90"/>
      <c r="H947" s="239"/>
      <c r="I947" s="89"/>
      <c r="J947" s="142"/>
      <c r="K947" s="90"/>
      <c r="L947" s="90"/>
      <c r="M947" s="90"/>
      <c r="N947" s="89"/>
      <c r="O947" s="200"/>
      <c r="P947" s="201"/>
      <c r="Q947" s="201"/>
      <c r="R947" s="237"/>
      <c r="S947" s="202"/>
      <c r="T947" s="200"/>
      <c r="U947" s="203"/>
      <c r="V947" s="89"/>
      <c r="W947" s="89"/>
      <c r="X947" s="145"/>
      <c r="Y947" s="89"/>
      <c r="Z947" s="90"/>
      <c r="AA947" s="90"/>
      <c r="AB947" s="90"/>
      <c r="AC947" s="90"/>
      <c r="AD947" s="92"/>
      <c r="AE947" s="149" t="str">
        <f>IFERROR(VLOOKUP(Z947,LISTS!$AL$2:$AM$1000,2,FALSE()),"")</f>
        <v/>
      </c>
      <c r="AF947" s="151" t="str">
        <f>IFERROR(VLOOKUP(AA947,LISTS!$AO$2:$AP$1000,2,FALSE()),"")</f>
        <v/>
      </c>
      <c r="AG947" s="152" t="str">
        <f>IFERROR(VLOOKUP(AB947,LISTS!$AR$2:$AS$1000,2,FALSE()),"")</f>
        <v/>
      </c>
      <c r="AH947" s="154" t="str">
        <f>IFERROR(VLOOKUP(AC947,LISTS!$AU$2:$AV$1000,2,FALSE()),"")</f>
        <v/>
      </c>
      <c r="AI947" s="238" t="str">
        <f t="shared" si="73"/>
        <v>—</v>
      </c>
      <c r="AJ947" s="190" t="str">
        <f t="shared" si="74"/>
        <v>—</v>
      </c>
      <c r="AK947" s="157" t="str">
        <f t="shared" si="75"/>
        <v/>
      </c>
      <c r="AL947" s="160" t="str">
        <f t="shared" si="76"/>
        <v/>
      </c>
      <c r="AM947" s="210"/>
      <c r="AN947" s="209"/>
    </row>
    <row r="948" spans="1:40" ht="27.95" customHeight="1">
      <c r="A948" s="134" t="str">
        <f>IF(I948&lt;&gt;"",COUNTA($I$2:I948),"")</f>
        <v/>
      </c>
      <c r="B948" s="138" t="str">
        <f t="shared" si="77"/>
        <v/>
      </c>
      <c r="C948" s="93" t="str">
        <f t="array" ref="C948">IF(E948="","",IF(M948&lt;&gt;"",
M948&amp;"/"&amp;SUMPRODUCT((M$2:M948=M948)*1)&amp;" - "&amp;(ROW()-2),
"إداري/"&amp;SUMPRODUCT((M$2:M948="")*1)&amp;" - "&amp;(ROW()-2)))</f>
        <v/>
      </c>
      <c r="D948" s="141" t="str">
        <f>IF(AND(G948="",H948="",I948=""),"",IF(COUNTIFS(LISTS!$A$2:$A$67,G948,LISTS!$B$2:$B$67,H948,LISTS!$C$2:$C$67,I948)=0,"✗ هرم",IF(NOT(OR(Z948="ممتاز 100%",Z948="جيد 80%",Z948="مقبول 60%",Z948="خطر 40%",Z948="")),"✗ قائمة R",IF(NOT(OR(AA948="ممتاز 100%",AA948="جيد 85%",AA948="مقبول 70%",AA948="ضعيف 50%",AA948="")),"✗ قائمة S",IF(NOT(OR(AB948="مكتمل 100%",AB948="جزئي 60%",AB948="معلق 30%",AB948="مفتوح 0%",AB948="")),"✗ قائمة T",IF(NOT(OR(AC948="لا خصم 0",AC948="تأخير −5",AC948="عجز −10",AC948="جودة −15",AC948="امتثال −20",AC948="مخالفة −25",AC948="")),"✗ قائمة U",IF(AND(X948="لا",AC948&lt;&gt;"",AC948&lt;&gt;"لا خصم 0"),"✗ خصم",IF(AND(X948="نعم",AC948="لا خصم 0"),"✗ خصم",IF(AND(Z948="ممتاز 100%",AA948="ممتاز 100%",AB948&lt;&gt;"",AB948&lt;&gt;"مكتمل 100%"),"✗ إغلاق",IFERROR(IF(LEN(_xlfn.TEXTJOIN("، ",TRUE,IF(E948="","التاريخ",""),IF(F948="","الوقت",""),IF(G948="","المركز",""),IF(H948="","الدائرة",""),IF(I948="","القسم",""),IF(J948="","المسؤول",""),IF(K948="","نوع النشاط",""),IF(L948="","المشروع",""),IF(N948="","الممول",""),IF(V948="","الموضوع",""),IF(W948="","الملاحظة",""),IF(X948="","مشكلة",""),IF(Y948="","الإجراء",""),IF(Z948="","التنفيذ",""),IF(AA948="","الجودة",""),IF(AB948="","الإغلاق",""),IF(AC948="","الخصم",""),IF(AND(COUNTA($O948:$U948)&gt;0,O948=""),"مدير المشروع",""),IF(AND(COUNTA($O948:$U948)&gt;0,P948=""),"المستفيدين",""),IF(AND(COUNTA($O948:$U948)&gt;0,Q948=""),"المناطق",""),IF(AND(COUNTA($O948:$U948)&gt;0,R948=""),"الميزانية",""),IF(AND(COUNTA($O948:$U948)&gt;0,S948=""),"نسبة الجاهزية",""),IF(AND(COUNTA($O948:$U948)&gt;0,T948=""),"حالة الجاهزية",""),IF(AND(COUNTA($O948:$U948)&gt;0,U948=""),"التوصيات","")))&gt;0,"✗ ناقص: "&amp;_xlfn.TEXTJOIN("، ",TRUE,IF(E948="","التاريخ",""),IF(F948="","الوقت",""),IF(G948="","المركز",""),IF(H948="","الدائرة",""),IF(I948="","القسم",""),IF(J948="","المسؤول",""),IF(K948="","نوع النشاط",""),IF(L948="","المشروع",""),IF(N948="","الممول",""),IF(V948="","الموضوع",""),IF(W948="","الملاحظة",""),IF(X948="","مشكلة",""),IF(Y948="","الإجراء",""),IF(Z948="","التنفيذ",""),IF(AA948="","الجودة",""),IF(AB948="","الإغلاق",""),IF(AC948="","الخصم",""),IF(AND(COUNTA($O948:$U948)&gt;0,O948=""),"مدير المشروع",""),IF(AND(COUNTA($O948:$U948)&gt;0,P948=""),"المستفيدين",""),IF(AND(COUNTA($O948:$U948)&gt;0,Q948=""),"المناطق",""),IF(AND(COUNTA($O948:$U948)&gt;0,R948=""),"الميزانية",""),IF(AND(COUNTA($O948:$U948)&gt;0,S948=""),"نسبة الجاهزية",""),IF(AND(COUNTA($O948:$U948)&gt;0,T948=""),"حالة الجاهزية",""),IF(AND(COUNTA($O948:$U948)&gt;0,U948=""),"التوصيات","")),"✓"),"✓"))))))))))</f>
        <v/>
      </c>
      <c r="E948" s="235"/>
      <c r="F948" s="236"/>
      <c r="G948" s="90"/>
      <c r="H948" s="239"/>
      <c r="I948" s="89"/>
      <c r="J948" s="142"/>
      <c r="K948" s="90"/>
      <c r="L948" s="90"/>
      <c r="M948" s="90"/>
      <c r="N948" s="89"/>
      <c r="O948" s="200"/>
      <c r="P948" s="201"/>
      <c r="Q948" s="201"/>
      <c r="R948" s="237"/>
      <c r="S948" s="202"/>
      <c r="T948" s="200"/>
      <c r="U948" s="203"/>
      <c r="V948" s="89"/>
      <c r="W948" s="89"/>
      <c r="X948" s="145"/>
      <c r="Y948" s="89"/>
      <c r="Z948" s="90"/>
      <c r="AA948" s="90"/>
      <c r="AB948" s="90"/>
      <c r="AC948" s="90"/>
      <c r="AD948" s="92"/>
      <c r="AE948" s="149" t="str">
        <f>IFERROR(VLOOKUP(Z948,LISTS!$AL$2:$AM$1000,2,FALSE()),"")</f>
        <v/>
      </c>
      <c r="AF948" s="151" t="str">
        <f>IFERROR(VLOOKUP(AA948,LISTS!$AO$2:$AP$1000,2,FALSE()),"")</f>
        <v/>
      </c>
      <c r="AG948" s="152" t="str">
        <f>IFERROR(VLOOKUP(AB948,LISTS!$AR$2:$AS$1000,2,FALSE()),"")</f>
        <v/>
      </c>
      <c r="AH948" s="154" t="str">
        <f>IFERROR(VLOOKUP(AC948,LISTS!$AU$2:$AV$1000,2,FALSE()),"")</f>
        <v/>
      </c>
      <c r="AI948" s="238" t="str">
        <f t="shared" si="73"/>
        <v>—</v>
      </c>
      <c r="AJ948" s="190" t="str">
        <f t="shared" si="74"/>
        <v>—</v>
      </c>
      <c r="AK948" s="157" t="str">
        <f t="shared" si="75"/>
        <v/>
      </c>
      <c r="AL948" s="160" t="str">
        <f t="shared" si="76"/>
        <v/>
      </c>
      <c r="AM948" s="210"/>
      <c r="AN948" s="209"/>
    </row>
    <row r="949" spans="1:40" ht="27.95" customHeight="1">
      <c r="A949" s="134" t="str">
        <f>IF(I949&lt;&gt;"",COUNTA($I$2:I949),"")</f>
        <v/>
      </c>
      <c r="B949" s="138" t="str">
        <f t="shared" si="77"/>
        <v/>
      </c>
      <c r="C949" s="93" t="str">
        <f t="array" ref="C949">IF(E949="","",IF(M949&lt;&gt;"",
M949&amp;"/"&amp;SUMPRODUCT((M$2:M949=M949)*1)&amp;" - "&amp;(ROW()-2),
"إداري/"&amp;SUMPRODUCT((M$2:M949="")*1)&amp;" - "&amp;(ROW()-2)))</f>
        <v/>
      </c>
      <c r="D949" s="141" t="str">
        <f>IF(AND(G949="",H949="",I949=""),"",IF(COUNTIFS(LISTS!$A$2:$A$67,G949,LISTS!$B$2:$B$67,H949,LISTS!$C$2:$C$67,I949)=0,"✗ هرم",IF(NOT(OR(Z949="ممتاز 100%",Z949="جيد 80%",Z949="مقبول 60%",Z949="خطر 40%",Z949="")),"✗ قائمة R",IF(NOT(OR(AA949="ممتاز 100%",AA949="جيد 85%",AA949="مقبول 70%",AA949="ضعيف 50%",AA949="")),"✗ قائمة S",IF(NOT(OR(AB949="مكتمل 100%",AB949="جزئي 60%",AB949="معلق 30%",AB949="مفتوح 0%",AB949="")),"✗ قائمة T",IF(NOT(OR(AC949="لا خصم 0",AC949="تأخير −5",AC949="عجز −10",AC949="جودة −15",AC949="امتثال −20",AC949="مخالفة −25",AC949="")),"✗ قائمة U",IF(AND(X949="لا",AC949&lt;&gt;"",AC949&lt;&gt;"لا خصم 0"),"✗ خصم",IF(AND(X949="نعم",AC949="لا خصم 0"),"✗ خصم",IF(AND(Z949="ممتاز 100%",AA949="ممتاز 100%",AB949&lt;&gt;"",AB949&lt;&gt;"مكتمل 100%"),"✗ إغلاق",IFERROR(IF(LEN(_xlfn.TEXTJOIN("، ",TRUE,IF(E949="","التاريخ",""),IF(F949="","الوقت",""),IF(G949="","المركز",""),IF(H949="","الدائرة",""),IF(I949="","القسم",""),IF(J949="","المسؤول",""),IF(K949="","نوع النشاط",""),IF(L949="","المشروع",""),IF(N949="","الممول",""),IF(V949="","الموضوع",""),IF(W949="","الملاحظة",""),IF(X949="","مشكلة",""),IF(Y949="","الإجراء",""),IF(Z949="","التنفيذ",""),IF(AA949="","الجودة",""),IF(AB949="","الإغلاق",""),IF(AC949="","الخصم",""),IF(AND(COUNTA($O949:$U949)&gt;0,O949=""),"مدير المشروع",""),IF(AND(COUNTA($O949:$U949)&gt;0,P949=""),"المستفيدين",""),IF(AND(COUNTA($O949:$U949)&gt;0,Q949=""),"المناطق",""),IF(AND(COUNTA($O949:$U949)&gt;0,R949=""),"الميزانية",""),IF(AND(COUNTA($O949:$U949)&gt;0,S949=""),"نسبة الجاهزية",""),IF(AND(COUNTA($O949:$U949)&gt;0,T949=""),"حالة الجاهزية",""),IF(AND(COUNTA($O949:$U949)&gt;0,U949=""),"التوصيات","")))&gt;0,"✗ ناقص: "&amp;_xlfn.TEXTJOIN("، ",TRUE,IF(E949="","التاريخ",""),IF(F949="","الوقت",""),IF(G949="","المركز",""),IF(H949="","الدائرة",""),IF(I949="","القسم",""),IF(J949="","المسؤول",""),IF(K949="","نوع النشاط",""),IF(L949="","المشروع",""),IF(N949="","الممول",""),IF(V949="","الموضوع",""),IF(W949="","الملاحظة",""),IF(X949="","مشكلة",""),IF(Y949="","الإجراء",""),IF(Z949="","التنفيذ",""),IF(AA949="","الجودة",""),IF(AB949="","الإغلاق",""),IF(AC949="","الخصم",""),IF(AND(COUNTA($O949:$U949)&gt;0,O949=""),"مدير المشروع",""),IF(AND(COUNTA($O949:$U949)&gt;0,P949=""),"المستفيدين",""),IF(AND(COUNTA($O949:$U949)&gt;0,Q949=""),"المناطق",""),IF(AND(COUNTA($O949:$U949)&gt;0,R949=""),"الميزانية",""),IF(AND(COUNTA($O949:$U949)&gt;0,S949=""),"نسبة الجاهزية",""),IF(AND(COUNTA($O949:$U949)&gt;0,T949=""),"حالة الجاهزية",""),IF(AND(COUNTA($O949:$U949)&gt;0,U949=""),"التوصيات","")),"✓"),"✓"))))))))))</f>
        <v/>
      </c>
      <c r="E949" s="235"/>
      <c r="F949" s="236"/>
      <c r="G949" s="90"/>
      <c r="H949" s="239"/>
      <c r="I949" s="89"/>
      <c r="J949" s="142"/>
      <c r="K949" s="90"/>
      <c r="L949" s="90"/>
      <c r="M949" s="90"/>
      <c r="N949" s="89"/>
      <c r="O949" s="200"/>
      <c r="P949" s="201"/>
      <c r="Q949" s="201"/>
      <c r="R949" s="237"/>
      <c r="S949" s="202"/>
      <c r="T949" s="200"/>
      <c r="U949" s="203"/>
      <c r="V949" s="89"/>
      <c r="W949" s="89"/>
      <c r="X949" s="145"/>
      <c r="Y949" s="89"/>
      <c r="Z949" s="90"/>
      <c r="AA949" s="90"/>
      <c r="AB949" s="90"/>
      <c r="AC949" s="90"/>
      <c r="AD949" s="92"/>
      <c r="AE949" s="149" t="str">
        <f>IFERROR(VLOOKUP(Z949,LISTS!$AL$2:$AM$1000,2,FALSE()),"")</f>
        <v/>
      </c>
      <c r="AF949" s="151" t="str">
        <f>IFERROR(VLOOKUP(AA949,LISTS!$AO$2:$AP$1000,2,FALSE()),"")</f>
        <v/>
      </c>
      <c r="AG949" s="152" t="str">
        <f>IFERROR(VLOOKUP(AB949,LISTS!$AR$2:$AS$1000,2,FALSE()),"")</f>
        <v/>
      </c>
      <c r="AH949" s="154" t="str">
        <f>IFERROR(VLOOKUP(AC949,LISTS!$AU$2:$AV$1000,2,FALSE()),"")</f>
        <v/>
      </c>
      <c r="AI949" s="238" t="str">
        <f t="shared" si="73"/>
        <v>—</v>
      </c>
      <c r="AJ949" s="190" t="str">
        <f t="shared" si="74"/>
        <v>—</v>
      </c>
      <c r="AK949" s="157" t="str">
        <f t="shared" si="75"/>
        <v/>
      </c>
      <c r="AL949" s="160" t="str">
        <f t="shared" si="76"/>
        <v/>
      </c>
      <c r="AM949" s="210"/>
      <c r="AN949" s="209"/>
    </row>
    <row r="950" spans="1:40" ht="27.95" customHeight="1">
      <c r="A950" s="134" t="str">
        <f>IF(I950&lt;&gt;"",COUNTA($I$2:I950),"")</f>
        <v/>
      </c>
      <c r="B950" s="138" t="str">
        <f t="shared" si="77"/>
        <v/>
      </c>
      <c r="C950" s="93" t="str">
        <f t="array" ref="C950">IF(E950="","",IF(M950&lt;&gt;"",
M950&amp;"/"&amp;SUMPRODUCT((M$2:M950=M950)*1)&amp;" - "&amp;(ROW()-2),
"إداري/"&amp;SUMPRODUCT((M$2:M950="")*1)&amp;" - "&amp;(ROW()-2)))</f>
        <v/>
      </c>
      <c r="D950" s="141" t="str">
        <f>IF(AND(G950="",H950="",I950=""),"",IF(COUNTIFS(LISTS!$A$2:$A$67,G950,LISTS!$B$2:$B$67,H950,LISTS!$C$2:$C$67,I950)=0,"✗ هرم",IF(NOT(OR(Z950="ممتاز 100%",Z950="جيد 80%",Z950="مقبول 60%",Z950="خطر 40%",Z950="")),"✗ قائمة R",IF(NOT(OR(AA950="ممتاز 100%",AA950="جيد 85%",AA950="مقبول 70%",AA950="ضعيف 50%",AA950="")),"✗ قائمة S",IF(NOT(OR(AB950="مكتمل 100%",AB950="جزئي 60%",AB950="معلق 30%",AB950="مفتوح 0%",AB950="")),"✗ قائمة T",IF(NOT(OR(AC950="لا خصم 0",AC950="تأخير −5",AC950="عجز −10",AC950="جودة −15",AC950="امتثال −20",AC950="مخالفة −25",AC950="")),"✗ قائمة U",IF(AND(X950="لا",AC950&lt;&gt;"",AC950&lt;&gt;"لا خصم 0"),"✗ خصم",IF(AND(X950="نعم",AC950="لا خصم 0"),"✗ خصم",IF(AND(Z950="ممتاز 100%",AA950="ممتاز 100%",AB950&lt;&gt;"",AB950&lt;&gt;"مكتمل 100%"),"✗ إغلاق",IFERROR(IF(LEN(_xlfn.TEXTJOIN("، ",TRUE,IF(E950="","التاريخ",""),IF(F950="","الوقت",""),IF(G950="","المركز",""),IF(H950="","الدائرة",""),IF(I950="","القسم",""),IF(J950="","المسؤول",""),IF(K950="","نوع النشاط",""),IF(L950="","المشروع",""),IF(N950="","الممول",""),IF(V950="","الموضوع",""),IF(W950="","الملاحظة",""),IF(X950="","مشكلة",""),IF(Y950="","الإجراء",""),IF(Z950="","التنفيذ",""),IF(AA950="","الجودة",""),IF(AB950="","الإغلاق",""),IF(AC950="","الخصم",""),IF(AND(COUNTA($O950:$U950)&gt;0,O950=""),"مدير المشروع",""),IF(AND(COUNTA($O950:$U950)&gt;0,P950=""),"المستفيدين",""),IF(AND(COUNTA($O950:$U950)&gt;0,Q950=""),"المناطق",""),IF(AND(COUNTA($O950:$U950)&gt;0,R950=""),"الميزانية",""),IF(AND(COUNTA($O950:$U950)&gt;0,S950=""),"نسبة الجاهزية",""),IF(AND(COUNTA($O950:$U950)&gt;0,T950=""),"حالة الجاهزية",""),IF(AND(COUNTA($O950:$U950)&gt;0,U950=""),"التوصيات","")))&gt;0,"✗ ناقص: "&amp;_xlfn.TEXTJOIN("، ",TRUE,IF(E950="","التاريخ",""),IF(F950="","الوقت",""),IF(G950="","المركز",""),IF(H950="","الدائرة",""),IF(I950="","القسم",""),IF(J950="","المسؤول",""),IF(K950="","نوع النشاط",""),IF(L950="","المشروع",""),IF(N950="","الممول",""),IF(V950="","الموضوع",""),IF(W950="","الملاحظة",""),IF(X950="","مشكلة",""),IF(Y950="","الإجراء",""),IF(Z950="","التنفيذ",""),IF(AA950="","الجودة",""),IF(AB950="","الإغلاق",""),IF(AC950="","الخصم",""),IF(AND(COUNTA($O950:$U950)&gt;0,O950=""),"مدير المشروع",""),IF(AND(COUNTA($O950:$U950)&gt;0,P950=""),"المستفيدين",""),IF(AND(COUNTA($O950:$U950)&gt;0,Q950=""),"المناطق",""),IF(AND(COUNTA($O950:$U950)&gt;0,R950=""),"الميزانية",""),IF(AND(COUNTA($O950:$U950)&gt;0,S950=""),"نسبة الجاهزية",""),IF(AND(COUNTA($O950:$U950)&gt;0,T950=""),"حالة الجاهزية",""),IF(AND(COUNTA($O950:$U950)&gt;0,U950=""),"التوصيات","")),"✓"),"✓"))))))))))</f>
        <v/>
      </c>
      <c r="E950" s="235"/>
      <c r="F950" s="236"/>
      <c r="G950" s="90"/>
      <c r="H950" s="239"/>
      <c r="I950" s="89"/>
      <c r="J950" s="142"/>
      <c r="K950" s="90"/>
      <c r="L950" s="90"/>
      <c r="M950" s="90"/>
      <c r="N950" s="89"/>
      <c r="O950" s="200"/>
      <c r="P950" s="201"/>
      <c r="Q950" s="201"/>
      <c r="R950" s="237"/>
      <c r="S950" s="202"/>
      <c r="T950" s="200"/>
      <c r="U950" s="203"/>
      <c r="V950" s="89"/>
      <c r="W950" s="89"/>
      <c r="X950" s="145"/>
      <c r="Y950" s="89"/>
      <c r="Z950" s="90"/>
      <c r="AA950" s="90"/>
      <c r="AB950" s="90"/>
      <c r="AC950" s="90"/>
      <c r="AD950" s="92"/>
      <c r="AE950" s="149" t="str">
        <f>IFERROR(VLOOKUP(Z950,LISTS!$AL$2:$AM$1000,2,FALSE()),"")</f>
        <v/>
      </c>
      <c r="AF950" s="151" t="str">
        <f>IFERROR(VLOOKUP(AA950,LISTS!$AO$2:$AP$1000,2,FALSE()),"")</f>
        <v/>
      </c>
      <c r="AG950" s="152" t="str">
        <f>IFERROR(VLOOKUP(AB950,LISTS!$AR$2:$AS$1000,2,FALSE()),"")</f>
        <v/>
      </c>
      <c r="AH950" s="154" t="str">
        <f>IFERROR(VLOOKUP(AC950,LISTS!$AU$2:$AV$1000,2,FALSE()),"")</f>
        <v/>
      </c>
      <c r="AI950" s="238" t="str">
        <f t="shared" si="73"/>
        <v>—</v>
      </c>
      <c r="AJ950" s="190" t="str">
        <f t="shared" si="74"/>
        <v>—</v>
      </c>
      <c r="AK950" s="157" t="str">
        <f t="shared" si="75"/>
        <v/>
      </c>
      <c r="AL950" s="160" t="str">
        <f t="shared" si="76"/>
        <v/>
      </c>
      <c r="AM950" s="210"/>
      <c r="AN950" s="209"/>
    </row>
    <row r="951" spans="1:40" ht="27.95" customHeight="1">
      <c r="A951" s="134" t="str">
        <f>IF(I951&lt;&gt;"",COUNTA($I$2:I951),"")</f>
        <v/>
      </c>
      <c r="B951" s="138" t="str">
        <f t="shared" si="77"/>
        <v/>
      </c>
      <c r="C951" s="93" t="str">
        <f t="array" ref="C951">IF(E951="","",IF(M951&lt;&gt;"",
M951&amp;"/"&amp;SUMPRODUCT((M$2:M951=M951)*1)&amp;" - "&amp;(ROW()-2),
"إداري/"&amp;SUMPRODUCT((M$2:M951="")*1)&amp;" - "&amp;(ROW()-2)))</f>
        <v/>
      </c>
      <c r="D951" s="141" t="str">
        <f>IF(AND(G951="",H951="",I951=""),"",IF(COUNTIFS(LISTS!$A$2:$A$67,G951,LISTS!$B$2:$B$67,H951,LISTS!$C$2:$C$67,I951)=0,"✗ هرم",IF(NOT(OR(Z951="ممتاز 100%",Z951="جيد 80%",Z951="مقبول 60%",Z951="خطر 40%",Z951="")),"✗ قائمة R",IF(NOT(OR(AA951="ممتاز 100%",AA951="جيد 85%",AA951="مقبول 70%",AA951="ضعيف 50%",AA951="")),"✗ قائمة S",IF(NOT(OR(AB951="مكتمل 100%",AB951="جزئي 60%",AB951="معلق 30%",AB951="مفتوح 0%",AB951="")),"✗ قائمة T",IF(NOT(OR(AC951="لا خصم 0",AC951="تأخير −5",AC951="عجز −10",AC951="جودة −15",AC951="امتثال −20",AC951="مخالفة −25",AC951="")),"✗ قائمة U",IF(AND(X951="لا",AC951&lt;&gt;"",AC951&lt;&gt;"لا خصم 0"),"✗ خصم",IF(AND(X951="نعم",AC951="لا خصم 0"),"✗ خصم",IF(AND(Z951="ممتاز 100%",AA951="ممتاز 100%",AB951&lt;&gt;"",AB951&lt;&gt;"مكتمل 100%"),"✗ إغلاق",IFERROR(IF(LEN(_xlfn.TEXTJOIN("، ",TRUE,IF(E951="","التاريخ",""),IF(F951="","الوقت",""),IF(G951="","المركز",""),IF(H951="","الدائرة",""),IF(I951="","القسم",""),IF(J951="","المسؤول",""),IF(K951="","نوع النشاط",""),IF(L951="","المشروع",""),IF(N951="","الممول",""),IF(V951="","الموضوع",""),IF(W951="","الملاحظة",""),IF(X951="","مشكلة",""),IF(Y951="","الإجراء",""),IF(Z951="","التنفيذ",""),IF(AA951="","الجودة",""),IF(AB951="","الإغلاق",""),IF(AC951="","الخصم",""),IF(AND(COUNTA($O951:$U951)&gt;0,O951=""),"مدير المشروع",""),IF(AND(COUNTA($O951:$U951)&gt;0,P951=""),"المستفيدين",""),IF(AND(COUNTA($O951:$U951)&gt;0,Q951=""),"المناطق",""),IF(AND(COUNTA($O951:$U951)&gt;0,R951=""),"الميزانية",""),IF(AND(COUNTA($O951:$U951)&gt;0,S951=""),"نسبة الجاهزية",""),IF(AND(COUNTA($O951:$U951)&gt;0,T951=""),"حالة الجاهزية",""),IF(AND(COUNTA($O951:$U951)&gt;0,U951=""),"التوصيات","")))&gt;0,"✗ ناقص: "&amp;_xlfn.TEXTJOIN("، ",TRUE,IF(E951="","التاريخ",""),IF(F951="","الوقت",""),IF(G951="","المركز",""),IF(H951="","الدائرة",""),IF(I951="","القسم",""),IF(J951="","المسؤول",""),IF(K951="","نوع النشاط",""),IF(L951="","المشروع",""),IF(N951="","الممول",""),IF(V951="","الموضوع",""),IF(W951="","الملاحظة",""),IF(X951="","مشكلة",""),IF(Y951="","الإجراء",""),IF(Z951="","التنفيذ",""),IF(AA951="","الجودة",""),IF(AB951="","الإغلاق",""),IF(AC951="","الخصم",""),IF(AND(COUNTA($O951:$U951)&gt;0,O951=""),"مدير المشروع",""),IF(AND(COUNTA($O951:$U951)&gt;0,P951=""),"المستفيدين",""),IF(AND(COUNTA($O951:$U951)&gt;0,Q951=""),"المناطق",""),IF(AND(COUNTA($O951:$U951)&gt;0,R951=""),"الميزانية",""),IF(AND(COUNTA($O951:$U951)&gt;0,S951=""),"نسبة الجاهزية",""),IF(AND(COUNTA($O951:$U951)&gt;0,T951=""),"حالة الجاهزية",""),IF(AND(COUNTA($O951:$U951)&gt;0,U951=""),"التوصيات","")),"✓"),"✓"))))))))))</f>
        <v/>
      </c>
      <c r="E951" s="235"/>
      <c r="F951" s="236"/>
      <c r="G951" s="90"/>
      <c r="H951" s="239"/>
      <c r="I951" s="89"/>
      <c r="J951" s="142"/>
      <c r="K951" s="90"/>
      <c r="L951" s="90"/>
      <c r="M951" s="90"/>
      <c r="N951" s="89"/>
      <c r="O951" s="200"/>
      <c r="P951" s="201"/>
      <c r="Q951" s="201"/>
      <c r="R951" s="237"/>
      <c r="S951" s="202"/>
      <c r="T951" s="200"/>
      <c r="U951" s="203"/>
      <c r="V951" s="89"/>
      <c r="W951" s="89"/>
      <c r="X951" s="145"/>
      <c r="Y951" s="89"/>
      <c r="Z951" s="90"/>
      <c r="AA951" s="90"/>
      <c r="AB951" s="90"/>
      <c r="AC951" s="90"/>
      <c r="AD951" s="92"/>
      <c r="AE951" s="149" t="str">
        <f>IFERROR(VLOOKUP(Z951,LISTS!$AL$2:$AM$1000,2,FALSE()),"")</f>
        <v/>
      </c>
      <c r="AF951" s="151" t="str">
        <f>IFERROR(VLOOKUP(AA951,LISTS!$AO$2:$AP$1000,2,FALSE()),"")</f>
        <v/>
      </c>
      <c r="AG951" s="152" t="str">
        <f>IFERROR(VLOOKUP(AB951,LISTS!$AR$2:$AS$1000,2,FALSE()),"")</f>
        <v/>
      </c>
      <c r="AH951" s="154" t="str">
        <f>IFERROR(VLOOKUP(AC951,LISTS!$AU$2:$AV$1000,2,FALSE()),"")</f>
        <v/>
      </c>
      <c r="AI951" s="238" t="str">
        <f t="shared" si="73"/>
        <v>—</v>
      </c>
      <c r="AJ951" s="190" t="str">
        <f t="shared" si="74"/>
        <v>—</v>
      </c>
      <c r="AK951" s="157" t="str">
        <f t="shared" si="75"/>
        <v/>
      </c>
      <c r="AL951" s="160" t="str">
        <f t="shared" si="76"/>
        <v/>
      </c>
      <c r="AM951" s="210"/>
      <c r="AN951" s="209"/>
    </row>
    <row r="952" spans="1:40" ht="27.95" customHeight="1">
      <c r="A952" s="134" t="str">
        <f>IF(I952&lt;&gt;"",COUNTA($I$2:I952),"")</f>
        <v/>
      </c>
      <c r="B952" s="138" t="str">
        <f t="shared" si="77"/>
        <v/>
      </c>
      <c r="C952" s="93" t="str">
        <f t="array" ref="C952">IF(E952="","",IF(M952&lt;&gt;"",
M952&amp;"/"&amp;SUMPRODUCT((M$2:M952=M952)*1)&amp;" - "&amp;(ROW()-2),
"إداري/"&amp;SUMPRODUCT((M$2:M952="")*1)&amp;" - "&amp;(ROW()-2)))</f>
        <v/>
      </c>
      <c r="D952" s="141" t="str">
        <f>IF(AND(G952="",H952="",I952=""),"",IF(COUNTIFS(LISTS!$A$2:$A$67,G952,LISTS!$B$2:$B$67,H952,LISTS!$C$2:$C$67,I952)=0,"✗ هرم",IF(NOT(OR(Z952="ممتاز 100%",Z952="جيد 80%",Z952="مقبول 60%",Z952="خطر 40%",Z952="")),"✗ قائمة R",IF(NOT(OR(AA952="ممتاز 100%",AA952="جيد 85%",AA952="مقبول 70%",AA952="ضعيف 50%",AA952="")),"✗ قائمة S",IF(NOT(OR(AB952="مكتمل 100%",AB952="جزئي 60%",AB952="معلق 30%",AB952="مفتوح 0%",AB952="")),"✗ قائمة T",IF(NOT(OR(AC952="لا خصم 0",AC952="تأخير −5",AC952="عجز −10",AC952="جودة −15",AC952="امتثال −20",AC952="مخالفة −25",AC952="")),"✗ قائمة U",IF(AND(X952="لا",AC952&lt;&gt;"",AC952&lt;&gt;"لا خصم 0"),"✗ خصم",IF(AND(X952="نعم",AC952="لا خصم 0"),"✗ خصم",IF(AND(Z952="ممتاز 100%",AA952="ممتاز 100%",AB952&lt;&gt;"",AB952&lt;&gt;"مكتمل 100%"),"✗ إغلاق",IFERROR(IF(LEN(_xlfn.TEXTJOIN("، ",TRUE,IF(E952="","التاريخ",""),IF(F952="","الوقت",""),IF(G952="","المركز",""),IF(H952="","الدائرة",""),IF(I952="","القسم",""),IF(J952="","المسؤول",""),IF(K952="","نوع النشاط",""),IF(L952="","المشروع",""),IF(N952="","الممول",""),IF(V952="","الموضوع",""),IF(W952="","الملاحظة",""),IF(X952="","مشكلة",""),IF(Y952="","الإجراء",""),IF(Z952="","التنفيذ",""),IF(AA952="","الجودة",""),IF(AB952="","الإغلاق",""),IF(AC952="","الخصم",""),IF(AND(COUNTA($O952:$U952)&gt;0,O952=""),"مدير المشروع",""),IF(AND(COUNTA($O952:$U952)&gt;0,P952=""),"المستفيدين",""),IF(AND(COUNTA($O952:$U952)&gt;0,Q952=""),"المناطق",""),IF(AND(COUNTA($O952:$U952)&gt;0,R952=""),"الميزانية",""),IF(AND(COUNTA($O952:$U952)&gt;0,S952=""),"نسبة الجاهزية",""),IF(AND(COUNTA($O952:$U952)&gt;0,T952=""),"حالة الجاهزية",""),IF(AND(COUNTA($O952:$U952)&gt;0,U952=""),"التوصيات","")))&gt;0,"✗ ناقص: "&amp;_xlfn.TEXTJOIN("، ",TRUE,IF(E952="","التاريخ",""),IF(F952="","الوقت",""),IF(G952="","المركز",""),IF(H952="","الدائرة",""),IF(I952="","القسم",""),IF(J952="","المسؤول",""),IF(K952="","نوع النشاط",""),IF(L952="","المشروع",""),IF(N952="","الممول",""),IF(V952="","الموضوع",""),IF(W952="","الملاحظة",""),IF(X952="","مشكلة",""),IF(Y952="","الإجراء",""),IF(Z952="","التنفيذ",""),IF(AA952="","الجودة",""),IF(AB952="","الإغلاق",""),IF(AC952="","الخصم",""),IF(AND(COUNTA($O952:$U952)&gt;0,O952=""),"مدير المشروع",""),IF(AND(COUNTA($O952:$U952)&gt;0,P952=""),"المستفيدين",""),IF(AND(COUNTA($O952:$U952)&gt;0,Q952=""),"المناطق",""),IF(AND(COUNTA($O952:$U952)&gt;0,R952=""),"الميزانية",""),IF(AND(COUNTA($O952:$U952)&gt;0,S952=""),"نسبة الجاهزية",""),IF(AND(COUNTA($O952:$U952)&gt;0,T952=""),"حالة الجاهزية",""),IF(AND(COUNTA($O952:$U952)&gt;0,U952=""),"التوصيات","")),"✓"),"✓"))))))))))</f>
        <v/>
      </c>
      <c r="E952" s="235"/>
      <c r="F952" s="236"/>
      <c r="G952" s="90"/>
      <c r="H952" s="239"/>
      <c r="I952" s="89"/>
      <c r="J952" s="142"/>
      <c r="K952" s="90"/>
      <c r="L952" s="90"/>
      <c r="M952" s="90"/>
      <c r="N952" s="89"/>
      <c r="O952" s="200"/>
      <c r="P952" s="201"/>
      <c r="Q952" s="201"/>
      <c r="R952" s="237"/>
      <c r="S952" s="202"/>
      <c r="T952" s="200"/>
      <c r="U952" s="203"/>
      <c r="V952" s="89"/>
      <c r="W952" s="89"/>
      <c r="X952" s="145"/>
      <c r="Y952" s="89"/>
      <c r="Z952" s="90"/>
      <c r="AA952" s="90"/>
      <c r="AB952" s="90"/>
      <c r="AC952" s="90"/>
      <c r="AD952" s="92"/>
      <c r="AE952" s="149" t="str">
        <f>IFERROR(VLOOKUP(Z952,LISTS!$AL$2:$AM$1000,2,FALSE()),"")</f>
        <v/>
      </c>
      <c r="AF952" s="151" t="str">
        <f>IFERROR(VLOOKUP(AA952,LISTS!$AO$2:$AP$1000,2,FALSE()),"")</f>
        <v/>
      </c>
      <c r="AG952" s="152" t="str">
        <f>IFERROR(VLOOKUP(AB952,LISTS!$AR$2:$AS$1000,2,FALSE()),"")</f>
        <v/>
      </c>
      <c r="AH952" s="154" t="str">
        <f>IFERROR(VLOOKUP(AC952,LISTS!$AU$2:$AV$1000,2,FALSE()),"")</f>
        <v/>
      </c>
      <c r="AI952" s="238" t="str">
        <f t="shared" si="73"/>
        <v>—</v>
      </c>
      <c r="AJ952" s="190" t="str">
        <f t="shared" si="74"/>
        <v>—</v>
      </c>
      <c r="AK952" s="157" t="str">
        <f t="shared" si="75"/>
        <v/>
      </c>
      <c r="AL952" s="160" t="str">
        <f t="shared" si="76"/>
        <v/>
      </c>
      <c r="AM952" s="210"/>
      <c r="AN952" s="209"/>
    </row>
    <row r="953" spans="1:40" ht="27.95" customHeight="1">
      <c r="A953" s="134" t="str">
        <f>IF(I953&lt;&gt;"",COUNTA($I$2:I953),"")</f>
        <v/>
      </c>
      <c r="B953" s="138" t="str">
        <f t="shared" si="77"/>
        <v/>
      </c>
      <c r="C953" s="93" t="str">
        <f t="array" ref="C953">IF(E953="","",IF(M953&lt;&gt;"",
M953&amp;"/"&amp;SUMPRODUCT((M$2:M953=M953)*1)&amp;" - "&amp;(ROW()-2),
"إداري/"&amp;SUMPRODUCT((M$2:M953="")*1)&amp;" - "&amp;(ROW()-2)))</f>
        <v/>
      </c>
      <c r="D953" s="141" t="str">
        <f>IF(AND(G953="",H953="",I953=""),"",IF(COUNTIFS(LISTS!$A$2:$A$67,G953,LISTS!$B$2:$B$67,H953,LISTS!$C$2:$C$67,I953)=0,"✗ هرم",IF(NOT(OR(Z953="ممتاز 100%",Z953="جيد 80%",Z953="مقبول 60%",Z953="خطر 40%",Z953="")),"✗ قائمة R",IF(NOT(OR(AA953="ممتاز 100%",AA953="جيد 85%",AA953="مقبول 70%",AA953="ضعيف 50%",AA953="")),"✗ قائمة S",IF(NOT(OR(AB953="مكتمل 100%",AB953="جزئي 60%",AB953="معلق 30%",AB953="مفتوح 0%",AB953="")),"✗ قائمة T",IF(NOT(OR(AC953="لا خصم 0",AC953="تأخير −5",AC953="عجز −10",AC953="جودة −15",AC953="امتثال −20",AC953="مخالفة −25",AC953="")),"✗ قائمة U",IF(AND(X953="لا",AC953&lt;&gt;"",AC953&lt;&gt;"لا خصم 0"),"✗ خصم",IF(AND(X953="نعم",AC953="لا خصم 0"),"✗ خصم",IF(AND(Z953="ممتاز 100%",AA953="ممتاز 100%",AB953&lt;&gt;"",AB953&lt;&gt;"مكتمل 100%"),"✗ إغلاق",IFERROR(IF(LEN(_xlfn.TEXTJOIN("، ",TRUE,IF(E953="","التاريخ",""),IF(F953="","الوقت",""),IF(G953="","المركز",""),IF(H953="","الدائرة",""),IF(I953="","القسم",""),IF(J953="","المسؤول",""),IF(K953="","نوع النشاط",""),IF(L953="","المشروع",""),IF(N953="","الممول",""),IF(V953="","الموضوع",""),IF(W953="","الملاحظة",""),IF(X953="","مشكلة",""),IF(Y953="","الإجراء",""),IF(Z953="","التنفيذ",""),IF(AA953="","الجودة",""),IF(AB953="","الإغلاق",""),IF(AC953="","الخصم",""),IF(AND(COUNTA($O953:$U953)&gt;0,O953=""),"مدير المشروع",""),IF(AND(COUNTA($O953:$U953)&gt;0,P953=""),"المستفيدين",""),IF(AND(COUNTA($O953:$U953)&gt;0,Q953=""),"المناطق",""),IF(AND(COUNTA($O953:$U953)&gt;0,R953=""),"الميزانية",""),IF(AND(COUNTA($O953:$U953)&gt;0,S953=""),"نسبة الجاهزية",""),IF(AND(COUNTA($O953:$U953)&gt;0,T953=""),"حالة الجاهزية",""),IF(AND(COUNTA($O953:$U953)&gt;0,U953=""),"التوصيات","")))&gt;0,"✗ ناقص: "&amp;_xlfn.TEXTJOIN("، ",TRUE,IF(E953="","التاريخ",""),IF(F953="","الوقت",""),IF(G953="","المركز",""),IF(H953="","الدائرة",""),IF(I953="","القسم",""),IF(J953="","المسؤول",""),IF(K953="","نوع النشاط",""),IF(L953="","المشروع",""),IF(N953="","الممول",""),IF(V953="","الموضوع",""),IF(W953="","الملاحظة",""),IF(X953="","مشكلة",""),IF(Y953="","الإجراء",""),IF(Z953="","التنفيذ",""),IF(AA953="","الجودة",""),IF(AB953="","الإغلاق",""),IF(AC953="","الخصم",""),IF(AND(COUNTA($O953:$U953)&gt;0,O953=""),"مدير المشروع",""),IF(AND(COUNTA($O953:$U953)&gt;0,P953=""),"المستفيدين",""),IF(AND(COUNTA($O953:$U953)&gt;0,Q953=""),"المناطق",""),IF(AND(COUNTA($O953:$U953)&gt;0,R953=""),"الميزانية",""),IF(AND(COUNTA($O953:$U953)&gt;0,S953=""),"نسبة الجاهزية",""),IF(AND(COUNTA($O953:$U953)&gt;0,T953=""),"حالة الجاهزية",""),IF(AND(COUNTA($O953:$U953)&gt;0,U953=""),"التوصيات","")),"✓"),"✓"))))))))))</f>
        <v/>
      </c>
      <c r="E953" s="235"/>
      <c r="F953" s="236"/>
      <c r="G953" s="90"/>
      <c r="H953" s="239"/>
      <c r="I953" s="89"/>
      <c r="J953" s="142"/>
      <c r="K953" s="90"/>
      <c r="L953" s="90"/>
      <c r="M953" s="90"/>
      <c r="N953" s="89"/>
      <c r="O953" s="200"/>
      <c r="P953" s="201"/>
      <c r="Q953" s="201"/>
      <c r="R953" s="237"/>
      <c r="S953" s="202"/>
      <c r="T953" s="200"/>
      <c r="U953" s="203"/>
      <c r="V953" s="89"/>
      <c r="W953" s="89"/>
      <c r="X953" s="145"/>
      <c r="Y953" s="89"/>
      <c r="Z953" s="90"/>
      <c r="AA953" s="90"/>
      <c r="AB953" s="90"/>
      <c r="AC953" s="90"/>
      <c r="AD953" s="92"/>
      <c r="AE953" s="149" t="str">
        <f>IFERROR(VLOOKUP(Z953,LISTS!$AL$2:$AM$1000,2,FALSE()),"")</f>
        <v/>
      </c>
      <c r="AF953" s="151" t="str">
        <f>IFERROR(VLOOKUP(AA953,LISTS!$AO$2:$AP$1000,2,FALSE()),"")</f>
        <v/>
      </c>
      <c r="AG953" s="152" t="str">
        <f>IFERROR(VLOOKUP(AB953,LISTS!$AR$2:$AS$1000,2,FALSE()),"")</f>
        <v/>
      </c>
      <c r="AH953" s="154" t="str">
        <f>IFERROR(VLOOKUP(AC953,LISTS!$AU$2:$AV$1000,2,FALSE()),"")</f>
        <v/>
      </c>
      <c r="AI953" s="238" t="str">
        <f t="shared" si="73"/>
        <v>—</v>
      </c>
      <c r="AJ953" s="190" t="str">
        <f t="shared" si="74"/>
        <v>—</v>
      </c>
      <c r="AK953" s="157" t="str">
        <f t="shared" si="75"/>
        <v/>
      </c>
      <c r="AL953" s="160" t="str">
        <f t="shared" si="76"/>
        <v/>
      </c>
      <c r="AM953" s="210"/>
      <c r="AN953" s="209"/>
    </row>
    <row r="954" spans="1:40" ht="27.95" customHeight="1">
      <c r="A954" s="134" t="str">
        <f>IF(I954&lt;&gt;"",COUNTA($I$2:I954),"")</f>
        <v/>
      </c>
      <c r="B954" s="138" t="str">
        <f t="shared" si="77"/>
        <v/>
      </c>
      <c r="C954" s="93" t="str">
        <f t="array" ref="C954">IF(E954="","",IF(M954&lt;&gt;"",
M954&amp;"/"&amp;SUMPRODUCT((M$2:M954=M954)*1)&amp;" - "&amp;(ROW()-2),
"إداري/"&amp;SUMPRODUCT((M$2:M954="")*1)&amp;" - "&amp;(ROW()-2)))</f>
        <v/>
      </c>
      <c r="D954" s="141" t="str">
        <f>IF(AND(G954="",H954="",I954=""),"",IF(COUNTIFS(LISTS!$A$2:$A$67,G954,LISTS!$B$2:$B$67,H954,LISTS!$C$2:$C$67,I954)=0,"✗ هرم",IF(NOT(OR(Z954="ممتاز 100%",Z954="جيد 80%",Z954="مقبول 60%",Z954="خطر 40%",Z954="")),"✗ قائمة R",IF(NOT(OR(AA954="ممتاز 100%",AA954="جيد 85%",AA954="مقبول 70%",AA954="ضعيف 50%",AA954="")),"✗ قائمة S",IF(NOT(OR(AB954="مكتمل 100%",AB954="جزئي 60%",AB954="معلق 30%",AB954="مفتوح 0%",AB954="")),"✗ قائمة T",IF(NOT(OR(AC954="لا خصم 0",AC954="تأخير −5",AC954="عجز −10",AC954="جودة −15",AC954="امتثال −20",AC954="مخالفة −25",AC954="")),"✗ قائمة U",IF(AND(X954="لا",AC954&lt;&gt;"",AC954&lt;&gt;"لا خصم 0"),"✗ خصم",IF(AND(X954="نعم",AC954="لا خصم 0"),"✗ خصم",IF(AND(Z954="ممتاز 100%",AA954="ممتاز 100%",AB954&lt;&gt;"",AB954&lt;&gt;"مكتمل 100%"),"✗ إغلاق",IFERROR(IF(LEN(_xlfn.TEXTJOIN("، ",TRUE,IF(E954="","التاريخ",""),IF(F954="","الوقت",""),IF(G954="","المركز",""),IF(H954="","الدائرة",""),IF(I954="","القسم",""),IF(J954="","المسؤول",""),IF(K954="","نوع النشاط",""),IF(L954="","المشروع",""),IF(N954="","الممول",""),IF(V954="","الموضوع",""),IF(W954="","الملاحظة",""),IF(X954="","مشكلة",""),IF(Y954="","الإجراء",""),IF(Z954="","التنفيذ",""),IF(AA954="","الجودة",""),IF(AB954="","الإغلاق",""),IF(AC954="","الخصم",""),IF(AND(COUNTA($O954:$U954)&gt;0,O954=""),"مدير المشروع",""),IF(AND(COUNTA($O954:$U954)&gt;0,P954=""),"المستفيدين",""),IF(AND(COUNTA($O954:$U954)&gt;0,Q954=""),"المناطق",""),IF(AND(COUNTA($O954:$U954)&gt;0,R954=""),"الميزانية",""),IF(AND(COUNTA($O954:$U954)&gt;0,S954=""),"نسبة الجاهزية",""),IF(AND(COUNTA($O954:$U954)&gt;0,T954=""),"حالة الجاهزية",""),IF(AND(COUNTA($O954:$U954)&gt;0,U954=""),"التوصيات","")))&gt;0,"✗ ناقص: "&amp;_xlfn.TEXTJOIN("، ",TRUE,IF(E954="","التاريخ",""),IF(F954="","الوقت",""),IF(G954="","المركز",""),IF(H954="","الدائرة",""),IF(I954="","القسم",""),IF(J954="","المسؤول",""),IF(K954="","نوع النشاط",""),IF(L954="","المشروع",""),IF(N954="","الممول",""),IF(V954="","الموضوع",""),IF(W954="","الملاحظة",""),IF(X954="","مشكلة",""),IF(Y954="","الإجراء",""),IF(Z954="","التنفيذ",""),IF(AA954="","الجودة",""),IF(AB954="","الإغلاق",""),IF(AC954="","الخصم",""),IF(AND(COUNTA($O954:$U954)&gt;0,O954=""),"مدير المشروع",""),IF(AND(COUNTA($O954:$U954)&gt;0,P954=""),"المستفيدين",""),IF(AND(COUNTA($O954:$U954)&gt;0,Q954=""),"المناطق",""),IF(AND(COUNTA($O954:$U954)&gt;0,R954=""),"الميزانية",""),IF(AND(COUNTA($O954:$U954)&gt;0,S954=""),"نسبة الجاهزية",""),IF(AND(COUNTA($O954:$U954)&gt;0,T954=""),"حالة الجاهزية",""),IF(AND(COUNTA($O954:$U954)&gt;0,U954=""),"التوصيات","")),"✓"),"✓"))))))))))</f>
        <v/>
      </c>
      <c r="E954" s="235"/>
      <c r="F954" s="236"/>
      <c r="G954" s="90"/>
      <c r="H954" s="239"/>
      <c r="I954" s="89"/>
      <c r="J954" s="142"/>
      <c r="K954" s="90"/>
      <c r="L954" s="90"/>
      <c r="M954" s="90"/>
      <c r="N954" s="89"/>
      <c r="O954" s="200"/>
      <c r="P954" s="201"/>
      <c r="Q954" s="201"/>
      <c r="R954" s="237"/>
      <c r="S954" s="202"/>
      <c r="T954" s="200"/>
      <c r="U954" s="203"/>
      <c r="V954" s="89"/>
      <c r="W954" s="89"/>
      <c r="X954" s="145"/>
      <c r="Y954" s="89"/>
      <c r="Z954" s="90"/>
      <c r="AA954" s="90"/>
      <c r="AB954" s="90"/>
      <c r="AC954" s="90"/>
      <c r="AD954" s="92"/>
      <c r="AE954" s="149" t="str">
        <f>IFERROR(VLOOKUP(Z954,LISTS!$AL$2:$AM$1000,2,FALSE()),"")</f>
        <v/>
      </c>
      <c r="AF954" s="151" t="str">
        <f>IFERROR(VLOOKUP(AA954,LISTS!$AO$2:$AP$1000,2,FALSE()),"")</f>
        <v/>
      </c>
      <c r="AG954" s="152" t="str">
        <f>IFERROR(VLOOKUP(AB954,LISTS!$AR$2:$AS$1000,2,FALSE()),"")</f>
        <v/>
      </c>
      <c r="AH954" s="154" t="str">
        <f>IFERROR(VLOOKUP(AC954,LISTS!$AU$2:$AV$1000,2,FALSE()),"")</f>
        <v/>
      </c>
      <c r="AI954" s="238" t="str">
        <f t="shared" si="73"/>
        <v>—</v>
      </c>
      <c r="AJ954" s="190" t="str">
        <f t="shared" si="74"/>
        <v>—</v>
      </c>
      <c r="AK954" s="157" t="str">
        <f t="shared" si="75"/>
        <v/>
      </c>
      <c r="AL954" s="160" t="str">
        <f t="shared" si="76"/>
        <v/>
      </c>
      <c r="AM954" s="210"/>
      <c r="AN954" s="209"/>
    </row>
    <row r="955" spans="1:40" ht="27.95" customHeight="1">
      <c r="A955" s="134" t="str">
        <f>IF(I955&lt;&gt;"",COUNTA($I$2:I955),"")</f>
        <v/>
      </c>
      <c r="B955" s="138" t="str">
        <f t="shared" si="77"/>
        <v/>
      </c>
      <c r="C955" s="93" t="str">
        <f t="array" ref="C955">IF(E955="","",IF(M955&lt;&gt;"",
M955&amp;"/"&amp;SUMPRODUCT((M$2:M955=M955)*1)&amp;" - "&amp;(ROW()-2),
"إداري/"&amp;SUMPRODUCT((M$2:M955="")*1)&amp;" - "&amp;(ROW()-2)))</f>
        <v/>
      </c>
      <c r="D955" s="141" t="str">
        <f>IF(AND(G955="",H955="",I955=""),"",IF(COUNTIFS(LISTS!$A$2:$A$67,G955,LISTS!$B$2:$B$67,H955,LISTS!$C$2:$C$67,I955)=0,"✗ هرم",IF(NOT(OR(Z955="ممتاز 100%",Z955="جيد 80%",Z955="مقبول 60%",Z955="خطر 40%",Z955="")),"✗ قائمة R",IF(NOT(OR(AA955="ممتاز 100%",AA955="جيد 85%",AA955="مقبول 70%",AA955="ضعيف 50%",AA955="")),"✗ قائمة S",IF(NOT(OR(AB955="مكتمل 100%",AB955="جزئي 60%",AB955="معلق 30%",AB955="مفتوح 0%",AB955="")),"✗ قائمة T",IF(NOT(OR(AC955="لا خصم 0",AC955="تأخير −5",AC955="عجز −10",AC955="جودة −15",AC955="امتثال −20",AC955="مخالفة −25",AC955="")),"✗ قائمة U",IF(AND(X955="لا",AC955&lt;&gt;"",AC955&lt;&gt;"لا خصم 0"),"✗ خصم",IF(AND(X955="نعم",AC955="لا خصم 0"),"✗ خصم",IF(AND(Z955="ممتاز 100%",AA955="ممتاز 100%",AB955&lt;&gt;"",AB955&lt;&gt;"مكتمل 100%"),"✗ إغلاق",IFERROR(IF(LEN(_xlfn.TEXTJOIN("، ",TRUE,IF(E955="","التاريخ",""),IF(F955="","الوقت",""),IF(G955="","المركز",""),IF(H955="","الدائرة",""),IF(I955="","القسم",""),IF(J955="","المسؤول",""),IF(K955="","نوع النشاط",""),IF(L955="","المشروع",""),IF(N955="","الممول",""),IF(V955="","الموضوع",""),IF(W955="","الملاحظة",""),IF(X955="","مشكلة",""),IF(Y955="","الإجراء",""),IF(Z955="","التنفيذ",""),IF(AA955="","الجودة",""),IF(AB955="","الإغلاق",""),IF(AC955="","الخصم",""),IF(AND(COUNTA($O955:$U955)&gt;0,O955=""),"مدير المشروع",""),IF(AND(COUNTA($O955:$U955)&gt;0,P955=""),"المستفيدين",""),IF(AND(COUNTA($O955:$U955)&gt;0,Q955=""),"المناطق",""),IF(AND(COUNTA($O955:$U955)&gt;0,R955=""),"الميزانية",""),IF(AND(COUNTA($O955:$U955)&gt;0,S955=""),"نسبة الجاهزية",""),IF(AND(COUNTA($O955:$U955)&gt;0,T955=""),"حالة الجاهزية",""),IF(AND(COUNTA($O955:$U955)&gt;0,U955=""),"التوصيات","")))&gt;0,"✗ ناقص: "&amp;_xlfn.TEXTJOIN("، ",TRUE,IF(E955="","التاريخ",""),IF(F955="","الوقت",""),IF(G955="","المركز",""),IF(H955="","الدائرة",""),IF(I955="","القسم",""),IF(J955="","المسؤول",""),IF(K955="","نوع النشاط",""),IF(L955="","المشروع",""),IF(N955="","الممول",""),IF(V955="","الموضوع",""),IF(W955="","الملاحظة",""),IF(X955="","مشكلة",""),IF(Y955="","الإجراء",""),IF(Z955="","التنفيذ",""),IF(AA955="","الجودة",""),IF(AB955="","الإغلاق",""),IF(AC955="","الخصم",""),IF(AND(COUNTA($O955:$U955)&gt;0,O955=""),"مدير المشروع",""),IF(AND(COUNTA($O955:$U955)&gt;0,P955=""),"المستفيدين",""),IF(AND(COUNTA($O955:$U955)&gt;0,Q955=""),"المناطق",""),IF(AND(COUNTA($O955:$U955)&gt;0,R955=""),"الميزانية",""),IF(AND(COUNTA($O955:$U955)&gt;0,S955=""),"نسبة الجاهزية",""),IF(AND(COUNTA($O955:$U955)&gt;0,T955=""),"حالة الجاهزية",""),IF(AND(COUNTA($O955:$U955)&gt;0,U955=""),"التوصيات","")),"✓"),"✓"))))))))))</f>
        <v/>
      </c>
      <c r="E955" s="235"/>
      <c r="F955" s="236"/>
      <c r="G955" s="90"/>
      <c r="H955" s="239"/>
      <c r="I955" s="89"/>
      <c r="J955" s="142"/>
      <c r="K955" s="90"/>
      <c r="L955" s="90"/>
      <c r="M955" s="90"/>
      <c r="N955" s="89"/>
      <c r="O955" s="200"/>
      <c r="P955" s="201"/>
      <c r="Q955" s="201"/>
      <c r="R955" s="237"/>
      <c r="S955" s="202"/>
      <c r="T955" s="200"/>
      <c r="U955" s="203"/>
      <c r="V955" s="89"/>
      <c r="W955" s="89"/>
      <c r="X955" s="145"/>
      <c r="Y955" s="89"/>
      <c r="Z955" s="90"/>
      <c r="AA955" s="90"/>
      <c r="AB955" s="90"/>
      <c r="AC955" s="90"/>
      <c r="AD955" s="92"/>
      <c r="AE955" s="149" t="str">
        <f>IFERROR(VLOOKUP(Z955,LISTS!$AL$2:$AM$1000,2,FALSE()),"")</f>
        <v/>
      </c>
      <c r="AF955" s="151" t="str">
        <f>IFERROR(VLOOKUP(AA955,LISTS!$AO$2:$AP$1000,2,FALSE()),"")</f>
        <v/>
      </c>
      <c r="AG955" s="152" t="str">
        <f>IFERROR(VLOOKUP(AB955,LISTS!$AR$2:$AS$1000,2,FALSE()),"")</f>
        <v/>
      </c>
      <c r="AH955" s="154" t="str">
        <f>IFERROR(VLOOKUP(AC955,LISTS!$AU$2:$AV$1000,2,FALSE()),"")</f>
        <v/>
      </c>
      <c r="AI955" s="238" t="str">
        <f t="shared" si="73"/>
        <v>—</v>
      </c>
      <c r="AJ955" s="190" t="str">
        <f t="shared" si="74"/>
        <v>—</v>
      </c>
      <c r="AK955" s="157" t="str">
        <f t="shared" si="75"/>
        <v/>
      </c>
      <c r="AL955" s="160" t="str">
        <f t="shared" si="76"/>
        <v/>
      </c>
      <c r="AM955" s="210"/>
      <c r="AN955" s="209"/>
    </row>
    <row r="956" spans="1:40" ht="27.95" customHeight="1">
      <c r="A956" s="134" t="str">
        <f>IF(I956&lt;&gt;"",COUNTA($I$2:I956),"")</f>
        <v/>
      </c>
      <c r="B956" s="138" t="str">
        <f t="shared" si="77"/>
        <v/>
      </c>
      <c r="C956" s="93" t="str">
        <f t="array" ref="C956">IF(E956="","",IF(M956&lt;&gt;"",
M956&amp;"/"&amp;SUMPRODUCT((M$2:M956=M956)*1)&amp;" - "&amp;(ROW()-2),
"إداري/"&amp;SUMPRODUCT((M$2:M956="")*1)&amp;" - "&amp;(ROW()-2)))</f>
        <v/>
      </c>
      <c r="D956" s="141" t="str">
        <f>IF(AND(G956="",H956="",I956=""),"",IF(COUNTIFS(LISTS!$A$2:$A$67,G956,LISTS!$B$2:$B$67,H956,LISTS!$C$2:$C$67,I956)=0,"✗ هرم",IF(NOT(OR(Z956="ممتاز 100%",Z956="جيد 80%",Z956="مقبول 60%",Z956="خطر 40%",Z956="")),"✗ قائمة R",IF(NOT(OR(AA956="ممتاز 100%",AA956="جيد 85%",AA956="مقبول 70%",AA956="ضعيف 50%",AA956="")),"✗ قائمة S",IF(NOT(OR(AB956="مكتمل 100%",AB956="جزئي 60%",AB956="معلق 30%",AB956="مفتوح 0%",AB956="")),"✗ قائمة T",IF(NOT(OR(AC956="لا خصم 0",AC956="تأخير −5",AC956="عجز −10",AC956="جودة −15",AC956="امتثال −20",AC956="مخالفة −25",AC956="")),"✗ قائمة U",IF(AND(X956="لا",AC956&lt;&gt;"",AC956&lt;&gt;"لا خصم 0"),"✗ خصم",IF(AND(X956="نعم",AC956="لا خصم 0"),"✗ خصم",IF(AND(Z956="ممتاز 100%",AA956="ممتاز 100%",AB956&lt;&gt;"",AB956&lt;&gt;"مكتمل 100%"),"✗ إغلاق",IFERROR(IF(LEN(_xlfn.TEXTJOIN("، ",TRUE,IF(E956="","التاريخ",""),IF(F956="","الوقت",""),IF(G956="","المركز",""),IF(H956="","الدائرة",""),IF(I956="","القسم",""),IF(J956="","المسؤول",""),IF(K956="","نوع النشاط",""),IF(L956="","المشروع",""),IF(N956="","الممول",""),IF(V956="","الموضوع",""),IF(W956="","الملاحظة",""),IF(X956="","مشكلة",""),IF(Y956="","الإجراء",""),IF(Z956="","التنفيذ",""),IF(AA956="","الجودة",""),IF(AB956="","الإغلاق",""),IF(AC956="","الخصم",""),IF(AND(COUNTA($O956:$U956)&gt;0,O956=""),"مدير المشروع",""),IF(AND(COUNTA($O956:$U956)&gt;0,P956=""),"المستفيدين",""),IF(AND(COUNTA($O956:$U956)&gt;0,Q956=""),"المناطق",""),IF(AND(COUNTA($O956:$U956)&gt;0,R956=""),"الميزانية",""),IF(AND(COUNTA($O956:$U956)&gt;0,S956=""),"نسبة الجاهزية",""),IF(AND(COUNTA($O956:$U956)&gt;0,T956=""),"حالة الجاهزية",""),IF(AND(COUNTA($O956:$U956)&gt;0,U956=""),"التوصيات","")))&gt;0,"✗ ناقص: "&amp;_xlfn.TEXTJOIN("، ",TRUE,IF(E956="","التاريخ",""),IF(F956="","الوقت",""),IF(G956="","المركز",""),IF(H956="","الدائرة",""),IF(I956="","القسم",""),IF(J956="","المسؤول",""),IF(K956="","نوع النشاط",""),IF(L956="","المشروع",""),IF(N956="","الممول",""),IF(V956="","الموضوع",""),IF(W956="","الملاحظة",""),IF(X956="","مشكلة",""),IF(Y956="","الإجراء",""),IF(Z956="","التنفيذ",""),IF(AA956="","الجودة",""),IF(AB956="","الإغلاق",""),IF(AC956="","الخصم",""),IF(AND(COUNTA($O956:$U956)&gt;0,O956=""),"مدير المشروع",""),IF(AND(COUNTA($O956:$U956)&gt;0,P956=""),"المستفيدين",""),IF(AND(COUNTA($O956:$U956)&gt;0,Q956=""),"المناطق",""),IF(AND(COUNTA($O956:$U956)&gt;0,R956=""),"الميزانية",""),IF(AND(COUNTA($O956:$U956)&gt;0,S956=""),"نسبة الجاهزية",""),IF(AND(COUNTA($O956:$U956)&gt;0,T956=""),"حالة الجاهزية",""),IF(AND(COUNTA($O956:$U956)&gt;0,U956=""),"التوصيات","")),"✓"),"✓"))))))))))</f>
        <v/>
      </c>
      <c r="E956" s="235"/>
      <c r="F956" s="236"/>
      <c r="G956" s="90"/>
      <c r="H956" s="239"/>
      <c r="I956" s="89"/>
      <c r="J956" s="142"/>
      <c r="K956" s="90"/>
      <c r="L956" s="90"/>
      <c r="M956" s="90"/>
      <c r="N956" s="89"/>
      <c r="O956" s="200"/>
      <c r="P956" s="201"/>
      <c r="Q956" s="201"/>
      <c r="R956" s="237"/>
      <c r="S956" s="202"/>
      <c r="T956" s="200"/>
      <c r="U956" s="203"/>
      <c r="V956" s="89"/>
      <c r="W956" s="89"/>
      <c r="X956" s="145"/>
      <c r="Y956" s="89"/>
      <c r="Z956" s="90"/>
      <c r="AA956" s="90"/>
      <c r="AB956" s="90"/>
      <c r="AC956" s="90"/>
      <c r="AD956" s="92"/>
      <c r="AE956" s="149" t="str">
        <f>IFERROR(VLOOKUP(Z956,LISTS!$AL$2:$AM$1000,2,FALSE()),"")</f>
        <v/>
      </c>
      <c r="AF956" s="151" t="str">
        <f>IFERROR(VLOOKUP(AA956,LISTS!$AO$2:$AP$1000,2,FALSE()),"")</f>
        <v/>
      </c>
      <c r="AG956" s="152" t="str">
        <f>IFERROR(VLOOKUP(AB956,LISTS!$AR$2:$AS$1000,2,FALSE()),"")</f>
        <v/>
      </c>
      <c r="AH956" s="154" t="str">
        <f>IFERROR(VLOOKUP(AC956,LISTS!$AU$2:$AV$1000,2,FALSE()),"")</f>
        <v/>
      </c>
      <c r="AI956" s="238" t="str">
        <f t="shared" si="73"/>
        <v>—</v>
      </c>
      <c r="AJ956" s="190" t="str">
        <f t="shared" si="74"/>
        <v>—</v>
      </c>
      <c r="AK956" s="157" t="str">
        <f t="shared" si="75"/>
        <v/>
      </c>
      <c r="AL956" s="160" t="str">
        <f t="shared" si="76"/>
        <v/>
      </c>
      <c r="AM956" s="210"/>
      <c r="AN956" s="209"/>
    </row>
    <row r="957" spans="1:40" ht="27.95" customHeight="1">
      <c r="A957" s="134" t="str">
        <f>IF(I957&lt;&gt;"",COUNTA($I$2:I957),"")</f>
        <v/>
      </c>
      <c r="B957" s="138" t="str">
        <f t="shared" si="77"/>
        <v/>
      </c>
      <c r="C957" s="93" t="str">
        <f t="array" ref="C957">IF(E957="","",IF(M957&lt;&gt;"",
M957&amp;"/"&amp;SUMPRODUCT((M$2:M957=M957)*1)&amp;" - "&amp;(ROW()-2),
"إداري/"&amp;SUMPRODUCT((M$2:M957="")*1)&amp;" - "&amp;(ROW()-2)))</f>
        <v/>
      </c>
      <c r="D957" s="141" t="str">
        <f>IF(AND(G957="",H957="",I957=""),"",IF(COUNTIFS(LISTS!$A$2:$A$67,G957,LISTS!$B$2:$B$67,H957,LISTS!$C$2:$C$67,I957)=0,"✗ هرم",IF(NOT(OR(Z957="ممتاز 100%",Z957="جيد 80%",Z957="مقبول 60%",Z957="خطر 40%",Z957="")),"✗ قائمة R",IF(NOT(OR(AA957="ممتاز 100%",AA957="جيد 85%",AA957="مقبول 70%",AA957="ضعيف 50%",AA957="")),"✗ قائمة S",IF(NOT(OR(AB957="مكتمل 100%",AB957="جزئي 60%",AB957="معلق 30%",AB957="مفتوح 0%",AB957="")),"✗ قائمة T",IF(NOT(OR(AC957="لا خصم 0",AC957="تأخير −5",AC957="عجز −10",AC957="جودة −15",AC957="امتثال −20",AC957="مخالفة −25",AC957="")),"✗ قائمة U",IF(AND(X957="لا",AC957&lt;&gt;"",AC957&lt;&gt;"لا خصم 0"),"✗ خصم",IF(AND(X957="نعم",AC957="لا خصم 0"),"✗ خصم",IF(AND(Z957="ممتاز 100%",AA957="ممتاز 100%",AB957&lt;&gt;"",AB957&lt;&gt;"مكتمل 100%"),"✗ إغلاق",IFERROR(IF(LEN(_xlfn.TEXTJOIN("، ",TRUE,IF(E957="","التاريخ",""),IF(F957="","الوقت",""),IF(G957="","المركز",""),IF(H957="","الدائرة",""),IF(I957="","القسم",""),IF(J957="","المسؤول",""),IF(K957="","نوع النشاط",""),IF(L957="","المشروع",""),IF(N957="","الممول",""),IF(V957="","الموضوع",""),IF(W957="","الملاحظة",""),IF(X957="","مشكلة",""),IF(Y957="","الإجراء",""),IF(Z957="","التنفيذ",""),IF(AA957="","الجودة",""),IF(AB957="","الإغلاق",""),IF(AC957="","الخصم",""),IF(AND(COUNTA($O957:$U957)&gt;0,O957=""),"مدير المشروع",""),IF(AND(COUNTA($O957:$U957)&gt;0,P957=""),"المستفيدين",""),IF(AND(COUNTA($O957:$U957)&gt;0,Q957=""),"المناطق",""),IF(AND(COUNTA($O957:$U957)&gt;0,R957=""),"الميزانية",""),IF(AND(COUNTA($O957:$U957)&gt;0,S957=""),"نسبة الجاهزية",""),IF(AND(COUNTA($O957:$U957)&gt;0,T957=""),"حالة الجاهزية",""),IF(AND(COUNTA($O957:$U957)&gt;0,U957=""),"التوصيات","")))&gt;0,"✗ ناقص: "&amp;_xlfn.TEXTJOIN("، ",TRUE,IF(E957="","التاريخ",""),IF(F957="","الوقت",""),IF(G957="","المركز",""),IF(H957="","الدائرة",""),IF(I957="","القسم",""),IF(J957="","المسؤول",""),IF(K957="","نوع النشاط",""),IF(L957="","المشروع",""),IF(N957="","الممول",""),IF(V957="","الموضوع",""),IF(W957="","الملاحظة",""),IF(X957="","مشكلة",""),IF(Y957="","الإجراء",""),IF(Z957="","التنفيذ",""),IF(AA957="","الجودة",""),IF(AB957="","الإغلاق",""),IF(AC957="","الخصم",""),IF(AND(COUNTA($O957:$U957)&gt;0,O957=""),"مدير المشروع",""),IF(AND(COUNTA($O957:$U957)&gt;0,P957=""),"المستفيدين",""),IF(AND(COUNTA($O957:$U957)&gt;0,Q957=""),"المناطق",""),IF(AND(COUNTA($O957:$U957)&gt;0,R957=""),"الميزانية",""),IF(AND(COUNTA($O957:$U957)&gt;0,S957=""),"نسبة الجاهزية",""),IF(AND(COUNTA($O957:$U957)&gt;0,T957=""),"حالة الجاهزية",""),IF(AND(COUNTA($O957:$U957)&gt;0,U957=""),"التوصيات","")),"✓"),"✓"))))))))))</f>
        <v/>
      </c>
      <c r="E957" s="235"/>
      <c r="F957" s="236"/>
      <c r="G957" s="90"/>
      <c r="H957" s="239"/>
      <c r="I957" s="89"/>
      <c r="J957" s="142"/>
      <c r="K957" s="90"/>
      <c r="L957" s="90"/>
      <c r="M957" s="90"/>
      <c r="N957" s="89"/>
      <c r="O957" s="200"/>
      <c r="P957" s="201"/>
      <c r="Q957" s="201"/>
      <c r="R957" s="237"/>
      <c r="S957" s="202"/>
      <c r="T957" s="200"/>
      <c r="U957" s="203"/>
      <c r="V957" s="89"/>
      <c r="W957" s="89"/>
      <c r="X957" s="145"/>
      <c r="Y957" s="89"/>
      <c r="Z957" s="90"/>
      <c r="AA957" s="90"/>
      <c r="AB957" s="90"/>
      <c r="AC957" s="90"/>
      <c r="AD957" s="92"/>
      <c r="AE957" s="149" t="str">
        <f>IFERROR(VLOOKUP(Z957,LISTS!$AL$2:$AM$1000,2,FALSE()),"")</f>
        <v/>
      </c>
      <c r="AF957" s="151" t="str">
        <f>IFERROR(VLOOKUP(AA957,LISTS!$AO$2:$AP$1000,2,FALSE()),"")</f>
        <v/>
      </c>
      <c r="AG957" s="152" t="str">
        <f>IFERROR(VLOOKUP(AB957,LISTS!$AR$2:$AS$1000,2,FALSE()),"")</f>
        <v/>
      </c>
      <c r="AH957" s="154" t="str">
        <f>IFERROR(VLOOKUP(AC957,LISTS!$AU$2:$AV$1000,2,FALSE()),"")</f>
        <v/>
      </c>
      <c r="AI957" s="238" t="str">
        <f t="shared" si="73"/>
        <v>—</v>
      </c>
      <c r="AJ957" s="190" t="str">
        <f t="shared" si="74"/>
        <v>—</v>
      </c>
      <c r="AK957" s="157" t="str">
        <f t="shared" si="75"/>
        <v/>
      </c>
      <c r="AL957" s="160" t="str">
        <f t="shared" si="76"/>
        <v/>
      </c>
      <c r="AM957" s="210"/>
      <c r="AN957" s="209"/>
    </row>
    <row r="958" spans="1:40" ht="27.95" customHeight="1">
      <c r="A958" s="134" t="str">
        <f>IF(I958&lt;&gt;"",COUNTA($I$2:I958),"")</f>
        <v/>
      </c>
      <c r="B958" s="138" t="str">
        <f t="shared" si="77"/>
        <v/>
      </c>
      <c r="C958" s="93" t="str">
        <f t="array" ref="C958">IF(E958="","",IF(M958&lt;&gt;"",
M958&amp;"/"&amp;SUMPRODUCT((M$2:M958=M958)*1)&amp;" - "&amp;(ROW()-2),
"إداري/"&amp;SUMPRODUCT((M$2:M958="")*1)&amp;" - "&amp;(ROW()-2)))</f>
        <v/>
      </c>
      <c r="D958" s="141" t="str">
        <f>IF(AND(G958="",H958="",I958=""),"",IF(COUNTIFS(LISTS!$A$2:$A$67,G958,LISTS!$B$2:$B$67,H958,LISTS!$C$2:$C$67,I958)=0,"✗ هرم",IF(NOT(OR(Z958="ممتاز 100%",Z958="جيد 80%",Z958="مقبول 60%",Z958="خطر 40%",Z958="")),"✗ قائمة R",IF(NOT(OR(AA958="ممتاز 100%",AA958="جيد 85%",AA958="مقبول 70%",AA958="ضعيف 50%",AA958="")),"✗ قائمة S",IF(NOT(OR(AB958="مكتمل 100%",AB958="جزئي 60%",AB958="معلق 30%",AB958="مفتوح 0%",AB958="")),"✗ قائمة T",IF(NOT(OR(AC958="لا خصم 0",AC958="تأخير −5",AC958="عجز −10",AC958="جودة −15",AC958="امتثال −20",AC958="مخالفة −25",AC958="")),"✗ قائمة U",IF(AND(X958="لا",AC958&lt;&gt;"",AC958&lt;&gt;"لا خصم 0"),"✗ خصم",IF(AND(X958="نعم",AC958="لا خصم 0"),"✗ خصم",IF(AND(Z958="ممتاز 100%",AA958="ممتاز 100%",AB958&lt;&gt;"",AB958&lt;&gt;"مكتمل 100%"),"✗ إغلاق",IFERROR(IF(LEN(_xlfn.TEXTJOIN("، ",TRUE,IF(E958="","التاريخ",""),IF(F958="","الوقت",""),IF(G958="","المركز",""),IF(H958="","الدائرة",""),IF(I958="","القسم",""),IF(J958="","المسؤول",""),IF(K958="","نوع النشاط",""),IF(L958="","المشروع",""),IF(N958="","الممول",""),IF(V958="","الموضوع",""),IF(W958="","الملاحظة",""),IF(X958="","مشكلة",""),IF(Y958="","الإجراء",""),IF(Z958="","التنفيذ",""),IF(AA958="","الجودة",""),IF(AB958="","الإغلاق",""),IF(AC958="","الخصم",""),IF(AND(COUNTA($O958:$U958)&gt;0,O958=""),"مدير المشروع",""),IF(AND(COUNTA($O958:$U958)&gt;0,P958=""),"المستفيدين",""),IF(AND(COUNTA($O958:$U958)&gt;0,Q958=""),"المناطق",""),IF(AND(COUNTA($O958:$U958)&gt;0,R958=""),"الميزانية",""),IF(AND(COUNTA($O958:$U958)&gt;0,S958=""),"نسبة الجاهزية",""),IF(AND(COUNTA($O958:$U958)&gt;0,T958=""),"حالة الجاهزية",""),IF(AND(COUNTA($O958:$U958)&gt;0,U958=""),"التوصيات","")))&gt;0,"✗ ناقص: "&amp;_xlfn.TEXTJOIN("، ",TRUE,IF(E958="","التاريخ",""),IF(F958="","الوقت",""),IF(G958="","المركز",""),IF(H958="","الدائرة",""),IF(I958="","القسم",""),IF(J958="","المسؤول",""),IF(K958="","نوع النشاط",""),IF(L958="","المشروع",""),IF(N958="","الممول",""),IF(V958="","الموضوع",""),IF(W958="","الملاحظة",""),IF(X958="","مشكلة",""),IF(Y958="","الإجراء",""),IF(Z958="","التنفيذ",""),IF(AA958="","الجودة",""),IF(AB958="","الإغلاق",""),IF(AC958="","الخصم",""),IF(AND(COUNTA($O958:$U958)&gt;0,O958=""),"مدير المشروع",""),IF(AND(COUNTA($O958:$U958)&gt;0,P958=""),"المستفيدين",""),IF(AND(COUNTA($O958:$U958)&gt;0,Q958=""),"المناطق",""),IF(AND(COUNTA($O958:$U958)&gt;0,R958=""),"الميزانية",""),IF(AND(COUNTA($O958:$U958)&gt;0,S958=""),"نسبة الجاهزية",""),IF(AND(COUNTA($O958:$U958)&gt;0,T958=""),"حالة الجاهزية",""),IF(AND(COUNTA($O958:$U958)&gt;0,U958=""),"التوصيات","")),"✓"),"✓"))))))))))</f>
        <v/>
      </c>
      <c r="E958" s="235"/>
      <c r="F958" s="236"/>
      <c r="G958" s="90"/>
      <c r="H958" s="239"/>
      <c r="I958" s="89"/>
      <c r="J958" s="142"/>
      <c r="K958" s="90"/>
      <c r="L958" s="90"/>
      <c r="M958" s="90"/>
      <c r="N958" s="89"/>
      <c r="O958" s="200"/>
      <c r="P958" s="201"/>
      <c r="Q958" s="201"/>
      <c r="R958" s="237"/>
      <c r="S958" s="202"/>
      <c r="T958" s="200"/>
      <c r="U958" s="203"/>
      <c r="V958" s="89"/>
      <c r="W958" s="89"/>
      <c r="X958" s="145"/>
      <c r="Y958" s="89"/>
      <c r="Z958" s="90"/>
      <c r="AA958" s="90"/>
      <c r="AB958" s="90"/>
      <c r="AC958" s="90"/>
      <c r="AD958" s="92"/>
      <c r="AE958" s="149" t="str">
        <f>IFERROR(VLOOKUP(Z958,LISTS!$AL$2:$AM$1000,2,FALSE()),"")</f>
        <v/>
      </c>
      <c r="AF958" s="151" t="str">
        <f>IFERROR(VLOOKUP(AA958,LISTS!$AO$2:$AP$1000,2,FALSE()),"")</f>
        <v/>
      </c>
      <c r="AG958" s="152" t="str">
        <f>IFERROR(VLOOKUP(AB958,LISTS!$AR$2:$AS$1000,2,FALSE()),"")</f>
        <v/>
      </c>
      <c r="AH958" s="154" t="str">
        <f>IFERROR(VLOOKUP(AC958,LISTS!$AU$2:$AV$1000,2,FALSE()),"")</f>
        <v/>
      </c>
      <c r="AI958" s="238" t="str">
        <f t="shared" si="73"/>
        <v>—</v>
      </c>
      <c r="AJ958" s="190" t="str">
        <f t="shared" si="74"/>
        <v>—</v>
      </c>
      <c r="AK958" s="157" t="str">
        <f t="shared" si="75"/>
        <v/>
      </c>
      <c r="AL958" s="160" t="str">
        <f t="shared" si="76"/>
        <v/>
      </c>
      <c r="AM958" s="210"/>
      <c r="AN958" s="209"/>
    </row>
    <row r="959" spans="1:40" ht="27.95" customHeight="1">
      <c r="A959" s="134" t="str">
        <f>IF(I959&lt;&gt;"",COUNTA($I$2:I959),"")</f>
        <v/>
      </c>
      <c r="B959" s="138" t="str">
        <f t="shared" si="77"/>
        <v/>
      </c>
      <c r="C959" s="93" t="str">
        <f t="array" ref="C959">IF(E959="","",IF(M959&lt;&gt;"",
M959&amp;"/"&amp;SUMPRODUCT((M$2:M959=M959)*1)&amp;" - "&amp;(ROW()-2),
"إداري/"&amp;SUMPRODUCT((M$2:M959="")*1)&amp;" - "&amp;(ROW()-2)))</f>
        <v/>
      </c>
      <c r="D959" s="141" t="str">
        <f>IF(AND(G959="",H959="",I959=""),"",IF(COUNTIFS(LISTS!$A$2:$A$67,G959,LISTS!$B$2:$B$67,H959,LISTS!$C$2:$C$67,I959)=0,"✗ هرم",IF(NOT(OR(Z959="ممتاز 100%",Z959="جيد 80%",Z959="مقبول 60%",Z959="خطر 40%",Z959="")),"✗ قائمة R",IF(NOT(OR(AA959="ممتاز 100%",AA959="جيد 85%",AA959="مقبول 70%",AA959="ضعيف 50%",AA959="")),"✗ قائمة S",IF(NOT(OR(AB959="مكتمل 100%",AB959="جزئي 60%",AB959="معلق 30%",AB959="مفتوح 0%",AB959="")),"✗ قائمة T",IF(NOT(OR(AC959="لا خصم 0",AC959="تأخير −5",AC959="عجز −10",AC959="جودة −15",AC959="امتثال −20",AC959="مخالفة −25",AC959="")),"✗ قائمة U",IF(AND(X959="لا",AC959&lt;&gt;"",AC959&lt;&gt;"لا خصم 0"),"✗ خصم",IF(AND(X959="نعم",AC959="لا خصم 0"),"✗ خصم",IF(AND(Z959="ممتاز 100%",AA959="ممتاز 100%",AB959&lt;&gt;"",AB959&lt;&gt;"مكتمل 100%"),"✗ إغلاق",IFERROR(IF(LEN(_xlfn.TEXTJOIN("، ",TRUE,IF(E959="","التاريخ",""),IF(F959="","الوقت",""),IF(G959="","المركز",""),IF(H959="","الدائرة",""),IF(I959="","القسم",""),IF(J959="","المسؤول",""),IF(K959="","نوع النشاط",""),IF(L959="","المشروع",""),IF(N959="","الممول",""),IF(V959="","الموضوع",""),IF(W959="","الملاحظة",""),IF(X959="","مشكلة",""),IF(Y959="","الإجراء",""),IF(Z959="","التنفيذ",""),IF(AA959="","الجودة",""),IF(AB959="","الإغلاق",""),IF(AC959="","الخصم",""),IF(AND(COUNTA($O959:$U959)&gt;0,O959=""),"مدير المشروع",""),IF(AND(COUNTA($O959:$U959)&gt;0,P959=""),"المستفيدين",""),IF(AND(COUNTA($O959:$U959)&gt;0,Q959=""),"المناطق",""),IF(AND(COUNTA($O959:$U959)&gt;0,R959=""),"الميزانية",""),IF(AND(COUNTA($O959:$U959)&gt;0,S959=""),"نسبة الجاهزية",""),IF(AND(COUNTA($O959:$U959)&gt;0,T959=""),"حالة الجاهزية",""),IF(AND(COUNTA($O959:$U959)&gt;0,U959=""),"التوصيات","")))&gt;0,"✗ ناقص: "&amp;_xlfn.TEXTJOIN("، ",TRUE,IF(E959="","التاريخ",""),IF(F959="","الوقت",""),IF(G959="","المركز",""),IF(H959="","الدائرة",""),IF(I959="","القسم",""),IF(J959="","المسؤول",""),IF(K959="","نوع النشاط",""),IF(L959="","المشروع",""),IF(N959="","الممول",""),IF(V959="","الموضوع",""),IF(W959="","الملاحظة",""),IF(X959="","مشكلة",""),IF(Y959="","الإجراء",""),IF(Z959="","التنفيذ",""),IF(AA959="","الجودة",""),IF(AB959="","الإغلاق",""),IF(AC959="","الخصم",""),IF(AND(COUNTA($O959:$U959)&gt;0,O959=""),"مدير المشروع",""),IF(AND(COUNTA($O959:$U959)&gt;0,P959=""),"المستفيدين",""),IF(AND(COUNTA($O959:$U959)&gt;0,Q959=""),"المناطق",""),IF(AND(COUNTA($O959:$U959)&gt;0,R959=""),"الميزانية",""),IF(AND(COUNTA($O959:$U959)&gt;0,S959=""),"نسبة الجاهزية",""),IF(AND(COUNTA($O959:$U959)&gt;0,T959=""),"حالة الجاهزية",""),IF(AND(COUNTA($O959:$U959)&gt;0,U959=""),"التوصيات","")),"✓"),"✓"))))))))))</f>
        <v/>
      </c>
      <c r="E959" s="235"/>
      <c r="F959" s="236"/>
      <c r="G959" s="90"/>
      <c r="H959" s="239"/>
      <c r="I959" s="89"/>
      <c r="J959" s="142"/>
      <c r="K959" s="90"/>
      <c r="L959" s="90"/>
      <c r="M959" s="90"/>
      <c r="N959" s="89"/>
      <c r="O959" s="200"/>
      <c r="P959" s="201"/>
      <c r="Q959" s="201"/>
      <c r="R959" s="237"/>
      <c r="S959" s="202"/>
      <c r="T959" s="200"/>
      <c r="U959" s="203"/>
      <c r="V959" s="89"/>
      <c r="W959" s="89"/>
      <c r="X959" s="145"/>
      <c r="Y959" s="89"/>
      <c r="Z959" s="90"/>
      <c r="AA959" s="90"/>
      <c r="AB959" s="90"/>
      <c r="AC959" s="90"/>
      <c r="AD959" s="92"/>
      <c r="AE959" s="149" t="str">
        <f>IFERROR(VLOOKUP(Z959,LISTS!$AL$2:$AM$1000,2,FALSE()),"")</f>
        <v/>
      </c>
      <c r="AF959" s="151" t="str">
        <f>IFERROR(VLOOKUP(AA959,LISTS!$AO$2:$AP$1000,2,FALSE()),"")</f>
        <v/>
      </c>
      <c r="AG959" s="152" t="str">
        <f>IFERROR(VLOOKUP(AB959,LISTS!$AR$2:$AS$1000,2,FALSE()),"")</f>
        <v/>
      </c>
      <c r="AH959" s="154" t="str">
        <f>IFERROR(VLOOKUP(AC959,LISTS!$AU$2:$AV$1000,2,FALSE()),"")</f>
        <v/>
      </c>
      <c r="AI959" s="238" t="str">
        <f t="shared" si="73"/>
        <v>—</v>
      </c>
      <c r="AJ959" s="190" t="str">
        <f t="shared" si="74"/>
        <v>—</v>
      </c>
      <c r="AK959" s="157" t="str">
        <f t="shared" si="75"/>
        <v/>
      </c>
      <c r="AL959" s="160" t="str">
        <f t="shared" si="76"/>
        <v/>
      </c>
      <c r="AM959" s="210"/>
      <c r="AN959" s="209"/>
    </row>
    <row r="960" spans="1:40" ht="27.95" customHeight="1">
      <c r="A960" s="134" t="str">
        <f>IF(I960&lt;&gt;"",COUNTA($I$2:I960),"")</f>
        <v/>
      </c>
      <c r="B960" s="138" t="str">
        <f t="shared" si="77"/>
        <v/>
      </c>
      <c r="C960" s="93" t="str">
        <f t="array" ref="C960">IF(E960="","",IF(M960&lt;&gt;"",
M960&amp;"/"&amp;SUMPRODUCT((M$2:M960=M960)*1)&amp;" - "&amp;(ROW()-2),
"إداري/"&amp;SUMPRODUCT((M$2:M960="")*1)&amp;" - "&amp;(ROW()-2)))</f>
        <v/>
      </c>
      <c r="D960" s="141" t="str">
        <f>IF(AND(G960="",H960="",I960=""),"",IF(COUNTIFS(LISTS!$A$2:$A$67,G960,LISTS!$B$2:$B$67,H960,LISTS!$C$2:$C$67,I960)=0,"✗ هرم",IF(NOT(OR(Z960="ممتاز 100%",Z960="جيد 80%",Z960="مقبول 60%",Z960="خطر 40%",Z960="")),"✗ قائمة R",IF(NOT(OR(AA960="ممتاز 100%",AA960="جيد 85%",AA960="مقبول 70%",AA960="ضعيف 50%",AA960="")),"✗ قائمة S",IF(NOT(OR(AB960="مكتمل 100%",AB960="جزئي 60%",AB960="معلق 30%",AB960="مفتوح 0%",AB960="")),"✗ قائمة T",IF(NOT(OR(AC960="لا خصم 0",AC960="تأخير −5",AC960="عجز −10",AC960="جودة −15",AC960="امتثال −20",AC960="مخالفة −25",AC960="")),"✗ قائمة U",IF(AND(X960="لا",AC960&lt;&gt;"",AC960&lt;&gt;"لا خصم 0"),"✗ خصم",IF(AND(X960="نعم",AC960="لا خصم 0"),"✗ خصم",IF(AND(Z960="ممتاز 100%",AA960="ممتاز 100%",AB960&lt;&gt;"",AB960&lt;&gt;"مكتمل 100%"),"✗ إغلاق",IFERROR(IF(LEN(_xlfn.TEXTJOIN("، ",TRUE,IF(E960="","التاريخ",""),IF(F960="","الوقت",""),IF(G960="","المركز",""),IF(H960="","الدائرة",""),IF(I960="","القسم",""),IF(J960="","المسؤول",""),IF(K960="","نوع النشاط",""),IF(L960="","المشروع",""),IF(N960="","الممول",""),IF(V960="","الموضوع",""),IF(W960="","الملاحظة",""),IF(X960="","مشكلة",""),IF(Y960="","الإجراء",""),IF(Z960="","التنفيذ",""),IF(AA960="","الجودة",""),IF(AB960="","الإغلاق",""),IF(AC960="","الخصم",""),IF(AND(COUNTA($O960:$U960)&gt;0,O960=""),"مدير المشروع",""),IF(AND(COUNTA($O960:$U960)&gt;0,P960=""),"المستفيدين",""),IF(AND(COUNTA($O960:$U960)&gt;0,Q960=""),"المناطق",""),IF(AND(COUNTA($O960:$U960)&gt;0,R960=""),"الميزانية",""),IF(AND(COUNTA($O960:$U960)&gt;0,S960=""),"نسبة الجاهزية",""),IF(AND(COUNTA($O960:$U960)&gt;0,T960=""),"حالة الجاهزية",""),IF(AND(COUNTA($O960:$U960)&gt;0,U960=""),"التوصيات","")))&gt;0,"✗ ناقص: "&amp;_xlfn.TEXTJOIN("، ",TRUE,IF(E960="","التاريخ",""),IF(F960="","الوقت",""),IF(G960="","المركز",""),IF(H960="","الدائرة",""),IF(I960="","القسم",""),IF(J960="","المسؤول",""),IF(K960="","نوع النشاط",""),IF(L960="","المشروع",""),IF(N960="","الممول",""),IF(V960="","الموضوع",""),IF(W960="","الملاحظة",""),IF(X960="","مشكلة",""),IF(Y960="","الإجراء",""),IF(Z960="","التنفيذ",""),IF(AA960="","الجودة",""),IF(AB960="","الإغلاق",""),IF(AC960="","الخصم",""),IF(AND(COUNTA($O960:$U960)&gt;0,O960=""),"مدير المشروع",""),IF(AND(COUNTA($O960:$U960)&gt;0,P960=""),"المستفيدين",""),IF(AND(COUNTA($O960:$U960)&gt;0,Q960=""),"المناطق",""),IF(AND(COUNTA($O960:$U960)&gt;0,R960=""),"الميزانية",""),IF(AND(COUNTA($O960:$U960)&gt;0,S960=""),"نسبة الجاهزية",""),IF(AND(COUNTA($O960:$U960)&gt;0,T960=""),"حالة الجاهزية",""),IF(AND(COUNTA($O960:$U960)&gt;0,U960=""),"التوصيات","")),"✓"),"✓"))))))))))</f>
        <v/>
      </c>
      <c r="E960" s="235"/>
      <c r="F960" s="236"/>
      <c r="G960" s="90"/>
      <c r="H960" s="239"/>
      <c r="I960" s="89"/>
      <c r="J960" s="142"/>
      <c r="K960" s="90"/>
      <c r="L960" s="90"/>
      <c r="M960" s="90"/>
      <c r="N960" s="89"/>
      <c r="O960" s="200"/>
      <c r="P960" s="201"/>
      <c r="Q960" s="201"/>
      <c r="R960" s="237"/>
      <c r="S960" s="202"/>
      <c r="T960" s="200"/>
      <c r="U960" s="203"/>
      <c r="V960" s="89"/>
      <c r="W960" s="89"/>
      <c r="X960" s="145"/>
      <c r="Y960" s="89"/>
      <c r="Z960" s="90"/>
      <c r="AA960" s="90"/>
      <c r="AB960" s="90"/>
      <c r="AC960" s="90"/>
      <c r="AD960" s="92"/>
      <c r="AE960" s="149" t="str">
        <f>IFERROR(VLOOKUP(Z960,LISTS!$AL$2:$AM$1000,2,FALSE()),"")</f>
        <v/>
      </c>
      <c r="AF960" s="151" t="str">
        <f>IFERROR(VLOOKUP(AA960,LISTS!$AO$2:$AP$1000,2,FALSE()),"")</f>
        <v/>
      </c>
      <c r="AG960" s="152" t="str">
        <f>IFERROR(VLOOKUP(AB960,LISTS!$AR$2:$AS$1000,2,FALSE()),"")</f>
        <v/>
      </c>
      <c r="AH960" s="154" t="str">
        <f>IFERROR(VLOOKUP(AC960,LISTS!$AU$2:$AV$1000,2,FALSE()),"")</f>
        <v/>
      </c>
      <c r="AI960" s="238" t="str">
        <f t="shared" si="73"/>
        <v>—</v>
      </c>
      <c r="AJ960" s="190" t="str">
        <f t="shared" si="74"/>
        <v>—</v>
      </c>
      <c r="AK960" s="157" t="str">
        <f t="shared" si="75"/>
        <v/>
      </c>
      <c r="AL960" s="160" t="str">
        <f t="shared" si="76"/>
        <v/>
      </c>
      <c r="AM960" s="210"/>
      <c r="AN960" s="209"/>
    </row>
    <row r="961" spans="1:40" ht="27.95" customHeight="1">
      <c r="A961" s="134" t="str">
        <f>IF(I961&lt;&gt;"",COUNTA($I$2:I961),"")</f>
        <v/>
      </c>
      <c r="B961" s="138" t="str">
        <f t="shared" si="77"/>
        <v/>
      </c>
      <c r="C961" s="93" t="str">
        <f t="array" ref="C961">IF(E961="","",IF(M961&lt;&gt;"",
M961&amp;"/"&amp;SUMPRODUCT((M$2:M961=M961)*1)&amp;" - "&amp;(ROW()-2),
"إداري/"&amp;SUMPRODUCT((M$2:M961="")*1)&amp;" - "&amp;(ROW()-2)))</f>
        <v/>
      </c>
      <c r="D961" s="141" t="str">
        <f>IF(AND(G961="",H961="",I961=""),"",IF(COUNTIFS(LISTS!$A$2:$A$67,G961,LISTS!$B$2:$B$67,H961,LISTS!$C$2:$C$67,I961)=0,"✗ هرم",IF(NOT(OR(Z961="ممتاز 100%",Z961="جيد 80%",Z961="مقبول 60%",Z961="خطر 40%",Z961="")),"✗ قائمة R",IF(NOT(OR(AA961="ممتاز 100%",AA961="جيد 85%",AA961="مقبول 70%",AA961="ضعيف 50%",AA961="")),"✗ قائمة S",IF(NOT(OR(AB961="مكتمل 100%",AB961="جزئي 60%",AB961="معلق 30%",AB961="مفتوح 0%",AB961="")),"✗ قائمة T",IF(NOT(OR(AC961="لا خصم 0",AC961="تأخير −5",AC961="عجز −10",AC961="جودة −15",AC961="امتثال −20",AC961="مخالفة −25",AC961="")),"✗ قائمة U",IF(AND(X961="لا",AC961&lt;&gt;"",AC961&lt;&gt;"لا خصم 0"),"✗ خصم",IF(AND(X961="نعم",AC961="لا خصم 0"),"✗ خصم",IF(AND(Z961="ممتاز 100%",AA961="ممتاز 100%",AB961&lt;&gt;"",AB961&lt;&gt;"مكتمل 100%"),"✗ إغلاق",IFERROR(IF(LEN(_xlfn.TEXTJOIN("، ",TRUE,IF(E961="","التاريخ",""),IF(F961="","الوقت",""),IF(G961="","المركز",""),IF(H961="","الدائرة",""),IF(I961="","القسم",""),IF(J961="","المسؤول",""),IF(K961="","نوع النشاط",""),IF(L961="","المشروع",""),IF(N961="","الممول",""),IF(V961="","الموضوع",""),IF(W961="","الملاحظة",""),IF(X961="","مشكلة",""),IF(Y961="","الإجراء",""),IF(Z961="","التنفيذ",""),IF(AA961="","الجودة",""),IF(AB961="","الإغلاق",""),IF(AC961="","الخصم",""),IF(AND(COUNTA($O961:$U961)&gt;0,O961=""),"مدير المشروع",""),IF(AND(COUNTA($O961:$U961)&gt;0,P961=""),"المستفيدين",""),IF(AND(COUNTA($O961:$U961)&gt;0,Q961=""),"المناطق",""),IF(AND(COUNTA($O961:$U961)&gt;0,R961=""),"الميزانية",""),IF(AND(COUNTA($O961:$U961)&gt;0,S961=""),"نسبة الجاهزية",""),IF(AND(COUNTA($O961:$U961)&gt;0,T961=""),"حالة الجاهزية",""),IF(AND(COUNTA($O961:$U961)&gt;0,U961=""),"التوصيات","")))&gt;0,"✗ ناقص: "&amp;_xlfn.TEXTJOIN("، ",TRUE,IF(E961="","التاريخ",""),IF(F961="","الوقت",""),IF(G961="","المركز",""),IF(H961="","الدائرة",""),IF(I961="","القسم",""),IF(J961="","المسؤول",""),IF(K961="","نوع النشاط",""),IF(L961="","المشروع",""),IF(N961="","الممول",""),IF(V961="","الموضوع",""),IF(W961="","الملاحظة",""),IF(X961="","مشكلة",""),IF(Y961="","الإجراء",""),IF(Z961="","التنفيذ",""),IF(AA961="","الجودة",""),IF(AB961="","الإغلاق",""),IF(AC961="","الخصم",""),IF(AND(COUNTA($O961:$U961)&gt;0,O961=""),"مدير المشروع",""),IF(AND(COUNTA($O961:$U961)&gt;0,P961=""),"المستفيدين",""),IF(AND(COUNTA($O961:$U961)&gt;0,Q961=""),"المناطق",""),IF(AND(COUNTA($O961:$U961)&gt;0,R961=""),"الميزانية",""),IF(AND(COUNTA($O961:$U961)&gt;0,S961=""),"نسبة الجاهزية",""),IF(AND(COUNTA($O961:$U961)&gt;0,T961=""),"حالة الجاهزية",""),IF(AND(COUNTA($O961:$U961)&gt;0,U961=""),"التوصيات","")),"✓"),"✓"))))))))))</f>
        <v/>
      </c>
      <c r="E961" s="235"/>
      <c r="F961" s="236"/>
      <c r="G961" s="90"/>
      <c r="H961" s="239"/>
      <c r="I961" s="89"/>
      <c r="J961" s="142"/>
      <c r="K961" s="90"/>
      <c r="L961" s="90"/>
      <c r="M961" s="90"/>
      <c r="N961" s="89"/>
      <c r="O961" s="200"/>
      <c r="P961" s="201"/>
      <c r="Q961" s="201"/>
      <c r="R961" s="237"/>
      <c r="S961" s="202"/>
      <c r="T961" s="200"/>
      <c r="U961" s="203"/>
      <c r="V961" s="89"/>
      <c r="W961" s="89"/>
      <c r="X961" s="145"/>
      <c r="Y961" s="89"/>
      <c r="Z961" s="90"/>
      <c r="AA961" s="90"/>
      <c r="AB961" s="90"/>
      <c r="AC961" s="90"/>
      <c r="AD961" s="92"/>
      <c r="AE961" s="149" t="str">
        <f>IFERROR(VLOOKUP(Z961,LISTS!$AL$2:$AM$1000,2,FALSE()),"")</f>
        <v/>
      </c>
      <c r="AF961" s="151" t="str">
        <f>IFERROR(VLOOKUP(AA961,LISTS!$AO$2:$AP$1000,2,FALSE()),"")</f>
        <v/>
      </c>
      <c r="AG961" s="152" t="str">
        <f>IFERROR(VLOOKUP(AB961,LISTS!$AR$2:$AS$1000,2,FALSE()),"")</f>
        <v/>
      </c>
      <c r="AH961" s="154" t="str">
        <f>IFERROR(VLOOKUP(AC961,LISTS!$AU$2:$AV$1000,2,FALSE()),"")</f>
        <v/>
      </c>
      <c r="AI961" s="238" t="str">
        <f t="shared" si="73"/>
        <v>—</v>
      </c>
      <c r="AJ961" s="190" t="str">
        <f t="shared" si="74"/>
        <v>—</v>
      </c>
      <c r="AK961" s="157" t="str">
        <f t="shared" si="75"/>
        <v/>
      </c>
      <c r="AL961" s="160" t="str">
        <f t="shared" si="76"/>
        <v/>
      </c>
      <c r="AM961" s="210"/>
      <c r="AN961" s="209"/>
    </row>
    <row r="962" spans="1:40" ht="27.95" customHeight="1">
      <c r="A962" s="134" t="str">
        <f>IF(I962&lt;&gt;"",COUNTA($I$2:I962),"")</f>
        <v/>
      </c>
      <c r="B962" s="138" t="str">
        <f t="shared" si="77"/>
        <v/>
      </c>
      <c r="C962" s="93" t="str">
        <f t="array" ref="C962">IF(E962="","",IF(M962&lt;&gt;"",
M962&amp;"/"&amp;SUMPRODUCT((M$2:M962=M962)*1)&amp;" - "&amp;(ROW()-2),
"إداري/"&amp;SUMPRODUCT((M$2:M962="")*1)&amp;" - "&amp;(ROW()-2)))</f>
        <v/>
      </c>
      <c r="D962" s="141" t="str">
        <f>IF(AND(G962="",H962="",I962=""),"",IF(COUNTIFS(LISTS!$A$2:$A$67,G962,LISTS!$B$2:$B$67,H962,LISTS!$C$2:$C$67,I962)=0,"✗ هرم",IF(NOT(OR(Z962="ممتاز 100%",Z962="جيد 80%",Z962="مقبول 60%",Z962="خطر 40%",Z962="")),"✗ قائمة R",IF(NOT(OR(AA962="ممتاز 100%",AA962="جيد 85%",AA962="مقبول 70%",AA962="ضعيف 50%",AA962="")),"✗ قائمة S",IF(NOT(OR(AB962="مكتمل 100%",AB962="جزئي 60%",AB962="معلق 30%",AB962="مفتوح 0%",AB962="")),"✗ قائمة T",IF(NOT(OR(AC962="لا خصم 0",AC962="تأخير −5",AC962="عجز −10",AC962="جودة −15",AC962="امتثال −20",AC962="مخالفة −25",AC962="")),"✗ قائمة U",IF(AND(X962="لا",AC962&lt;&gt;"",AC962&lt;&gt;"لا خصم 0"),"✗ خصم",IF(AND(X962="نعم",AC962="لا خصم 0"),"✗ خصم",IF(AND(Z962="ممتاز 100%",AA962="ممتاز 100%",AB962&lt;&gt;"",AB962&lt;&gt;"مكتمل 100%"),"✗ إغلاق",IFERROR(IF(LEN(_xlfn.TEXTJOIN("، ",TRUE,IF(E962="","التاريخ",""),IF(F962="","الوقت",""),IF(G962="","المركز",""),IF(H962="","الدائرة",""),IF(I962="","القسم",""),IF(J962="","المسؤول",""),IF(K962="","نوع النشاط",""),IF(L962="","المشروع",""),IF(N962="","الممول",""),IF(V962="","الموضوع",""),IF(W962="","الملاحظة",""),IF(X962="","مشكلة",""),IF(Y962="","الإجراء",""),IF(Z962="","التنفيذ",""),IF(AA962="","الجودة",""),IF(AB962="","الإغلاق",""),IF(AC962="","الخصم",""),IF(AND(COUNTA($O962:$U962)&gt;0,O962=""),"مدير المشروع",""),IF(AND(COUNTA($O962:$U962)&gt;0,P962=""),"المستفيدين",""),IF(AND(COUNTA($O962:$U962)&gt;0,Q962=""),"المناطق",""),IF(AND(COUNTA($O962:$U962)&gt;0,R962=""),"الميزانية",""),IF(AND(COUNTA($O962:$U962)&gt;0,S962=""),"نسبة الجاهزية",""),IF(AND(COUNTA($O962:$U962)&gt;0,T962=""),"حالة الجاهزية",""),IF(AND(COUNTA($O962:$U962)&gt;0,U962=""),"التوصيات","")))&gt;0,"✗ ناقص: "&amp;_xlfn.TEXTJOIN("، ",TRUE,IF(E962="","التاريخ",""),IF(F962="","الوقت",""),IF(G962="","المركز",""),IF(H962="","الدائرة",""),IF(I962="","القسم",""),IF(J962="","المسؤول",""),IF(K962="","نوع النشاط",""),IF(L962="","المشروع",""),IF(N962="","الممول",""),IF(V962="","الموضوع",""),IF(W962="","الملاحظة",""),IF(X962="","مشكلة",""),IF(Y962="","الإجراء",""),IF(Z962="","التنفيذ",""),IF(AA962="","الجودة",""),IF(AB962="","الإغلاق",""),IF(AC962="","الخصم",""),IF(AND(COUNTA($O962:$U962)&gt;0,O962=""),"مدير المشروع",""),IF(AND(COUNTA($O962:$U962)&gt;0,P962=""),"المستفيدين",""),IF(AND(COUNTA($O962:$U962)&gt;0,Q962=""),"المناطق",""),IF(AND(COUNTA($O962:$U962)&gt;0,R962=""),"الميزانية",""),IF(AND(COUNTA($O962:$U962)&gt;0,S962=""),"نسبة الجاهزية",""),IF(AND(COUNTA($O962:$U962)&gt;0,T962=""),"حالة الجاهزية",""),IF(AND(COUNTA($O962:$U962)&gt;0,U962=""),"التوصيات","")),"✓"),"✓"))))))))))</f>
        <v/>
      </c>
      <c r="E962" s="235"/>
      <c r="F962" s="236"/>
      <c r="G962" s="90"/>
      <c r="H962" s="239"/>
      <c r="I962" s="89"/>
      <c r="J962" s="142"/>
      <c r="K962" s="90"/>
      <c r="L962" s="90"/>
      <c r="M962" s="90"/>
      <c r="N962" s="89"/>
      <c r="O962" s="200"/>
      <c r="P962" s="201"/>
      <c r="Q962" s="201"/>
      <c r="R962" s="237"/>
      <c r="S962" s="202"/>
      <c r="T962" s="200"/>
      <c r="U962" s="203"/>
      <c r="V962" s="89"/>
      <c r="W962" s="89"/>
      <c r="X962" s="145"/>
      <c r="Y962" s="89"/>
      <c r="Z962" s="90"/>
      <c r="AA962" s="90"/>
      <c r="AB962" s="90"/>
      <c r="AC962" s="90"/>
      <c r="AD962" s="92"/>
      <c r="AE962" s="149" t="str">
        <f>IFERROR(VLOOKUP(Z962,LISTS!$AL$2:$AM$1000,2,FALSE()),"")</f>
        <v/>
      </c>
      <c r="AF962" s="151" t="str">
        <f>IFERROR(VLOOKUP(AA962,LISTS!$AO$2:$AP$1000,2,FALSE()),"")</f>
        <v/>
      </c>
      <c r="AG962" s="152" t="str">
        <f>IFERROR(VLOOKUP(AB962,LISTS!$AR$2:$AS$1000,2,FALSE()),"")</f>
        <v/>
      </c>
      <c r="AH962" s="154" t="str">
        <f>IFERROR(VLOOKUP(AC962,LISTS!$AU$2:$AV$1000,2,FALSE()),"")</f>
        <v/>
      </c>
      <c r="AI962" s="238" t="str">
        <f t="shared" ref="AI962:AI976" si="78">IF(OR(AE962="",AF962="",AG962=""),"—",IFERROR(ROUND(AE962*0.4+AF962*0.3+AG962*0.3-IF(ISNUMBER(AH962),AH962,0),1),"⚠️"))</f>
        <v>—</v>
      </c>
      <c r="AJ962" s="190" t="str">
        <f t="shared" ref="AJ962:AJ998" si="79">IF(AI962="—","—",IF(NOT(ISNUMBER(AI962)),"⚠️",IF(AI962&gt;=98,"🌟 ممتاز جدًا",IF(AI962&gt;=90,"⭐ ممتاز",IF(AI962&gt;=75,"🟢 جيد",IF(AI962&gt;=60,"🟡 مقبول",IF(AI962&gt;=40,"🔴 ضعيف","🚨 خطر شديد")))))))</f>
        <v>—</v>
      </c>
      <c r="AK962" s="157" t="str">
        <f t="shared" si="75"/>
        <v/>
      </c>
      <c r="AL962" s="160" t="str">
        <f t="shared" si="76"/>
        <v/>
      </c>
      <c r="AM962" s="210"/>
      <c r="AN962" s="209"/>
    </row>
    <row r="963" spans="1:40" ht="27.95" customHeight="1">
      <c r="A963" s="134" t="str">
        <f>IF(I963&lt;&gt;"",COUNTA($I$2:I963),"")</f>
        <v/>
      </c>
      <c r="B963" s="138" t="str">
        <f t="shared" si="77"/>
        <v/>
      </c>
      <c r="C963" s="93" t="str">
        <f t="array" ref="C963">IF(E963="","",IF(M963&lt;&gt;"",
M963&amp;"/"&amp;SUMPRODUCT((M$2:M963=M963)*1)&amp;" - "&amp;(ROW()-2),
"إداري/"&amp;SUMPRODUCT((M$2:M963="")*1)&amp;" - "&amp;(ROW()-2)))</f>
        <v/>
      </c>
      <c r="D963" s="141" t="str">
        <f>IF(AND(G963="",H963="",I963=""),"",IF(COUNTIFS(LISTS!$A$2:$A$67,G963,LISTS!$B$2:$B$67,H963,LISTS!$C$2:$C$67,I963)=0,"✗ هرم",IF(NOT(OR(Z963="ممتاز 100%",Z963="جيد 80%",Z963="مقبول 60%",Z963="خطر 40%",Z963="")),"✗ قائمة R",IF(NOT(OR(AA963="ممتاز 100%",AA963="جيد 85%",AA963="مقبول 70%",AA963="ضعيف 50%",AA963="")),"✗ قائمة S",IF(NOT(OR(AB963="مكتمل 100%",AB963="جزئي 60%",AB963="معلق 30%",AB963="مفتوح 0%",AB963="")),"✗ قائمة T",IF(NOT(OR(AC963="لا خصم 0",AC963="تأخير −5",AC963="عجز −10",AC963="جودة −15",AC963="امتثال −20",AC963="مخالفة −25",AC963="")),"✗ قائمة U",IF(AND(X963="لا",AC963&lt;&gt;"",AC963&lt;&gt;"لا خصم 0"),"✗ خصم",IF(AND(X963="نعم",AC963="لا خصم 0"),"✗ خصم",IF(AND(Z963="ممتاز 100%",AA963="ممتاز 100%",AB963&lt;&gt;"",AB963&lt;&gt;"مكتمل 100%"),"✗ إغلاق",IFERROR(IF(LEN(_xlfn.TEXTJOIN("، ",TRUE,IF(E963="","التاريخ",""),IF(F963="","الوقت",""),IF(G963="","المركز",""),IF(H963="","الدائرة",""),IF(I963="","القسم",""),IF(J963="","المسؤول",""),IF(K963="","نوع النشاط",""),IF(L963="","المشروع",""),IF(N963="","الممول",""),IF(V963="","الموضوع",""),IF(W963="","الملاحظة",""),IF(X963="","مشكلة",""),IF(Y963="","الإجراء",""),IF(Z963="","التنفيذ",""),IF(AA963="","الجودة",""),IF(AB963="","الإغلاق",""),IF(AC963="","الخصم",""),IF(AND(COUNTA($O963:$U963)&gt;0,O963=""),"مدير المشروع",""),IF(AND(COUNTA($O963:$U963)&gt;0,P963=""),"المستفيدين",""),IF(AND(COUNTA($O963:$U963)&gt;0,Q963=""),"المناطق",""),IF(AND(COUNTA($O963:$U963)&gt;0,R963=""),"الميزانية",""),IF(AND(COUNTA($O963:$U963)&gt;0,S963=""),"نسبة الجاهزية",""),IF(AND(COUNTA($O963:$U963)&gt;0,T963=""),"حالة الجاهزية",""),IF(AND(COUNTA($O963:$U963)&gt;0,U963=""),"التوصيات","")))&gt;0,"✗ ناقص: "&amp;_xlfn.TEXTJOIN("، ",TRUE,IF(E963="","التاريخ",""),IF(F963="","الوقت",""),IF(G963="","المركز",""),IF(H963="","الدائرة",""),IF(I963="","القسم",""),IF(J963="","المسؤول",""),IF(K963="","نوع النشاط",""),IF(L963="","المشروع",""),IF(N963="","الممول",""),IF(V963="","الموضوع",""),IF(W963="","الملاحظة",""),IF(X963="","مشكلة",""),IF(Y963="","الإجراء",""),IF(Z963="","التنفيذ",""),IF(AA963="","الجودة",""),IF(AB963="","الإغلاق",""),IF(AC963="","الخصم",""),IF(AND(COUNTA($O963:$U963)&gt;0,O963=""),"مدير المشروع",""),IF(AND(COUNTA($O963:$U963)&gt;0,P963=""),"المستفيدين",""),IF(AND(COUNTA($O963:$U963)&gt;0,Q963=""),"المناطق",""),IF(AND(COUNTA($O963:$U963)&gt;0,R963=""),"الميزانية",""),IF(AND(COUNTA($O963:$U963)&gt;0,S963=""),"نسبة الجاهزية",""),IF(AND(COUNTA($O963:$U963)&gt;0,T963=""),"حالة الجاهزية",""),IF(AND(COUNTA($O963:$U963)&gt;0,U963=""),"التوصيات","")),"✓"),"✓"))))))))))</f>
        <v/>
      </c>
      <c r="E963" s="235"/>
      <c r="F963" s="236"/>
      <c r="G963" s="90"/>
      <c r="H963" s="239"/>
      <c r="I963" s="89"/>
      <c r="J963" s="142"/>
      <c r="K963" s="90"/>
      <c r="L963" s="90"/>
      <c r="M963" s="90"/>
      <c r="N963" s="89"/>
      <c r="O963" s="200"/>
      <c r="P963" s="201"/>
      <c r="Q963" s="201"/>
      <c r="R963" s="237"/>
      <c r="S963" s="202"/>
      <c r="T963" s="200"/>
      <c r="U963" s="203"/>
      <c r="V963" s="89"/>
      <c r="W963" s="89"/>
      <c r="X963" s="145"/>
      <c r="Y963" s="89"/>
      <c r="Z963" s="90"/>
      <c r="AA963" s="90"/>
      <c r="AB963" s="90"/>
      <c r="AC963" s="90"/>
      <c r="AD963" s="92"/>
      <c r="AE963" s="149" t="str">
        <f>IFERROR(VLOOKUP(Z963,LISTS!$AL$2:$AM$1000,2,FALSE()),"")</f>
        <v/>
      </c>
      <c r="AF963" s="151" t="str">
        <f>IFERROR(VLOOKUP(AA963,LISTS!$AO$2:$AP$1000,2,FALSE()),"")</f>
        <v/>
      </c>
      <c r="AG963" s="152" t="str">
        <f>IFERROR(VLOOKUP(AB963,LISTS!$AR$2:$AS$1000,2,FALSE()),"")</f>
        <v/>
      </c>
      <c r="AH963" s="154" t="str">
        <f>IFERROR(VLOOKUP(AC963,LISTS!$AU$2:$AV$1000,2,FALSE()),"")</f>
        <v/>
      </c>
      <c r="AI963" s="238" t="str">
        <f t="shared" si="78"/>
        <v>—</v>
      </c>
      <c r="AJ963" s="190" t="str">
        <f t="shared" si="79"/>
        <v>—</v>
      </c>
      <c r="AK963" s="157" t="str">
        <f t="shared" si="75"/>
        <v/>
      </c>
      <c r="AL963" s="160" t="str">
        <f t="shared" si="76"/>
        <v/>
      </c>
      <c r="AM963" s="210"/>
      <c r="AN963" s="209"/>
    </row>
    <row r="964" spans="1:40" ht="27.95" customHeight="1">
      <c r="A964" s="134" t="str">
        <f>IF(I964&lt;&gt;"",COUNTA($I$2:I964),"")</f>
        <v/>
      </c>
      <c r="B964" s="138" t="str">
        <f t="shared" si="77"/>
        <v/>
      </c>
      <c r="C964" s="93" t="str">
        <f t="array" ref="C964">IF(E964="","",IF(M964&lt;&gt;"",
M964&amp;"/"&amp;SUMPRODUCT((M$2:M964=M964)*1)&amp;" - "&amp;(ROW()-2),
"إداري/"&amp;SUMPRODUCT((M$2:M964="")*1)&amp;" - "&amp;(ROW()-2)))</f>
        <v/>
      </c>
      <c r="D964" s="141" t="str">
        <f>IF(AND(G964="",H964="",I964=""),"",IF(COUNTIFS(LISTS!$A$2:$A$67,G964,LISTS!$B$2:$B$67,H964,LISTS!$C$2:$C$67,I964)=0,"✗ هرم",IF(NOT(OR(Z964="ممتاز 100%",Z964="جيد 80%",Z964="مقبول 60%",Z964="خطر 40%",Z964="")),"✗ قائمة R",IF(NOT(OR(AA964="ممتاز 100%",AA964="جيد 85%",AA964="مقبول 70%",AA964="ضعيف 50%",AA964="")),"✗ قائمة S",IF(NOT(OR(AB964="مكتمل 100%",AB964="جزئي 60%",AB964="معلق 30%",AB964="مفتوح 0%",AB964="")),"✗ قائمة T",IF(NOT(OR(AC964="لا خصم 0",AC964="تأخير −5",AC964="عجز −10",AC964="جودة −15",AC964="امتثال −20",AC964="مخالفة −25",AC964="")),"✗ قائمة U",IF(AND(X964="لا",AC964&lt;&gt;"",AC964&lt;&gt;"لا خصم 0"),"✗ خصم",IF(AND(X964="نعم",AC964="لا خصم 0"),"✗ خصم",IF(AND(Z964="ممتاز 100%",AA964="ممتاز 100%",AB964&lt;&gt;"",AB964&lt;&gt;"مكتمل 100%"),"✗ إغلاق",IFERROR(IF(LEN(_xlfn.TEXTJOIN("، ",TRUE,IF(E964="","التاريخ",""),IF(F964="","الوقت",""),IF(G964="","المركز",""),IF(H964="","الدائرة",""),IF(I964="","القسم",""),IF(J964="","المسؤول",""),IF(K964="","نوع النشاط",""),IF(L964="","المشروع",""),IF(N964="","الممول",""),IF(V964="","الموضوع",""),IF(W964="","الملاحظة",""),IF(X964="","مشكلة",""),IF(Y964="","الإجراء",""),IF(Z964="","التنفيذ",""),IF(AA964="","الجودة",""),IF(AB964="","الإغلاق",""),IF(AC964="","الخصم",""),IF(AND(COUNTA($O964:$U964)&gt;0,O964=""),"مدير المشروع",""),IF(AND(COUNTA($O964:$U964)&gt;0,P964=""),"المستفيدين",""),IF(AND(COUNTA($O964:$U964)&gt;0,Q964=""),"المناطق",""),IF(AND(COUNTA($O964:$U964)&gt;0,R964=""),"الميزانية",""),IF(AND(COUNTA($O964:$U964)&gt;0,S964=""),"نسبة الجاهزية",""),IF(AND(COUNTA($O964:$U964)&gt;0,T964=""),"حالة الجاهزية",""),IF(AND(COUNTA($O964:$U964)&gt;0,U964=""),"التوصيات","")))&gt;0,"✗ ناقص: "&amp;_xlfn.TEXTJOIN("، ",TRUE,IF(E964="","التاريخ",""),IF(F964="","الوقت",""),IF(G964="","المركز",""),IF(H964="","الدائرة",""),IF(I964="","القسم",""),IF(J964="","المسؤول",""),IF(K964="","نوع النشاط",""),IF(L964="","المشروع",""),IF(N964="","الممول",""),IF(V964="","الموضوع",""),IF(W964="","الملاحظة",""),IF(X964="","مشكلة",""),IF(Y964="","الإجراء",""),IF(Z964="","التنفيذ",""),IF(AA964="","الجودة",""),IF(AB964="","الإغلاق",""),IF(AC964="","الخصم",""),IF(AND(COUNTA($O964:$U964)&gt;0,O964=""),"مدير المشروع",""),IF(AND(COUNTA($O964:$U964)&gt;0,P964=""),"المستفيدين",""),IF(AND(COUNTA($O964:$U964)&gt;0,Q964=""),"المناطق",""),IF(AND(COUNTA($O964:$U964)&gt;0,R964=""),"الميزانية",""),IF(AND(COUNTA($O964:$U964)&gt;0,S964=""),"نسبة الجاهزية",""),IF(AND(COUNTA($O964:$U964)&gt;0,T964=""),"حالة الجاهزية",""),IF(AND(COUNTA($O964:$U964)&gt;0,U964=""),"التوصيات","")),"✓"),"✓"))))))))))</f>
        <v/>
      </c>
      <c r="E964" s="235"/>
      <c r="F964" s="236"/>
      <c r="G964" s="90"/>
      <c r="H964" s="239"/>
      <c r="I964" s="89"/>
      <c r="J964" s="142"/>
      <c r="K964" s="90"/>
      <c r="L964" s="90"/>
      <c r="M964" s="90"/>
      <c r="N964" s="89"/>
      <c r="O964" s="200"/>
      <c r="P964" s="201"/>
      <c r="Q964" s="201"/>
      <c r="R964" s="237"/>
      <c r="S964" s="202"/>
      <c r="T964" s="200"/>
      <c r="U964" s="203"/>
      <c r="V964" s="89"/>
      <c r="W964" s="89"/>
      <c r="X964" s="145"/>
      <c r="Y964" s="89"/>
      <c r="Z964" s="90"/>
      <c r="AA964" s="90"/>
      <c r="AB964" s="90"/>
      <c r="AC964" s="90"/>
      <c r="AD964" s="92"/>
      <c r="AE964" s="149" t="str">
        <f>IFERROR(VLOOKUP(Z964,LISTS!$AL$2:$AM$1000,2,FALSE()),"")</f>
        <v/>
      </c>
      <c r="AF964" s="151" t="str">
        <f>IFERROR(VLOOKUP(AA964,LISTS!$AO$2:$AP$1000,2,FALSE()),"")</f>
        <v/>
      </c>
      <c r="AG964" s="152" t="str">
        <f>IFERROR(VLOOKUP(AB964,LISTS!$AR$2:$AS$1000,2,FALSE()),"")</f>
        <v/>
      </c>
      <c r="AH964" s="154" t="str">
        <f>IFERROR(VLOOKUP(AC964,LISTS!$AU$2:$AV$1000,2,FALSE()),"")</f>
        <v/>
      </c>
      <c r="AI964" s="238" t="str">
        <f t="shared" si="78"/>
        <v>—</v>
      </c>
      <c r="AJ964" s="190" t="str">
        <f t="shared" si="79"/>
        <v>—</v>
      </c>
      <c r="AK964" s="157" t="str">
        <f t="shared" si="75"/>
        <v/>
      </c>
      <c r="AL964" s="160" t="str">
        <f t="shared" si="76"/>
        <v/>
      </c>
      <c r="AM964" s="210"/>
      <c r="AN964" s="209"/>
    </row>
    <row r="965" spans="1:40" ht="27.95" customHeight="1">
      <c r="A965" s="134" t="str">
        <f>IF(I965&lt;&gt;"",COUNTA($I$2:I965),"")</f>
        <v/>
      </c>
      <c r="B965" s="138" t="str">
        <f t="shared" si="77"/>
        <v/>
      </c>
      <c r="C965" s="93" t="str">
        <f t="array" ref="C965">IF(E965="","",IF(M965&lt;&gt;"",
M965&amp;"/"&amp;SUMPRODUCT((M$2:M965=M965)*1)&amp;" - "&amp;(ROW()-2),
"إداري/"&amp;SUMPRODUCT((M$2:M965="")*1)&amp;" - "&amp;(ROW()-2)))</f>
        <v/>
      </c>
      <c r="D965" s="141" t="str">
        <f>IF(AND(G965="",H965="",I965=""),"",IF(COUNTIFS(LISTS!$A$2:$A$67,G965,LISTS!$B$2:$B$67,H965,LISTS!$C$2:$C$67,I965)=0,"✗ هرم",IF(NOT(OR(Z965="ممتاز 100%",Z965="جيد 80%",Z965="مقبول 60%",Z965="خطر 40%",Z965="")),"✗ قائمة R",IF(NOT(OR(AA965="ممتاز 100%",AA965="جيد 85%",AA965="مقبول 70%",AA965="ضعيف 50%",AA965="")),"✗ قائمة S",IF(NOT(OR(AB965="مكتمل 100%",AB965="جزئي 60%",AB965="معلق 30%",AB965="مفتوح 0%",AB965="")),"✗ قائمة T",IF(NOT(OR(AC965="لا خصم 0",AC965="تأخير −5",AC965="عجز −10",AC965="جودة −15",AC965="امتثال −20",AC965="مخالفة −25",AC965="")),"✗ قائمة U",IF(AND(X965="لا",AC965&lt;&gt;"",AC965&lt;&gt;"لا خصم 0"),"✗ خصم",IF(AND(X965="نعم",AC965="لا خصم 0"),"✗ خصم",IF(AND(Z965="ممتاز 100%",AA965="ممتاز 100%",AB965&lt;&gt;"",AB965&lt;&gt;"مكتمل 100%"),"✗ إغلاق",IFERROR(IF(LEN(_xlfn.TEXTJOIN("، ",TRUE,IF(E965="","التاريخ",""),IF(F965="","الوقت",""),IF(G965="","المركز",""),IF(H965="","الدائرة",""),IF(I965="","القسم",""),IF(J965="","المسؤول",""),IF(K965="","نوع النشاط",""),IF(L965="","المشروع",""),IF(N965="","الممول",""),IF(V965="","الموضوع",""),IF(W965="","الملاحظة",""),IF(X965="","مشكلة",""),IF(Y965="","الإجراء",""),IF(Z965="","التنفيذ",""),IF(AA965="","الجودة",""),IF(AB965="","الإغلاق",""),IF(AC965="","الخصم",""),IF(AND(COUNTA($O965:$U965)&gt;0,O965=""),"مدير المشروع",""),IF(AND(COUNTA($O965:$U965)&gt;0,P965=""),"المستفيدين",""),IF(AND(COUNTA($O965:$U965)&gt;0,Q965=""),"المناطق",""),IF(AND(COUNTA($O965:$U965)&gt;0,R965=""),"الميزانية",""),IF(AND(COUNTA($O965:$U965)&gt;0,S965=""),"نسبة الجاهزية",""),IF(AND(COUNTA($O965:$U965)&gt;0,T965=""),"حالة الجاهزية",""),IF(AND(COUNTA($O965:$U965)&gt;0,U965=""),"التوصيات","")))&gt;0,"✗ ناقص: "&amp;_xlfn.TEXTJOIN("، ",TRUE,IF(E965="","التاريخ",""),IF(F965="","الوقت",""),IF(G965="","المركز",""),IF(H965="","الدائرة",""),IF(I965="","القسم",""),IF(J965="","المسؤول",""),IF(K965="","نوع النشاط",""),IF(L965="","المشروع",""),IF(N965="","الممول",""),IF(V965="","الموضوع",""),IF(W965="","الملاحظة",""),IF(X965="","مشكلة",""),IF(Y965="","الإجراء",""),IF(Z965="","التنفيذ",""),IF(AA965="","الجودة",""),IF(AB965="","الإغلاق",""),IF(AC965="","الخصم",""),IF(AND(COUNTA($O965:$U965)&gt;0,O965=""),"مدير المشروع",""),IF(AND(COUNTA($O965:$U965)&gt;0,P965=""),"المستفيدين",""),IF(AND(COUNTA($O965:$U965)&gt;0,Q965=""),"المناطق",""),IF(AND(COUNTA($O965:$U965)&gt;0,R965=""),"الميزانية",""),IF(AND(COUNTA($O965:$U965)&gt;0,S965=""),"نسبة الجاهزية",""),IF(AND(COUNTA($O965:$U965)&gt;0,T965=""),"حالة الجاهزية",""),IF(AND(COUNTA($O965:$U965)&gt;0,U965=""),"التوصيات","")),"✓"),"✓"))))))))))</f>
        <v/>
      </c>
      <c r="E965" s="235"/>
      <c r="F965" s="236"/>
      <c r="G965" s="90"/>
      <c r="H965" s="239"/>
      <c r="I965" s="89"/>
      <c r="J965" s="142"/>
      <c r="K965" s="90"/>
      <c r="L965" s="90"/>
      <c r="M965" s="90"/>
      <c r="N965" s="89"/>
      <c r="O965" s="200"/>
      <c r="P965" s="201"/>
      <c r="Q965" s="201"/>
      <c r="R965" s="237"/>
      <c r="S965" s="202"/>
      <c r="T965" s="200"/>
      <c r="U965" s="203"/>
      <c r="V965" s="89"/>
      <c r="W965" s="89"/>
      <c r="X965" s="145"/>
      <c r="Y965" s="89"/>
      <c r="Z965" s="90"/>
      <c r="AA965" s="90"/>
      <c r="AB965" s="90"/>
      <c r="AC965" s="90"/>
      <c r="AD965" s="92"/>
      <c r="AE965" s="149" t="str">
        <f>IFERROR(VLOOKUP(Z965,LISTS!$AL$2:$AM$1000,2,FALSE()),"")</f>
        <v/>
      </c>
      <c r="AF965" s="151" t="str">
        <f>IFERROR(VLOOKUP(AA965,LISTS!$AO$2:$AP$1000,2,FALSE()),"")</f>
        <v/>
      </c>
      <c r="AG965" s="152" t="str">
        <f>IFERROR(VLOOKUP(AB965,LISTS!$AR$2:$AS$1000,2,FALSE()),"")</f>
        <v/>
      </c>
      <c r="AH965" s="154" t="str">
        <f>IFERROR(VLOOKUP(AC965,LISTS!$AU$2:$AV$1000,2,FALSE()),"")</f>
        <v/>
      </c>
      <c r="AI965" s="238" t="str">
        <f t="shared" si="78"/>
        <v>—</v>
      </c>
      <c r="AJ965" s="190" t="str">
        <f t="shared" si="79"/>
        <v>—</v>
      </c>
      <c r="AK965" s="157" t="str">
        <f t="shared" si="75"/>
        <v/>
      </c>
      <c r="AL965" s="160" t="str">
        <f t="shared" si="76"/>
        <v/>
      </c>
      <c r="AM965" s="210"/>
      <c r="AN965" s="209"/>
    </row>
    <row r="966" spans="1:40" ht="27.95" customHeight="1">
      <c r="A966" s="134" t="str">
        <f>IF(I966&lt;&gt;"",COUNTA($I$2:I966),"")</f>
        <v/>
      </c>
      <c r="B966" s="138" t="str">
        <f t="shared" si="77"/>
        <v/>
      </c>
      <c r="C966" s="93" t="str">
        <f t="array" ref="C966">IF(E966="","",IF(M966&lt;&gt;"",
M966&amp;"/"&amp;SUMPRODUCT((M$2:M966=M966)*1)&amp;" - "&amp;(ROW()-2),
"إداري/"&amp;SUMPRODUCT((M$2:M966="")*1)&amp;" - "&amp;(ROW()-2)))</f>
        <v/>
      </c>
      <c r="D966" s="141" t="str">
        <f>IF(AND(G966="",H966="",I966=""),"",IF(COUNTIFS(LISTS!$A$2:$A$67,G966,LISTS!$B$2:$B$67,H966,LISTS!$C$2:$C$67,I966)=0,"✗ هرم",IF(NOT(OR(Z966="ممتاز 100%",Z966="جيد 80%",Z966="مقبول 60%",Z966="خطر 40%",Z966="")),"✗ قائمة R",IF(NOT(OR(AA966="ممتاز 100%",AA966="جيد 85%",AA966="مقبول 70%",AA966="ضعيف 50%",AA966="")),"✗ قائمة S",IF(NOT(OR(AB966="مكتمل 100%",AB966="جزئي 60%",AB966="معلق 30%",AB966="مفتوح 0%",AB966="")),"✗ قائمة T",IF(NOT(OR(AC966="لا خصم 0",AC966="تأخير −5",AC966="عجز −10",AC966="جودة −15",AC966="امتثال −20",AC966="مخالفة −25",AC966="")),"✗ قائمة U",IF(AND(X966="لا",AC966&lt;&gt;"",AC966&lt;&gt;"لا خصم 0"),"✗ خصم",IF(AND(X966="نعم",AC966="لا خصم 0"),"✗ خصم",IF(AND(Z966="ممتاز 100%",AA966="ممتاز 100%",AB966&lt;&gt;"",AB966&lt;&gt;"مكتمل 100%"),"✗ إغلاق",IFERROR(IF(LEN(_xlfn.TEXTJOIN("، ",TRUE,IF(E966="","التاريخ",""),IF(F966="","الوقت",""),IF(G966="","المركز",""),IF(H966="","الدائرة",""),IF(I966="","القسم",""),IF(J966="","المسؤول",""),IF(K966="","نوع النشاط",""),IF(L966="","المشروع",""),IF(N966="","الممول",""),IF(V966="","الموضوع",""),IF(W966="","الملاحظة",""),IF(X966="","مشكلة",""),IF(Y966="","الإجراء",""),IF(Z966="","التنفيذ",""),IF(AA966="","الجودة",""),IF(AB966="","الإغلاق",""),IF(AC966="","الخصم",""),IF(AND(COUNTA($O966:$U966)&gt;0,O966=""),"مدير المشروع",""),IF(AND(COUNTA($O966:$U966)&gt;0,P966=""),"المستفيدين",""),IF(AND(COUNTA($O966:$U966)&gt;0,Q966=""),"المناطق",""),IF(AND(COUNTA($O966:$U966)&gt;0,R966=""),"الميزانية",""),IF(AND(COUNTA($O966:$U966)&gt;0,S966=""),"نسبة الجاهزية",""),IF(AND(COUNTA($O966:$U966)&gt;0,T966=""),"حالة الجاهزية",""),IF(AND(COUNTA($O966:$U966)&gt;0,U966=""),"التوصيات","")))&gt;0,"✗ ناقص: "&amp;_xlfn.TEXTJOIN("، ",TRUE,IF(E966="","التاريخ",""),IF(F966="","الوقت",""),IF(G966="","المركز",""),IF(H966="","الدائرة",""),IF(I966="","القسم",""),IF(J966="","المسؤول",""),IF(K966="","نوع النشاط",""),IF(L966="","المشروع",""),IF(N966="","الممول",""),IF(V966="","الموضوع",""),IF(W966="","الملاحظة",""),IF(X966="","مشكلة",""),IF(Y966="","الإجراء",""),IF(Z966="","التنفيذ",""),IF(AA966="","الجودة",""),IF(AB966="","الإغلاق",""),IF(AC966="","الخصم",""),IF(AND(COUNTA($O966:$U966)&gt;0,O966=""),"مدير المشروع",""),IF(AND(COUNTA($O966:$U966)&gt;0,P966=""),"المستفيدين",""),IF(AND(COUNTA($O966:$U966)&gt;0,Q966=""),"المناطق",""),IF(AND(COUNTA($O966:$U966)&gt;0,R966=""),"الميزانية",""),IF(AND(COUNTA($O966:$U966)&gt;0,S966=""),"نسبة الجاهزية",""),IF(AND(COUNTA($O966:$U966)&gt;0,T966=""),"حالة الجاهزية",""),IF(AND(COUNTA($O966:$U966)&gt;0,U966=""),"التوصيات","")),"✓"),"✓"))))))))))</f>
        <v/>
      </c>
      <c r="E966" s="235"/>
      <c r="F966" s="236"/>
      <c r="G966" s="90"/>
      <c r="H966" s="239"/>
      <c r="I966" s="89"/>
      <c r="J966" s="142"/>
      <c r="K966" s="90"/>
      <c r="L966" s="90"/>
      <c r="M966" s="90"/>
      <c r="N966" s="89"/>
      <c r="O966" s="200"/>
      <c r="P966" s="201"/>
      <c r="Q966" s="201"/>
      <c r="R966" s="237"/>
      <c r="S966" s="202"/>
      <c r="T966" s="200"/>
      <c r="U966" s="203"/>
      <c r="V966" s="89"/>
      <c r="W966" s="89"/>
      <c r="X966" s="145"/>
      <c r="Y966" s="89"/>
      <c r="Z966" s="90"/>
      <c r="AA966" s="90"/>
      <c r="AB966" s="90"/>
      <c r="AC966" s="90"/>
      <c r="AD966" s="92"/>
      <c r="AE966" s="149" t="str">
        <f>IFERROR(VLOOKUP(Z966,LISTS!$AL$2:$AM$1000,2,FALSE()),"")</f>
        <v/>
      </c>
      <c r="AF966" s="151" t="str">
        <f>IFERROR(VLOOKUP(AA966,LISTS!$AO$2:$AP$1000,2,FALSE()),"")</f>
        <v/>
      </c>
      <c r="AG966" s="152" t="str">
        <f>IFERROR(VLOOKUP(AB966,LISTS!$AR$2:$AS$1000,2,FALSE()),"")</f>
        <v/>
      </c>
      <c r="AH966" s="154" t="str">
        <f>IFERROR(VLOOKUP(AC966,LISTS!$AU$2:$AV$1000,2,FALSE()),"")</f>
        <v/>
      </c>
      <c r="AI966" s="238" t="str">
        <f t="shared" si="78"/>
        <v>—</v>
      </c>
      <c r="AJ966" s="190" t="str">
        <f t="shared" si="79"/>
        <v>—</v>
      </c>
      <c r="AK966" s="157" t="str">
        <f t="shared" si="75"/>
        <v/>
      </c>
      <c r="AL966" s="160" t="str">
        <f t="shared" si="76"/>
        <v/>
      </c>
      <c r="AM966" s="210"/>
      <c r="AN966" s="209"/>
    </row>
    <row r="967" spans="1:40" ht="27.95" customHeight="1">
      <c r="A967" s="134" t="str">
        <f>IF(I967&lt;&gt;"",COUNTA($I$2:I967),"")</f>
        <v/>
      </c>
      <c r="B967" s="138" t="str">
        <f t="shared" si="77"/>
        <v/>
      </c>
      <c r="C967" s="93" t="str">
        <f t="array" ref="C967">IF(E967="","",IF(M967&lt;&gt;"",
M967&amp;"/"&amp;SUMPRODUCT((M$2:M967=M967)*1)&amp;" - "&amp;(ROW()-2),
"إداري/"&amp;SUMPRODUCT((M$2:M967="")*1)&amp;" - "&amp;(ROW()-2)))</f>
        <v/>
      </c>
      <c r="D967" s="141" t="str">
        <f>IF(AND(G967="",H967="",I967=""),"",IF(COUNTIFS(LISTS!$A$2:$A$67,G967,LISTS!$B$2:$B$67,H967,LISTS!$C$2:$C$67,I967)=0,"✗ هرم",IF(NOT(OR(Z967="ممتاز 100%",Z967="جيد 80%",Z967="مقبول 60%",Z967="خطر 40%",Z967="")),"✗ قائمة R",IF(NOT(OR(AA967="ممتاز 100%",AA967="جيد 85%",AA967="مقبول 70%",AA967="ضعيف 50%",AA967="")),"✗ قائمة S",IF(NOT(OR(AB967="مكتمل 100%",AB967="جزئي 60%",AB967="معلق 30%",AB967="مفتوح 0%",AB967="")),"✗ قائمة T",IF(NOT(OR(AC967="لا خصم 0",AC967="تأخير −5",AC967="عجز −10",AC967="جودة −15",AC967="امتثال −20",AC967="مخالفة −25",AC967="")),"✗ قائمة U",IF(AND(X967="لا",AC967&lt;&gt;"",AC967&lt;&gt;"لا خصم 0"),"✗ خصم",IF(AND(X967="نعم",AC967="لا خصم 0"),"✗ خصم",IF(AND(Z967="ممتاز 100%",AA967="ممتاز 100%",AB967&lt;&gt;"",AB967&lt;&gt;"مكتمل 100%"),"✗ إغلاق",IFERROR(IF(LEN(_xlfn.TEXTJOIN("، ",TRUE,IF(E967="","التاريخ",""),IF(F967="","الوقت",""),IF(G967="","المركز",""),IF(H967="","الدائرة",""),IF(I967="","القسم",""),IF(J967="","المسؤول",""),IF(K967="","نوع النشاط",""),IF(L967="","المشروع",""),IF(N967="","الممول",""),IF(V967="","الموضوع",""),IF(W967="","الملاحظة",""),IF(X967="","مشكلة",""),IF(Y967="","الإجراء",""),IF(Z967="","التنفيذ",""),IF(AA967="","الجودة",""),IF(AB967="","الإغلاق",""),IF(AC967="","الخصم",""),IF(AND(COUNTA($O967:$U967)&gt;0,O967=""),"مدير المشروع",""),IF(AND(COUNTA($O967:$U967)&gt;0,P967=""),"المستفيدين",""),IF(AND(COUNTA($O967:$U967)&gt;0,Q967=""),"المناطق",""),IF(AND(COUNTA($O967:$U967)&gt;0,R967=""),"الميزانية",""),IF(AND(COUNTA($O967:$U967)&gt;0,S967=""),"نسبة الجاهزية",""),IF(AND(COUNTA($O967:$U967)&gt;0,T967=""),"حالة الجاهزية",""),IF(AND(COUNTA($O967:$U967)&gt;0,U967=""),"التوصيات","")))&gt;0,"✗ ناقص: "&amp;_xlfn.TEXTJOIN("، ",TRUE,IF(E967="","التاريخ",""),IF(F967="","الوقت",""),IF(G967="","المركز",""),IF(H967="","الدائرة",""),IF(I967="","القسم",""),IF(J967="","المسؤول",""),IF(K967="","نوع النشاط",""),IF(L967="","المشروع",""),IF(N967="","الممول",""),IF(V967="","الموضوع",""),IF(W967="","الملاحظة",""),IF(X967="","مشكلة",""),IF(Y967="","الإجراء",""),IF(Z967="","التنفيذ",""),IF(AA967="","الجودة",""),IF(AB967="","الإغلاق",""),IF(AC967="","الخصم",""),IF(AND(COUNTA($O967:$U967)&gt;0,O967=""),"مدير المشروع",""),IF(AND(COUNTA($O967:$U967)&gt;0,P967=""),"المستفيدين",""),IF(AND(COUNTA($O967:$U967)&gt;0,Q967=""),"المناطق",""),IF(AND(COUNTA($O967:$U967)&gt;0,R967=""),"الميزانية",""),IF(AND(COUNTA($O967:$U967)&gt;0,S967=""),"نسبة الجاهزية",""),IF(AND(COUNTA($O967:$U967)&gt;0,T967=""),"حالة الجاهزية",""),IF(AND(COUNTA($O967:$U967)&gt;0,U967=""),"التوصيات","")),"✓"),"✓"))))))))))</f>
        <v/>
      </c>
      <c r="E967" s="235"/>
      <c r="F967" s="236"/>
      <c r="G967" s="90"/>
      <c r="H967" s="239"/>
      <c r="I967" s="89"/>
      <c r="J967" s="142"/>
      <c r="K967" s="90"/>
      <c r="L967" s="90"/>
      <c r="M967" s="90"/>
      <c r="N967" s="89"/>
      <c r="O967" s="200"/>
      <c r="P967" s="201"/>
      <c r="Q967" s="201"/>
      <c r="R967" s="237"/>
      <c r="S967" s="202"/>
      <c r="T967" s="200"/>
      <c r="U967" s="203"/>
      <c r="V967" s="89"/>
      <c r="W967" s="89"/>
      <c r="X967" s="145"/>
      <c r="Y967" s="89"/>
      <c r="Z967" s="90"/>
      <c r="AA967" s="90"/>
      <c r="AB967" s="90"/>
      <c r="AC967" s="90"/>
      <c r="AD967" s="92"/>
      <c r="AE967" s="149" t="str">
        <f>IFERROR(VLOOKUP(Z967,LISTS!$AL$2:$AM$1000,2,FALSE()),"")</f>
        <v/>
      </c>
      <c r="AF967" s="151" t="str">
        <f>IFERROR(VLOOKUP(AA967,LISTS!$AO$2:$AP$1000,2,FALSE()),"")</f>
        <v/>
      </c>
      <c r="AG967" s="152" t="str">
        <f>IFERROR(VLOOKUP(AB967,LISTS!$AR$2:$AS$1000,2,FALSE()),"")</f>
        <v/>
      </c>
      <c r="AH967" s="154" t="str">
        <f>IFERROR(VLOOKUP(AC967,LISTS!$AU$2:$AV$1000,2,FALSE()),"")</f>
        <v/>
      </c>
      <c r="AI967" s="238" t="str">
        <f t="shared" si="78"/>
        <v>—</v>
      </c>
      <c r="AJ967" s="190" t="str">
        <f t="shared" si="79"/>
        <v>—</v>
      </c>
      <c r="AK967" s="157" t="str">
        <f t="shared" si="75"/>
        <v/>
      </c>
      <c r="AL967" s="160" t="str">
        <f t="shared" si="76"/>
        <v/>
      </c>
      <c r="AM967" s="210"/>
      <c r="AN967" s="209"/>
    </row>
    <row r="968" spans="1:40" ht="27.95" customHeight="1">
      <c r="A968" s="134" t="str">
        <f>IF(I968&lt;&gt;"",COUNTA($I$2:I968),"")</f>
        <v/>
      </c>
      <c r="B968" s="138" t="str">
        <f t="shared" si="77"/>
        <v/>
      </c>
      <c r="C968" s="93" t="str">
        <f t="array" ref="C968">IF(E968="","",IF(M968&lt;&gt;"",
M968&amp;"/"&amp;SUMPRODUCT((M$2:M968=M968)*1)&amp;" - "&amp;(ROW()-2),
"إداري/"&amp;SUMPRODUCT((M$2:M968="")*1)&amp;" - "&amp;(ROW()-2)))</f>
        <v/>
      </c>
      <c r="D968" s="141" t="str">
        <f>IF(AND(G968="",H968="",I968=""),"",IF(COUNTIFS(LISTS!$A$2:$A$67,G968,LISTS!$B$2:$B$67,H968,LISTS!$C$2:$C$67,I968)=0,"✗ هرم",IF(NOT(OR(Z968="ممتاز 100%",Z968="جيد 80%",Z968="مقبول 60%",Z968="خطر 40%",Z968="")),"✗ قائمة R",IF(NOT(OR(AA968="ممتاز 100%",AA968="جيد 85%",AA968="مقبول 70%",AA968="ضعيف 50%",AA968="")),"✗ قائمة S",IF(NOT(OR(AB968="مكتمل 100%",AB968="جزئي 60%",AB968="معلق 30%",AB968="مفتوح 0%",AB968="")),"✗ قائمة T",IF(NOT(OR(AC968="لا خصم 0",AC968="تأخير −5",AC968="عجز −10",AC968="جودة −15",AC968="امتثال −20",AC968="مخالفة −25",AC968="")),"✗ قائمة U",IF(AND(X968="لا",AC968&lt;&gt;"",AC968&lt;&gt;"لا خصم 0"),"✗ خصم",IF(AND(X968="نعم",AC968="لا خصم 0"),"✗ خصم",IF(AND(Z968="ممتاز 100%",AA968="ممتاز 100%",AB968&lt;&gt;"",AB968&lt;&gt;"مكتمل 100%"),"✗ إغلاق",IFERROR(IF(LEN(_xlfn.TEXTJOIN("، ",TRUE,IF(E968="","التاريخ",""),IF(F968="","الوقت",""),IF(G968="","المركز",""),IF(H968="","الدائرة",""),IF(I968="","القسم",""),IF(J968="","المسؤول",""),IF(K968="","نوع النشاط",""),IF(L968="","المشروع",""),IF(N968="","الممول",""),IF(V968="","الموضوع",""),IF(W968="","الملاحظة",""),IF(X968="","مشكلة",""),IF(Y968="","الإجراء",""),IF(Z968="","التنفيذ",""),IF(AA968="","الجودة",""),IF(AB968="","الإغلاق",""),IF(AC968="","الخصم",""),IF(AND(COUNTA($O968:$U968)&gt;0,O968=""),"مدير المشروع",""),IF(AND(COUNTA($O968:$U968)&gt;0,P968=""),"المستفيدين",""),IF(AND(COUNTA($O968:$U968)&gt;0,Q968=""),"المناطق",""),IF(AND(COUNTA($O968:$U968)&gt;0,R968=""),"الميزانية",""),IF(AND(COUNTA($O968:$U968)&gt;0,S968=""),"نسبة الجاهزية",""),IF(AND(COUNTA($O968:$U968)&gt;0,T968=""),"حالة الجاهزية",""),IF(AND(COUNTA($O968:$U968)&gt;0,U968=""),"التوصيات","")))&gt;0,"✗ ناقص: "&amp;_xlfn.TEXTJOIN("، ",TRUE,IF(E968="","التاريخ",""),IF(F968="","الوقت",""),IF(G968="","المركز",""),IF(H968="","الدائرة",""),IF(I968="","القسم",""),IF(J968="","المسؤول",""),IF(K968="","نوع النشاط",""),IF(L968="","المشروع",""),IF(N968="","الممول",""),IF(V968="","الموضوع",""),IF(W968="","الملاحظة",""),IF(X968="","مشكلة",""),IF(Y968="","الإجراء",""),IF(Z968="","التنفيذ",""),IF(AA968="","الجودة",""),IF(AB968="","الإغلاق",""),IF(AC968="","الخصم",""),IF(AND(COUNTA($O968:$U968)&gt;0,O968=""),"مدير المشروع",""),IF(AND(COUNTA($O968:$U968)&gt;0,P968=""),"المستفيدين",""),IF(AND(COUNTA($O968:$U968)&gt;0,Q968=""),"المناطق",""),IF(AND(COUNTA($O968:$U968)&gt;0,R968=""),"الميزانية",""),IF(AND(COUNTA($O968:$U968)&gt;0,S968=""),"نسبة الجاهزية",""),IF(AND(COUNTA($O968:$U968)&gt;0,T968=""),"حالة الجاهزية",""),IF(AND(COUNTA($O968:$U968)&gt;0,U968=""),"التوصيات","")),"✓"),"✓"))))))))))</f>
        <v/>
      </c>
      <c r="E968" s="235"/>
      <c r="F968" s="236"/>
      <c r="G968" s="90"/>
      <c r="H968" s="239"/>
      <c r="I968" s="89"/>
      <c r="J968" s="142"/>
      <c r="K968" s="90"/>
      <c r="L968" s="90"/>
      <c r="M968" s="90"/>
      <c r="N968" s="89"/>
      <c r="O968" s="200"/>
      <c r="P968" s="201"/>
      <c r="Q968" s="201"/>
      <c r="R968" s="237"/>
      <c r="S968" s="202"/>
      <c r="T968" s="200"/>
      <c r="U968" s="203"/>
      <c r="V968" s="89"/>
      <c r="W968" s="89"/>
      <c r="X968" s="145"/>
      <c r="Y968" s="89"/>
      <c r="Z968" s="90"/>
      <c r="AA968" s="90"/>
      <c r="AB968" s="90"/>
      <c r="AC968" s="90"/>
      <c r="AD968" s="92"/>
      <c r="AE968" s="149" t="str">
        <f>IFERROR(VLOOKUP(Z968,LISTS!$AL$2:$AM$1000,2,FALSE()),"")</f>
        <v/>
      </c>
      <c r="AF968" s="151" t="str">
        <f>IFERROR(VLOOKUP(AA968,LISTS!$AO$2:$AP$1000,2,FALSE()),"")</f>
        <v/>
      </c>
      <c r="AG968" s="152" t="str">
        <f>IFERROR(VLOOKUP(AB968,LISTS!$AR$2:$AS$1000,2,FALSE()),"")</f>
        <v/>
      </c>
      <c r="AH968" s="154" t="str">
        <f>IFERROR(VLOOKUP(AC968,LISTS!$AU$2:$AV$1000,2,FALSE()),"")</f>
        <v/>
      </c>
      <c r="AI968" s="238" t="str">
        <f t="shared" si="78"/>
        <v>—</v>
      </c>
      <c r="AJ968" s="190" t="str">
        <f t="shared" si="79"/>
        <v>—</v>
      </c>
      <c r="AK968" s="157" t="str">
        <f t="shared" si="75"/>
        <v/>
      </c>
      <c r="AL968" s="160" t="str">
        <f t="shared" si="76"/>
        <v/>
      </c>
      <c r="AM968" s="210"/>
      <c r="AN968" s="209"/>
    </row>
    <row r="969" spans="1:40" ht="27.95" customHeight="1">
      <c r="A969" s="134" t="str">
        <f>IF(I969&lt;&gt;"",COUNTA($I$2:I969),"")</f>
        <v/>
      </c>
      <c r="B969" s="138" t="str">
        <f t="shared" si="77"/>
        <v/>
      </c>
      <c r="C969" s="93" t="str">
        <f t="array" ref="C969">IF(E969="","",IF(M969&lt;&gt;"",
M969&amp;"/"&amp;SUMPRODUCT((M$2:M969=M969)*1)&amp;" - "&amp;(ROW()-2),
"إداري/"&amp;SUMPRODUCT((M$2:M969="")*1)&amp;" - "&amp;(ROW()-2)))</f>
        <v/>
      </c>
      <c r="D969" s="141" t="str">
        <f>IF(AND(G969="",H969="",I969=""),"",IF(COUNTIFS(LISTS!$A$2:$A$67,G969,LISTS!$B$2:$B$67,H969,LISTS!$C$2:$C$67,I969)=0,"✗ هرم",IF(NOT(OR(Z969="ممتاز 100%",Z969="جيد 80%",Z969="مقبول 60%",Z969="خطر 40%",Z969="")),"✗ قائمة R",IF(NOT(OR(AA969="ممتاز 100%",AA969="جيد 85%",AA969="مقبول 70%",AA969="ضعيف 50%",AA969="")),"✗ قائمة S",IF(NOT(OR(AB969="مكتمل 100%",AB969="جزئي 60%",AB969="معلق 30%",AB969="مفتوح 0%",AB969="")),"✗ قائمة T",IF(NOT(OR(AC969="لا خصم 0",AC969="تأخير −5",AC969="عجز −10",AC969="جودة −15",AC969="امتثال −20",AC969="مخالفة −25",AC969="")),"✗ قائمة U",IF(AND(X969="لا",AC969&lt;&gt;"",AC969&lt;&gt;"لا خصم 0"),"✗ خصم",IF(AND(X969="نعم",AC969="لا خصم 0"),"✗ خصم",IF(AND(Z969="ممتاز 100%",AA969="ممتاز 100%",AB969&lt;&gt;"",AB969&lt;&gt;"مكتمل 100%"),"✗ إغلاق",IFERROR(IF(LEN(_xlfn.TEXTJOIN("، ",TRUE,IF(E969="","التاريخ",""),IF(F969="","الوقت",""),IF(G969="","المركز",""),IF(H969="","الدائرة",""),IF(I969="","القسم",""),IF(J969="","المسؤول",""),IF(K969="","نوع النشاط",""),IF(L969="","المشروع",""),IF(N969="","الممول",""),IF(V969="","الموضوع",""),IF(W969="","الملاحظة",""),IF(X969="","مشكلة",""),IF(Y969="","الإجراء",""),IF(Z969="","التنفيذ",""),IF(AA969="","الجودة",""),IF(AB969="","الإغلاق",""),IF(AC969="","الخصم",""),IF(AND(COUNTA($O969:$U969)&gt;0,O969=""),"مدير المشروع",""),IF(AND(COUNTA($O969:$U969)&gt;0,P969=""),"المستفيدين",""),IF(AND(COUNTA($O969:$U969)&gt;0,Q969=""),"المناطق",""),IF(AND(COUNTA($O969:$U969)&gt;0,R969=""),"الميزانية",""),IF(AND(COUNTA($O969:$U969)&gt;0,S969=""),"نسبة الجاهزية",""),IF(AND(COUNTA($O969:$U969)&gt;0,T969=""),"حالة الجاهزية",""),IF(AND(COUNTA($O969:$U969)&gt;0,U969=""),"التوصيات","")))&gt;0,"✗ ناقص: "&amp;_xlfn.TEXTJOIN("، ",TRUE,IF(E969="","التاريخ",""),IF(F969="","الوقت",""),IF(G969="","المركز",""),IF(H969="","الدائرة",""),IF(I969="","القسم",""),IF(J969="","المسؤول",""),IF(K969="","نوع النشاط",""),IF(L969="","المشروع",""),IF(N969="","الممول",""),IF(V969="","الموضوع",""),IF(W969="","الملاحظة",""),IF(X969="","مشكلة",""),IF(Y969="","الإجراء",""),IF(Z969="","التنفيذ",""),IF(AA969="","الجودة",""),IF(AB969="","الإغلاق",""),IF(AC969="","الخصم",""),IF(AND(COUNTA($O969:$U969)&gt;0,O969=""),"مدير المشروع",""),IF(AND(COUNTA($O969:$U969)&gt;0,P969=""),"المستفيدين",""),IF(AND(COUNTA($O969:$U969)&gt;0,Q969=""),"المناطق",""),IF(AND(COUNTA($O969:$U969)&gt;0,R969=""),"الميزانية",""),IF(AND(COUNTA($O969:$U969)&gt;0,S969=""),"نسبة الجاهزية",""),IF(AND(COUNTA($O969:$U969)&gt;0,T969=""),"حالة الجاهزية",""),IF(AND(COUNTA($O969:$U969)&gt;0,U969=""),"التوصيات","")),"✓"),"✓"))))))))))</f>
        <v/>
      </c>
      <c r="E969" s="235"/>
      <c r="F969" s="236"/>
      <c r="G969" s="90"/>
      <c r="H969" s="239"/>
      <c r="I969" s="89"/>
      <c r="J969" s="142"/>
      <c r="K969" s="90"/>
      <c r="L969" s="90"/>
      <c r="M969" s="90"/>
      <c r="N969" s="89"/>
      <c r="O969" s="200"/>
      <c r="P969" s="201"/>
      <c r="Q969" s="201"/>
      <c r="R969" s="237"/>
      <c r="S969" s="202"/>
      <c r="T969" s="200"/>
      <c r="U969" s="203"/>
      <c r="V969" s="89"/>
      <c r="W969" s="89"/>
      <c r="X969" s="145"/>
      <c r="Y969" s="89"/>
      <c r="Z969" s="90"/>
      <c r="AA969" s="90"/>
      <c r="AB969" s="90"/>
      <c r="AC969" s="90"/>
      <c r="AD969" s="92"/>
      <c r="AE969" s="149" t="str">
        <f>IFERROR(VLOOKUP(Z969,LISTS!$AL$2:$AM$1000,2,FALSE()),"")</f>
        <v/>
      </c>
      <c r="AF969" s="151" t="str">
        <f>IFERROR(VLOOKUP(AA969,LISTS!$AO$2:$AP$1000,2,FALSE()),"")</f>
        <v/>
      </c>
      <c r="AG969" s="152" t="str">
        <f>IFERROR(VLOOKUP(AB969,LISTS!$AR$2:$AS$1000,2,FALSE()),"")</f>
        <v/>
      </c>
      <c r="AH969" s="154" t="str">
        <f>IFERROR(VLOOKUP(AC969,LISTS!$AU$2:$AV$1000,2,FALSE()),"")</f>
        <v/>
      </c>
      <c r="AI969" s="238" t="str">
        <f t="shared" si="78"/>
        <v>—</v>
      </c>
      <c r="AJ969" s="190" t="str">
        <f t="shared" si="79"/>
        <v>—</v>
      </c>
      <c r="AK969" s="157" t="str">
        <f t="shared" si="75"/>
        <v/>
      </c>
      <c r="AL969" s="160" t="str">
        <f t="shared" si="76"/>
        <v/>
      </c>
      <c r="AM969" s="210"/>
      <c r="AN969" s="209"/>
    </row>
    <row r="970" spans="1:40" ht="27.95" customHeight="1">
      <c r="A970" s="134" t="str">
        <f>IF(I970&lt;&gt;"",COUNTA($I$2:I970),"")</f>
        <v/>
      </c>
      <c r="B970" s="138" t="str">
        <f t="shared" si="77"/>
        <v/>
      </c>
      <c r="C970" s="93" t="str">
        <f t="array" ref="C970">IF(E970="","",IF(M970&lt;&gt;"",
M970&amp;"/"&amp;SUMPRODUCT((M$2:M970=M970)*1)&amp;" - "&amp;(ROW()-2),
"إداري/"&amp;SUMPRODUCT((M$2:M970="")*1)&amp;" - "&amp;(ROW()-2)))</f>
        <v/>
      </c>
      <c r="D970" s="141" t="str">
        <f>IF(AND(G970="",H970="",I970=""),"",IF(COUNTIFS(LISTS!$A$2:$A$67,G970,LISTS!$B$2:$B$67,H970,LISTS!$C$2:$C$67,I970)=0,"✗ هرم",IF(NOT(OR(Z970="ممتاز 100%",Z970="جيد 80%",Z970="مقبول 60%",Z970="خطر 40%",Z970="")),"✗ قائمة R",IF(NOT(OR(AA970="ممتاز 100%",AA970="جيد 85%",AA970="مقبول 70%",AA970="ضعيف 50%",AA970="")),"✗ قائمة S",IF(NOT(OR(AB970="مكتمل 100%",AB970="جزئي 60%",AB970="معلق 30%",AB970="مفتوح 0%",AB970="")),"✗ قائمة T",IF(NOT(OR(AC970="لا خصم 0",AC970="تأخير −5",AC970="عجز −10",AC970="جودة −15",AC970="امتثال −20",AC970="مخالفة −25",AC970="")),"✗ قائمة U",IF(AND(X970="لا",AC970&lt;&gt;"",AC970&lt;&gt;"لا خصم 0"),"✗ خصم",IF(AND(X970="نعم",AC970="لا خصم 0"),"✗ خصم",IF(AND(Z970="ممتاز 100%",AA970="ممتاز 100%",AB970&lt;&gt;"",AB970&lt;&gt;"مكتمل 100%"),"✗ إغلاق",IFERROR(IF(LEN(_xlfn.TEXTJOIN("، ",TRUE,IF(E970="","التاريخ",""),IF(F970="","الوقت",""),IF(G970="","المركز",""),IF(H970="","الدائرة",""),IF(I970="","القسم",""),IF(J970="","المسؤول",""),IF(K970="","نوع النشاط",""),IF(L970="","المشروع",""),IF(N970="","الممول",""),IF(V970="","الموضوع",""),IF(W970="","الملاحظة",""),IF(X970="","مشكلة",""),IF(Y970="","الإجراء",""),IF(Z970="","التنفيذ",""),IF(AA970="","الجودة",""),IF(AB970="","الإغلاق",""),IF(AC970="","الخصم",""),IF(AND(COUNTA($O970:$U970)&gt;0,O970=""),"مدير المشروع",""),IF(AND(COUNTA($O970:$U970)&gt;0,P970=""),"المستفيدين",""),IF(AND(COUNTA($O970:$U970)&gt;0,Q970=""),"المناطق",""),IF(AND(COUNTA($O970:$U970)&gt;0,R970=""),"الميزانية",""),IF(AND(COUNTA($O970:$U970)&gt;0,S970=""),"نسبة الجاهزية",""),IF(AND(COUNTA($O970:$U970)&gt;0,T970=""),"حالة الجاهزية",""),IF(AND(COUNTA($O970:$U970)&gt;0,U970=""),"التوصيات","")))&gt;0,"✗ ناقص: "&amp;_xlfn.TEXTJOIN("، ",TRUE,IF(E970="","التاريخ",""),IF(F970="","الوقت",""),IF(G970="","المركز",""),IF(H970="","الدائرة",""),IF(I970="","القسم",""),IF(J970="","المسؤول",""),IF(K970="","نوع النشاط",""),IF(L970="","المشروع",""),IF(N970="","الممول",""),IF(V970="","الموضوع",""),IF(W970="","الملاحظة",""),IF(X970="","مشكلة",""),IF(Y970="","الإجراء",""),IF(Z970="","التنفيذ",""),IF(AA970="","الجودة",""),IF(AB970="","الإغلاق",""),IF(AC970="","الخصم",""),IF(AND(COUNTA($O970:$U970)&gt;0,O970=""),"مدير المشروع",""),IF(AND(COUNTA($O970:$U970)&gt;0,P970=""),"المستفيدين",""),IF(AND(COUNTA($O970:$U970)&gt;0,Q970=""),"المناطق",""),IF(AND(COUNTA($O970:$U970)&gt;0,R970=""),"الميزانية",""),IF(AND(COUNTA($O970:$U970)&gt;0,S970=""),"نسبة الجاهزية",""),IF(AND(COUNTA($O970:$U970)&gt;0,T970=""),"حالة الجاهزية",""),IF(AND(COUNTA($O970:$U970)&gt;0,U970=""),"التوصيات","")),"✓"),"✓"))))))))))</f>
        <v/>
      </c>
      <c r="E970" s="235"/>
      <c r="F970" s="236"/>
      <c r="G970" s="90"/>
      <c r="H970" s="239"/>
      <c r="I970" s="89"/>
      <c r="J970" s="142"/>
      <c r="K970" s="90"/>
      <c r="L970" s="90"/>
      <c r="M970" s="90"/>
      <c r="N970" s="89"/>
      <c r="O970" s="200"/>
      <c r="P970" s="201"/>
      <c r="Q970" s="201"/>
      <c r="R970" s="237"/>
      <c r="S970" s="202"/>
      <c r="T970" s="200"/>
      <c r="U970" s="203"/>
      <c r="V970" s="89"/>
      <c r="W970" s="89"/>
      <c r="X970" s="145"/>
      <c r="Y970" s="89"/>
      <c r="Z970" s="90"/>
      <c r="AA970" s="90"/>
      <c r="AB970" s="90"/>
      <c r="AC970" s="90"/>
      <c r="AD970" s="92"/>
      <c r="AE970" s="149" t="str">
        <f>IFERROR(VLOOKUP(Z970,LISTS!$AL$2:$AM$1000,2,FALSE()),"")</f>
        <v/>
      </c>
      <c r="AF970" s="151" t="str">
        <f>IFERROR(VLOOKUP(AA970,LISTS!$AO$2:$AP$1000,2,FALSE()),"")</f>
        <v/>
      </c>
      <c r="AG970" s="152" t="str">
        <f>IFERROR(VLOOKUP(AB970,LISTS!$AR$2:$AS$1000,2,FALSE()),"")</f>
        <v/>
      </c>
      <c r="AH970" s="154" t="str">
        <f>IFERROR(VLOOKUP(AC970,LISTS!$AU$2:$AV$1000,2,FALSE()),"")</f>
        <v/>
      </c>
      <c r="AI970" s="238" t="str">
        <f t="shared" si="78"/>
        <v>—</v>
      </c>
      <c r="AJ970" s="190" t="str">
        <f t="shared" si="79"/>
        <v>—</v>
      </c>
      <c r="AK970" s="157" t="str">
        <f t="shared" si="75"/>
        <v/>
      </c>
      <c r="AL970" s="160" t="str">
        <f t="shared" si="76"/>
        <v/>
      </c>
      <c r="AM970" s="210"/>
      <c r="AN970" s="209"/>
    </row>
    <row r="971" spans="1:40" ht="27.95" customHeight="1">
      <c r="A971" s="134" t="str">
        <f>IF(I971&lt;&gt;"",COUNTA($I$2:I971),"")</f>
        <v/>
      </c>
      <c r="B971" s="138" t="str">
        <f t="shared" si="77"/>
        <v/>
      </c>
      <c r="C971" s="93" t="str">
        <f t="array" ref="C971">IF(E971="","",IF(M971&lt;&gt;"",
M971&amp;"/"&amp;SUMPRODUCT((M$2:M971=M971)*1)&amp;" - "&amp;(ROW()-2),
"إداري/"&amp;SUMPRODUCT((M$2:M971="")*1)&amp;" - "&amp;(ROW()-2)))</f>
        <v/>
      </c>
      <c r="D971" s="141" t="str">
        <f>IF(AND(G971="",H971="",I971=""),"",IF(COUNTIFS(LISTS!$A$2:$A$67,G971,LISTS!$B$2:$B$67,H971,LISTS!$C$2:$C$67,I971)=0,"✗ هرم",IF(NOT(OR(Z971="ممتاز 100%",Z971="جيد 80%",Z971="مقبول 60%",Z971="خطر 40%",Z971="")),"✗ قائمة R",IF(NOT(OR(AA971="ممتاز 100%",AA971="جيد 85%",AA971="مقبول 70%",AA971="ضعيف 50%",AA971="")),"✗ قائمة S",IF(NOT(OR(AB971="مكتمل 100%",AB971="جزئي 60%",AB971="معلق 30%",AB971="مفتوح 0%",AB971="")),"✗ قائمة T",IF(NOT(OR(AC971="لا خصم 0",AC971="تأخير −5",AC971="عجز −10",AC971="جودة −15",AC971="امتثال −20",AC971="مخالفة −25",AC971="")),"✗ قائمة U",IF(AND(X971="لا",AC971&lt;&gt;"",AC971&lt;&gt;"لا خصم 0"),"✗ خصم",IF(AND(X971="نعم",AC971="لا خصم 0"),"✗ خصم",IF(AND(Z971="ممتاز 100%",AA971="ممتاز 100%",AB971&lt;&gt;"",AB971&lt;&gt;"مكتمل 100%"),"✗ إغلاق",IFERROR(IF(LEN(_xlfn.TEXTJOIN("، ",TRUE,IF(E971="","التاريخ",""),IF(F971="","الوقت",""),IF(G971="","المركز",""),IF(H971="","الدائرة",""),IF(I971="","القسم",""),IF(J971="","المسؤول",""),IF(K971="","نوع النشاط",""),IF(L971="","المشروع",""),IF(N971="","الممول",""),IF(V971="","الموضوع",""),IF(W971="","الملاحظة",""),IF(X971="","مشكلة",""),IF(Y971="","الإجراء",""),IF(Z971="","التنفيذ",""),IF(AA971="","الجودة",""),IF(AB971="","الإغلاق",""),IF(AC971="","الخصم",""),IF(AND(COUNTA($O971:$U971)&gt;0,O971=""),"مدير المشروع",""),IF(AND(COUNTA($O971:$U971)&gt;0,P971=""),"المستفيدين",""),IF(AND(COUNTA($O971:$U971)&gt;0,Q971=""),"المناطق",""),IF(AND(COUNTA($O971:$U971)&gt;0,R971=""),"الميزانية",""),IF(AND(COUNTA($O971:$U971)&gt;0,S971=""),"نسبة الجاهزية",""),IF(AND(COUNTA($O971:$U971)&gt;0,T971=""),"حالة الجاهزية",""),IF(AND(COUNTA($O971:$U971)&gt;0,U971=""),"التوصيات","")))&gt;0,"✗ ناقص: "&amp;_xlfn.TEXTJOIN("، ",TRUE,IF(E971="","التاريخ",""),IF(F971="","الوقت",""),IF(G971="","المركز",""),IF(H971="","الدائرة",""),IF(I971="","القسم",""),IF(J971="","المسؤول",""),IF(K971="","نوع النشاط",""),IF(L971="","المشروع",""),IF(N971="","الممول",""),IF(V971="","الموضوع",""),IF(W971="","الملاحظة",""),IF(X971="","مشكلة",""),IF(Y971="","الإجراء",""),IF(Z971="","التنفيذ",""),IF(AA971="","الجودة",""),IF(AB971="","الإغلاق",""),IF(AC971="","الخصم",""),IF(AND(COUNTA($O971:$U971)&gt;0,O971=""),"مدير المشروع",""),IF(AND(COUNTA($O971:$U971)&gt;0,P971=""),"المستفيدين",""),IF(AND(COUNTA($O971:$U971)&gt;0,Q971=""),"المناطق",""),IF(AND(COUNTA($O971:$U971)&gt;0,R971=""),"الميزانية",""),IF(AND(COUNTA($O971:$U971)&gt;0,S971=""),"نسبة الجاهزية",""),IF(AND(COUNTA($O971:$U971)&gt;0,T971=""),"حالة الجاهزية",""),IF(AND(COUNTA($O971:$U971)&gt;0,U971=""),"التوصيات","")),"✓"),"✓"))))))))))</f>
        <v/>
      </c>
      <c r="E971" s="235"/>
      <c r="F971" s="236"/>
      <c r="G971" s="90"/>
      <c r="H971" s="239"/>
      <c r="I971" s="89"/>
      <c r="J971" s="142"/>
      <c r="K971" s="90"/>
      <c r="L971" s="90"/>
      <c r="M971" s="90"/>
      <c r="N971" s="89"/>
      <c r="O971" s="200"/>
      <c r="P971" s="201"/>
      <c r="Q971" s="201"/>
      <c r="R971" s="237"/>
      <c r="S971" s="202"/>
      <c r="T971" s="200"/>
      <c r="U971" s="203"/>
      <c r="V971" s="89"/>
      <c r="W971" s="89"/>
      <c r="X971" s="145"/>
      <c r="Y971" s="89"/>
      <c r="Z971" s="90"/>
      <c r="AA971" s="90"/>
      <c r="AB971" s="90"/>
      <c r="AC971" s="90"/>
      <c r="AD971" s="92"/>
      <c r="AE971" s="149" t="str">
        <f>IFERROR(VLOOKUP(Z971,LISTS!$AL$2:$AM$1000,2,FALSE()),"")</f>
        <v/>
      </c>
      <c r="AF971" s="151" t="str">
        <f>IFERROR(VLOOKUP(AA971,LISTS!$AO$2:$AP$1000,2,FALSE()),"")</f>
        <v/>
      </c>
      <c r="AG971" s="152" t="str">
        <f>IFERROR(VLOOKUP(AB971,LISTS!$AR$2:$AS$1000,2,FALSE()),"")</f>
        <v/>
      </c>
      <c r="AH971" s="154" t="str">
        <f>IFERROR(VLOOKUP(AC971,LISTS!$AU$2:$AV$1000,2,FALSE()),"")</f>
        <v/>
      </c>
      <c r="AI971" s="238" t="str">
        <f t="shared" si="78"/>
        <v>—</v>
      </c>
      <c r="AJ971" s="190" t="str">
        <f t="shared" si="79"/>
        <v>—</v>
      </c>
      <c r="AK971" s="157" t="str">
        <f t="shared" si="75"/>
        <v/>
      </c>
      <c r="AL971" s="160" t="str">
        <f t="shared" si="76"/>
        <v/>
      </c>
      <c r="AM971" s="210"/>
      <c r="AN971" s="209"/>
    </row>
    <row r="972" spans="1:40" ht="27.95" customHeight="1">
      <c r="A972" s="134" t="str">
        <f>IF(I972&lt;&gt;"",COUNTA($I$2:I972),"")</f>
        <v/>
      </c>
      <c r="B972" s="138" t="str">
        <f t="shared" si="77"/>
        <v/>
      </c>
      <c r="C972" s="93" t="str">
        <f t="array" ref="C972">IF(E972="","",IF(M972&lt;&gt;"",
M972&amp;"/"&amp;SUMPRODUCT((M$2:M972=M972)*1)&amp;" - "&amp;(ROW()-2),
"إداري/"&amp;SUMPRODUCT((M$2:M972="")*1)&amp;" - "&amp;(ROW()-2)))</f>
        <v/>
      </c>
      <c r="D972" s="141" t="str">
        <f>IF(AND(G972="",H972="",I972=""),"",IF(COUNTIFS(LISTS!$A$2:$A$67,G972,LISTS!$B$2:$B$67,H972,LISTS!$C$2:$C$67,I972)=0,"✗ هرم",IF(NOT(OR(Z972="ممتاز 100%",Z972="جيد 80%",Z972="مقبول 60%",Z972="خطر 40%",Z972="")),"✗ قائمة R",IF(NOT(OR(AA972="ممتاز 100%",AA972="جيد 85%",AA972="مقبول 70%",AA972="ضعيف 50%",AA972="")),"✗ قائمة S",IF(NOT(OR(AB972="مكتمل 100%",AB972="جزئي 60%",AB972="معلق 30%",AB972="مفتوح 0%",AB972="")),"✗ قائمة T",IF(NOT(OR(AC972="لا خصم 0",AC972="تأخير −5",AC972="عجز −10",AC972="جودة −15",AC972="امتثال −20",AC972="مخالفة −25",AC972="")),"✗ قائمة U",IF(AND(X972="لا",AC972&lt;&gt;"",AC972&lt;&gt;"لا خصم 0"),"✗ خصم",IF(AND(X972="نعم",AC972="لا خصم 0"),"✗ خصم",IF(AND(Z972="ممتاز 100%",AA972="ممتاز 100%",AB972&lt;&gt;"",AB972&lt;&gt;"مكتمل 100%"),"✗ إغلاق",IFERROR(IF(LEN(_xlfn.TEXTJOIN("، ",TRUE,IF(E972="","التاريخ",""),IF(F972="","الوقت",""),IF(G972="","المركز",""),IF(H972="","الدائرة",""),IF(I972="","القسم",""),IF(J972="","المسؤول",""),IF(K972="","نوع النشاط",""),IF(L972="","المشروع",""),IF(N972="","الممول",""),IF(V972="","الموضوع",""),IF(W972="","الملاحظة",""),IF(X972="","مشكلة",""),IF(Y972="","الإجراء",""),IF(Z972="","التنفيذ",""),IF(AA972="","الجودة",""),IF(AB972="","الإغلاق",""),IF(AC972="","الخصم",""),IF(AND(COUNTA($O972:$U972)&gt;0,O972=""),"مدير المشروع",""),IF(AND(COUNTA($O972:$U972)&gt;0,P972=""),"المستفيدين",""),IF(AND(COUNTA($O972:$U972)&gt;0,Q972=""),"المناطق",""),IF(AND(COUNTA($O972:$U972)&gt;0,R972=""),"الميزانية",""),IF(AND(COUNTA($O972:$U972)&gt;0,S972=""),"نسبة الجاهزية",""),IF(AND(COUNTA($O972:$U972)&gt;0,T972=""),"حالة الجاهزية",""),IF(AND(COUNTA($O972:$U972)&gt;0,U972=""),"التوصيات","")))&gt;0,"✗ ناقص: "&amp;_xlfn.TEXTJOIN("، ",TRUE,IF(E972="","التاريخ",""),IF(F972="","الوقت",""),IF(G972="","المركز",""),IF(H972="","الدائرة",""),IF(I972="","القسم",""),IF(J972="","المسؤول",""),IF(K972="","نوع النشاط",""),IF(L972="","المشروع",""),IF(N972="","الممول",""),IF(V972="","الموضوع",""),IF(W972="","الملاحظة",""),IF(X972="","مشكلة",""),IF(Y972="","الإجراء",""),IF(Z972="","التنفيذ",""),IF(AA972="","الجودة",""),IF(AB972="","الإغلاق",""),IF(AC972="","الخصم",""),IF(AND(COUNTA($O972:$U972)&gt;0,O972=""),"مدير المشروع",""),IF(AND(COUNTA($O972:$U972)&gt;0,P972=""),"المستفيدين",""),IF(AND(COUNTA($O972:$U972)&gt;0,Q972=""),"المناطق",""),IF(AND(COUNTA($O972:$U972)&gt;0,R972=""),"الميزانية",""),IF(AND(COUNTA($O972:$U972)&gt;0,S972=""),"نسبة الجاهزية",""),IF(AND(COUNTA($O972:$U972)&gt;0,T972=""),"حالة الجاهزية",""),IF(AND(COUNTA($O972:$U972)&gt;0,U972=""),"التوصيات","")),"✓"),"✓"))))))))))</f>
        <v/>
      </c>
      <c r="E972" s="235"/>
      <c r="F972" s="236"/>
      <c r="G972" s="90"/>
      <c r="H972" s="239"/>
      <c r="I972" s="89"/>
      <c r="J972" s="142"/>
      <c r="K972" s="90"/>
      <c r="L972" s="90"/>
      <c r="M972" s="90"/>
      <c r="N972" s="89"/>
      <c r="O972" s="200"/>
      <c r="P972" s="201"/>
      <c r="Q972" s="201"/>
      <c r="R972" s="237"/>
      <c r="S972" s="202"/>
      <c r="T972" s="200"/>
      <c r="U972" s="203"/>
      <c r="V972" s="89"/>
      <c r="W972" s="89"/>
      <c r="X972" s="145"/>
      <c r="Y972" s="89"/>
      <c r="Z972" s="90"/>
      <c r="AA972" s="90"/>
      <c r="AB972" s="90"/>
      <c r="AC972" s="90"/>
      <c r="AD972" s="92"/>
      <c r="AE972" s="149" t="str">
        <f>IFERROR(VLOOKUP(Z972,LISTS!$AL$2:$AM$1000,2,FALSE()),"")</f>
        <v/>
      </c>
      <c r="AF972" s="151" t="str">
        <f>IFERROR(VLOOKUP(AA972,LISTS!$AO$2:$AP$1000,2,FALSE()),"")</f>
        <v/>
      </c>
      <c r="AG972" s="152" t="str">
        <f>IFERROR(VLOOKUP(AB972,LISTS!$AR$2:$AS$1000,2,FALSE()),"")</f>
        <v/>
      </c>
      <c r="AH972" s="154" t="str">
        <f>IFERROR(VLOOKUP(AC972,LISTS!$AU$2:$AV$1000,2,FALSE()),"")</f>
        <v/>
      </c>
      <c r="AI972" s="238" t="str">
        <f t="shared" si="78"/>
        <v>—</v>
      </c>
      <c r="AJ972" s="190" t="str">
        <f t="shared" si="79"/>
        <v>—</v>
      </c>
      <c r="AK972" s="157" t="str">
        <f t="shared" si="75"/>
        <v/>
      </c>
      <c r="AL972" s="160" t="str">
        <f t="shared" si="76"/>
        <v/>
      </c>
      <c r="AM972" s="210"/>
      <c r="AN972" s="209"/>
    </row>
    <row r="973" spans="1:40" ht="27.95" customHeight="1">
      <c r="A973" s="134" t="str">
        <f>IF(I973&lt;&gt;"",COUNTA($I$2:I973),"")</f>
        <v/>
      </c>
      <c r="B973" s="138" t="str">
        <f t="shared" si="77"/>
        <v/>
      </c>
      <c r="C973" s="93" t="str">
        <f t="array" ref="C973">IF(E973="","",IF(M973&lt;&gt;"",
M973&amp;"/"&amp;SUMPRODUCT((M$2:M973=M973)*1)&amp;" - "&amp;(ROW()-2),
"إداري/"&amp;SUMPRODUCT((M$2:M973="")*1)&amp;" - "&amp;(ROW()-2)))</f>
        <v/>
      </c>
      <c r="D973" s="141" t="str">
        <f>IF(AND(G973="",H973="",I973=""),"",IF(COUNTIFS(LISTS!$A$2:$A$67,G973,LISTS!$B$2:$B$67,H973,LISTS!$C$2:$C$67,I973)=0,"✗ هرم",IF(NOT(OR(Z973="ممتاز 100%",Z973="جيد 80%",Z973="مقبول 60%",Z973="خطر 40%",Z973="")),"✗ قائمة R",IF(NOT(OR(AA973="ممتاز 100%",AA973="جيد 85%",AA973="مقبول 70%",AA973="ضعيف 50%",AA973="")),"✗ قائمة S",IF(NOT(OR(AB973="مكتمل 100%",AB973="جزئي 60%",AB973="معلق 30%",AB973="مفتوح 0%",AB973="")),"✗ قائمة T",IF(NOT(OR(AC973="لا خصم 0",AC973="تأخير −5",AC973="عجز −10",AC973="جودة −15",AC973="امتثال −20",AC973="مخالفة −25",AC973="")),"✗ قائمة U",IF(AND(X973="لا",AC973&lt;&gt;"",AC973&lt;&gt;"لا خصم 0"),"✗ خصم",IF(AND(X973="نعم",AC973="لا خصم 0"),"✗ خصم",IF(AND(Z973="ممتاز 100%",AA973="ممتاز 100%",AB973&lt;&gt;"",AB973&lt;&gt;"مكتمل 100%"),"✗ إغلاق",IFERROR(IF(LEN(_xlfn.TEXTJOIN("، ",TRUE,IF(E973="","التاريخ",""),IF(F973="","الوقت",""),IF(G973="","المركز",""),IF(H973="","الدائرة",""),IF(I973="","القسم",""),IF(J973="","المسؤول",""),IF(K973="","نوع النشاط",""),IF(L973="","المشروع",""),IF(N973="","الممول",""),IF(V973="","الموضوع",""),IF(W973="","الملاحظة",""),IF(X973="","مشكلة",""),IF(Y973="","الإجراء",""),IF(Z973="","التنفيذ",""),IF(AA973="","الجودة",""),IF(AB973="","الإغلاق",""),IF(AC973="","الخصم",""),IF(AND(COUNTA($O973:$U973)&gt;0,O973=""),"مدير المشروع",""),IF(AND(COUNTA($O973:$U973)&gt;0,P973=""),"المستفيدين",""),IF(AND(COUNTA($O973:$U973)&gt;0,Q973=""),"المناطق",""),IF(AND(COUNTA($O973:$U973)&gt;0,R973=""),"الميزانية",""),IF(AND(COUNTA($O973:$U973)&gt;0,S973=""),"نسبة الجاهزية",""),IF(AND(COUNTA($O973:$U973)&gt;0,T973=""),"حالة الجاهزية",""),IF(AND(COUNTA($O973:$U973)&gt;0,U973=""),"التوصيات","")))&gt;0,"✗ ناقص: "&amp;_xlfn.TEXTJOIN("، ",TRUE,IF(E973="","التاريخ",""),IF(F973="","الوقت",""),IF(G973="","المركز",""),IF(H973="","الدائرة",""),IF(I973="","القسم",""),IF(J973="","المسؤول",""),IF(K973="","نوع النشاط",""),IF(L973="","المشروع",""),IF(N973="","الممول",""),IF(V973="","الموضوع",""),IF(W973="","الملاحظة",""),IF(X973="","مشكلة",""),IF(Y973="","الإجراء",""),IF(Z973="","التنفيذ",""),IF(AA973="","الجودة",""),IF(AB973="","الإغلاق",""),IF(AC973="","الخصم",""),IF(AND(COUNTA($O973:$U973)&gt;0,O973=""),"مدير المشروع",""),IF(AND(COUNTA($O973:$U973)&gt;0,P973=""),"المستفيدين",""),IF(AND(COUNTA($O973:$U973)&gt;0,Q973=""),"المناطق",""),IF(AND(COUNTA($O973:$U973)&gt;0,R973=""),"الميزانية",""),IF(AND(COUNTA($O973:$U973)&gt;0,S973=""),"نسبة الجاهزية",""),IF(AND(COUNTA($O973:$U973)&gt;0,T973=""),"حالة الجاهزية",""),IF(AND(COUNTA($O973:$U973)&gt;0,U973=""),"التوصيات","")),"✓"),"✓"))))))))))</f>
        <v/>
      </c>
      <c r="E973" s="235"/>
      <c r="F973" s="236"/>
      <c r="G973" s="90"/>
      <c r="H973" s="239"/>
      <c r="I973" s="89"/>
      <c r="J973" s="142"/>
      <c r="K973" s="90"/>
      <c r="L973" s="90"/>
      <c r="M973" s="90"/>
      <c r="N973" s="89"/>
      <c r="O973" s="200"/>
      <c r="P973" s="201"/>
      <c r="Q973" s="201"/>
      <c r="R973" s="237"/>
      <c r="S973" s="202"/>
      <c r="T973" s="200"/>
      <c r="U973" s="203"/>
      <c r="V973" s="89"/>
      <c r="W973" s="89"/>
      <c r="X973" s="145"/>
      <c r="Y973" s="89"/>
      <c r="Z973" s="90"/>
      <c r="AA973" s="90"/>
      <c r="AB973" s="90"/>
      <c r="AC973" s="90"/>
      <c r="AD973" s="92"/>
      <c r="AE973" s="149" t="str">
        <f>IFERROR(VLOOKUP(Z973,LISTS!$AL$2:$AM$1000,2,FALSE()),"")</f>
        <v/>
      </c>
      <c r="AF973" s="151" t="str">
        <f>IFERROR(VLOOKUP(AA973,LISTS!$AO$2:$AP$1000,2,FALSE()),"")</f>
        <v/>
      </c>
      <c r="AG973" s="152" t="str">
        <f>IFERROR(VLOOKUP(AB973,LISTS!$AR$2:$AS$1000,2,FALSE()),"")</f>
        <v/>
      </c>
      <c r="AH973" s="154" t="str">
        <f>IFERROR(VLOOKUP(AC973,LISTS!$AU$2:$AV$1000,2,FALSE()),"")</f>
        <v/>
      </c>
      <c r="AI973" s="238" t="str">
        <f t="shared" si="78"/>
        <v>—</v>
      </c>
      <c r="AJ973" s="190" t="str">
        <f t="shared" si="79"/>
        <v>—</v>
      </c>
      <c r="AK973" s="157" t="str">
        <f t="shared" si="75"/>
        <v/>
      </c>
      <c r="AL973" s="160" t="str">
        <f t="shared" si="76"/>
        <v/>
      </c>
      <c r="AM973" s="210"/>
      <c r="AN973" s="209"/>
    </row>
    <row r="974" spans="1:40" ht="27.95" customHeight="1">
      <c r="A974" s="134" t="str">
        <f>IF(I974&lt;&gt;"",COUNTA($I$2:I974),"")</f>
        <v/>
      </c>
      <c r="B974" s="138" t="str">
        <f t="shared" si="77"/>
        <v/>
      </c>
      <c r="C974" s="93" t="str">
        <f t="array" ref="C974">IF(E974="","",IF(M974&lt;&gt;"",
M974&amp;"/"&amp;SUMPRODUCT((M$2:M974=M974)*1)&amp;" - "&amp;(ROW()-2),
"إداري/"&amp;SUMPRODUCT((M$2:M974="")*1)&amp;" - "&amp;(ROW()-2)))</f>
        <v/>
      </c>
      <c r="D974" s="141" t="str">
        <f>IF(AND(G974="",H974="",I974=""),"",IF(COUNTIFS(LISTS!$A$2:$A$67,G974,LISTS!$B$2:$B$67,H974,LISTS!$C$2:$C$67,I974)=0,"✗ هرم",IF(NOT(OR(Z974="ممتاز 100%",Z974="جيد 80%",Z974="مقبول 60%",Z974="خطر 40%",Z974="")),"✗ قائمة R",IF(NOT(OR(AA974="ممتاز 100%",AA974="جيد 85%",AA974="مقبول 70%",AA974="ضعيف 50%",AA974="")),"✗ قائمة S",IF(NOT(OR(AB974="مكتمل 100%",AB974="جزئي 60%",AB974="معلق 30%",AB974="مفتوح 0%",AB974="")),"✗ قائمة T",IF(NOT(OR(AC974="لا خصم 0",AC974="تأخير −5",AC974="عجز −10",AC974="جودة −15",AC974="امتثال −20",AC974="مخالفة −25",AC974="")),"✗ قائمة U",IF(AND(X974="لا",AC974&lt;&gt;"",AC974&lt;&gt;"لا خصم 0"),"✗ خصم",IF(AND(X974="نعم",AC974="لا خصم 0"),"✗ خصم",IF(AND(Z974="ممتاز 100%",AA974="ممتاز 100%",AB974&lt;&gt;"",AB974&lt;&gt;"مكتمل 100%"),"✗ إغلاق",IFERROR(IF(LEN(_xlfn.TEXTJOIN("، ",TRUE,IF(E974="","التاريخ",""),IF(F974="","الوقت",""),IF(G974="","المركز",""),IF(H974="","الدائرة",""),IF(I974="","القسم",""),IF(J974="","المسؤول",""),IF(K974="","نوع النشاط",""),IF(L974="","المشروع",""),IF(N974="","الممول",""),IF(V974="","الموضوع",""),IF(W974="","الملاحظة",""),IF(X974="","مشكلة",""),IF(Y974="","الإجراء",""),IF(Z974="","التنفيذ",""),IF(AA974="","الجودة",""),IF(AB974="","الإغلاق",""),IF(AC974="","الخصم",""),IF(AND(COUNTA($O974:$U974)&gt;0,O974=""),"مدير المشروع",""),IF(AND(COUNTA($O974:$U974)&gt;0,P974=""),"المستفيدين",""),IF(AND(COUNTA($O974:$U974)&gt;0,Q974=""),"المناطق",""),IF(AND(COUNTA($O974:$U974)&gt;0,R974=""),"الميزانية",""),IF(AND(COUNTA($O974:$U974)&gt;0,S974=""),"نسبة الجاهزية",""),IF(AND(COUNTA($O974:$U974)&gt;0,T974=""),"حالة الجاهزية",""),IF(AND(COUNTA($O974:$U974)&gt;0,U974=""),"التوصيات","")))&gt;0,"✗ ناقص: "&amp;_xlfn.TEXTJOIN("، ",TRUE,IF(E974="","التاريخ",""),IF(F974="","الوقت",""),IF(G974="","المركز",""),IF(H974="","الدائرة",""),IF(I974="","القسم",""),IF(J974="","المسؤول",""),IF(K974="","نوع النشاط",""),IF(L974="","المشروع",""),IF(N974="","الممول",""),IF(V974="","الموضوع",""),IF(W974="","الملاحظة",""),IF(X974="","مشكلة",""),IF(Y974="","الإجراء",""),IF(Z974="","التنفيذ",""),IF(AA974="","الجودة",""),IF(AB974="","الإغلاق",""),IF(AC974="","الخصم",""),IF(AND(COUNTA($O974:$U974)&gt;0,O974=""),"مدير المشروع",""),IF(AND(COUNTA($O974:$U974)&gt;0,P974=""),"المستفيدين",""),IF(AND(COUNTA($O974:$U974)&gt;0,Q974=""),"المناطق",""),IF(AND(COUNTA($O974:$U974)&gt;0,R974=""),"الميزانية",""),IF(AND(COUNTA($O974:$U974)&gt;0,S974=""),"نسبة الجاهزية",""),IF(AND(COUNTA($O974:$U974)&gt;0,T974=""),"حالة الجاهزية",""),IF(AND(COUNTA($O974:$U974)&gt;0,U974=""),"التوصيات","")),"✓"),"✓"))))))))))</f>
        <v/>
      </c>
      <c r="E974" s="235"/>
      <c r="F974" s="236"/>
      <c r="G974" s="90"/>
      <c r="H974" s="239"/>
      <c r="I974" s="89"/>
      <c r="J974" s="142"/>
      <c r="K974" s="90"/>
      <c r="L974" s="90"/>
      <c r="M974" s="90"/>
      <c r="N974" s="89"/>
      <c r="O974" s="200"/>
      <c r="P974" s="201"/>
      <c r="Q974" s="201"/>
      <c r="R974" s="237"/>
      <c r="S974" s="202"/>
      <c r="T974" s="200"/>
      <c r="U974" s="203"/>
      <c r="V974" s="89"/>
      <c r="W974" s="89"/>
      <c r="X974" s="145"/>
      <c r="Y974" s="89"/>
      <c r="Z974" s="90"/>
      <c r="AA974" s="90"/>
      <c r="AB974" s="90"/>
      <c r="AC974" s="90"/>
      <c r="AD974" s="92"/>
      <c r="AE974" s="149" t="str">
        <f>IFERROR(VLOOKUP(Z974,LISTS!$AL$2:$AM$1000,2,FALSE()),"")</f>
        <v/>
      </c>
      <c r="AF974" s="151" t="str">
        <f>IFERROR(VLOOKUP(AA974,LISTS!$AO$2:$AP$1000,2,FALSE()),"")</f>
        <v/>
      </c>
      <c r="AG974" s="152" t="str">
        <f>IFERROR(VLOOKUP(AB974,LISTS!$AR$2:$AS$1000,2,FALSE()),"")</f>
        <v/>
      </c>
      <c r="AH974" s="154" t="str">
        <f>IFERROR(VLOOKUP(AC974,LISTS!$AU$2:$AV$1000,2,FALSE()),"")</f>
        <v/>
      </c>
      <c r="AI974" s="238" t="str">
        <f t="shared" si="78"/>
        <v>—</v>
      </c>
      <c r="AJ974" s="190" t="str">
        <f t="shared" si="79"/>
        <v>—</v>
      </c>
      <c r="AK974" s="157" t="str">
        <f t="shared" si="75"/>
        <v/>
      </c>
      <c r="AL974" s="160" t="str">
        <f t="shared" si="76"/>
        <v/>
      </c>
      <c r="AM974" s="210"/>
      <c r="AN974" s="209"/>
    </row>
    <row r="975" spans="1:40" ht="27.95" customHeight="1">
      <c r="A975" s="134" t="str">
        <f>IF(I975&lt;&gt;"",COUNTA($I$2:I975),"")</f>
        <v/>
      </c>
      <c r="B975" s="138" t="str">
        <f t="shared" si="77"/>
        <v/>
      </c>
      <c r="C975" s="93" t="str">
        <f t="array" ref="C975">IF(E975="","",IF(M975&lt;&gt;"",
M975&amp;"/"&amp;SUMPRODUCT((M$2:M975=M975)*1)&amp;" - "&amp;(ROW()-2),
"إداري/"&amp;SUMPRODUCT((M$2:M975="")*1)&amp;" - "&amp;(ROW()-2)))</f>
        <v/>
      </c>
      <c r="D975" s="141" t="str">
        <f>IF(AND(G975="",H975="",I975=""),"",IF(COUNTIFS(LISTS!$A$2:$A$67,G975,LISTS!$B$2:$B$67,H975,LISTS!$C$2:$C$67,I975)=0,"✗ هرم",IF(NOT(OR(Z975="ممتاز 100%",Z975="جيد 80%",Z975="مقبول 60%",Z975="خطر 40%",Z975="")),"✗ قائمة R",IF(NOT(OR(AA975="ممتاز 100%",AA975="جيد 85%",AA975="مقبول 70%",AA975="ضعيف 50%",AA975="")),"✗ قائمة S",IF(NOT(OR(AB975="مكتمل 100%",AB975="جزئي 60%",AB975="معلق 30%",AB975="مفتوح 0%",AB975="")),"✗ قائمة T",IF(NOT(OR(AC975="لا خصم 0",AC975="تأخير −5",AC975="عجز −10",AC975="جودة −15",AC975="امتثال −20",AC975="مخالفة −25",AC975="")),"✗ قائمة U",IF(AND(X975="لا",AC975&lt;&gt;"",AC975&lt;&gt;"لا خصم 0"),"✗ خصم",IF(AND(X975="نعم",AC975="لا خصم 0"),"✗ خصم",IF(AND(Z975="ممتاز 100%",AA975="ممتاز 100%",AB975&lt;&gt;"",AB975&lt;&gt;"مكتمل 100%"),"✗ إغلاق",IFERROR(IF(LEN(_xlfn.TEXTJOIN("، ",TRUE,IF(E975="","التاريخ",""),IF(F975="","الوقت",""),IF(G975="","المركز",""),IF(H975="","الدائرة",""),IF(I975="","القسم",""),IF(J975="","المسؤول",""),IF(K975="","نوع النشاط",""),IF(L975="","المشروع",""),IF(N975="","الممول",""),IF(V975="","الموضوع",""),IF(W975="","الملاحظة",""),IF(X975="","مشكلة",""),IF(Y975="","الإجراء",""),IF(Z975="","التنفيذ",""),IF(AA975="","الجودة",""),IF(AB975="","الإغلاق",""),IF(AC975="","الخصم",""),IF(AND(COUNTA($O975:$U975)&gt;0,O975=""),"مدير المشروع",""),IF(AND(COUNTA($O975:$U975)&gt;0,P975=""),"المستفيدين",""),IF(AND(COUNTA($O975:$U975)&gt;0,Q975=""),"المناطق",""),IF(AND(COUNTA($O975:$U975)&gt;0,R975=""),"الميزانية",""),IF(AND(COUNTA($O975:$U975)&gt;0,S975=""),"نسبة الجاهزية",""),IF(AND(COUNTA($O975:$U975)&gt;0,T975=""),"حالة الجاهزية",""),IF(AND(COUNTA($O975:$U975)&gt;0,U975=""),"التوصيات","")))&gt;0,"✗ ناقص: "&amp;_xlfn.TEXTJOIN("، ",TRUE,IF(E975="","التاريخ",""),IF(F975="","الوقت",""),IF(G975="","المركز",""),IF(H975="","الدائرة",""),IF(I975="","القسم",""),IF(J975="","المسؤول",""),IF(K975="","نوع النشاط",""),IF(L975="","المشروع",""),IF(N975="","الممول",""),IF(V975="","الموضوع",""),IF(W975="","الملاحظة",""),IF(X975="","مشكلة",""),IF(Y975="","الإجراء",""),IF(Z975="","التنفيذ",""),IF(AA975="","الجودة",""),IF(AB975="","الإغلاق",""),IF(AC975="","الخصم",""),IF(AND(COUNTA($O975:$U975)&gt;0,O975=""),"مدير المشروع",""),IF(AND(COUNTA($O975:$U975)&gt;0,P975=""),"المستفيدين",""),IF(AND(COUNTA($O975:$U975)&gt;0,Q975=""),"المناطق",""),IF(AND(COUNTA($O975:$U975)&gt;0,R975=""),"الميزانية",""),IF(AND(COUNTA($O975:$U975)&gt;0,S975=""),"نسبة الجاهزية",""),IF(AND(COUNTA($O975:$U975)&gt;0,T975=""),"حالة الجاهزية",""),IF(AND(COUNTA($O975:$U975)&gt;0,U975=""),"التوصيات","")),"✓"),"✓"))))))))))</f>
        <v/>
      </c>
      <c r="E975" s="235"/>
      <c r="F975" s="236"/>
      <c r="G975" s="90"/>
      <c r="H975" s="239"/>
      <c r="I975" s="89"/>
      <c r="J975" s="142"/>
      <c r="K975" s="90"/>
      <c r="L975" s="90"/>
      <c r="M975" s="90"/>
      <c r="N975" s="89"/>
      <c r="O975" s="200"/>
      <c r="P975" s="201"/>
      <c r="Q975" s="201"/>
      <c r="R975" s="237"/>
      <c r="S975" s="202"/>
      <c r="T975" s="200"/>
      <c r="U975" s="203"/>
      <c r="V975" s="89"/>
      <c r="W975" s="89"/>
      <c r="X975" s="145"/>
      <c r="Y975" s="89"/>
      <c r="Z975" s="90"/>
      <c r="AA975" s="90"/>
      <c r="AB975" s="90"/>
      <c r="AC975" s="90"/>
      <c r="AD975" s="92"/>
      <c r="AE975" s="149" t="str">
        <f>IFERROR(VLOOKUP(Z975,LISTS!$AL$2:$AM$1000,2,FALSE()),"")</f>
        <v/>
      </c>
      <c r="AF975" s="151" t="str">
        <f>IFERROR(VLOOKUP(AA975,LISTS!$AO$2:$AP$1000,2,FALSE()),"")</f>
        <v/>
      </c>
      <c r="AG975" s="152" t="str">
        <f>IFERROR(VLOOKUP(AB975,LISTS!$AR$2:$AS$1000,2,FALSE()),"")</f>
        <v/>
      </c>
      <c r="AH975" s="154" t="str">
        <f>IFERROR(VLOOKUP(AC975,LISTS!$AU$2:$AV$1000,2,FALSE()),"")</f>
        <v/>
      </c>
      <c r="AI975" s="238" t="str">
        <f t="shared" si="78"/>
        <v>—</v>
      </c>
      <c r="AJ975" s="190" t="str">
        <f t="shared" si="79"/>
        <v>—</v>
      </c>
      <c r="AK975" s="157" t="str">
        <f t="shared" si="75"/>
        <v/>
      </c>
      <c r="AL975" s="160" t="str">
        <f t="shared" si="76"/>
        <v/>
      </c>
      <c r="AM975" s="210"/>
      <c r="AN975" s="209"/>
    </row>
    <row r="976" spans="1:40" ht="27.95" customHeight="1">
      <c r="A976" s="134" t="str">
        <f>IF(I976&lt;&gt;"",COUNTA($I$2:I976),"")</f>
        <v/>
      </c>
      <c r="B976" s="138" t="str">
        <f t="shared" si="77"/>
        <v/>
      </c>
      <c r="C976" s="93"/>
      <c r="D976" s="141" t="str">
        <f>IF(AND(G976="",H976="",I976=""),"",IF(COUNTIFS(LISTS!$A$2:$A$67,G976,LISTS!$B$2:$B$67,H976,LISTS!$C$2:$C$67,I976)=0,"✗ هرم",IF(NOT(OR(Z976="ممتاز 100%",Z976="جيد 80%",Z976="مقبول 60%",Z976="خطر 40%",Z976="")),"✗ قائمة R",IF(NOT(OR(AA976="ممتاز 100%",AA976="جيد 85%",AA976="مقبول 70%",AA976="ضعيف 50%",AA976="")),"✗ قائمة S",IF(NOT(OR(AB976="مكتمل 100%",AB976="جزئي 60%",AB976="معلق 30%",AB976="مفتوح 0%",AB976="")),"✗ قائمة T",IF(NOT(OR(AC976="لا خصم 0",AC976="تأخير −5",AC976="عجز −10",AC976="جودة −15",AC976="امتثال −20",AC976="مخالفة −25",AC976="")),"✗ قائمة U",IF(AND(X976="لا",AC976&lt;&gt;"",AC976&lt;&gt;"لا خصم 0"),"✗ خصم",IF(AND(X976="نعم",AC976="لا خصم 0"),"✗ خصم",IF(AND(Z976="ممتاز 100%",AA976="ممتاز 100%",AB976&lt;&gt;"",AB976&lt;&gt;"مكتمل 100%"),"✗ إغلاق",IFERROR(IF(LEN(_xlfn.TEXTJOIN("، ",TRUE,IF(E976="","التاريخ",""),IF(F976="","الوقت",""),IF(G976="","المركز",""),IF(H976="","الدائرة",""),IF(I976="","القسم",""),IF(J976="","المسؤول",""),IF(K976="","نوع النشاط",""),IF(L976="","المشروع",""),IF(N976="","الممول",""),IF(V976="","الموضوع",""),IF(W976="","الملاحظة",""),IF(X976="","مشكلة",""),IF(Y976="","الإجراء",""),IF(Z976="","التنفيذ",""),IF(AA976="","الجودة",""),IF(AB976="","الإغلاق",""),IF(AC976="","الخصم",""),IF(AND(COUNTA($O976:$U976)&gt;0,O976=""),"مدير المشروع",""),IF(AND(COUNTA($O976:$U976)&gt;0,P976=""),"المستفيدين",""),IF(AND(COUNTA($O976:$U976)&gt;0,Q976=""),"المناطق",""),IF(AND(COUNTA($O976:$U976)&gt;0,R976=""),"الميزانية",""),IF(AND(COUNTA($O976:$U976)&gt;0,S976=""),"نسبة الجاهزية",""),IF(AND(COUNTA($O976:$U976)&gt;0,T976=""),"حالة الجاهزية",""),IF(AND(COUNTA($O976:$U976)&gt;0,U976=""),"التوصيات","")))&gt;0,"✗ ناقص: "&amp;_xlfn.TEXTJOIN("، ",TRUE,IF(E976="","التاريخ",""),IF(F976="","الوقت",""),IF(G976="","المركز",""),IF(H976="","الدائرة",""),IF(I976="","القسم",""),IF(J976="","المسؤول",""),IF(K976="","نوع النشاط",""),IF(L976="","المشروع",""),IF(N976="","الممول",""),IF(V976="","الموضوع",""),IF(W976="","الملاحظة",""),IF(X976="","مشكلة",""),IF(Y976="","الإجراء",""),IF(Z976="","التنفيذ",""),IF(AA976="","الجودة",""),IF(AB976="","الإغلاق",""),IF(AC976="","الخصم",""),IF(AND(COUNTA($O976:$U976)&gt;0,O976=""),"مدير المشروع",""),IF(AND(COUNTA($O976:$U976)&gt;0,P976=""),"المستفيدين",""),IF(AND(COUNTA($O976:$U976)&gt;0,Q976=""),"المناطق",""),IF(AND(COUNTA($O976:$U976)&gt;0,R976=""),"الميزانية",""),IF(AND(COUNTA($O976:$U976)&gt;0,S976=""),"نسبة الجاهزية",""),IF(AND(COUNTA($O976:$U976)&gt;0,T976=""),"حالة الجاهزية",""),IF(AND(COUNTA($O976:$U976)&gt;0,U976=""),"التوصيات","")),"✓"),"✓"))))))))))</f>
        <v/>
      </c>
      <c r="E976" s="235"/>
      <c r="F976" s="236"/>
      <c r="G976" s="90"/>
      <c r="H976" s="239"/>
      <c r="I976" s="89"/>
      <c r="J976" s="142"/>
      <c r="K976" s="90"/>
      <c r="L976" s="90"/>
      <c r="M976" s="90"/>
      <c r="N976" s="89"/>
      <c r="O976" s="200"/>
      <c r="P976" s="201"/>
      <c r="Q976" s="201"/>
      <c r="R976" s="237"/>
      <c r="S976" s="202"/>
      <c r="T976" s="200"/>
      <c r="U976" s="203"/>
      <c r="V976" s="89"/>
      <c r="W976" s="89"/>
      <c r="X976" s="145"/>
      <c r="Y976" s="89"/>
      <c r="Z976" s="90"/>
      <c r="AA976" s="90"/>
      <c r="AB976" s="90"/>
      <c r="AC976" s="90"/>
      <c r="AD976" s="92"/>
      <c r="AE976" s="149" t="str">
        <f>IFERROR(VLOOKUP(Z976,LISTS!$AL$2:$AM$1000,2,FALSE()),"")</f>
        <v/>
      </c>
      <c r="AF976" s="151" t="str">
        <f>IFERROR(VLOOKUP(AA976,LISTS!$AO$2:$AP$1000,2,FALSE()),"")</f>
        <v/>
      </c>
      <c r="AG976" s="152" t="str">
        <f>IFERROR(VLOOKUP(AB976,LISTS!$AR$2:$AS$1000,2,FALSE()),"")</f>
        <v/>
      </c>
      <c r="AH976" s="154" t="str">
        <f>IFERROR(VLOOKUP(AC976,LISTS!$AU$2:$AV$1000,2,FALSE()),"")</f>
        <v/>
      </c>
      <c r="AI976" s="238" t="str">
        <f t="shared" si="78"/>
        <v>—</v>
      </c>
      <c r="AJ976" s="190" t="str">
        <f t="shared" si="79"/>
        <v>—</v>
      </c>
      <c r="AK976" s="157" t="str">
        <f t="shared" si="75"/>
        <v/>
      </c>
      <c r="AL976" s="160" t="str">
        <f t="shared" si="76"/>
        <v/>
      </c>
      <c r="AM976" s="210"/>
      <c r="AN976" s="209"/>
    </row>
    <row r="977" spans="1:40" ht="27.95" customHeight="1">
      <c r="A977" s="135"/>
      <c r="B977" s="139"/>
      <c r="C977" s="124"/>
      <c r="D977" s="141" t="str">
        <f>IF(AND(G977="",H977="",I977=""),"",IF(COUNTIFS(LISTS!$A$2:$A$67,G977,LISTS!$B$2:$B$67,H977,LISTS!$C$2:$C$67,I977)=0,"✗ هرم",IF(NOT(OR(Z977="ممتاز 100%",Z977="جيد 80%",Z977="مقبول 60%",Z977="خطر 40%",Z977="")),"✗ قائمة R",IF(NOT(OR(AA977="ممتاز 100%",AA977="جيد 85%",AA977="مقبول 70%",AA977="ضعيف 50%",AA977="")),"✗ قائمة S",IF(NOT(OR(AB977="مكتمل 100%",AB977="جزئي 60%",AB977="معلق 30%",AB977="مفتوح 0%",AB977="")),"✗ قائمة T",IF(NOT(OR(AC977="لا خصم 0",AC977="تأخير −5",AC977="عجز −10",AC977="جودة −15",AC977="امتثال −20",AC977="مخالفة −25",AC977="")),"✗ قائمة U",IF(AND(X977="لا",AC977&lt;&gt;"",AC977&lt;&gt;"لا خصم 0"),"✗ خصم",IF(AND(X977="نعم",AC977="لا خصم 0"),"✗ خصم",IF(AND(Z977="ممتاز 100%",AA977="ممتاز 100%",AB977&lt;&gt;"",AB977&lt;&gt;"مكتمل 100%"),"✗ إغلاق",IFERROR(IF(LEN(_xlfn.TEXTJOIN("، ",TRUE,IF(E977="","التاريخ",""),IF(F977="","الوقت",""),IF(G977="","المركز",""),IF(H977="","الدائرة",""),IF(I977="","القسم",""),IF(J977="","المسؤول",""),IF(K977="","نوع النشاط",""),IF(L977="","المشروع",""),IF(N977="","الممول",""),IF(V977="","الموضوع",""),IF(W977="","الملاحظة",""),IF(X977="","مشكلة",""),IF(Y977="","الإجراء",""),IF(Z977="","التنفيذ",""),IF(AA977="","الجودة",""),IF(AB977="","الإغلاق",""),IF(AC977="","الخصم",""),IF(AND(COUNTA($O977:$U977)&gt;0,O977=""),"مدير المشروع",""),IF(AND(COUNTA($O977:$U977)&gt;0,P977=""),"المستفيدين",""),IF(AND(COUNTA($O977:$U977)&gt;0,Q977=""),"المناطق",""),IF(AND(COUNTA($O977:$U977)&gt;0,R977=""),"الميزانية",""),IF(AND(COUNTA($O977:$U977)&gt;0,S977=""),"نسبة الجاهزية",""),IF(AND(COUNTA($O977:$U977)&gt;0,T977=""),"حالة الجاهزية",""),IF(AND(COUNTA($O977:$U977)&gt;0,U977=""),"التوصيات","")))&gt;0,"✗ ناقص: "&amp;_xlfn.TEXTJOIN("، ",TRUE,IF(E977="","التاريخ",""),IF(F977="","الوقت",""),IF(G977="","المركز",""),IF(H977="","الدائرة",""),IF(I977="","القسم",""),IF(J977="","المسؤول",""),IF(K977="","نوع النشاط",""),IF(L977="","المشروع",""),IF(N977="","الممول",""),IF(V977="","الموضوع",""),IF(W977="","الملاحظة",""),IF(X977="","مشكلة",""),IF(Y977="","الإجراء",""),IF(Z977="","التنفيذ",""),IF(AA977="","الجودة",""),IF(AB977="","الإغلاق",""),IF(AC977="","الخصم",""),IF(AND(COUNTA($O977:$U977)&gt;0,O977=""),"مدير المشروع",""),IF(AND(COUNTA($O977:$U977)&gt;0,P977=""),"المستفيدين",""),IF(AND(COUNTA($O977:$U977)&gt;0,Q977=""),"المناطق",""),IF(AND(COUNTA($O977:$U977)&gt;0,R977=""),"الميزانية",""),IF(AND(COUNTA($O977:$U977)&gt;0,S977=""),"نسبة الجاهزية",""),IF(AND(COUNTA($O977:$U977)&gt;0,T977=""),"حالة الجاهزية",""),IF(AND(COUNTA($O977:$U977)&gt;0,U977=""),"التوصيات","")),"✓"),"✓"))))))))))</f>
        <v/>
      </c>
      <c r="E977" s="240"/>
      <c r="F977" s="241"/>
      <c r="G977" s="125"/>
      <c r="H977" s="123"/>
      <c r="I977" s="123"/>
      <c r="J977" s="143"/>
      <c r="K977" s="125"/>
      <c r="L977" s="125"/>
      <c r="M977" s="125"/>
      <c r="N977" s="123"/>
      <c r="O977" s="200"/>
      <c r="P977" s="201"/>
      <c r="Q977" s="201"/>
      <c r="R977" s="237"/>
      <c r="S977" s="202"/>
      <c r="T977" s="200"/>
      <c r="U977" s="203"/>
      <c r="V977" s="123"/>
      <c r="W977" s="123"/>
      <c r="X977" s="146"/>
      <c r="Y977" s="123"/>
      <c r="Z977" s="125"/>
      <c r="AA977" s="125"/>
      <c r="AB977" s="125"/>
      <c r="AC977" s="125"/>
      <c r="AD977" s="126"/>
      <c r="AE977" s="149" t="str">
        <f>IFERROR(VLOOKUP(Z977,LISTS!$AL$2:$AM$1000,2,FALSE()),"")</f>
        <v/>
      </c>
      <c r="AF977" s="151" t="str">
        <f>IFERROR(VLOOKUP(AA977,LISTS!$AO$2:$AP$1000,2,FALSE()),"")</f>
        <v/>
      </c>
      <c r="AG977" s="152" t="str">
        <f>IFERROR(VLOOKUP(AB977,LISTS!$AR$2:$AS$1000,2,FALSE()),"")</f>
        <v/>
      </c>
      <c r="AH977" s="154" t="str">
        <f>IFERROR(VLOOKUP(AC977,LISTS!$AU$2:$AV$1000,2,FALSE()),"")</f>
        <v/>
      </c>
      <c r="AI977" s="242"/>
      <c r="AJ977" s="190" t="str">
        <f t="shared" si="79"/>
        <v>⚠️</v>
      </c>
      <c r="AK977" s="157" t="str">
        <f t="shared" si="75"/>
        <v/>
      </c>
      <c r="AL977" s="160" t="str">
        <f t="shared" si="76"/>
        <v/>
      </c>
      <c r="AM977" s="210"/>
      <c r="AN977" s="209"/>
    </row>
    <row r="978" spans="1:40" ht="27.95" customHeight="1">
      <c r="A978" s="135"/>
      <c r="B978" s="139"/>
      <c r="C978" s="124"/>
      <c r="D978" s="141" t="str">
        <f>IF(AND(G978="",H978="",I978=""),"",IF(COUNTIFS(LISTS!$A$2:$A$67,G978,LISTS!$B$2:$B$67,H978,LISTS!$C$2:$C$67,I978)=0,"✗ هرم",IF(NOT(OR(Z978="ممتاز 100%",Z978="جيد 80%",Z978="مقبول 60%",Z978="خطر 40%",Z978="")),"✗ قائمة R",IF(NOT(OR(AA978="ممتاز 100%",AA978="جيد 85%",AA978="مقبول 70%",AA978="ضعيف 50%",AA978="")),"✗ قائمة S",IF(NOT(OR(AB978="مكتمل 100%",AB978="جزئي 60%",AB978="معلق 30%",AB978="مفتوح 0%",AB978="")),"✗ قائمة T",IF(NOT(OR(AC978="لا خصم 0",AC978="تأخير −5",AC978="عجز −10",AC978="جودة −15",AC978="امتثال −20",AC978="مخالفة −25",AC978="")),"✗ قائمة U",IF(AND(X978="لا",AC978&lt;&gt;"",AC978&lt;&gt;"لا خصم 0"),"✗ خصم",IF(AND(X978="نعم",AC978="لا خصم 0"),"✗ خصم",IF(AND(Z978="ممتاز 100%",AA978="ممتاز 100%",AB978&lt;&gt;"",AB978&lt;&gt;"مكتمل 100%"),"✗ إغلاق",IFERROR(IF(LEN(_xlfn.TEXTJOIN("، ",TRUE,IF(E978="","التاريخ",""),IF(F978="","الوقت",""),IF(G978="","المركز",""),IF(H978="","الدائرة",""),IF(I978="","القسم",""),IF(J978="","المسؤول",""),IF(K978="","نوع النشاط",""),IF(L978="","المشروع",""),IF(N978="","الممول",""),IF(V978="","الموضوع",""),IF(W978="","الملاحظة",""),IF(X978="","مشكلة",""),IF(Y978="","الإجراء",""),IF(Z978="","التنفيذ",""),IF(AA978="","الجودة",""),IF(AB978="","الإغلاق",""),IF(AC978="","الخصم",""),IF(AND(COUNTA($O978:$U978)&gt;0,O978=""),"مدير المشروع",""),IF(AND(COUNTA($O978:$U978)&gt;0,P978=""),"المستفيدين",""),IF(AND(COUNTA($O978:$U978)&gt;0,Q978=""),"المناطق",""),IF(AND(COUNTA($O978:$U978)&gt;0,R978=""),"الميزانية",""),IF(AND(COUNTA($O978:$U978)&gt;0,S978=""),"نسبة الجاهزية",""),IF(AND(COUNTA($O978:$U978)&gt;0,T978=""),"حالة الجاهزية",""),IF(AND(COUNTA($O978:$U978)&gt;0,U978=""),"التوصيات","")))&gt;0,"✗ ناقص: "&amp;_xlfn.TEXTJOIN("، ",TRUE,IF(E978="","التاريخ",""),IF(F978="","الوقت",""),IF(G978="","المركز",""),IF(H978="","الدائرة",""),IF(I978="","القسم",""),IF(J978="","المسؤول",""),IF(K978="","نوع النشاط",""),IF(L978="","المشروع",""),IF(N978="","الممول",""),IF(V978="","الموضوع",""),IF(W978="","الملاحظة",""),IF(X978="","مشكلة",""),IF(Y978="","الإجراء",""),IF(Z978="","التنفيذ",""),IF(AA978="","الجودة",""),IF(AB978="","الإغلاق",""),IF(AC978="","الخصم",""),IF(AND(COUNTA($O978:$U978)&gt;0,O978=""),"مدير المشروع",""),IF(AND(COUNTA($O978:$U978)&gt;0,P978=""),"المستفيدين",""),IF(AND(COUNTA($O978:$U978)&gt;0,Q978=""),"المناطق",""),IF(AND(COUNTA($O978:$U978)&gt;0,R978=""),"الميزانية",""),IF(AND(COUNTA($O978:$U978)&gt;0,S978=""),"نسبة الجاهزية",""),IF(AND(COUNTA($O978:$U978)&gt;0,T978=""),"حالة الجاهزية",""),IF(AND(COUNTA($O978:$U978)&gt;0,U978=""),"التوصيات","")),"✓"),"✓"))))))))))</f>
        <v/>
      </c>
      <c r="E978" s="240"/>
      <c r="F978" s="241"/>
      <c r="G978" s="125"/>
      <c r="H978" s="123"/>
      <c r="I978" s="123"/>
      <c r="J978" s="143"/>
      <c r="K978" s="125"/>
      <c r="L978" s="125"/>
      <c r="M978" s="125"/>
      <c r="N978" s="123"/>
      <c r="O978" s="200"/>
      <c r="P978" s="201"/>
      <c r="Q978" s="201"/>
      <c r="R978" s="237"/>
      <c r="S978" s="202"/>
      <c r="T978" s="200"/>
      <c r="U978" s="203"/>
      <c r="V978" s="123"/>
      <c r="W978" s="123"/>
      <c r="X978" s="146"/>
      <c r="Y978" s="123"/>
      <c r="Z978" s="125"/>
      <c r="AA978" s="125"/>
      <c r="AB978" s="125"/>
      <c r="AC978" s="125"/>
      <c r="AD978" s="126"/>
      <c r="AE978" s="149" t="str">
        <f>IFERROR(VLOOKUP(Z978,LISTS!$AL$2:$AM$1000,2,FALSE()),"")</f>
        <v/>
      </c>
      <c r="AF978" s="151" t="str">
        <f>IFERROR(VLOOKUP(AA978,LISTS!$AO$2:$AP$1000,2,FALSE()),"")</f>
        <v/>
      </c>
      <c r="AG978" s="152" t="str">
        <f>IFERROR(VLOOKUP(AB978,LISTS!$AR$2:$AS$1000,2,FALSE()),"")</f>
        <v/>
      </c>
      <c r="AH978" s="154" t="str">
        <f>IFERROR(VLOOKUP(AC978,LISTS!$AU$2:$AV$1000,2,FALSE()),"")</f>
        <v/>
      </c>
      <c r="AI978" s="242"/>
      <c r="AJ978" s="190" t="str">
        <f t="shared" si="79"/>
        <v>⚠️</v>
      </c>
      <c r="AK978" s="157" t="str">
        <f t="shared" si="75"/>
        <v/>
      </c>
      <c r="AL978" s="160" t="str">
        <f t="shared" si="76"/>
        <v/>
      </c>
      <c r="AM978" s="210"/>
      <c r="AN978" s="209"/>
    </row>
    <row r="979" spans="1:40" ht="27.95" customHeight="1">
      <c r="A979" s="135"/>
      <c r="B979" s="139"/>
      <c r="C979" s="124"/>
      <c r="D979" s="141" t="str">
        <f>IF(AND(G979="",H979="",I979=""),"",IF(COUNTIFS(LISTS!$A$2:$A$67,G979,LISTS!$B$2:$B$67,H979,LISTS!$C$2:$C$67,I979)=0,"✗ هرم",IF(NOT(OR(Z979="ممتاز 100%",Z979="جيد 80%",Z979="مقبول 60%",Z979="خطر 40%",Z979="")),"✗ قائمة R",IF(NOT(OR(AA979="ممتاز 100%",AA979="جيد 85%",AA979="مقبول 70%",AA979="ضعيف 50%",AA979="")),"✗ قائمة S",IF(NOT(OR(AB979="مكتمل 100%",AB979="جزئي 60%",AB979="معلق 30%",AB979="مفتوح 0%",AB979="")),"✗ قائمة T",IF(NOT(OR(AC979="لا خصم 0",AC979="تأخير −5",AC979="عجز −10",AC979="جودة −15",AC979="امتثال −20",AC979="مخالفة −25",AC979="")),"✗ قائمة U",IF(AND(X979="لا",AC979&lt;&gt;"",AC979&lt;&gt;"لا خصم 0"),"✗ خصم",IF(AND(X979="نعم",AC979="لا خصم 0"),"✗ خصم",IF(AND(Z979="ممتاز 100%",AA979="ممتاز 100%",AB979&lt;&gt;"",AB979&lt;&gt;"مكتمل 100%"),"✗ إغلاق",IFERROR(IF(LEN(_xlfn.TEXTJOIN("، ",TRUE,IF(E979="","التاريخ",""),IF(F979="","الوقت",""),IF(G979="","المركز",""),IF(H979="","الدائرة",""),IF(I979="","القسم",""),IF(J979="","المسؤول",""),IF(K979="","نوع النشاط",""),IF(L979="","المشروع",""),IF(N979="","الممول",""),IF(V979="","الموضوع",""),IF(W979="","الملاحظة",""),IF(X979="","مشكلة",""),IF(Y979="","الإجراء",""),IF(Z979="","التنفيذ",""),IF(AA979="","الجودة",""),IF(AB979="","الإغلاق",""),IF(AC979="","الخصم",""),IF(AND(COUNTA($O979:$U979)&gt;0,O979=""),"مدير المشروع",""),IF(AND(COUNTA($O979:$U979)&gt;0,P979=""),"المستفيدين",""),IF(AND(COUNTA($O979:$U979)&gt;0,Q979=""),"المناطق",""),IF(AND(COUNTA($O979:$U979)&gt;0,R979=""),"الميزانية",""),IF(AND(COUNTA($O979:$U979)&gt;0,S979=""),"نسبة الجاهزية",""),IF(AND(COUNTA($O979:$U979)&gt;0,T979=""),"حالة الجاهزية",""),IF(AND(COUNTA($O979:$U979)&gt;0,U979=""),"التوصيات","")))&gt;0,"✗ ناقص: "&amp;_xlfn.TEXTJOIN("، ",TRUE,IF(E979="","التاريخ",""),IF(F979="","الوقت",""),IF(G979="","المركز",""),IF(H979="","الدائرة",""),IF(I979="","القسم",""),IF(J979="","المسؤول",""),IF(K979="","نوع النشاط",""),IF(L979="","المشروع",""),IF(N979="","الممول",""),IF(V979="","الموضوع",""),IF(W979="","الملاحظة",""),IF(X979="","مشكلة",""),IF(Y979="","الإجراء",""),IF(Z979="","التنفيذ",""),IF(AA979="","الجودة",""),IF(AB979="","الإغلاق",""),IF(AC979="","الخصم",""),IF(AND(COUNTA($O979:$U979)&gt;0,O979=""),"مدير المشروع",""),IF(AND(COUNTA($O979:$U979)&gt;0,P979=""),"المستفيدين",""),IF(AND(COUNTA($O979:$U979)&gt;0,Q979=""),"المناطق",""),IF(AND(COUNTA($O979:$U979)&gt;0,R979=""),"الميزانية",""),IF(AND(COUNTA($O979:$U979)&gt;0,S979=""),"نسبة الجاهزية",""),IF(AND(COUNTA($O979:$U979)&gt;0,T979=""),"حالة الجاهزية",""),IF(AND(COUNTA($O979:$U979)&gt;0,U979=""),"التوصيات","")),"✓"),"✓"))))))))))</f>
        <v/>
      </c>
      <c r="E979" s="240"/>
      <c r="F979" s="241"/>
      <c r="G979" s="125"/>
      <c r="H979" s="123"/>
      <c r="I979" s="123"/>
      <c r="J979" s="143"/>
      <c r="K979" s="125"/>
      <c r="L979" s="125"/>
      <c r="M979" s="125"/>
      <c r="N979" s="123"/>
      <c r="O979" s="200"/>
      <c r="P979" s="201"/>
      <c r="Q979" s="201"/>
      <c r="R979" s="237"/>
      <c r="S979" s="202"/>
      <c r="T979" s="200"/>
      <c r="U979" s="203"/>
      <c r="V979" s="123"/>
      <c r="W979" s="123"/>
      <c r="X979" s="146"/>
      <c r="Y979" s="123"/>
      <c r="Z979" s="125"/>
      <c r="AA979" s="125"/>
      <c r="AB979" s="125"/>
      <c r="AC979" s="125"/>
      <c r="AD979" s="126"/>
      <c r="AE979" s="149" t="str">
        <f>IFERROR(VLOOKUP(Z979,LISTS!$AL$2:$AM$1000,2,FALSE()),"")</f>
        <v/>
      </c>
      <c r="AF979" s="151" t="str">
        <f>IFERROR(VLOOKUP(AA979,LISTS!$AO$2:$AP$1000,2,FALSE()),"")</f>
        <v/>
      </c>
      <c r="AG979" s="152" t="str">
        <f>IFERROR(VLOOKUP(AB979,LISTS!$AR$2:$AS$1000,2,FALSE()),"")</f>
        <v/>
      </c>
      <c r="AH979" s="154" t="str">
        <f>IFERROR(VLOOKUP(AC979,LISTS!$AU$2:$AV$1000,2,FALSE()),"")</f>
        <v/>
      </c>
      <c r="AI979" s="242"/>
      <c r="AJ979" s="190" t="str">
        <f t="shared" si="79"/>
        <v>⚠️</v>
      </c>
      <c r="AK979" s="157" t="str">
        <f t="shared" si="75"/>
        <v/>
      </c>
      <c r="AL979" s="160" t="str">
        <f t="shared" si="76"/>
        <v/>
      </c>
      <c r="AM979" s="210"/>
      <c r="AN979" s="209"/>
    </row>
    <row r="980" spans="1:40" ht="27.95" customHeight="1">
      <c r="A980" s="135"/>
      <c r="B980" s="139"/>
      <c r="C980" s="124"/>
      <c r="D980" s="141" t="str">
        <f>IF(AND(G980="",H980="",I980=""),"",IF(COUNTIFS(LISTS!$A$2:$A$67,G980,LISTS!$B$2:$B$67,H980,LISTS!$C$2:$C$67,I980)=0,"✗ هرم",IF(NOT(OR(Z980="ممتاز 100%",Z980="جيد 80%",Z980="مقبول 60%",Z980="خطر 40%",Z980="")),"✗ قائمة R",IF(NOT(OR(AA980="ممتاز 100%",AA980="جيد 85%",AA980="مقبول 70%",AA980="ضعيف 50%",AA980="")),"✗ قائمة S",IF(NOT(OR(AB980="مكتمل 100%",AB980="جزئي 60%",AB980="معلق 30%",AB980="مفتوح 0%",AB980="")),"✗ قائمة T",IF(NOT(OR(AC980="لا خصم 0",AC980="تأخير −5",AC980="عجز −10",AC980="جودة −15",AC980="امتثال −20",AC980="مخالفة −25",AC980="")),"✗ قائمة U",IF(AND(X980="لا",AC980&lt;&gt;"",AC980&lt;&gt;"لا خصم 0"),"✗ خصم",IF(AND(X980="نعم",AC980="لا خصم 0"),"✗ خصم",IF(AND(Z980="ممتاز 100%",AA980="ممتاز 100%",AB980&lt;&gt;"",AB980&lt;&gt;"مكتمل 100%"),"✗ إغلاق",IFERROR(IF(LEN(_xlfn.TEXTJOIN("، ",TRUE,IF(E980="","التاريخ",""),IF(F980="","الوقت",""),IF(G980="","المركز",""),IF(H980="","الدائرة",""),IF(I980="","القسم",""),IF(J980="","المسؤول",""),IF(K980="","نوع النشاط",""),IF(L980="","المشروع",""),IF(N980="","الممول",""),IF(V980="","الموضوع",""),IF(W980="","الملاحظة",""),IF(X980="","مشكلة",""),IF(Y980="","الإجراء",""),IF(Z980="","التنفيذ",""),IF(AA980="","الجودة",""),IF(AB980="","الإغلاق",""),IF(AC980="","الخصم",""),IF(AND(COUNTA($O980:$U980)&gt;0,O980=""),"مدير المشروع",""),IF(AND(COUNTA($O980:$U980)&gt;0,P980=""),"المستفيدين",""),IF(AND(COUNTA($O980:$U980)&gt;0,Q980=""),"المناطق",""),IF(AND(COUNTA($O980:$U980)&gt;0,R980=""),"الميزانية",""),IF(AND(COUNTA($O980:$U980)&gt;0,S980=""),"نسبة الجاهزية",""),IF(AND(COUNTA($O980:$U980)&gt;0,T980=""),"حالة الجاهزية",""),IF(AND(COUNTA($O980:$U980)&gt;0,U980=""),"التوصيات","")))&gt;0,"✗ ناقص: "&amp;_xlfn.TEXTJOIN("، ",TRUE,IF(E980="","التاريخ",""),IF(F980="","الوقت",""),IF(G980="","المركز",""),IF(H980="","الدائرة",""),IF(I980="","القسم",""),IF(J980="","المسؤول",""),IF(K980="","نوع النشاط",""),IF(L980="","المشروع",""),IF(N980="","الممول",""),IF(V980="","الموضوع",""),IF(W980="","الملاحظة",""),IF(X980="","مشكلة",""),IF(Y980="","الإجراء",""),IF(Z980="","التنفيذ",""),IF(AA980="","الجودة",""),IF(AB980="","الإغلاق",""),IF(AC980="","الخصم",""),IF(AND(COUNTA($O980:$U980)&gt;0,O980=""),"مدير المشروع",""),IF(AND(COUNTA($O980:$U980)&gt;0,P980=""),"المستفيدين",""),IF(AND(COUNTA($O980:$U980)&gt;0,Q980=""),"المناطق",""),IF(AND(COUNTA($O980:$U980)&gt;0,R980=""),"الميزانية",""),IF(AND(COUNTA($O980:$U980)&gt;0,S980=""),"نسبة الجاهزية",""),IF(AND(COUNTA($O980:$U980)&gt;0,T980=""),"حالة الجاهزية",""),IF(AND(COUNTA($O980:$U980)&gt;0,U980=""),"التوصيات","")),"✓"),"✓"))))))))))</f>
        <v/>
      </c>
      <c r="E980" s="240"/>
      <c r="F980" s="241"/>
      <c r="G980" s="125"/>
      <c r="H980" s="123"/>
      <c r="I980" s="123"/>
      <c r="J980" s="143"/>
      <c r="K980" s="125"/>
      <c r="L980" s="125"/>
      <c r="M980" s="125"/>
      <c r="N980" s="123"/>
      <c r="O980" s="200"/>
      <c r="P980" s="201"/>
      <c r="Q980" s="201"/>
      <c r="R980" s="237"/>
      <c r="S980" s="202"/>
      <c r="T980" s="200"/>
      <c r="U980" s="203"/>
      <c r="V980" s="123"/>
      <c r="W980" s="123"/>
      <c r="X980" s="146"/>
      <c r="Y980" s="123"/>
      <c r="Z980" s="125"/>
      <c r="AA980" s="125"/>
      <c r="AB980" s="125"/>
      <c r="AC980" s="125"/>
      <c r="AD980" s="126"/>
      <c r="AE980" s="149" t="str">
        <f>IFERROR(VLOOKUP(Z980,LISTS!$AL$2:$AM$1000,2,FALSE()),"")</f>
        <v/>
      </c>
      <c r="AF980" s="151" t="str">
        <f>IFERROR(VLOOKUP(AA980,LISTS!$AO$2:$AP$1000,2,FALSE()),"")</f>
        <v/>
      </c>
      <c r="AG980" s="152" t="str">
        <f>IFERROR(VLOOKUP(AB980,LISTS!$AR$2:$AS$1000,2,FALSE()),"")</f>
        <v/>
      </c>
      <c r="AH980" s="154" t="str">
        <f>IFERROR(VLOOKUP(AC980,LISTS!$AU$2:$AV$1000,2,FALSE()),"")</f>
        <v/>
      </c>
      <c r="AI980" s="242"/>
      <c r="AJ980" s="190" t="str">
        <f t="shared" si="79"/>
        <v>⚠️</v>
      </c>
      <c r="AK980" s="157" t="str">
        <f t="shared" si="75"/>
        <v/>
      </c>
      <c r="AL980" s="160" t="str">
        <f t="shared" si="76"/>
        <v/>
      </c>
      <c r="AM980" s="210"/>
      <c r="AN980" s="209"/>
    </row>
    <row r="981" spans="1:40" ht="27.95" customHeight="1">
      <c r="A981" s="135"/>
      <c r="B981" s="139"/>
      <c r="C981" s="124"/>
      <c r="D981" s="141" t="str">
        <f>IF(AND(G981="",H981="",I981=""),"",IF(COUNTIFS(LISTS!$A$2:$A$67,G981,LISTS!$B$2:$B$67,H981,LISTS!$C$2:$C$67,I981)=0,"✗ هرم",IF(NOT(OR(Z981="ممتاز 100%",Z981="جيد 80%",Z981="مقبول 60%",Z981="خطر 40%",Z981="")),"✗ قائمة R",IF(NOT(OR(AA981="ممتاز 100%",AA981="جيد 85%",AA981="مقبول 70%",AA981="ضعيف 50%",AA981="")),"✗ قائمة S",IF(NOT(OR(AB981="مكتمل 100%",AB981="جزئي 60%",AB981="معلق 30%",AB981="مفتوح 0%",AB981="")),"✗ قائمة T",IF(NOT(OR(AC981="لا خصم 0",AC981="تأخير −5",AC981="عجز −10",AC981="جودة −15",AC981="امتثال −20",AC981="مخالفة −25",AC981="")),"✗ قائمة U",IF(AND(X981="لا",AC981&lt;&gt;"",AC981&lt;&gt;"لا خصم 0"),"✗ خصم",IF(AND(X981="نعم",AC981="لا خصم 0"),"✗ خصم",IF(AND(Z981="ممتاز 100%",AA981="ممتاز 100%",AB981&lt;&gt;"",AB981&lt;&gt;"مكتمل 100%"),"✗ إغلاق",IFERROR(IF(LEN(_xlfn.TEXTJOIN("، ",TRUE,IF(E981="","التاريخ",""),IF(F981="","الوقت",""),IF(G981="","المركز",""),IF(H981="","الدائرة",""),IF(I981="","القسم",""),IF(J981="","المسؤول",""),IF(K981="","نوع النشاط",""),IF(L981="","المشروع",""),IF(N981="","الممول",""),IF(V981="","الموضوع",""),IF(W981="","الملاحظة",""),IF(X981="","مشكلة",""),IF(Y981="","الإجراء",""),IF(Z981="","التنفيذ",""),IF(AA981="","الجودة",""),IF(AB981="","الإغلاق",""),IF(AC981="","الخصم",""),IF(AND(COUNTA($O981:$U981)&gt;0,O981=""),"مدير المشروع",""),IF(AND(COUNTA($O981:$U981)&gt;0,P981=""),"المستفيدين",""),IF(AND(COUNTA($O981:$U981)&gt;0,Q981=""),"المناطق",""),IF(AND(COUNTA($O981:$U981)&gt;0,R981=""),"الميزانية",""),IF(AND(COUNTA($O981:$U981)&gt;0,S981=""),"نسبة الجاهزية",""),IF(AND(COUNTA($O981:$U981)&gt;0,T981=""),"حالة الجاهزية",""),IF(AND(COUNTA($O981:$U981)&gt;0,U981=""),"التوصيات","")))&gt;0,"✗ ناقص: "&amp;_xlfn.TEXTJOIN("، ",TRUE,IF(E981="","التاريخ",""),IF(F981="","الوقت",""),IF(G981="","المركز",""),IF(H981="","الدائرة",""),IF(I981="","القسم",""),IF(J981="","المسؤول",""),IF(K981="","نوع النشاط",""),IF(L981="","المشروع",""),IF(N981="","الممول",""),IF(V981="","الموضوع",""),IF(W981="","الملاحظة",""),IF(X981="","مشكلة",""),IF(Y981="","الإجراء",""),IF(Z981="","التنفيذ",""),IF(AA981="","الجودة",""),IF(AB981="","الإغلاق",""),IF(AC981="","الخصم",""),IF(AND(COUNTA($O981:$U981)&gt;0,O981=""),"مدير المشروع",""),IF(AND(COUNTA($O981:$U981)&gt;0,P981=""),"المستفيدين",""),IF(AND(COUNTA($O981:$U981)&gt;0,Q981=""),"المناطق",""),IF(AND(COUNTA($O981:$U981)&gt;0,R981=""),"الميزانية",""),IF(AND(COUNTA($O981:$U981)&gt;0,S981=""),"نسبة الجاهزية",""),IF(AND(COUNTA($O981:$U981)&gt;0,T981=""),"حالة الجاهزية",""),IF(AND(COUNTA($O981:$U981)&gt;0,U981=""),"التوصيات","")),"✓"),"✓"))))))))))</f>
        <v/>
      </c>
      <c r="E981" s="240"/>
      <c r="F981" s="241"/>
      <c r="G981" s="125"/>
      <c r="H981" s="123"/>
      <c r="I981" s="123"/>
      <c r="J981" s="143"/>
      <c r="K981" s="125"/>
      <c r="L981" s="125"/>
      <c r="M981" s="125"/>
      <c r="N981" s="123"/>
      <c r="O981" s="200"/>
      <c r="P981" s="201"/>
      <c r="Q981" s="201"/>
      <c r="R981" s="237"/>
      <c r="S981" s="202"/>
      <c r="T981" s="200"/>
      <c r="U981" s="203"/>
      <c r="V981" s="123"/>
      <c r="W981" s="123"/>
      <c r="X981" s="146"/>
      <c r="Y981" s="123"/>
      <c r="Z981" s="125"/>
      <c r="AA981" s="125"/>
      <c r="AB981" s="125"/>
      <c r="AC981" s="125"/>
      <c r="AD981" s="126"/>
      <c r="AE981" s="149" t="str">
        <f>IFERROR(VLOOKUP(Z981,LISTS!$AL$2:$AM$1000,2,FALSE()),"")</f>
        <v/>
      </c>
      <c r="AF981" s="151" t="str">
        <f>IFERROR(VLOOKUP(AA981,LISTS!$AO$2:$AP$1000,2,FALSE()),"")</f>
        <v/>
      </c>
      <c r="AG981" s="152" t="str">
        <f>IFERROR(VLOOKUP(AB981,LISTS!$AR$2:$AS$1000,2,FALSE()),"")</f>
        <v/>
      </c>
      <c r="AH981" s="154" t="str">
        <f>IFERROR(VLOOKUP(AC981,LISTS!$AU$2:$AV$1000,2,FALSE()),"")</f>
        <v/>
      </c>
      <c r="AI981" s="242"/>
      <c r="AJ981" s="190" t="str">
        <f t="shared" si="79"/>
        <v>⚠️</v>
      </c>
      <c r="AK981" s="157" t="str">
        <f t="shared" si="75"/>
        <v/>
      </c>
      <c r="AL981" s="160" t="str">
        <f t="shared" si="76"/>
        <v/>
      </c>
      <c r="AM981" s="210"/>
      <c r="AN981" s="209"/>
    </row>
    <row r="982" spans="1:40" ht="27.95" customHeight="1">
      <c r="A982" s="135"/>
      <c r="B982" s="139"/>
      <c r="C982" s="124"/>
      <c r="D982" s="141" t="str">
        <f>IF(AND(G982="",H982="",I982=""),"",IF(COUNTIFS(LISTS!$A$2:$A$67,G982,LISTS!$B$2:$B$67,H982,LISTS!$C$2:$C$67,I982)=0,"✗ هرم",IF(NOT(OR(Z982="ممتاز 100%",Z982="جيد 80%",Z982="مقبول 60%",Z982="خطر 40%",Z982="")),"✗ قائمة R",IF(NOT(OR(AA982="ممتاز 100%",AA982="جيد 85%",AA982="مقبول 70%",AA982="ضعيف 50%",AA982="")),"✗ قائمة S",IF(NOT(OR(AB982="مكتمل 100%",AB982="جزئي 60%",AB982="معلق 30%",AB982="مفتوح 0%",AB982="")),"✗ قائمة T",IF(NOT(OR(AC982="لا خصم 0",AC982="تأخير −5",AC982="عجز −10",AC982="جودة −15",AC982="امتثال −20",AC982="مخالفة −25",AC982="")),"✗ قائمة U",IF(AND(X982="لا",AC982&lt;&gt;"",AC982&lt;&gt;"لا خصم 0"),"✗ خصم",IF(AND(X982="نعم",AC982="لا خصم 0"),"✗ خصم",IF(AND(Z982="ممتاز 100%",AA982="ممتاز 100%",AB982&lt;&gt;"",AB982&lt;&gt;"مكتمل 100%"),"✗ إغلاق",IFERROR(IF(LEN(_xlfn.TEXTJOIN("، ",TRUE,IF(E982="","التاريخ",""),IF(F982="","الوقت",""),IF(G982="","المركز",""),IF(H982="","الدائرة",""),IF(I982="","القسم",""),IF(J982="","المسؤول",""),IF(K982="","نوع النشاط",""),IF(L982="","المشروع",""),IF(N982="","الممول",""),IF(V982="","الموضوع",""),IF(W982="","الملاحظة",""),IF(X982="","مشكلة",""),IF(Y982="","الإجراء",""),IF(Z982="","التنفيذ",""),IF(AA982="","الجودة",""),IF(AB982="","الإغلاق",""),IF(AC982="","الخصم",""),IF(AND(COUNTA($O982:$U982)&gt;0,O982=""),"مدير المشروع",""),IF(AND(COUNTA($O982:$U982)&gt;0,P982=""),"المستفيدين",""),IF(AND(COUNTA($O982:$U982)&gt;0,Q982=""),"المناطق",""),IF(AND(COUNTA($O982:$U982)&gt;0,R982=""),"الميزانية",""),IF(AND(COUNTA($O982:$U982)&gt;0,S982=""),"نسبة الجاهزية",""),IF(AND(COUNTA($O982:$U982)&gt;0,T982=""),"حالة الجاهزية",""),IF(AND(COUNTA($O982:$U982)&gt;0,U982=""),"التوصيات","")))&gt;0,"✗ ناقص: "&amp;_xlfn.TEXTJOIN("، ",TRUE,IF(E982="","التاريخ",""),IF(F982="","الوقت",""),IF(G982="","المركز",""),IF(H982="","الدائرة",""),IF(I982="","القسم",""),IF(J982="","المسؤول",""),IF(K982="","نوع النشاط",""),IF(L982="","المشروع",""),IF(N982="","الممول",""),IF(V982="","الموضوع",""),IF(W982="","الملاحظة",""),IF(X982="","مشكلة",""),IF(Y982="","الإجراء",""),IF(Z982="","التنفيذ",""),IF(AA982="","الجودة",""),IF(AB982="","الإغلاق",""),IF(AC982="","الخصم",""),IF(AND(COUNTA($O982:$U982)&gt;0,O982=""),"مدير المشروع",""),IF(AND(COUNTA($O982:$U982)&gt;0,P982=""),"المستفيدين",""),IF(AND(COUNTA($O982:$U982)&gt;0,Q982=""),"المناطق",""),IF(AND(COUNTA($O982:$U982)&gt;0,R982=""),"الميزانية",""),IF(AND(COUNTA($O982:$U982)&gt;0,S982=""),"نسبة الجاهزية",""),IF(AND(COUNTA($O982:$U982)&gt;0,T982=""),"حالة الجاهزية",""),IF(AND(COUNTA($O982:$U982)&gt;0,U982=""),"التوصيات","")),"✓"),"✓"))))))))))</f>
        <v/>
      </c>
      <c r="E982" s="240"/>
      <c r="F982" s="241"/>
      <c r="G982" s="125"/>
      <c r="H982" s="123"/>
      <c r="I982" s="123"/>
      <c r="J982" s="143"/>
      <c r="K982" s="125"/>
      <c r="L982" s="125"/>
      <c r="M982" s="125"/>
      <c r="N982" s="123"/>
      <c r="O982" s="200"/>
      <c r="P982" s="201"/>
      <c r="Q982" s="201"/>
      <c r="R982" s="237"/>
      <c r="S982" s="202"/>
      <c r="T982" s="200"/>
      <c r="U982" s="203"/>
      <c r="V982" s="123"/>
      <c r="W982" s="123"/>
      <c r="X982" s="146"/>
      <c r="Y982" s="123"/>
      <c r="Z982" s="125"/>
      <c r="AA982" s="125"/>
      <c r="AB982" s="125"/>
      <c r="AC982" s="125"/>
      <c r="AD982" s="126"/>
      <c r="AE982" s="149" t="str">
        <f>IFERROR(VLOOKUP(Z982,LISTS!$AL$2:$AM$1000,2,FALSE()),"")</f>
        <v/>
      </c>
      <c r="AF982" s="151" t="str">
        <f>IFERROR(VLOOKUP(AA982,LISTS!$AO$2:$AP$1000,2,FALSE()),"")</f>
        <v/>
      </c>
      <c r="AG982" s="152" t="str">
        <f>IFERROR(VLOOKUP(AB982,LISTS!$AR$2:$AS$1000,2,FALSE()),"")</f>
        <v/>
      </c>
      <c r="AH982" s="154" t="str">
        <f>IFERROR(VLOOKUP(AC982,LISTS!$AU$2:$AV$1000,2,FALSE()),"")</f>
        <v/>
      </c>
      <c r="AI982" s="242"/>
      <c r="AJ982" s="190" t="str">
        <f t="shared" si="79"/>
        <v>⚠️</v>
      </c>
      <c r="AK982" s="157" t="str">
        <f t="shared" si="75"/>
        <v/>
      </c>
      <c r="AL982" s="160" t="str">
        <f t="shared" si="76"/>
        <v/>
      </c>
      <c r="AM982" s="210"/>
      <c r="AN982" s="209"/>
    </row>
    <row r="983" spans="1:40" ht="27.95" customHeight="1">
      <c r="A983" s="135"/>
      <c r="B983" s="139"/>
      <c r="C983" s="124"/>
      <c r="D983" s="141" t="str">
        <f>IF(AND(G983="",H983="",I983=""),"",IF(COUNTIFS(LISTS!$A$2:$A$67,G983,LISTS!$B$2:$B$67,H983,LISTS!$C$2:$C$67,I983)=0,"✗ هرم",IF(NOT(OR(Z983="ممتاز 100%",Z983="جيد 80%",Z983="مقبول 60%",Z983="خطر 40%",Z983="")),"✗ قائمة R",IF(NOT(OR(AA983="ممتاز 100%",AA983="جيد 85%",AA983="مقبول 70%",AA983="ضعيف 50%",AA983="")),"✗ قائمة S",IF(NOT(OR(AB983="مكتمل 100%",AB983="جزئي 60%",AB983="معلق 30%",AB983="مفتوح 0%",AB983="")),"✗ قائمة T",IF(NOT(OR(AC983="لا خصم 0",AC983="تأخير −5",AC983="عجز −10",AC983="جودة −15",AC983="امتثال −20",AC983="مخالفة −25",AC983="")),"✗ قائمة U",IF(AND(X983="لا",AC983&lt;&gt;"",AC983&lt;&gt;"لا خصم 0"),"✗ خصم",IF(AND(X983="نعم",AC983="لا خصم 0"),"✗ خصم",IF(AND(Z983="ممتاز 100%",AA983="ممتاز 100%",AB983&lt;&gt;"",AB983&lt;&gt;"مكتمل 100%"),"✗ إغلاق",IFERROR(IF(LEN(_xlfn.TEXTJOIN("، ",TRUE,IF(E983="","التاريخ",""),IF(F983="","الوقت",""),IF(G983="","المركز",""),IF(H983="","الدائرة",""),IF(I983="","القسم",""),IF(J983="","المسؤول",""),IF(K983="","نوع النشاط",""),IF(L983="","المشروع",""),IF(N983="","الممول",""),IF(V983="","الموضوع",""),IF(W983="","الملاحظة",""),IF(X983="","مشكلة",""),IF(Y983="","الإجراء",""),IF(Z983="","التنفيذ",""),IF(AA983="","الجودة",""),IF(AB983="","الإغلاق",""),IF(AC983="","الخصم",""),IF(AND(COUNTA($O983:$U983)&gt;0,O983=""),"مدير المشروع",""),IF(AND(COUNTA($O983:$U983)&gt;0,P983=""),"المستفيدين",""),IF(AND(COUNTA($O983:$U983)&gt;0,Q983=""),"المناطق",""),IF(AND(COUNTA($O983:$U983)&gt;0,R983=""),"الميزانية",""),IF(AND(COUNTA($O983:$U983)&gt;0,S983=""),"نسبة الجاهزية",""),IF(AND(COUNTA($O983:$U983)&gt;0,T983=""),"حالة الجاهزية",""),IF(AND(COUNTA($O983:$U983)&gt;0,U983=""),"التوصيات","")))&gt;0,"✗ ناقص: "&amp;_xlfn.TEXTJOIN("، ",TRUE,IF(E983="","التاريخ",""),IF(F983="","الوقت",""),IF(G983="","المركز",""),IF(H983="","الدائرة",""),IF(I983="","القسم",""),IF(J983="","المسؤول",""),IF(K983="","نوع النشاط",""),IF(L983="","المشروع",""),IF(N983="","الممول",""),IF(V983="","الموضوع",""),IF(W983="","الملاحظة",""),IF(X983="","مشكلة",""),IF(Y983="","الإجراء",""),IF(Z983="","التنفيذ",""),IF(AA983="","الجودة",""),IF(AB983="","الإغلاق",""),IF(AC983="","الخصم",""),IF(AND(COUNTA($O983:$U983)&gt;0,O983=""),"مدير المشروع",""),IF(AND(COUNTA($O983:$U983)&gt;0,P983=""),"المستفيدين",""),IF(AND(COUNTA($O983:$U983)&gt;0,Q983=""),"المناطق",""),IF(AND(COUNTA($O983:$U983)&gt;0,R983=""),"الميزانية",""),IF(AND(COUNTA($O983:$U983)&gt;0,S983=""),"نسبة الجاهزية",""),IF(AND(COUNTA($O983:$U983)&gt;0,T983=""),"حالة الجاهزية",""),IF(AND(COUNTA($O983:$U983)&gt;0,U983=""),"التوصيات","")),"✓"),"✓"))))))))))</f>
        <v/>
      </c>
      <c r="E983" s="240"/>
      <c r="F983" s="241"/>
      <c r="G983" s="125"/>
      <c r="H983" s="123"/>
      <c r="I983" s="123"/>
      <c r="J983" s="143"/>
      <c r="K983" s="125"/>
      <c r="L983" s="125"/>
      <c r="M983" s="125"/>
      <c r="N983" s="123"/>
      <c r="O983" s="200"/>
      <c r="P983" s="201"/>
      <c r="Q983" s="201"/>
      <c r="R983" s="237"/>
      <c r="S983" s="202"/>
      <c r="T983" s="200"/>
      <c r="U983" s="203"/>
      <c r="V983" s="123"/>
      <c r="W983" s="123"/>
      <c r="X983" s="146"/>
      <c r="Y983" s="123"/>
      <c r="Z983" s="125"/>
      <c r="AA983" s="125"/>
      <c r="AB983" s="125"/>
      <c r="AC983" s="125"/>
      <c r="AD983" s="126"/>
      <c r="AE983" s="149" t="str">
        <f>IFERROR(VLOOKUP(Z983,LISTS!$AL$2:$AM$1000,2,FALSE()),"")</f>
        <v/>
      </c>
      <c r="AF983" s="151" t="str">
        <f>IFERROR(VLOOKUP(AA983,LISTS!$AO$2:$AP$1000,2,FALSE()),"")</f>
        <v/>
      </c>
      <c r="AG983" s="152" t="str">
        <f>IFERROR(VLOOKUP(AB983,LISTS!$AR$2:$AS$1000,2,FALSE()),"")</f>
        <v/>
      </c>
      <c r="AH983" s="154" t="str">
        <f>IFERROR(VLOOKUP(AC983,LISTS!$AU$2:$AV$1000,2,FALSE()),"")</f>
        <v/>
      </c>
      <c r="AI983" s="242"/>
      <c r="AJ983" s="190" t="str">
        <f t="shared" si="79"/>
        <v>⚠️</v>
      </c>
      <c r="AK983" s="157" t="str">
        <f t="shared" si="75"/>
        <v/>
      </c>
      <c r="AL983" s="160" t="str">
        <f t="shared" si="76"/>
        <v/>
      </c>
      <c r="AM983" s="210"/>
      <c r="AN983" s="209"/>
    </row>
    <row r="984" spans="1:40" ht="27.95" customHeight="1">
      <c r="A984" s="135"/>
      <c r="B984" s="139"/>
      <c r="C984" s="124"/>
      <c r="D984" s="141" t="str">
        <f>IF(AND(G984="",H984="",I984=""),"",IF(COUNTIFS(LISTS!$A$2:$A$67,G984,LISTS!$B$2:$B$67,H984,LISTS!$C$2:$C$67,I984)=0,"✗ هرم",IF(NOT(OR(Z984="ممتاز 100%",Z984="جيد 80%",Z984="مقبول 60%",Z984="خطر 40%",Z984="")),"✗ قائمة R",IF(NOT(OR(AA984="ممتاز 100%",AA984="جيد 85%",AA984="مقبول 70%",AA984="ضعيف 50%",AA984="")),"✗ قائمة S",IF(NOT(OR(AB984="مكتمل 100%",AB984="جزئي 60%",AB984="معلق 30%",AB984="مفتوح 0%",AB984="")),"✗ قائمة T",IF(NOT(OR(AC984="لا خصم 0",AC984="تأخير −5",AC984="عجز −10",AC984="جودة −15",AC984="امتثال −20",AC984="مخالفة −25",AC984="")),"✗ قائمة U",IF(AND(X984="لا",AC984&lt;&gt;"",AC984&lt;&gt;"لا خصم 0"),"✗ خصم",IF(AND(X984="نعم",AC984="لا خصم 0"),"✗ خصم",IF(AND(Z984="ممتاز 100%",AA984="ممتاز 100%",AB984&lt;&gt;"",AB984&lt;&gt;"مكتمل 100%"),"✗ إغلاق",IFERROR(IF(LEN(_xlfn.TEXTJOIN("، ",TRUE,IF(E984="","التاريخ",""),IF(F984="","الوقت",""),IF(G984="","المركز",""),IF(H984="","الدائرة",""),IF(I984="","القسم",""),IF(J984="","المسؤول",""),IF(K984="","نوع النشاط",""),IF(L984="","المشروع",""),IF(N984="","الممول",""),IF(V984="","الموضوع",""),IF(W984="","الملاحظة",""),IF(X984="","مشكلة",""),IF(Y984="","الإجراء",""),IF(Z984="","التنفيذ",""),IF(AA984="","الجودة",""),IF(AB984="","الإغلاق",""),IF(AC984="","الخصم",""),IF(AND(COUNTA($O984:$U984)&gt;0,O984=""),"مدير المشروع",""),IF(AND(COUNTA($O984:$U984)&gt;0,P984=""),"المستفيدين",""),IF(AND(COUNTA($O984:$U984)&gt;0,Q984=""),"المناطق",""),IF(AND(COUNTA($O984:$U984)&gt;0,R984=""),"الميزانية",""),IF(AND(COUNTA($O984:$U984)&gt;0,S984=""),"نسبة الجاهزية",""),IF(AND(COUNTA($O984:$U984)&gt;0,T984=""),"حالة الجاهزية",""),IF(AND(COUNTA($O984:$U984)&gt;0,U984=""),"التوصيات","")))&gt;0,"✗ ناقص: "&amp;_xlfn.TEXTJOIN("، ",TRUE,IF(E984="","التاريخ",""),IF(F984="","الوقت",""),IF(G984="","المركز",""),IF(H984="","الدائرة",""),IF(I984="","القسم",""),IF(J984="","المسؤول",""),IF(K984="","نوع النشاط",""),IF(L984="","المشروع",""),IF(N984="","الممول",""),IF(V984="","الموضوع",""),IF(W984="","الملاحظة",""),IF(X984="","مشكلة",""),IF(Y984="","الإجراء",""),IF(Z984="","التنفيذ",""),IF(AA984="","الجودة",""),IF(AB984="","الإغلاق",""),IF(AC984="","الخصم",""),IF(AND(COUNTA($O984:$U984)&gt;0,O984=""),"مدير المشروع",""),IF(AND(COUNTA($O984:$U984)&gt;0,P984=""),"المستفيدين",""),IF(AND(COUNTA($O984:$U984)&gt;0,Q984=""),"المناطق",""),IF(AND(COUNTA($O984:$U984)&gt;0,R984=""),"الميزانية",""),IF(AND(COUNTA($O984:$U984)&gt;0,S984=""),"نسبة الجاهزية",""),IF(AND(COUNTA($O984:$U984)&gt;0,T984=""),"حالة الجاهزية",""),IF(AND(COUNTA($O984:$U984)&gt;0,U984=""),"التوصيات","")),"✓"),"✓"))))))))))</f>
        <v/>
      </c>
      <c r="E984" s="240"/>
      <c r="F984" s="241"/>
      <c r="G984" s="125"/>
      <c r="H984" s="123"/>
      <c r="I984" s="123"/>
      <c r="J984" s="143"/>
      <c r="K984" s="125"/>
      <c r="L984" s="125"/>
      <c r="M984" s="125"/>
      <c r="N984" s="123"/>
      <c r="O984" s="200"/>
      <c r="P984" s="201"/>
      <c r="Q984" s="201"/>
      <c r="R984" s="237"/>
      <c r="S984" s="202"/>
      <c r="T984" s="200"/>
      <c r="U984" s="203"/>
      <c r="V984" s="123"/>
      <c r="W984" s="123"/>
      <c r="X984" s="146"/>
      <c r="Y984" s="123"/>
      <c r="Z984" s="125"/>
      <c r="AA984" s="125"/>
      <c r="AB984" s="125"/>
      <c r="AC984" s="125"/>
      <c r="AD984" s="126"/>
      <c r="AE984" s="149" t="str">
        <f>IFERROR(VLOOKUP(Z984,LISTS!$AL$2:$AM$1000,2,FALSE()),"")</f>
        <v/>
      </c>
      <c r="AF984" s="151" t="str">
        <f>IFERROR(VLOOKUP(AA984,LISTS!$AO$2:$AP$1000,2,FALSE()),"")</f>
        <v/>
      </c>
      <c r="AG984" s="152" t="str">
        <f>IFERROR(VLOOKUP(AB984,LISTS!$AR$2:$AS$1000,2,FALSE()),"")</f>
        <v/>
      </c>
      <c r="AH984" s="154" t="str">
        <f>IFERROR(VLOOKUP(AC984,LISTS!$AU$2:$AV$1000,2,FALSE()),"")</f>
        <v/>
      </c>
      <c r="AI984" s="242"/>
      <c r="AJ984" s="190" t="str">
        <f t="shared" si="79"/>
        <v>⚠️</v>
      </c>
      <c r="AK984" s="157" t="str">
        <f t="shared" si="75"/>
        <v/>
      </c>
      <c r="AL984" s="160" t="str">
        <f t="shared" si="76"/>
        <v/>
      </c>
      <c r="AM984" s="210"/>
      <c r="AN984" s="209"/>
    </row>
    <row r="985" spans="1:40" ht="27.95" customHeight="1">
      <c r="A985" s="135"/>
      <c r="B985" s="139"/>
      <c r="C985" s="124"/>
      <c r="D985" s="141" t="str">
        <f>IF(AND(G985="",H985="",I985=""),"",IF(COUNTIFS(LISTS!$A$2:$A$67,G985,LISTS!$B$2:$B$67,H985,LISTS!$C$2:$C$67,I985)=0,"✗ هرم",IF(NOT(OR(Z985="ممتاز 100%",Z985="جيد 80%",Z985="مقبول 60%",Z985="خطر 40%",Z985="")),"✗ قائمة R",IF(NOT(OR(AA985="ممتاز 100%",AA985="جيد 85%",AA985="مقبول 70%",AA985="ضعيف 50%",AA985="")),"✗ قائمة S",IF(NOT(OR(AB985="مكتمل 100%",AB985="جزئي 60%",AB985="معلق 30%",AB985="مفتوح 0%",AB985="")),"✗ قائمة T",IF(NOT(OR(AC985="لا خصم 0",AC985="تأخير −5",AC985="عجز −10",AC985="جودة −15",AC985="امتثال −20",AC985="مخالفة −25",AC985="")),"✗ قائمة U",IF(AND(X985="لا",AC985&lt;&gt;"",AC985&lt;&gt;"لا خصم 0"),"✗ خصم",IF(AND(X985="نعم",AC985="لا خصم 0"),"✗ خصم",IF(AND(Z985="ممتاز 100%",AA985="ممتاز 100%",AB985&lt;&gt;"",AB985&lt;&gt;"مكتمل 100%"),"✗ إغلاق",IFERROR(IF(LEN(_xlfn.TEXTJOIN("، ",TRUE,IF(E985="","التاريخ",""),IF(F985="","الوقت",""),IF(G985="","المركز",""),IF(H985="","الدائرة",""),IF(I985="","القسم",""),IF(J985="","المسؤول",""),IF(K985="","نوع النشاط",""),IF(L985="","المشروع",""),IF(N985="","الممول",""),IF(V985="","الموضوع",""),IF(W985="","الملاحظة",""),IF(X985="","مشكلة",""),IF(Y985="","الإجراء",""),IF(Z985="","التنفيذ",""),IF(AA985="","الجودة",""),IF(AB985="","الإغلاق",""),IF(AC985="","الخصم",""),IF(AND(COUNTA($O985:$U985)&gt;0,O985=""),"مدير المشروع",""),IF(AND(COUNTA($O985:$U985)&gt;0,P985=""),"المستفيدين",""),IF(AND(COUNTA($O985:$U985)&gt;0,Q985=""),"المناطق",""),IF(AND(COUNTA($O985:$U985)&gt;0,R985=""),"الميزانية",""),IF(AND(COUNTA($O985:$U985)&gt;0,S985=""),"نسبة الجاهزية",""),IF(AND(COUNTA($O985:$U985)&gt;0,T985=""),"حالة الجاهزية",""),IF(AND(COUNTA($O985:$U985)&gt;0,U985=""),"التوصيات","")))&gt;0,"✗ ناقص: "&amp;_xlfn.TEXTJOIN("، ",TRUE,IF(E985="","التاريخ",""),IF(F985="","الوقت",""),IF(G985="","المركز",""),IF(H985="","الدائرة",""),IF(I985="","القسم",""),IF(J985="","المسؤول",""),IF(K985="","نوع النشاط",""),IF(L985="","المشروع",""),IF(N985="","الممول",""),IF(V985="","الموضوع",""),IF(W985="","الملاحظة",""),IF(X985="","مشكلة",""),IF(Y985="","الإجراء",""),IF(Z985="","التنفيذ",""),IF(AA985="","الجودة",""),IF(AB985="","الإغلاق",""),IF(AC985="","الخصم",""),IF(AND(COUNTA($O985:$U985)&gt;0,O985=""),"مدير المشروع",""),IF(AND(COUNTA($O985:$U985)&gt;0,P985=""),"المستفيدين",""),IF(AND(COUNTA($O985:$U985)&gt;0,Q985=""),"المناطق",""),IF(AND(COUNTA($O985:$U985)&gt;0,R985=""),"الميزانية",""),IF(AND(COUNTA($O985:$U985)&gt;0,S985=""),"نسبة الجاهزية",""),IF(AND(COUNTA($O985:$U985)&gt;0,T985=""),"حالة الجاهزية",""),IF(AND(COUNTA($O985:$U985)&gt;0,U985=""),"التوصيات","")),"✓"),"✓"))))))))))</f>
        <v/>
      </c>
      <c r="E985" s="240"/>
      <c r="F985" s="241"/>
      <c r="G985" s="125"/>
      <c r="H985" s="123"/>
      <c r="I985" s="123"/>
      <c r="J985" s="143"/>
      <c r="K985" s="125"/>
      <c r="L985" s="125"/>
      <c r="M985" s="125"/>
      <c r="N985" s="123"/>
      <c r="O985" s="200"/>
      <c r="P985" s="201"/>
      <c r="Q985" s="201"/>
      <c r="R985" s="237"/>
      <c r="S985" s="202"/>
      <c r="T985" s="200"/>
      <c r="U985" s="203"/>
      <c r="V985" s="123"/>
      <c r="W985" s="123"/>
      <c r="X985" s="146"/>
      <c r="Y985" s="123"/>
      <c r="Z985" s="125"/>
      <c r="AA985" s="125"/>
      <c r="AB985" s="125"/>
      <c r="AC985" s="125"/>
      <c r="AD985" s="126"/>
      <c r="AE985" s="149" t="str">
        <f>IFERROR(VLOOKUP(Z985,LISTS!$AL$2:$AM$1000,2,FALSE()),"")</f>
        <v/>
      </c>
      <c r="AF985" s="151" t="str">
        <f>IFERROR(VLOOKUP(AA985,LISTS!$AO$2:$AP$1000,2,FALSE()),"")</f>
        <v/>
      </c>
      <c r="AG985" s="152" t="str">
        <f>IFERROR(VLOOKUP(AB985,LISTS!$AR$2:$AS$1000,2,FALSE()),"")</f>
        <v/>
      </c>
      <c r="AH985" s="154" t="str">
        <f>IFERROR(VLOOKUP(AC985,LISTS!$AU$2:$AV$1000,2,FALSE()),"")</f>
        <v/>
      </c>
      <c r="AI985" s="242"/>
      <c r="AJ985" s="190" t="str">
        <f t="shared" si="79"/>
        <v>⚠️</v>
      </c>
      <c r="AK985" s="157" t="str">
        <f t="shared" si="75"/>
        <v/>
      </c>
      <c r="AL985" s="160" t="str">
        <f t="shared" si="76"/>
        <v/>
      </c>
      <c r="AM985" s="210"/>
      <c r="AN985" s="209"/>
    </row>
    <row r="986" spans="1:40" ht="27.95" customHeight="1">
      <c r="A986" s="135"/>
      <c r="B986" s="139"/>
      <c r="C986" s="124"/>
      <c r="D986" s="141" t="str">
        <f>IF(AND(G986="",H986="",I986=""),"",IF(COUNTIFS(LISTS!$A$2:$A$67,G986,LISTS!$B$2:$B$67,H986,LISTS!$C$2:$C$67,I986)=0,"✗ هرم",IF(NOT(OR(Z986="ممتاز 100%",Z986="جيد 80%",Z986="مقبول 60%",Z986="خطر 40%",Z986="")),"✗ قائمة R",IF(NOT(OR(AA986="ممتاز 100%",AA986="جيد 85%",AA986="مقبول 70%",AA986="ضعيف 50%",AA986="")),"✗ قائمة S",IF(NOT(OR(AB986="مكتمل 100%",AB986="جزئي 60%",AB986="معلق 30%",AB986="مفتوح 0%",AB986="")),"✗ قائمة T",IF(NOT(OR(AC986="لا خصم 0",AC986="تأخير −5",AC986="عجز −10",AC986="جودة −15",AC986="امتثال −20",AC986="مخالفة −25",AC986="")),"✗ قائمة U",IF(AND(X986="لا",AC986&lt;&gt;"",AC986&lt;&gt;"لا خصم 0"),"✗ خصم",IF(AND(X986="نعم",AC986="لا خصم 0"),"✗ خصم",IF(AND(Z986="ممتاز 100%",AA986="ممتاز 100%",AB986&lt;&gt;"",AB986&lt;&gt;"مكتمل 100%"),"✗ إغلاق",IFERROR(IF(LEN(_xlfn.TEXTJOIN("، ",TRUE,IF(E986="","التاريخ",""),IF(F986="","الوقت",""),IF(G986="","المركز",""),IF(H986="","الدائرة",""),IF(I986="","القسم",""),IF(J986="","المسؤول",""),IF(K986="","نوع النشاط",""),IF(L986="","المشروع",""),IF(N986="","الممول",""),IF(V986="","الموضوع",""),IF(W986="","الملاحظة",""),IF(X986="","مشكلة",""),IF(Y986="","الإجراء",""),IF(Z986="","التنفيذ",""),IF(AA986="","الجودة",""),IF(AB986="","الإغلاق",""),IF(AC986="","الخصم",""),IF(AND(COUNTA($O986:$U986)&gt;0,O986=""),"مدير المشروع",""),IF(AND(COUNTA($O986:$U986)&gt;0,P986=""),"المستفيدين",""),IF(AND(COUNTA($O986:$U986)&gt;0,Q986=""),"المناطق",""),IF(AND(COUNTA($O986:$U986)&gt;0,R986=""),"الميزانية",""),IF(AND(COUNTA($O986:$U986)&gt;0,S986=""),"نسبة الجاهزية",""),IF(AND(COUNTA($O986:$U986)&gt;0,T986=""),"حالة الجاهزية",""),IF(AND(COUNTA($O986:$U986)&gt;0,U986=""),"التوصيات","")))&gt;0,"✗ ناقص: "&amp;_xlfn.TEXTJOIN("، ",TRUE,IF(E986="","التاريخ",""),IF(F986="","الوقت",""),IF(G986="","المركز",""),IF(H986="","الدائرة",""),IF(I986="","القسم",""),IF(J986="","المسؤول",""),IF(K986="","نوع النشاط",""),IF(L986="","المشروع",""),IF(N986="","الممول",""),IF(V986="","الموضوع",""),IF(W986="","الملاحظة",""),IF(X986="","مشكلة",""),IF(Y986="","الإجراء",""),IF(Z986="","التنفيذ",""),IF(AA986="","الجودة",""),IF(AB986="","الإغلاق",""),IF(AC986="","الخصم",""),IF(AND(COUNTA($O986:$U986)&gt;0,O986=""),"مدير المشروع",""),IF(AND(COUNTA($O986:$U986)&gt;0,P986=""),"المستفيدين",""),IF(AND(COUNTA($O986:$U986)&gt;0,Q986=""),"المناطق",""),IF(AND(COUNTA($O986:$U986)&gt;0,R986=""),"الميزانية",""),IF(AND(COUNTA($O986:$U986)&gt;0,S986=""),"نسبة الجاهزية",""),IF(AND(COUNTA($O986:$U986)&gt;0,T986=""),"حالة الجاهزية",""),IF(AND(COUNTA($O986:$U986)&gt;0,U986=""),"التوصيات","")),"✓"),"✓"))))))))))</f>
        <v/>
      </c>
      <c r="E986" s="240"/>
      <c r="F986" s="241"/>
      <c r="G986" s="125"/>
      <c r="H986" s="123"/>
      <c r="I986" s="123"/>
      <c r="J986" s="143"/>
      <c r="K986" s="125"/>
      <c r="L986" s="125"/>
      <c r="M986" s="125"/>
      <c r="N986" s="123"/>
      <c r="O986" s="200"/>
      <c r="P986" s="201"/>
      <c r="Q986" s="201"/>
      <c r="R986" s="237"/>
      <c r="S986" s="202"/>
      <c r="T986" s="200"/>
      <c r="U986" s="203"/>
      <c r="V986" s="123"/>
      <c r="W986" s="123"/>
      <c r="X986" s="146"/>
      <c r="Y986" s="123"/>
      <c r="Z986" s="125"/>
      <c r="AA986" s="125"/>
      <c r="AB986" s="125"/>
      <c r="AC986" s="125"/>
      <c r="AD986" s="126"/>
      <c r="AE986" s="149" t="str">
        <f>IFERROR(VLOOKUP(Z986,LISTS!$AL$2:$AM$1000,2,FALSE()),"")</f>
        <v/>
      </c>
      <c r="AF986" s="151" t="str">
        <f>IFERROR(VLOOKUP(AA986,LISTS!$AO$2:$AP$1000,2,FALSE()),"")</f>
        <v/>
      </c>
      <c r="AG986" s="152" t="str">
        <f>IFERROR(VLOOKUP(AB986,LISTS!$AR$2:$AS$1000,2,FALSE()),"")</f>
        <v/>
      </c>
      <c r="AH986" s="154" t="str">
        <f>IFERROR(VLOOKUP(AC986,LISTS!$AU$2:$AV$1000,2,FALSE()),"")</f>
        <v/>
      </c>
      <c r="AI986" s="242"/>
      <c r="AJ986" s="190" t="str">
        <f t="shared" si="79"/>
        <v>⚠️</v>
      </c>
      <c r="AK986" s="157" t="str">
        <f t="shared" si="75"/>
        <v/>
      </c>
      <c r="AL986" s="160" t="str">
        <f t="shared" si="76"/>
        <v/>
      </c>
      <c r="AM986" s="210"/>
      <c r="AN986" s="209"/>
    </row>
    <row r="987" spans="1:40" ht="27.95" customHeight="1">
      <c r="A987" s="135"/>
      <c r="B987" s="139"/>
      <c r="C987" s="124"/>
      <c r="D987" s="141" t="str">
        <f>IF(AND(G987="",H987="",I987=""),"",IF(COUNTIFS(LISTS!$A$2:$A$67,G987,LISTS!$B$2:$B$67,H987,LISTS!$C$2:$C$67,I987)=0,"✗ هرم",IF(NOT(OR(Z987="ممتاز 100%",Z987="جيد 80%",Z987="مقبول 60%",Z987="خطر 40%",Z987="")),"✗ قائمة R",IF(NOT(OR(AA987="ممتاز 100%",AA987="جيد 85%",AA987="مقبول 70%",AA987="ضعيف 50%",AA987="")),"✗ قائمة S",IF(NOT(OR(AB987="مكتمل 100%",AB987="جزئي 60%",AB987="معلق 30%",AB987="مفتوح 0%",AB987="")),"✗ قائمة T",IF(NOT(OR(AC987="لا خصم 0",AC987="تأخير −5",AC987="عجز −10",AC987="جودة −15",AC987="امتثال −20",AC987="مخالفة −25",AC987="")),"✗ قائمة U",IF(AND(X987="لا",AC987&lt;&gt;"",AC987&lt;&gt;"لا خصم 0"),"✗ خصم",IF(AND(X987="نعم",AC987="لا خصم 0"),"✗ خصم",IF(AND(Z987="ممتاز 100%",AA987="ممتاز 100%",AB987&lt;&gt;"",AB987&lt;&gt;"مكتمل 100%"),"✗ إغلاق",IFERROR(IF(LEN(_xlfn.TEXTJOIN("، ",TRUE,IF(E987="","التاريخ",""),IF(F987="","الوقت",""),IF(G987="","المركز",""),IF(H987="","الدائرة",""),IF(I987="","القسم",""),IF(J987="","المسؤول",""),IF(K987="","نوع النشاط",""),IF(L987="","المشروع",""),IF(N987="","الممول",""),IF(V987="","الموضوع",""),IF(W987="","الملاحظة",""),IF(X987="","مشكلة",""),IF(Y987="","الإجراء",""),IF(Z987="","التنفيذ",""),IF(AA987="","الجودة",""),IF(AB987="","الإغلاق",""),IF(AC987="","الخصم",""),IF(AND(COUNTA($O987:$U987)&gt;0,O987=""),"مدير المشروع",""),IF(AND(COUNTA($O987:$U987)&gt;0,P987=""),"المستفيدين",""),IF(AND(COUNTA($O987:$U987)&gt;0,Q987=""),"المناطق",""),IF(AND(COUNTA($O987:$U987)&gt;0,R987=""),"الميزانية",""),IF(AND(COUNTA($O987:$U987)&gt;0,S987=""),"نسبة الجاهزية",""),IF(AND(COUNTA($O987:$U987)&gt;0,T987=""),"حالة الجاهزية",""),IF(AND(COUNTA($O987:$U987)&gt;0,U987=""),"التوصيات","")))&gt;0,"✗ ناقص: "&amp;_xlfn.TEXTJOIN("، ",TRUE,IF(E987="","التاريخ",""),IF(F987="","الوقت",""),IF(G987="","المركز",""),IF(H987="","الدائرة",""),IF(I987="","القسم",""),IF(J987="","المسؤول",""),IF(K987="","نوع النشاط",""),IF(L987="","المشروع",""),IF(N987="","الممول",""),IF(V987="","الموضوع",""),IF(W987="","الملاحظة",""),IF(X987="","مشكلة",""),IF(Y987="","الإجراء",""),IF(Z987="","التنفيذ",""),IF(AA987="","الجودة",""),IF(AB987="","الإغلاق",""),IF(AC987="","الخصم",""),IF(AND(COUNTA($O987:$U987)&gt;0,O987=""),"مدير المشروع",""),IF(AND(COUNTA($O987:$U987)&gt;0,P987=""),"المستفيدين",""),IF(AND(COUNTA($O987:$U987)&gt;0,Q987=""),"المناطق",""),IF(AND(COUNTA($O987:$U987)&gt;0,R987=""),"الميزانية",""),IF(AND(COUNTA($O987:$U987)&gt;0,S987=""),"نسبة الجاهزية",""),IF(AND(COUNTA($O987:$U987)&gt;0,T987=""),"حالة الجاهزية",""),IF(AND(COUNTA($O987:$U987)&gt;0,U987=""),"التوصيات","")),"✓"),"✓"))))))))))</f>
        <v/>
      </c>
      <c r="E987" s="240"/>
      <c r="F987" s="241"/>
      <c r="G987" s="125"/>
      <c r="H987" s="123"/>
      <c r="I987" s="123"/>
      <c r="J987" s="143"/>
      <c r="K987" s="125"/>
      <c r="L987" s="125"/>
      <c r="M987" s="125"/>
      <c r="N987" s="123"/>
      <c r="O987" s="200"/>
      <c r="P987" s="201"/>
      <c r="Q987" s="201"/>
      <c r="R987" s="237"/>
      <c r="S987" s="202"/>
      <c r="T987" s="200"/>
      <c r="U987" s="203"/>
      <c r="V987" s="123"/>
      <c r="W987" s="123"/>
      <c r="X987" s="146"/>
      <c r="Y987" s="123"/>
      <c r="Z987" s="125"/>
      <c r="AA987" s="125"/>
      <c r="AB987" s="125"/>
      <c r="AC987" s="125"/>
      <c r="AD987" s="126"/>
      <c r="AE987" s="149" t="str">
        <f>IFERROR(VLOOKUP(Z987,LISTS!$AL$2:$AM$1000,2,FALSE()),"")</f>
        <v/>
      </c>
      <c r="AF987" s="151" t="str">
        <f>IFERROR(VLOOKUP(AA987,LISTS!$AO$2:$AP$1000,2,FALSE()),"")</f>
        <v/>
      </c>
      <c r="AG987" s="152" t="str">
        <f>IFERROR(VLOOKUP(AB987,LISTS!$AR$2:$AS$1000,2,FALSE()),"")</f>
        <v/>
      </c>
      <c r="AH987" s="154" t="str">
        <f>IFERROR(VLOOKUP(AC987,LISTS!$AU$2:$AV$1000,2,FALSE()),"")</f>
        <v/>
      </c>
      <c r="AI987" s="242"/>
      <c r="AJ987" s="190" t="str">
        <f t="shared" si="79"/>
        <v>⚠️</v>
      </c>
      <c r="AK987" s="157" t="str">
        <f t="shared" si="75"/>
        <v/>
      </c>
      <c r="AL987" s="160" t="str">
        <f t="shared" si="76"/>
        <v/>
      </c>
      <c r="AM987" s="210"/>
      <c r="AN987" s="209"/>
    </row>
    <row r="988" spans="1:40" ht="27.95" customHeight="1">
      <c r="A988" s="135"/>
      <c r="B988" s="139"/>
      <c r="C988" s="124"/>
      <c r="D988" s="141" t="str">
        <f>IF(AND(G988="",H988="",I988=""),"",IF(COUNTIFS(LISTS!$A$2:$A$67,G988,LISTS!$B$2:$B$67,H988,LISTS!$C$2:$C$67,I988)=0,"✗ هرم",IF(NOT(OR(Z988="ممتاز 100%",Z988="جيد 80%",Z988="مقبول 60%",Z988="خطر 40%",Z988="")),"✗ قائمة R",IF(NOT(OR(AA988="ممتاز 100%",AA988="جيد 85%",AA988="مقبول 70%",AA988="ضعيف 50%",AA988="")),"✗ قائمة S",IF(NOT(OR(AB988="مكتمل 100%",AB988="جزئي 60%",AB988="معلق 30%",AB988="مفتوح 0%",AB988="")),"✗ قائمة T",IF(NOT(OR(AC988="لا خصم 0",AC988="تأخير −5",AC988="عجز −10",AC988="جودة −15",AC988="امتثال −20",AC988="مخالفة −25",AC988="")),"✗ قائمة U",IF(AND(X988="لا",AC988&lt;&gt;"",AC988&lt;&gt;"لا خصم 0"),"✗ خصم",IF(AND(X988="نعم",AC988="لا خصم 0"),"✗ خصم",IF(AND(Z988="ممتاز 100%",AA988="ممتاز 100%",AB988&lt;&gt;"",AB988&lt;&gt;"مكتمل 100%"),"✗ إغلاق",IFERROR(IF(LEN(_xlfn.TEXTJOIN("، ",TRUE,IF(E988="","التاريخ",""),IF(F988="","الوقت",""),IF(G988="","المركز",""),IF(H988="","الدائرة",""),IF(I988="","القسم",""),IF(J988="","المسؤول",""),IF(K988="","نوع النشاط",""),IF(L988="","المشروع",""),IF(N988="","الممول",""),IF(V988="","الموضوع",""),IF(W988="","الملاحظة",""),IF(X988="","مشكلة",""),IF(Y988="","الإجراء",""),IF(Z988="","التنفيذ",""),IF(AA988="","الجودة",""),IF(AB988="","الإغلاق",""),IF(AC988="","الخصم",""),IF(AND(COUNTA($O988:$U988)&gt;0,O988=""),"مدير المشروع",""),IF(AND(COUNTA($O988:$U988)&gt;0,P988=""),"المستفيدين",""),IF(AND(COUNTA($O988:$U988)&gt;0,Q988=""),"المناطق",""),IF(AND(COUNTA($O988:$U988)&gt;0,R988=""),"الميزانية",""),IF(AND(COUNTA($O988:$U988)&gt;0,S988=""),"نسبة الجاهزية",""),IF(AND(COUNTA($O988:$U988)&gt;0,T988=""),"حالة الجاهزية",""),IF(AND(COUNTA($O988:$U988)&gt;0,U988=""),"التوصيات","")))&gt;0,"✗ ناقص: "&amp;_xlfn.TEXTJOIN("، ",TRUE,IF(E988="","التاريخ",""),IF(F988="","الوقت",""),IF(G988="","المركز",""),IF(H988="","الدائرة",""),IF(I988="","القسم",""),IF(J988="","المسؤول",""),IF(K988="","نوع النشاط",""),IF(L988="","المشروع",""),IF(N988="","الممول",""),IF(V988="","الموضوع",""),IF(W988="","الملاحظة",""),IF(X988="","مشكلة",""),IF(Y988="","الإجراء",""),IF(Z988="","التنفيذ",""),IF(AA988="","الجودة",""),IF(AB988="","الإغلاق",""),IF(AC988="","الخصم",""),IF(AND(COUNTA($O988:$U988)&gt;0,O988=""),"مدير المشروع",""),IF(AND(COUNTA($O988:$U988)&gt;0,P988=""),"المستفيدين",""),IF(AND(COUNTA($O988:$U988)&gt;0,Q988=""),"المناطق",""),IF(AND(COUNTA($O988:$U988)&gt;0,R988=""),"الميزانية",""),IF(AND(COUNTA($O988:$U988)&gt;0,S988=""),"نسبة الجاهزية",""),IF(AND(COUNTA($O988:$U988)&gt;0,T988=""),"حالة الجاهزية",""),IF(AND(COUNTA($O988:$U988)&gt;0,U988=""),"التوصيات","")),"✓"),"✓"))))))))))</f>
        <v/>
      </c>
      <c r="E988" s="240"/>
      <c r="F988" s="241"/>
      <c r="G988" s="125"/>
      <c r="H988" s="123"/>
      <c r="I988" s="123"/>
      <c r="J988" s="143"/>
      <c r="K988" s="125"/>
      <c r="L988" s="125"/>
      <c r="M988" s="125"/>
      <c r="N988" s="123"/>
      <c r="O988" s="200"/>
      <c r="P988" s="201"/>
      <c r="Q988" s="201"/>
      <c r="R988" s="237"/>
      <c r="S988" s="202"/>
      <c r="T988" s="200"/>
      <c r="U988" s="203"/>
      <c r="V988" s="123"/>
      <c r="W988" s="123"/>
      <c r="X988" s="146"/>
      <c r="Y988" s="123"/>
      <c r="Z988" s="125"/>
      <c r="AA988" s="125"/>
      <c r="AB988" s="125"/>
      <c r="AC988" s="125"/>
      <c r="AD988" s="126"/>
      <c r="AE988" s="149" t="str">
        <f>IFERROR(VLOOKUP(Z988,LISTS!$AL$2:$AM$1000,2,FALSE()),"")</f>
        <v/>
      </c>
      <c r="AF988" s="151" t="str">
        <f>IFERROR(VLOOKUP(AA988,LISTS!$AO$2:$AP$1000,2,FALSE()),"")</f>
        <v/>
      </c>
      <c r="AG988" s="152" t="str">
        <f>IFERROR(VLOOKUP(AB988,LISTS!$AR$2:$AS$1000,2,FALSE()),"")</f>
        <v/>
      </c>
      <c r="AH988" s="154" t="str">
        <f>IFERROR(VLOOKUP(AC988,LISTS!$AU$2:$AV$1000,2,FALSE()),"")</f>
        <v/>
      </c>
      <c r="AI988" s="242"/>
      <c r="AJ988" s="190" t="str">
        <f t="shared" si="79"/>
        <v>⚠️</v>
      </c>
      <c r="AK988" s="157" t="str">
        <f t="shared" si="75"/>
        <v/>
      </c>
      <c r="AL988" s="160" t="str">
        <f t="shared" si="76"/>
        <v/>
      </c>
      <c r="AM988" s="210"/>
      <c r="AN988" s="209"/>
    </row>
    <row r="989" spans="1:40" ht="27.95" customHeight="1">
      <c r="A989" s="135"/>
      <c r="B989" s="139"/>
      <c r="C989" s="124"/>
      <c r="D989" s="141" t="str">
        <f>IF(AND(G989="",H989="",I989=""),"",IF(COUNTIFS(LISTS!$A$2:$A$67,G989,LISTS!$B$2:$B$67,H989,LISTS!$C$2:$C$67,I989)=0,"✗ هرم",IF(NOT(OR(Z989="ممتاز 100%",Z989="جيد 80%",Z989="مقبول 60%",Z989="خطر 40%",Z989="")),"✗ قائمة R",IF(NOT(OR(AA989="ممتاز 100%",AA989="جيد 85%",AA989="مقبول 70%",AA989="ضعيف 50%",AA989="")),"✗ قائمة S",IF(NOT(OR(AB989="مكتمل 100%",AB989="جزئي 60%",AB989="معلق 30%",AB989="مفتوح 0%",AB989="")),"✗ قائمة T",IF(NOT(OR(AC989="لا خصم 0",AC989="تأخير −5",AC989="عجز −10",AC989="جودة −15",AC989="امتثال −20",AC989="مخالفة −25",AC989="")),"✗ قائمة U",IF(AND(X989="لا",AC989&lt;&gt;"",AC989&lt;&gt;"لا خصم 0"),"✗ خصم",IF(AND(X989="نعم",AC989="لا خصم 0"),"✗ خصم",IF(AND(Z989="ممتاز 100%",AA989="ممتاز 100%",AB989&lt;&gt;"",AB989&lt;&gt;"مكتمل 100%"),"✗ إغلاق",IFERROR(IF(LEN(_xlfn.TEXTJOIN("، ",TRUE,IF(E989="","التاريخ",""),IF(F989="","الوقت",""),IF(G989="","المركز",""),IF(H989="","الدائرة",""),IF(I989="","القسم",""),IF(J989="","المسؤول",""),IF(K989="","نوع النشاط",""),IF(L989="","المشروع",""),IF(N989="","الممول",""),IF(V989="","الموضوع",""),IF(W989="","الملاحظة",""),IF(X989="","مشكلة",""),IF(Y989="","الإجراء",""),IF(Z989="","التنفيذ",""),IF(AA989="","الجودة",""),IF(AB989="","الإغلاق",""),IF(AC989="","الخصم",""),IF(AND(COUNTA($O989:$U989)&gt;0,O989=""),"مدير المشروع",""),IF(AND(COUNTA($O989:$U989)&gt;0,P989=""),"المستفيدين",""),IF(AND(COUNTA($O989:$U989)&gt;0,Q989=""),"المناطق",""),IF(AND(COUNTA($O989:$U989)&gt;0,R989=""),"الميزانية",""),IF(AND(COUNTA($O989:$U989)&gt;0,S989=""),"نسبة الجاهزية",""),IF(AND(COUNTA($O989:$U989)&gt;0,T989=""),"حالة الجاهزية",""),IF(AND(COUNTA($O989:$U989)&gt;0,U989=""),"التوصيات","")))&gt;0,"✗ ناقص: "&amp;_xlfn.TEXTJOIN("، ",TRUE,IF(E989="","التاريخ",""),IF(F989="","الوقت",""),IF(G989="","المركز",""),IF(H989="","الدائرة",""),IF(I989="","القسم",""),IF(J989="","المسؤول",""),IF(K989="","نوع النشاط",""),IF(L989="","المشروع",""),IF(N989="","الممول",""),IF(V989="","الموضوع",""),IF(W989="","الملاحظة",""),IF(X989="","مشكلة",""),IF(Y989="","الإجراء",""),IF(Z989="","التنفيذ",""),IF(AA989="","الجودة",""),IF(AB989="","الإغلاق",""),IF(AC989="","الخصم",""),IF(AND(COUNTA($O989:$U989)&gt;0,O989=""),"مدير المشروع",""),IF(AND(COUNTA($O989:$U989)&gt;0,P989=""),"المستفيدين",""),IF(AND(COUNTA($O989:$U989)&gt;0,Q989=""),"المناطق",""),IF(AND(COUNTA($O989:$U989)&gt;0,R989=""),"الميزانية",""),IF(AND(COUNTA($O989:$U989)&gt;0,S989=""),"نسبة الجاهزية",""),IF(AND(COUNTA($O989:$U989)&gt;0,T989=""),"حالة الجاهزية",""),IF(AND(COUNTA($O989:$U989)&gt;0,U989=""),"التوصيات","")),"✓"),"✓"))))))))))</f>
        <v/>
      </c>
      <c r="E989" s="240"/>
      <c r="F989" s="241"/>
      <c r="G989" s="125"/>
      <c r="H989" s="123"/>
      <c r="I989" s="123"/>
      <c r="J989" s="143"/>
      <c r="K989" s="125"/>
      <c r="L989" s="125"/>
      <c r="M989" s="125"/>
      <c r="N989" s="123"/>
      <c r="O989" s="200"/>
      <c r="P989" s="201"/>
      <c r="Q989" s="201"/>
      <c r="R989" s="237"/>
      <c r="S989" s="202"/>
      <c r="T989" s="200"/>
      <c r="U989" s="203"/>
      <c r="V989" s="123"/>
      <c r="W989" s="123"/>
      <c r="X989" s="146"/>
      <c r="Y989" s="123"/>
      <c r="Z989" s="125"/>
      <c r="AA989" s="125"/>
      <c r="AB989" s="125"/>
      <c r="AC989" s="125"/>
      <c r="AD989" s="126"/>
      <c r="AE989" s="149" t="str">
        <f>IFERROR(VLOOKUP(Z989,LISTS!$AL$2:$AM$1000,2,FALSE()),"")</f>
        <v/>
      </c>
      <c r="AF989" s="151" t="str">
        <f>IFERROR(VLOOKUP(AA989,LISTS!$AO$2:$AP$1000,2,FALSE()),"")</f>
        <v/>
      </c>
      <c r="AG989" s="152" t="str">
        <f>IFERROR(VLOOKUP(AB989,LISTS!$AR$2:$AS$1000,2,FALSE()),"")</f>
        <v/>
      </c>
      <c r="AH989" s="154" t="str">
        <f>IFERROR(VLOOKUP(AC989,LISTS!$AU$2:$AV$1000,2,FALSE()),"")</f>
        <v/>
      </c>
      <c r="AI989" s="242"/>
      <c r="AJ989" s="190" t="str">
        <f t="shared" si="79"/>
        <v>⚠️</v>
      </c>
      <c r="AK989" s="157" t="str">
        <f t="shared" si="75"/>
        <v/>
      </c>
      <c r="AL989" s="160" t="str">
        <f t="shared" si="76"/>
        <v/>
      </c>
      <c r="AM989" s="210"/>
      <c r="AN989" s="209"/>
    </row>
    <row r="990" spans="1:40" ht="27.95" customHeight="1">
      <c r="A990" s="135"/>
      <c r="B990" s="139"/>
      <c r="C990" s="124"/>
      <c r="D990" s="141" t="str">
        <f>IF(AND(G990="",H990="",I990=""),"",IF(COUNTIFS(LISTS!$A$2:$A$67,G990,LISTS!$B$2:$B$67,H990,LISTS!$C$2:$C$67,I990)=0,"✗ هرم",IF(NOT(OR(Z990="ممتاز 100%",Z990="جيد 80%",Z990="مقبول 60%",Z990="خطر 40%",Z990="")),"✗ قائمة R",IF(NOT(OR(AA990="ممتاز 100%",AA990="جيد 85%",AA990="مقبول 70%",AA990="ضعيف 50%",AA990="")),"✗ قائمة S",IF(NOT(OR(AB990="مكتمل 100%",AB990="جزئي 60%",AB990="معلق 30%",AB990="مفتوح 0%",AB990="")),"✗ قائمة T",IF(NOT(OR(AC990="لا خصم 0",AC990="تأخير −5",AC990="عجز −10",AC990="جودة −15",AC990="امتثال −20",AC990="مخالفة −25",AC990="")),"✗ قائمة U",IF(AND(X990="لا",AC990&lt;&gt;"",AC990&lt;&gt;"لا خصم 0"),"✗ خصم",IF(AND(X990="نعم",AC990="لا خصم 0"),"✗ خصم",IF(AND(Z990="ممتاز 100%",AA990="ممتاز 100%",AB990&lt;&gt;"",AB990&lt;&gt;"مكتمل 100%"),"✗ إغلاق",IFERROR(IF(LEN(_xlfn.TEXTJOIN("، ",TRUE,IF(E990="","التاريخ",""),IF(F990="","الوقت",""),IF(G990="","المركز",""),IF(H990="","الدائرة",""),IF(I990="","القسم",""),IF(J990="","المسؤول",""),IF(K990="","نوع النشاط",""),IF(L990="","المشروع",""),IF(N990="","الممول",""),IF(V990="","الموضوع",""),IF(W990="","الملاحظة",""),IF(X990="","مشكلة",""),IF(Y990="","الإجراء",""),IF(Z990="","التنفيذ",""),IF(AA990="","الجودة",""),IF(AB990="","الإغلاق",""),IF(AC990="","الخصم",""),IF(AND(COUNTA($O990:$U990)&gt;0,O990=""),"مدير المشروع",""),IF(AND(COUNTA($O990:$U990)&gt;0,P990=""),"المستفيدين",""),IF(AND(COUNTA($O990:$U990)&gt;0,Q990=""),"المناطق",""),IF(AND(COUNTA($O990:$U990)&gt;0,R990=""),"الميزانية",""),IF(AND(COUNTA($O990:$U990)&gt;0,S990=""),"نسبة الجاهزية",""),IF(AND(COUNTA($O990:$U990)&gt;0,T990=""),"حالة الجاهزية",""),IF(AND(COUNTA($O990:$U990)&gt;0,U990=""),"التوصيات","")))&gt;0,"✗ ناقص: "&amp;_xlfn.TEXTJOIN("، ",TRUE,IF(E990="","التاريخ",""),IF(F990="","الوقت",""),IF(G990="","المركز",""),IF(H990="","الدائرة",""),IF(I990="","القسم",""),IF(J990="","المسؤول",""),IF(K990="","نوع النشاط",""),IF(L990="","المشروع",""),IF(N990="","الممول",""),IF(V990="","الموضوع",""),IF(W990="","الملاحظة",""),IF(X990="","مشكلة",""),IF(Y990="","الإجراء",""),IF(Z990="","التنفيذ",""),IF(AA990="","الجودة",""),IF(AB990="","الإغلاق",""),IF(AC990="","الخصم",""),IF(AND(COUNTA($O990:$U990)&gt;0,O990=""),"مدير المشروع",""),IF(AND(COUNTA($O990:$U990)&gt;0,P990=""),"المستفيدين",""),IF(AND(COUNTA($O990:$U990)&gt;0,Q990=""),"المناطق",""),IF(AND(COUNTA($O990:$U990)&gt;0,R990=""),"الميزانية",""),IF(AND(COUNTA($O990:$U990)&gt;0,S990=""),"نسبة الجاهزية",""),IF(AND(COUNTA($O990:$U990)&gt;0,T990=""),"حالة الجاهزية",""),IF(AND(COUNTA($O990:$U990)&gt;0,U990=""),"التوصيات","")),"✓"),"✓"))))))))))</f>
        <v/>
      </c>
      <c r="E990" s="240"/>
      <c r="F990" s="241"/>
      <c r="G990" s="125"/>
      <c r="H990" s="123"/>
      <c r="I990" s="123"/>
      <c r="J990" s="143"/>
      <c r="K990" s="125"/>
      <c r="L990" s="125"/>
      <c r="M990" s="125"/>
      <c r="N990" s="123"/>
      <c r="O990" s="200"/>
      <c r="P990" s="201"/>
      <c r="Q990" s="201"/>
      <c r="R990" s="237"/>
      <c r="S990" s="202"/>
      <c r="T990" s="200"/>
      <c r="U990" s="203"/>
      <c r="V990" s="123"/>
      <c r="W990" s="123"/>
      <c r="X990" s="146"/>
      <c r="Y990" s="123"/>
      <c r="Z990" s="125"/>
      <c r="AA990" s="125"/>
      <c r="AB990" s="125"/>
      <c r="AC990" s="125"/>
      <c r="AD990" s="126"/>
      <c r="AE990" s="149" t="str">
        <f>IFERROR(VLOOKUP(Z990,LISTS!$AL$2:$AM$1000,2,FALSE()),"")</f>
        <v/>
      </c>
      <c r="AF990" s="151" t="str">
        <f>IFERROR(VLOOKUP(AA990,LISTS!$AO$2:$AP$1000,2,FALSE()),"")</f>
        <v/>
      </c>
      <c r="AG990" s="152" t="str">
        <f>IFERROR(VLOOKUP(AB990,LISTS!$AR$2:$AS$1000,2,FALSE()),"")</f>
        <v/>
      </c>
      <c r="AH990" s="154" t="str">
        <f>IFERROR(VLOOKUP(AC990,LISTS!$AU$2:$AV$1000,2,FALSE()),"")</f>
        <v/>
      </c>
      <c r="AI990" s="242"/>
      <c r="AJ990" s="190" t="str">
        <f t="shared" si="79"/>
        <v>⚠️</v>
      </c>
      <c r="AK990" s="157" t="str">
        <f t="shared" ref="AK990:AK998" si="80">IF(E990="","",MONTH(E990))</f>
        <v/>
      </c>
      <c r="AL990" s="160" t="str">
        <f t="shared" ref="AL990:AL998" si="81">IF(E990="","",YEAR(E990))</f>
        <v/>
      </c>
      <c r="AM990" s="210"/>
      <c r="AN990" s="209"/>
    </row>
    <row r="991" spans="1:40" ht="27.95" customHeight="1">
      <c r="A991" s="135"/>
      <c r="B991" s="139"/>
      <c r="C991" s="124"/>
      <c r="D991" s="141" t="str">
        <f>IF(AND(G991="",H991="",I991=""),"",IF(COUNTIFS(LISTS!$A$2:$A$67,G991,LISTS!$B$2:$B$67,H991,LISTS!$C$2:$C$67,I991)=0,"✗ هرم",IF(NOT(OR(Z991="ممتاز 100%",Z991="جيد 80%",Z991="مقبول 60%",Z991="خطر 40%",Z991="")),"✗ قائمة R",IF(NOT(OR(AA991="ممتاز 100%",AA991="جيد 85%",AA991="مقبول 70%",AA991="ضعيف 50%",AA991="")),"✗ قائمة S",IF(NOT(OR(AB991="مكتمل 100%",AB991="جزئي 60%",AB991="معلق 30%",AB991="مفتوح 0%",AB991="")),"✗ قائمة T",IF(NOT(OR(AC991="لا خصم 0",AC991="تأخير −5",AC991="عجز −10",AC991="جودة −15",AC991="امتثال −20",AC991="مخالفة −25",AC991="")),"✗ قائمة U",IF(AND(X991="لا",AC991&lt;&gt;"",AC991&lt;&gt;"لا خصم 0"),"✗ خصم",IF(AND(X991="نعم",AC991="لا خصم 0"),"✗ خصم",IF(AND(Z991="ممتاز 100%",AA991="ممتاز 100%",AB991&lt;&gt;"",AB991&lt;&gt;"مكتمل 100%"),"✗ إغلاق",IFERROR(IF(LEN(_xlfn.TEXTJOIN("، ",TRUE,IF(E991="","التاريخ",""),IF(F991="","الوقت",""),IF(G991="","المركز",""),IF(H991="","الدائرة",""),IF(I991="","القسم",""),IF(J991="","المسؤول",""),IF(K991="","نوع النشاط",""),IF(L991="","المشروع",""),IF(N991="","الممول",""),IF(V991="","الموضوع",""),IF(W991="","الملاحظة",""),IF(X991="","مشكلة",""),IF(Y991="","الإجراء",""),IF(Z991="","التنفيذ",""),IF(AA991="","الجودة",""),IF(AB991="","الإغلاق",""),IF(AC991="","الخصم",""),IF(AND(COUNTA($O991:$U991)&gt;0,O991=""),"مدير المشروع",""),IF(AND(COUNTA($O991:$U991)&gt;0,P991=""),"المستفيدين",""),IF(AND(COUNTA($O991:$U991)&gt;0,Q991=""),"المناطق",""),IF(AND(COUNTA($O991:$U991)&gt;0,R991=""),"الميزانية",""),IF(AND(COUNTA($O991:$U991)&gt;0,S991=""),"نسبة الجاهزية",""),IF(AND(COUNTA($O991:$U991)&gt;0,T991=""),"حالة الجاهزية",""),IF(AND(COUNTA($O991:$U991)&gt;0,U991=""),"التوصيات","")))&gt;0,"✗ ناقص: "&amp;_xlfn.TEXTJOIN("، ",TRUE,IF(E991="","التاريخ",""),IF(F991="","الوقت",""),IF(G991="","المركز",""),IF(H991="","الدائرة",""),IF(I991="","القسم",""),IF(J991="","المسؤول",""),IF(K991="","نوع النشاط",""),IF(L991="","المشروع",""),IF(N991="","الممول",""),IF(V991="","الموضوع",""),IF(W991="","الملاحظة",""),IF(X991="","مشكلة",""),IF(Y991="","الإجراء",""),IF(Z991="","التنفيذ",""),IF(AA991="","الجودة",""),IF(AB991="","الإغلاق",""),IF(AC991="","الخصم",""),IF(AND(COUNTA($O991:$U991)&gt;0,O991=""),"مدير المشروع",""),IF(AND(COUNTA($O991:$U991)&gt;0,P991=""),"المستفيدين",""),IF(AND(COUNTA($O991:$U991)&gt;0,Q991=""),"المناطق",""),IF(AND(COUNTA($O991:$U991)&gt;0,R991=""),"الميزانية",""),IF(AND(COUNTA($O991:$U991)&gt;0,S991=""),"نسبة الجاهزية",""),IF(AND(COUNTA($O991:$U991)&gt;0,T991=""),"حالة الجاهزية",""),IF(AND(COUNTA($O991:$U991)&gt;0,U991=""),"التوصيات","")),"✓"),"✓"))))))))))</f>
        <v/>
      </c>
      <c r="E991" s="240"/>
      <c r="F991" s="241"/>
      <c r="G991" s="125"/>
      <c r="H991" s="123"/>
      <c r="I991" s="123"/>
      <c r="J991" s="143"/>
      <c r="K991" s="125"/>
      <c r="L991" s="125"/>
      <c r="M991" s="125"/>
      <c r="N991" s="123"/>
      <c r="O991" s="200"/>
      <c r="P991" s="201"/>
      <c r="Q991" s="201"/>
      <c r="R991" s="237"/>
      <c r="S991" s="202"/>
      <c r="T991" s="200"/>
      <c r="U991" s="203"/>
      <c r="V991" s="123"/>
      <c r="W991" s="123"/>
      <c r="X991" s="146"/>
      <c r="Y991" s="123"/>
      <c r="Z991" s="125"/>
      <c r="AA991" s="125"/>
      <c r="AB991" s="125"/>
      <c r="AC991" s="125"/>
      <c r="AD991" s="126"/>
      <c r="AE991" s="149" t="str">
        <f>IFERROR(VLOOKUP(Z991,LISTS!$AL$2:$AM$1000,2,FALSE()),"")</f>
        <v/>
      </c>
      <c r="AF991" s="151" t="str">
        <f>IFERROR(VLOOKUP(AA991,LISTS!$AO$2:$AP$1000,2,FALSE()),"")</f>
        <v/>
      </c>
      <c r="AG991" s="152" t="str">
        <f>IFERROR(VLOOKUP(AB991,LISTS!$AR$2:$AS$1000,2,FALSE()),"")</f>
        <v/>
      </c>
      <c r="AH991" s="154" t="str">
        <f>IFERROR(VLOOKUP(AC991,LISTS!$AU$2:$AV$1000,2,FALSE()),"")</f>
        <v/>
      </c>
      <c r="AI991" s="242"/>
      <c r="AJ991" s="190" t="str">
        <f t="shared" si="79"/>
        <v>⚠️</v>
      </c>
      <c r="AK991" s="157" t="str">
        <f t="shared" si="80"/>
        <v/>
      </c>
      <c r="AL991" s="160" t="str">
        <f t="shared" si="81"/>
        <v/>
      </c>
      <c r="AM991" s="210"/>
      <c r="AN991" s="209"/>
    </row>
    <row r="992" spans="1:40" ht="27.95" customHeight="1">
      <c r="A992" s="136"/>
      <c r="B992" s="140"/>
      <c r="C992" s="127"/>
      <c r="D992" s="141" t="str">
        <f>IF(AND(G992="",H992="",I992=""),"",IF(COUNTIFS(LISTS!$A$2:$A$67,G992,LISTS!$B$2:$B$67,H992,LISTS!$C$2:$C$67,I992)=0,"✗ هرم",IF(NOT(OR(Z992="ممتاز 100%",Z992="جيد 80%",Z992="مقبول 60%",Z992="خطر 40%",Z992="")),"✗ قائمة R",IF(NOT(OR(AA992="ممتاز 100%",AA992="جيد 85%",AA992="مقبول 70%",AA992="ضعيف 50%",AA992="")),"✗ قائمة S",IF(NOT(OR(AB992="مكتمل 100%",AB992="جزئي 60%",AB992="معلق 30%",AB992="مفتوح 0%",AB992="")),"✗ قائمة T",IF(NOT(OR(AC992="لا خصم 0",AC992="تأخير −5",AC992="عجز −10",AC992="جودة −15",AC992="امتثال −20",AC992="مخالفة −25",AC992="")),"✗ قائمة U",IF(AND(X992="لا",AC992&lt;&gt;"",AC992&lt;&gt;"لا خصم 0"),"✗ خصم",IF(AND(X992="نعم",AC992="لا خصم 0"),"✗ خصم",IF(AND(Z992="ممتاز 100%",AA992="ممتاز 100%",AB992&lt;&gt;"",AB992&lt;&gt;"مكتمل 100%"),"✗ إغلاق",IFERROR(IF(LEN(_xlfn.TEXTJOIN("، ",TRUE,IF(E992="","التاريخ",""),IF(F992="","الوقت",""),IF(G992="","المركز",""),IF(H992="","الدائرة",""),IF(I992="","القسم",""),IF(J992="","المسؤول",""),IF(K992="","نوع النشاط",""),IF(L992="","المشروع",""),IF(N992="","الممول",""),IF(V992="","الموضوع",""),IF(W992="","الملاحظة",""),IF(X992="","مشكلة",""),IF(Y992="","الإجراء",""),IF(Z992="","التنفيذ",""),IF(AA992="","الجودة",""),IF(AB992="","الإغلاق",""),IF(AC992="","الخصم",""),IF(AND(COUNTA($O992:$U992)&gt;0,O992=""),"مدير المشروع",""),IF(AND(COUNTA($O992:$U992)&gt;0,P992=""),"المستفيدين",""),IF(AND(COUNTA($O992:$U992)&gt;0,Q992=""),"المناطق",""),IF(AND(COUNTA($O992:$U992)&gt;0,R992=""),"الميزانية",""),IF(AND(COUNTA($O992:$U992)&gt;0,S992=""),"نسبة الجاهزية",""),IF(AND(COUNTA($O992:$U992)&gt;0,T992=""),"حالة الجاهزية",""),IF(AND(COUNTA($O992:$U992)&gt;0,U992=""),"التوصيات","")))&gt;0,"✗ ناقص: "&amp;_xlfn.TEXTJOIN("، ",TRUE,IF(E992="","التاريخ",""),IF(F992="","الوقت",""),IF(G992="","المركز",""),IF(H992="","الدائرة",""),IF(I992="","القسم",""),IF(J992="","المسؤول",""),IF(K992="","نوع النشاط",""),IF(L992="","المشروع",""),IF(N992="","الممول",""),IF(V992="","الموضوع",""),IF(W992="","الملاحظة",""),IF(X992="","مشكلة",""),IF(Y992="","الإجراء",""),IF(Z992="","التنفيذ",""),IF(AA992="","الجودة",""),IF(AB992="","الإغلاق",""),IF(AC992="","الخصم",""),IF(AND(COUNTA($O992:$U992)&gt;0,O992=""),"مدير المشروع",""),IF(AND(COUNTA($O992:$U992)&gt;0,P992=""),"المستفيدين",""),IF(AND(COUNTA($O992:$U992)&gt;0,Q992=""),"المناطق",""),IF(AND(COUNTA($O992:$U992)&gt;0,R992=""),"الميزانية",""),IF(AND(COUNTA($O992:$U992)&gt;0,S992=""),"نسبة الجاهزية",""),IF(AND(COUNTA($O992:$U992)&gt;0,T992=""),"حالة الجاهزية",""),IF(AND(COUNTA($O992:$U992)&gt;0,U992=""),"التوصيات","")),"✓"),"✓"))))))))))</f>
        <v/>
      </c>
      <c r="E992" s="243"/>
      <c r="F992" s="244"/>
      <c r="G992" s="128"/>
      <c r="H992" s="129"/>
      <c r="I992" s="129"/>
      <c r="J992" s="144"/>
      <c r="K992" s="128"/>
      <c r="L992" s="128"/>
      <c r="M992" s="128"/>
      <c r="N992" s="129"/>
      <c r="O992" s="200"/>
      <c r="P992" s="201"/>
      <c r="Q992" s="201"/>
      <c r="R992" s="237"/>
      <c r="S992" s="202"/>
      <c r="T992" s="200"/>
      <c r="U992" s="203"/>
      <c r="V992" s="129"/>
      <c r="W992" s="129"/>
      <c r="X992" s="147"/>
      <c r="Y992" s="129"/>
      <c r="Z992" s="128"/>
      <c r="AA992" s="128"/>
      <c r="AB992" s="128"/>
      <c r="AC992" s="128"/>
      <c r="AD992" s="130"/>
      <c r="AE992" s="149" t="str">
        <f>IFERROR(VLOOKUP(Z992,LISTS!$AL$2:$AM$1000,2,FALSE()),"")</f>
        <v/>
      </c>
      <c r="AF992" s="151" t="str">
        <f>IFERROR(VLOOKUP(AA992,LISTS!$AO$2:$AP$1000,2,FALSE()),"")</f>
        <v/>
      </c>
      <c r="AG992" s="152" t="str">
        <f>IFERROR(VLOOKUP(AB992,LISTS!$AR$2:$AS$1000,2,FALSE()),"")</f>
        <v/>
      </c>
      <c r="AH992" s="154" t="str">
        <f>IFERROR(VLOOKUP(AC992,LISTS!$AU$2:$AV$1000,2,FALSE()),"")</f>
        <v/>
      </c>
      <c r="AI992" s="245"/>
      <c r="AJ992" s="190" t="str">
        <f t="shared" si="79"/>
        <v>⚠️</v>
      </c>
      <c r="AK992" s="158" t="str">
        <f t="shared" si="80"/>
        <v/>
      </c>
      <c r="AL992" s="161" t="str">
        <f t="shared" si="81"/>
        <v/>
      </c>
      <c r="AM992" s="210"/>
      <c r="AN992" s="209"/>
    </row>
    <row r="993" spans="1:38" ht="27" customHeight="1">
      <c r="A993" s="235">
        <f>IF(I993&lt;&gt;"",COUNTA($I$2:I993),"")</f>
        <v>227</v>
      </c>
      <c r="B993" s="236" t="str">
        <f t="shared" ref="B993:B998" si="82">IF(E993="","",CHOOSE(WEEKDAY(E993,2),"الاثنين","الثلاثاء","الأربعاء","الخميس","الجمعة","السبت","الأحد"))</f>
        <v>الأربعاء</v>
      </c>
      <c r="C993" s="90" t="str">
        <f t="array" ref="C993">IF(E993="","",IF(M993&lt;&gt;"",M993&amp;"/"&amp;SUMPRODUCT((M$2:M993=M993)*1)&amp;" - "&amp;(ROW()-2),"إداري/"&amp;SUMPRODUCT((M$2:M993="")*1)&amp;" - "&amp;(ROW()-2)))</f>
        <v>893/1 - 991</v>
      </c>
      <c r="D993" s="123" t="str">
        <f>IF(AND(G993="",H993="",I993=""),"",IF(COUNTIFS(LISTS!$A$2:$A$67,G993,LISTS!$B$2:$B$67,H993,LISTS!$C$2:$C$67,I993)=0,"✗ هرم",IF(NOT(OR(Z993="ممتاز 100%",Z993="جيد 80%",Z993="مقبول 60%",Z993="خطر 40%",Z993="")),"✗ قائمة R",IF(NOT(OR(AA993="ممتاز 100%",AA993="جيد 85%",AA993="مقبول 70%",AA993="ضعيف 50%",AA993="")),"✗ قائمة S",IF(NOT(OR(AB993="مكتمل 100%",AB993="جزئي 60%",AB993="معلق 30%",AB993="مفتوح 0%",AB993="")),"✗ قائمة T",IF(NOT(OR(AC993="لا خصم 0",AC993="تأخير −5",AC993="عجز −10",AC993="جودة −15",AC993="امتثال −20",AC993="مخالفة −25",AC993="")),"✗ قائمة U",IF(AND(X993="لا",AC993&lt;&gt;"",AC993&lt;&gt;"لا خصم 0"),"✗ خصم",IF(AND(X993="نعم",AC993="لا خصم 0"),"✗ خصم",IF(AND(Z993="ممتاز 100%",AA993="ممتاز 100%",AB993&lt;&gt;"",AB993&lt;&gt;"مكتمل 100%"),"✗ إغلاق",IFERROR(IF(LEN(_xlfn.TEXTJOIN("، ",TRUE,IF(E993="","التاريخ",""),IF(F993="","الوقت",""),IF(G993="","المركز",""),IF(H993="","الدائرة",""),IF(I993="","القسم",""),IF(J993="","المسؤول",""),IF(K993="","نوع النشاط",""),IF(L993="","المشروع",""),IF(N993="","الممول",""),IF(V993="","الموضوع",""),IF(W993="","الملاحظة",""),IF(X993="","مشكلة",""),IF(Y993="","الإجراء",""),IF(Z993="","التنفيذ",""),IF(AA993="","الجودة",""),IF(AB993="","الإغلاق",""),IF(AC993="","الخصم","")))&gt;0,"✗ ناقص: "&amp;_xlfn.TEXTJOIN("، ",TRUE,IF(E993="","التاريخ",""),IF(F993="","الوقت",""),IF(G993="","المركز",""),IF(H993="","الدائرة",""),IF(I993="","القسم",""),IF(J993="","المسؤول",""),IF(K993="","نوع النشاط",""),IF(L993="","المشروع",""),IF(N993="","الممول",""),IF(V993="","الموضوع",""),IF(W993="","الملاحظة",""),IF(X993="","مشكلة",""),IF(Y993="","الإجراء",""),IF(Z993="","التنفيذ",""),IF(AA993="","الجودة",""),IF(AB993="","الإغلاق",""),IF(AC993="","الخصم","")),"✓"),"✓"))))))))))</f>
        <v>✗ ناقص: المسؤول، الممول</v>
      </c>
      <c r="E993" s="89" t="s">
        <v>1056</v>
      </c>
      <c r="F993" s="142" t="s">
        <v>1057</v>
      </c>
      <c r="G993" s="90" t="s">
        <v>97</v>
      </c>
      <c r="H993" s="90" t="s">
        <v>102</v>
      </c>
      <c r="I993" s="89" t="s">
        <v>159</v>
      </c>
      <c r="J993" s="89"/>
      <c r="K993" s="89" t="s">
        <v>116</v>
      </c>
      <c r="L993" s="89" t="s">
        <v>171</v>
      </c>
      <c r="M993" s="145" t="s">
        <v>1058</v>
      </c>
      <c r="N993" s="89"/>
      <c r="P993" s="196"/>
      <c r="Q993" s="196"/>
      <c r="R993" s="246"/>
      <c r="S993" s="197"/>
      <c r="V993" s="90" t="s">
        <v>1008</v>
      </c>
      <c r="W993" s="90" t="s">
        <v>1038</v>
      </c>
      <c r="X993" s="145" t="s">
        <v>651</v>
      </c>
      <c r="Y993" s="89" t="s">
        <v>652</v>
      </c>
      <c r="Z993" s="90" t="s">
        <v>130</v>
      </c>
      <c r="AA993" s="90" t="s">
        <v>130</v>
      </c>
      <c r="AB993" s="90" t="s">
        <v>131</v>
      </c>
      <c r="AC993" s="90" t="s">
        <v>132</v>
      </c>
      <c r="AD993" s="92"/>
      <c r="AE993" s="122">
        <f>IFERROR(VLOOKUP(Z993,LISTS!$AL$2:$AM$1000,2,FALSE()),"")</f>
        <v>100</v>
      </c>
      <c r="AF993" s="122">
        <f>IFERROR(VLOOKUP(AA993,LISTS!$AO$2:$AP$1000,2,FALSE()),"")</f>
        <v>100</v>
      </c>
      <c r="AG993" s="122">
        <f>IFERROR(VLOOKUP(AB993,LISTS!$AR$2:$AS$1000,2,FALSE()),"")</f>
        <v>100</v>
      </c>
      <c r="AH993" s="122">
        <f>IFERROR(VLOOKUP(AC993,LISTS!$AU$2:$AV$1000,2,FALSE()),"")</f>
        <v>0</v>
      </c>
      <c r="AI993" s="122">
        <f t="shared" ref="AI993:AI998" si="83">IF(OR(AE993="",AF993="",AG993=""),"—",IFERROR(ROUND(AE993*0.4+AF993*0.3+AG993*0.3-IF(ISNUMBER(AH993),AH993,0),1),"⚠️"))</f>
        <v>100</v>
      </c>
      <c r="AJ993" s="189" t="str">
        <f t="shared" si="79"/>
        <v>🌟 ممتاز جدًا</v>
      </c>
      <c r="AK993" s="122">
        <f t="shared" si="80"/>
        <v>6</v>
      </c>
      <c r="AL993" s="122">
        <f t="shared" si="81"/>
        <v>2026</v>
      </c>
    </row>
    <row r="994" spans="1:38" ht="27" customHeight="1">
      <c r="A994" s="235">
        <f>IF(I994&lt;&gt;"",COUNTA($I$2:I994),"")</f>
        <v>228</v>
      </c>
      <c r="B994" s="236" t="str">
        <f t="shared" si="82"/>
        <v>الأربعاء</v>
      </c>
      <c r="C994" s="90" t="str">
        <f t="array" ref="C994">IF(E994="","",IF(M994&lt;&gt;"",M994&amp;"/"&amp;SUMPRODUCT((M$2:M994=M994)*1)&amp;" - "&amp;(ROW()-2),"إداري/"&amp;SUMPRODUCT((M$2:M994="")*1)&amp;" - "&amp;(ROW()-2)))</f>
        <v>883/1 - 992</v>
      </c>
      <c r="D994" s="123" t="str">
        <f>IF(AND(G994="",H994="",I994=""),"",IF(COUNTIFS(LISTS!$A$2:$A$67,G994,LISTS!$B$2:$B$67,H994,LISTS!$C$2:$C$67,I994)=0,"✗ هرم",IF(NOT(OR(Z994="ممتاز 100%",Z994="جيد 80%",Z994="مقبول 60%",Z994="خطر 40%",Z994="")),"✗ قائمة R",IF(NOT(OR(AA994="ممتاز 100%",AA994="جيد 85%",AA994="مقبول 70%",AA994="ضعيف 50%",AA994="")),"✗ قائمة S",IF(NOT(OR(AB994="مكتمل 100%",AB994="جزئي 60%",AB994="معلق 30%",AB994="مفتوح 0%",AB994="")),"✗ قائمة T",IF(NOT(OR(AC994="لا خصم 0",AC994="تأخير −5",AC994="عجز −10",AC994="جودة −15",AC994="امتثال −20",AC994="مخالفة −25",AC994="")),"✗ قائمة U",IF(AND(X994="لا",AC994&lt;&gt;"",AC994&lt;&gt;"لا خصم 0"),"✗ خصم",IF(AND(X994="نعم",AC994="لا خصم 0"),"✗ خصم",IF(AND(Z994="ممتاز 100%",AA994="ممتاز 100%",AB994&lt;&gt;"",AB994&lt;&gt;"مكتمل 100%"),"✗ إغلاق",IFERROR(IF(LEN(_xlfn.TEXTJOIN("، ",TRUE,IF(E994="","التاريخ",""),IF(F994="","الوقت",""),IF(G994="","المركز",""),IF(H994="","الدائرة",""),IF(I994="","القسم",""),IF(J994="","المسؤول",""),IF(K994="","نوع النشاط",""),IF(L994="","المشروع",""),IF(N994="","الممول",""),IF(V994="","الموضوع",""),IF(W994="","الملاحظة",""),IF(X994="","مشكلة",""),IF(Y994="","الإجراء",""),IF(Z994="","التنفيذ",""),IF(AA994="","الجودة",""),IF(AB994="","الإغلاق",""),IF(AC994="","الخصم","")))&gt;0,"✗ ناقص: "&amp;_xlfn.TEXTJOIN("، ",TRUE,IF(E994="","التاريخ",""),IF(F994="","الوقت",""),IF(G994="","المركز",""),IF(H994="","الدائرة",""),IF(I994="","القسم",""),IF(J994="","المسؤول",""),IF(K994="","نوع النشاط",""),IF(L994="","المشروع",""),IF(N994="","الممول",""),IF(V994="","الموضوع",""),IF(W994="","الملاحظة",""),IF(X994="","مشكلة",""),IF(Y994="","الإجراء",""),IF(Z994="","التنفيذ",""),IF(AA994="","الجودة",""),IF(AB994="","الإغلاق",""),IF(AC994="","الخصم","")),"✓"),"✓"))))))))))</f>
        <v>✓</v>
      </c>
      <c r="E994" s="89" t="s">
        <v>1056</v>
      </c>
      <c r="F994" s="142" t="s">
        <v>1059</v>
      </c>
      <c r="G994" s="90" t="s">
        <v>97</v>
      </c>
      <c r="H994" s="90" t="s">
        <v>102</v>
      </c>
      <c r="I994" s="89" t="s">
        <v>159</v>
      </c>
      <c r="J994" s="89" t="s">
        <v>276</v>
      </c>
      <c r="K994" s="89" t="s">
        <v>133</v>
      </c>
      <c r="L994" s="89" t="s">
        <v>118</v>
      </c>
      <c r="M994" s="145" t="s">
        <v>1060</v>
      </c>
      <c r="N994" s="89" t="s">
        <v>120</v>
      </c>
      <c r="P994" s="196"/>
      <c r="Q994" s="196"/>
      <c r="R994" s="246"/>
      <c r="S994" s="197"/>
      <c r="V994" s="90" t="s">
        <v>1039</v>
      </c>
      <c r="W994" s="90" t="s">
        <v>1040</v>
      </c>
      <c r="X994" s="145" t="s">
        <v>651</v>
      </c>
      <c r="Y994" s="89" t="s">
        <v>652</v>
      </c>
      <c r="Z994" s="90" t="s">
        <v>130</v>
      </c>
      <c r="AA994" s="90" t="s">
        <v>130</v>
      </c>
      <c r="AB994" s="90" t="s">
        <v>131</v>
      </c>
      <c r="AC994" s="90" t="s">
        <v>132</v>
      </c>
      <c r="AD994" s="92"/>
      <c r="AE994" s="122">
        <f>IFERROR(VLOOKUP(Z994,LISTS!$AL$2:$AM$1000,2,FALSE()),"")</f>
        <v>100</v>
      </c>
      <c r="AF994" s="122">
        <f>IFERROR(VLOOKUP(AA994,LISTS!$AO$2:$AP$1000,2,FALSE()),"")</f>
        <v>100</v>
      </c>
      <c r="AG994" s="122">
        <f>IFERROR(VLOOKUP(AB994,LISTS!$AR$2:$AS$1000,2,FALSE()),"")</f>
        <v>100</v>
      </c>
      <c r="AH994" s="122">
        <f>IFERROR(VLOOKUP(AC994,LISTS!$AU$2:$AV$1000,2,FALSE()),"")</f>
        <v>0</v>
      </c>
      <c r="AI994" s="122">
        <f t="shared" si="83"/>
        <v>100</v>
      </c>
      <c r="AJ994" s="189" t="str">
        <f t="shared" si="79"/>
        <v>🌟 ممتاز جدًا</v>
      </c>
      <c r="AK994" s="122">
        <f t="shared" si="80"/>
        <v>6</v>
      </c>
      <c r="AL994" s="122">
        <f t="shared" si="81"/>
        <v>2026</v>
      </c>
    </row>
    <row r="995" spans="1:38" ht="30" customHeight="1">
      <c r="A995" s="89">
        <f>IF(I995&lt;&gt;"",COUNTA($I$2:I995),"")</f>
        <v>229</v>
      </c>
      <c r="B995" s="142" t="str">
        <f t="shared" si="82"/>
        <v>الخميس</v>
      </c>
      <c r="C995" s="90" t="str">
        <f t="array" ref="C995">IF(E995="","",IF(M995&lt;&gt;"",M995&amp;"/"&amp;SUMPRODUCT((M$2:M995=M995)*1)&amp;" - "&amp;(ROW()-2),"إداري/"&amp;SUMPRODUCT((M$2:M995="")*1)&amp;" - "&amp;(ROW()-2)))</f>
        <v>887/1 - 993</v>
      </c>
      <c r="D995" s="90" t="str">
        <f>IF(AND(G995="",H995="",I995=""),"",IF(COUNTIFS(LISTS!$A$2:$A$67,G995,LISTS!$B$2:$B$67,H995,LISTS!$C$2:$C$67,I995)=0,"✗ هرم",IF(NOT(OR(Z995="ممتاز 100%",Z995="جيد 80%",Z995="مقبول 60%",Z995="خطر 40%",Z995="")),"✗ قائمة R",IF(NOT(OR(AA995="ممتاز 100%",AA995="جيد 85%",AA995="مقبول 70%",AA995="ضعيف 50%",AA995="")),"✗ قائمة S",IF(NOT(OR(AB995="مكتمل 100%",AB995="جزئي 60%",AB995="معلق 30%",AB995="مفتوح 0%",AB995="")),"✗ قائمة T",IF(NOT(OR(AC995="لا خصم 0",AC995="تأخير −5",AC995="عجز −10",AC995="جودة −15",AC995="امتثال −20",AC995="مخالفة −25",AC995="")),"✗ قائمة U",IF(AND(X995="لا",AC995&lt;&gt;"",AC995&lt;&gt;"لا خصم 0"),"✗ خصم",IF(AND(X995="نعم",AC995="لا خصم 0"),"✗ خصم",IF(AND(Z995="ممتاز 100%",AA995="ممتاز 100%",AB995&lt;&gt;"",AB995&lt;&gt;"مكتمل 100%"),"✗ إغلاق",IFERROR(IF(LEN(_xlfn.TEXTJOIN("، ",TRUE,IF(E995="","التاريخ",""),IF(F995="","الوقت",""),IF(G995="","المركز",""),IF(H995="","الدائرة",""),IF(I995="","القسم",""),IF(J995="","المسؤول",""),IF(K995="","نوع النشاط",""),IF(L995="","المشروع",""),IF(N995="","الممول",""),IF(V995="","الموضوع",""),IF(W995="","الملاحظة",""),IF(X995="","مشكلة",""),IF(Y995="","الإجراء",""),IF(Z995="","التنفيذ",""),IF(AA995="","الجودة",""),IF(AB995="","الإغلاق",""),IF(AC995="","الخصم","")))&gt;0,"✗ ناقص: "&amp;_xlfn.TEXTJOIN("، ",TRUE,IF(E995="","التاريخ",""),IF(F995="","الوقت",""),IF(G995="","المركز",""),IF(H995="","الدائرة",""),IF(I995="","القسم",""),IF(J995="","المسؤول",""),IF(K995="","نوع النشاط",""),IF(L995="","المشروع",""),IF(N995="","الممول",""),IF(V995="","الموضوع",""),IF(W995="","الملاحظة",""),IF(X995="","مشكلة",""),IF(Y995="","الإجراء",""),IF(Z995="","التنفيذ",""),IF(AA995="","الجودة",""),IF(AB995="","الإغلاق",""),IF(AC995="","الخصم","")),"✓"),"✓"))))))))))</f>
        <v>✗ ناقص: المسؤول</v>
      </c>
      <c r="E995" s="90" t="s">
        <v>1061</v>
      </c>
      <c r="F995" s="89" t="s">
        <v>1062</v>
      </c>
      <c r="G995" s="90" t="s">
        <v>97</v>
      </c>
      <c r="H995" s="89" t="s">
        <v>102</v>
      </c>
      <c r="I995" s="89" t="s">
        <v>124</v>
      </c>
      <c r="J995" s="89"/>
      <c r="K995" s="90" t="s">
        <v>116</v>
      </c>
      <c r="L995" s="90" t="s">
        <v>369</v>
      </c>
      <c r="M995" s="90" t="s">
        <v>1063</v>
      </c>
      <c r="N995" s="90" t="s">
        <v>655</v>
      </c>
      <c r="P995" s="196"/>
      <c r="Q995" s="196"/>
      <c r="R995" s="246"/>
      <c r="S995" s="197"/>
      <c r="V995" s="92" t="s">
        <v>1011</v>
      </c>
      <c r="W995" s="122" t="s">
        <v>1041</v>
      </c>
      <c r="X995" s="145" t="s">
        <v>651</v>
      </c>
      <c r="Y995" s="89" t="s">
        <v>652</v>
      </c>
      <c r="Z995" s="90" t="s">
        <v>130</v>
      </c>
      <c r="AA995" s="90" t="s">
        <v>130</v>
      </c>
      <c r="AB995" s="90" t="s">
        <v>131</v>
      </c>
      <c r="AC995" s="90" t="s">
        <v>132</v>
      </c>
      <c r="AD995" s="92"/>
      <c r="AE995" s="122">
        <f>IFERROR(VLOOKUP(Z995,LISTS!$AL$2:$AM$1000,2,FALSE()),"")</f>
        <v>100</v>
      </c>
      <c r="AF995" s="122">
        <f>IFERROR(VLOOKUP(AA995,LISTS!$AO$2:$AP$1000,2,FALSE()),"")</f>
        <v>100</v>
      </c>
      <c r="AG995" s="122">
        <f>IFERROR(VLOOKUP(AB995,LISTS!$AR$2:$AS$1000,2,FALSE()),"")</f>
        <v>100</v>
      </c>
      <c r="AH995" s="122">
        <f>IFERROR(VLOOKUP(AC995,LISTS!$AU$2:$AV$1000,2,FALSE()),"")</f>
        <v>0</v>
      </c>
      <c r="AI995" s="122">
        <f t="shared" si="83"/>
        <v>100</v>
      </c>
      <c r="AJ995" s="189" t="str">
        <f t="shared" si="79"/>
        <v>🌟 ممتاز جدًا</v>
      </c>
      <c r="AK995" s="122">
        <f t="shared" si="80"/>
        <v>6</v>
      </c>
      <c r="AL995" s="122">
        <f t="shared" si="81"/>
        <v>2026</v>
      </c>
    </row>
    <row r="996" spans="1:38" ht="30" customHeight="1">
      <c r="A996" s="89">
        <f>IF(I996&lt;&gt;"",COUNTA($I$2:I996),"")</f>
        <v>230</v>
      </c>
      <c r="B996" s="142" t="str">
        <f t="shared" si="82"/>
        <v>السبت</v>
      </c>
      <c r="C996" s="90" t="str">
        <f t="array" ref="C996">IF(E996="","",IF(M996&lt;&gt;"",M996&amp;"/"&amp;SUMPRODUCT((M$2:M996=M996)*1)&amp;" - "&amp;(ROW()-2),"إداري/"&amp;SUMPRODUCT((M$2:M996="")*1)&amp;" - "&amp;(ROW()-2)))</f>
        <v>895/1 - 994</v>
      </c>
      <c r="D996" s="90" t="str">
        <f>IF(AND(G996="",H996="",I996=""),"",IF(COUNTIFS(LISTS!$A$2:$A$67,G996,LISTS!$B$2:$B$67,H996,LISTS!$C$2:$C$67,I996)=0,"✗ هرم",IF(NOT(OR(Z996="ممتاز 100%",Z996="جيد 80%",Z996="مقبول 60%",Z996="خطر 40%",Z996="")),"✗ قائمة R",IF(NOT(OR(AA996="ممتاز 100%",AA996="جيد 85%",AA996="مقبول 70%",AA996="ضعيف 50%",AA996="")),"✗ قائمة S",IF(NOT(OR(AB996="مكتمل 100%",AB996="جزئي 60%",AB996="معلق 30%",AB996="مفتوح 0%",AB996="")),"✗ قائمة T",IF(NOT(OR(AC996="لا خصم 0",AC996="تأخير −5",AC996="عجز −10",AC996="جودة −15",AC996="امتثال −20",AC996="مخالفة −25",AC996="")),"✗ قائمة U",IF(AND(X996="لا",AC996&lt;&gt;"",AC996&lt;&gt;"لا خصم 0"),"✗ خصم",IF(AND(X996="نعم",AC996="لا خصم 0"),"✗ خصم",IF(AND(Z996="ممتاز 100%",AA996="ممتاز 100%",AB996&lt;&gt;"",AB996&lt;&gt;"مكتمل 100%"),"✗ إغلاق",IFERROR(IF(LEN(_xlfn.TEXTJOIN("، ",TRUE,IF(E996="","التاريخ",""),IF(F996="","الوقت",""),IF(G996="","المركز",""),IF(H996="","الدائرة",""),IF(I996="","القسم",""),IF(J996="","المسؤول",""),IF(K996="","نوع النشاط",""),IF(L996="","المشروع",""),IF(N996="","الممول",""),IF(V996="","الموضوع",""),IF(W996="","الملاحظة",""),IF(X996="","مشكلة",""),IF(Y996="","الإجراء",""),IF(Z996="","التنفيذ",""),IF(AA996="","الجودة",""),IF(AB996="","الإغلاق",""),IF(AC996="","الخصم","")))&gt;0,"✗ ناقص: "&amp;_xlfn.TEXTJOIN("، ",TRUE,IF(E996="","التاريخ",""),IF(F996="","الوقت",""),IF(G996="","المركز",""),IF(H996="","الدائرة",""),IF(I996="","القسم",""),IF(J996="","المسؤول",""),IF(K996="","نوع النشاط",""),IF(L996="","المشروع",""),IF(N996="","الممول",""),IF(V996="","الموضوع",""),IF(W996="","الملاحظة",""),IF(X996="","مشكلة",""),IF(Y996="","الإجراء",""),IF(Z996="","التنفيذ",""),IF(AA996="","الجودة",""),IF(AB996="","الإغلاق",""),IF(AC996="","الخصم","")),"✓"),"✓"))))))))))</f>
        <v>✗ ناقص: المسؤول</v>
      </c>
      <c r="E996" s="90" t="s">
        <v>1064</v>
      </c>
      <c r="F996" s="89" t="s">
        <v>1065</v>
      </c>
      <c r="G996" s="90" t="s">
        <v>97</v>
      </c>
      <c r="H996" s="89" t="s">
        <v>102</v>
      </c>
      <c r="I996" s="89" t="s">
        <v>124</v>
      </c>
      <c r="J996" s="89"/>
      <c r="K996" s="90" t="s">
        <v>116</v>
      </c>
      <c r="L996" s="90" t="s">
        <v>369</v>
      </c>
      <c r="M996" s="90" t="s">
        <v>1066</v>
      </c>
      <c r="N996" s="90" t="s">
        <v>655</v>
      </c>
      <c r="P996" s="196"/>
      <c r="Q996" s="196"/>
      <c r="R996" s="246"/>
      <c r="S996" s="197"/>
      <c r="V996" s="92" t="s">
        <v>1011</v>
      </c>
      <c r="W996" s="122" t="s">
        <v>1042</v>
      </c>
      <c r="X996" s="145" t="s">
        <v>651</v>
      </c>
      <c r="Y996" s="89" t="s">
        <v>652</v>
      </c>
      <c r="Z996" s="90" t="s">
        <v>130</v>
      </c>
      <c r="AA996" s="90" t="s">
        <v>130</v>
      </c>
      <c r="AB996" s="90" t="s">
        <v>131</v>
      </c>
      <c r="AC996" s="90" t="s">
        <v>132</v>
      </c>
      <c r="AD996" s="92"/>
      <c r="AE996" s="122">
        <f>IFERROR(VLOOKUP(Z996,LISTS!$AL$2:$AM$1000,2,FALSE()),"")</f>
        <v>100</v>
      </c>
      <c r="AF996" s="122">
        <f>IFERROR(VLOOKUP(AA996,LISTS!$AO$2:$AP$1000,2,FALSE()),"")</f>
        <v>100</v>
      </c>
      <c r="AG996" s="122">
        <f>IFERROR(VLOOKUP(AB996,LISTS!$AR$2:$AS$1000,2,FALSE()),"")</f>
        <v>100</v>
      </c>
      <c r="AH996" s="122">
        <f>IFERROR(VLOOKUP(AC996,LISTS!$AU$2:$AV$1000,2,FALSE()),"")</f>
        <v>0</v>
      </c>
      <c r="AI996" s="122">
        <f t="shared" si="83"/>
        <v>100</v>
      </c>
      <c r="AJ996" s="189" t="str">
        <f t="shared" si="79"/>
        <v>🌟 ممتاز جدًا</v>
      </c>
      <c r="AK996" s="122">
        <f t="shared" si="80"/>
        <v>6</v>
      </c>
      <c r="AL996" s="122">
        <f t="shared" si="81"/>
        <v>2026</v>
      </c>
    </row>
    <row r="997" spans="1:38" ht="30" customHeight="1">
      <c r="A997" s="89">
        <f>IF(I997&lt;&gt;"",COUNTA($I$2:I997),"")</f>
        <v>231</v>
      </c>
      <c r="B997" s="142" t="str">
        <f t="shared" si="82"/>
        <v>الأحد</v>
      </c>
      <c r="C997" s="90" t="str">
        <f t="array" ref="C997">IF(E997="","",IF(M997&lt;&gt;"",M997&amp;"/"&amp;SUMPRODUCT((M$2:M997=M997)*1)&amp;" - "&amp;(ROW()-2),"إداري/"&amp;SUMPRODUCT((M$2:M997="")*1)&amp;" - "&amp;(ROW()-2)))</f>
        <v>895/2 - 995</v>
      </c>
      <c r="D997" s="90" t="str">
        <f>IF(AND(G997="",H997="",I997=""),"",IF(COUNTIFS(LISTS!$A$2:$A$67,G997,LISTS!$B$2:$B$67,H997,LISTS!$C$2:$C$67,I997)=0,"✗ هرم",IF(NOT(OR(Z997="ممتاز 100%",Z997="جيد 80%",Z997="مقبول 60%",Z997="خطر 40%",Z997="")),"✗ قائمة R",IF(NOT(OR(AA997="ممتاز 100%",AA997="جيد 85%",AA997="مقبول 70%",AA997="ضعيف 50%",AA997="")),"✗ قائمة S",IF(NOT(OR(AB997="مكتمل 100%",AB997="جزئي 60%",AB997="معلق 30%",AB997="مفتوح 0%",AB997="")),"✗ قائمة T",IF(NOT(OR(AC997="لا خصم 0",AC997="تأخير −5",AC997="عجز −10",AC997="جودة −15",AC997="امتثال −20",AC997="مخالفة −25",AC997="")),"✗ قائمة U",IF(AND(X997="لا",AC997&lt;&gt;"",AC997&lt;&gt;"لا خصم 0"),"✗ خصم",IF(AND(X997="نعم",AC997="لا خصم 0"),"✗ خصم",IF(AND(Z997="ممتاز 100%",AA997="ممتاز 100%",AB997&lt;&gt;"",AB997&lt;&gt;"مكتمل 100%"),"✗ إغلاق",IFERROR(IF(LEN(_xlfn.TEXTJOIN("، ",TRUE,IF(E997="","التاريخ",""),IF(F997="","الوقت",""),IF(G997="","المركز",""),IF(H997="","الدائرة",""),IF(I997="","القسم",""),IF(J997="","المسؤول",""),IF(K997="","نوع النشاط",""),IF(L997="","المشروع",""),IF(N997="","الممول",""),IF(V997="","الموضوع",""),IF(W997="","الملاحظة",""),IF(X997="","مشكلة",""),IF(Y997="","الإجراء",""),IF(Z997="","التنفيذ",""),IF(AA997="","الجودة",""),IF(AB997="","الإغلاق",""),IF(AC997="","الخصم","")))&gt;0,"✗ ناقص: "&amp;_xlfn.TEXTJOIN("، ",TRUE,IF(E997="","التاريخ",""),IF(F997="","الوقت",""),IF(G997="","المركز",""),IF(H997="","الدائرة",""),IF(I997="","القسم",""),IF(J997="","المسؤول",""),IF(K997="","نوع النشاط",""),IF(L997="","المشروع",""),IF(N997="","الممول",""),IF(V997="","الموضوع",""),IF(W997="","الملاحظة",""),IF(X997="","مشكلة",""),IF(Y997="","الإجراء",""),IF(Z997="","التنفيذ",""),IF(AA997="","الجودة",""),IF(AB997="","الإغلاق",""),IF(AC997="","الخصم","")),"✓"),"✓"))))))))))</f>
        <v>✗ ناقص: المسؤول</v>
      </c>
      <c r="E997" s="90" t="s">
        <v>1067</v>
      </c>
      <c r="F997" s="89" t="s">
        <v>1068</v>
      </c>
      <c r="G997" s="90" t="s">
        <v>97</v>
      </c>
      <c r="H997" s="89" t="s">
        <v>102</v>
      </c>
      <c r="I997" s="89" t="s">
        <v>124</v>
      </c>
      <c r="J997" s="89"/>
      <c r="K997" s="90" t="s">
        <v>116</v>
      </c>
      <c r="L997" s="90" t="s">
        <v>369</v>
      </c>
      <c r="M997" s="90" t="s">
        <v>1066</v>
      </c>
      <c r="N997" s="90" t="s">
        <v>655</v>
      </c>
      <c r="P997" s="196"/>
      <c r="Q997" s="196"/>
      <c r="R997" s="246"/>
      <c r="S997" s="197"/>
      <c r="V997" s="92" t="s">
        <v>1011</v>
      </c>
      <c r="W997" s="122" t="s">
        <v>1043</v>
      </c>
      <c r="X997" s="145" t="s">
        <v>651</v>
      </c>
      <c r="Y997" s="89" t="s">
        <v>652</v>
      </c>
      <c r="Z997" s="90" t="s">
        <v>130</v>
      </c>
      <c r="AA997" s="90" t="s">
        <v>130</v>
      </c>
      <c r="AB997" s="90" t="s">
        <v>131</v>
      </c>
      <c r="AC997" s="90" t="s">
        <v>132</v>
      </c>
      <c r="AD997" s="92"/>
      <c r="AE997" s="122">
        <f>IFERROR(VLOOKUP(Z997,LISTS!$AL$2:$AM$1000,2,FALSE()),"")</f>
        <v>100</v>
      </c>
      <c r="AF997" s="122">
        <f>IFERROR(VLOOKUP(AA997,LISTS!$AO$2:$AP$1000,2,FALSE()),"")</f>
        <v>100</v>
      </c>
      <c r="AG997" s="122">
        <f>IFERROR(VLOOKUP(AB997,LISTS!$AR$2:$AS$1000,2,FALSE()),"")</f>
        <v>100</v>
      </c>
      <c r="AH997" s="122">
        <f>IFERROR(VLOOKUP(AC997,LISTS!$AU$2:$AV$1000,2,FALSE()),"")</f>
        <v>0</v>
      </c>
      <c r="AI997" s="122">
        <f t="shared" si="83"/>
        <v>100</v>
      </c>
      <c r="AJ997" s="189" t="str">
        <f t="shared" si="79"/>
        <v>🌟 ممتاز جدًا</v>
      </c>
      <c r="AK997" s="122">
        <f t="shared" si="80"/>
        <v>6</v>
      </c>
      <c r="AL997" s="122">
        <f t="shared" si="81"/>
        <v>2026</v>
      </c>
    </row>
    <row r="998" spans="1:38" ht="30" customHeight="1">
      <c r="A998" s="89">
        <f>IF(I998&lt;&gt;"",COUNTA($I$2:I998),"")</f>
        <v>232</v>
      </c>
      <c r="B998" s="142" t="str">
        <f t="shared" si="82"/>
        <v>الأحد</v>
      </c>
      <c r="C998" s="90" t="str">
        <f t="array" ref="C998">IF(E998="","",IF(M998&lt;&gt;"",M998&amp;"/"&amp;SUMPRODUCT((M$2:M998=M998)*1)&amp;" - "&amp;(ROW()-2),"إداري/"&amp;SUMPRODUCT((M$2:M998="")*1)&amp;" - "&amp;(ROW()-2)))</f>
        <v>إداري/973 - 996</v>
      </c>
      <c r="D998" s="90" t="str">
        <f>IF(AND(G998="",H998="",I998=""),"",IF(COUNTIFS(LISTS!$A$2:$A$67,G998,LISTS!$B$2:$B$67,H998,LISTS!$C$2:$C$67,I998)=0,"✗ هرم",IF(NOT(OR(Z998="ممتاز 100%",Z998="جيد 80%",Z998="مقبول 60%",Z998="خطر 40%",Z998="")),"✗ قائمة R",IF(NOT(OR(AA998="ممتاز 100%",AA998="جيد 85%",AA998="مقبول 70%",AA998="ضعيف 50%",AA998="")),"✗ قائمة S",IF(NOT(OR(AB998="مكتمل 100%",AB998="جزئي 60%",AB998="معلق 30%",AB998="مفتوح 0%",AB998="")),"✗ قائمة T",IF(NOT(OR(AC998="لا خصم 0",AC998="تأخير −5",AC998="عجز −10",AC998="جودة −15",AC998="امتثال −20",AC998="مخالفة −25",AC998="")),"✗ قائمة U",IF(AND(X998="لا",AC998&lt;&gt;"",AC998&lt;&gt;"لا خصم 0"),"✗ خصم",IF(AND(X998="نعم",AC998="لا خصم 0"),"✗ خصم",IF(AND(Z998="ممتاز 100%",AA998="ممتاز 100%",AB998&lt;&gt;"",AB998&lt;&gt;"مكتمل 100%"),"✗ إغلاق",IFERROR(IF(LEN(_xlfn.TEXTJOIN("، ",TRUE,IF(E998="","التاريخ",""),IF(F998="","الوقت",""),IF(G998="","المركز",""),IF(H998="","الدائرة",""),IF(I998="","القسم",""),IF(J998="","المسؤول",""),IF(K998="","نوع النشاط",""),IF(L998="","المشروع",""),IF(N998="","الممول",""),IF(V998="","الموضوع",""),IF(W998="","الملاحظة",""),IF(X998="","مشكلة",""),IF(Y998="","الإجراء",""),IF(Z998="","التنفيذ",""),IF(AA998="","الجودة",""),IF(AB998="","الإغلاق",""),IF(AC998="","الخصم","")))&gt;0,"✗ ناقص: "&amp;_xlfn.TEXTJOIN("، ",TRUE,IF(E998="","التاريخ",""),IF(F998="","الوقت",""),IF(G998="","المركز",""),IF(H998="","الدائرة",""),IF(I998="","القسم",""),IF(J998="","المسؤول",""),IF(K998="","نوع النشاط",""),IF(L998="","المشروع",""),IF(N998="","الممول",""),IF(V998="","الموضوع",""),IF(W998="","الملاحظة",""),IF(X998="","مشكلة",""),IF(Y998="","الإجراء",""),IF(Z998="","التنفيذ",""),IF(AA998="","الجودة",""),IF(AB998="","الإغلاق",""),IF(AC998="","الخصم","")),"✓"),"✓"))))))))))</f>
        <v>✗ ناقص: الممول</v>
      </c>
      <c r="E998" s="90" t="s">
        <v>1067</v>
      </c>
      <c r="F998" s="89" t="s">
        <v>1069</v>
      </c>
      <c r="G998" s="90" t="s">
        <v>97</v>
      </c>
      <c r="H998" s="89" t="s">
        <v>103</v>
      </c>
      <c r="I998" s="89" t="s">
        <v>160</v>
      </c>
      <c r="J998" s="89" t="s">
        <v>254</v>
      </c>
      <c r="K998" s="90" t="s">
        <v>207</v>
      </c>
      <c r="L998" s="90" t="s">
        <v>378</v>
      </c>
      <c r="M998" s="90"/>
      <c r="N998" s="90"/>
      <c r="P998" s="196"/>
      <c r="Q998" s="196"/>
      <c r="R998" s="246"/>
      <c r="S998" s="197"/>
      <c r="V998" s="92" t="s">
        <v>1044</v>
      </c>
      <c r="W998" s="122" t="s">
        <v>1045</v>
      </c>
      <c r="X998" s="145" t="s">
        <v>651</v>
      </c>
      <c r="Y998" s="89" t="s">
        <v>652</v>
      </c>
      <c r="Z998" s="90" t="s">
        <v>130</v>
      </c>
      <c r="AA998" s="90" t="s">
        <v>130</v>
      </c>
      <c r="AB998" s="90" t="s">
        <v>131</v>
      </c>
      <c r="AC998" s="90" t="s">
        <v>132</v>
      </c>
      <c r="AD998" s="92"/>
      <c r="AE998" s="122">
        <f>IFERROR(VLOOKUP(Z998,LISTS!$AL$2:$AM$1000,2,FALSE()),"")</f>
        <v>100</v>
      </c>
      <c r="AF998" s="122">
        <f>IFERROR(VLOOKUP(AA998,LISTS!$AO$2:$AP$1000,2,FALSE()),"")</f>
        <v>100</v>
      </c>
      <c r="AG998" s="122">
        <f>IFERROR(VLOOKUP(AB998,LISTS!$AR$2:$AS$1000,2,FALSE()),"")</f>
        <v>100</v>
      </c>
      <c r="AH998" s="122">
        <f>IFERROR(VLOOKUP(AC998,LISTS!$AU$2:$AV$1000,2,FALSE()),"")</f>
        <v>0</v>
      </c>
      <c r="AI998" s="122">
        <f t="shared" si="83"/>
        <v>100</v>
      </c>
      <c r="AJ998" s="189" t="str">
        <f t="shared" si="79"/>
        <v>🌟 ممتاز جدًا</v>
      </c>
      <c r="AK998" s="122">
        <f t="shared" si="80"/>
        <v>6</v>
      </c>
      <c r="AL998" s="122">
        <f t="shared" si="81"/>
        <v>2026</v>
      </c>
    </row>
  </sheetData>
  <autoFilter ref="A1:AN998" xr:uid="{00000000-0009-0000-0000-000001000000}"/>
  <conditionalFormatting sqref="A993:N998">
    <cfRule type="expression" dxfId="55" priority="4">
      <formula>AND($I993&lt;&gt;"",MOD(ROW(),2)=0)</formula>
    </cfRule>
    <cfRule type="expression" dxfId="54" priority="5">
      <formula>AND($I993&lt;&gt;"",MOD(ROW(),2)=1)</formula>
    </cfRule>
  </conditionalFormatting>
  <conditionalFormatting sqref="D2:D992">
    <cfRule type="containsText" dxfId="53" priority="22" operator="containsText" text="✗">
      <formula>NOT(ISERROR(SEARCH("✗",D2)))</formula>
    </cfRule>
    <cfRule type="containsText" dxfId="52" priority="23" operator="containsText" text="✓">
      <formula>NOT(ISERROR(SEARCH("✓",D2)))</formula>
    </cfRule>
  </conditionalFormatting>
  <conditionalFormatting sqref="E2:E23 E30:E992">
    <cfRule type="expression" dxfId="51" priority="40">
      <formula>AND($E2="",$G2&lt;&gt;"")</formula>
    </cfRule>
  </conditionalFormatting>
  <conditionalFormatting sqref="E24:E28">
    <cfRule type="expression" dxfId="50" priority="43">
      <formula>AND($E24="",$G25&lt;&gt;"")</formula>
    </cfRule>
  </conditionalFormatting>
  <conditionalFormatting sqref="F24:F28">
    <cfRule type="expression" dxfId="49" priority="46">
      <formula>AND($A25&lt;&gt;"",LEN(TRIM(F24))=0)</formula>
    </cfRule>
  </conditionalFormatting>
  <conditionalFormatting sqref="J2:J994 F30:F998 H993:H994 B993:B998 D995:D998 F2:F23 L2:L992 N2:N992">
    <cfRule type="expression" dxfId="48" priority="32">
      <formula>AND($A2&lt;&gt;"",LEN(TRIM(B2))=0)</formula>
    </cfRule>
  </conditionalFormatting>
  <conditionalFormatting sqref="N2:N992">
    <cfRule type="expression" dxfId="47" priority="39">
      <formula>AND($N2="",$G2&lt;&gt;"")</formula>
    </cfRule>
  </conditionalFormatting>
  <conditionalFormatting sqref="V995:V998">
    <cfRule type="expression" dxfId="46" priority="10">
      <formula>AND($I995&lt;&gt;"",MOD(ROW(),2)=0)</formula>
    </cfRule>
    <cfRule type="expression" dxfId="45" priority="11">
      <formula>AND($I995&lt;&gt;"",MOD(ROW(),2)=1)</formula>
    </cfRule>
  </conditionalFormatting>
  <conditionalFormatting sqref="V993:W994">
    <cfRule type="expression" dxfId="44" priority="16">
      <formula>AND($I993&lt;&gt;"",MOD(ROW(),2)=0)</formula>
    </cfRule>
    <cfRule type="expression" dxfId="43" priority="17">
      <formula>AND($I993&lt;&gt;"",MOD(ROW(),2)=1)</formula>
    </cfRule>
  </conditionalFormatting>
  <conditionalFormatting sqref="X993:AD998">
    <cfRule type="expression" dxfId="42" priority="1">
      <formula>AND($I993&lt;&gt;"",MOD(ROW(),2)=0)</formula>
    </cfRule>
    <cfRule type="expression" dxfId="41" priority="2">
      <formula>AND($I993&lt;&gt;"",MOD(ROW(),2)=1)</formula>
    </cfRule>
  </conditionalFormatting>
  <conditionalFormatting sqref="AI2:AI992">
    <cfRule type="colorScale" priority="21">
      <colorScale>
        <cfvo type="num" val="0"/>
        <cfvo type="num" val="70"/>
        <cfvo type="num" val="100"/>
        <color rgb="FFF8D7DA"/>
        <color rgb="FFFFF3CD"/>
        <color rgb="FFD1E7DD"/>
      </colorScale>
    </cfRule>
  </conditionalFormatting>
  <conditionalFormatting sqref="AJ2:AJ998">
    <cfRule type="containsText" dxfId="40" priority="33" operator="containsText" text="ممتاز جدًا">
      <formula>NOT(ISERROR(SEARCH("ممتاز جدًا",AJ2)))</formula>
    </cfRule>
    <cfRule type="containsText" dxfId="39" priority="34" operator="containsText" text="ممتاز">
      <formula>NOT(ISERROR(SEARCH("ممتاز",AJ2)))</formula>
    </cfRule>
    <cfRule type="containsText" dxfId="38" priority="35" operator="containsText" text="جيد">
      <formula>NOT(ISERROR(SEARCH("جيد",AJ2)))</formula>
    </cfRule>
    <cfRule type="containsText" dxfId="37" priority="36" operator="containsText" text="مقبول">
      <formula>NOT(ISERROR(SEARCH("مقبول",AJ2)))</formula>
    </cfRule>
    <cfRule type="containsText" dxfId="36" priority="37" operator="containsText" text="خطر شديد">
      <formula>NOT(ISERROR(SEARCH("خطر شديد",AJ2)))</formula>
    </cfRule>
    <cfRule type="containsText" dxfId="35" priority="38" operator="containsText" text="ضعيف">
      <formula>NOT(ISERROR(SEARCH("ضعيف",AJ2)))</formula>
    </cfRule>
  </conditionalFormatting>
  <dataValidations count="9">
    <dataValidation type="date" showInputMessage="1" showErrorMessage="1" errorTitle="تاريخ غير صحيح" error="أدخل تاريخاً صحيحاً" promptTitle="التاريخ" prompt="أدخل تاريخ النشاط" sqref="E2:E28 E30:E40 E58:E1048576" xr:uid="{00000000-0002-0000-0100-000000000000}">
      <formula1>DATE(2020,1,1)</formula1>
      <formula2>DATE(2099,12,31)</formula2>
    </dataValidation>
    <dataValidation type="list" showInputMessage="1" showErrorMessage="1" errorTitle="قيمة غير صحيحة" error="اختر نعم أو تم حلها أو لا" promptTitle="المشكلة الميدانية" prompt="نعم=مفتوحة | تم حلها | لا=لا مشكلة" sqref="X2:X40 X58:X1048576" xr:uid="{00000000-0002-0000-0100-000001000000}">
      <formula1>"نعم,تم حلها,لا"</formula1>
      <formula2>0</formula2>
    </dataValidation>
    <dataValidation type="list" allowBlank="1" showErrorMessage="1" errorTitle="قيمة غير صحيحة" error="اختر من القائمة فقط" sqref="Y2:Y1048576" xr:uid="{00000000-0002-0000-0100-000002000000}">
      <formula1>"إشعار رسمي,تحذير كتابي,تقرير عاجل,وقف العمل فوراً,اجتماع طارئ,مذكرة تذكيرية,إعادة للجنة,سحب الدفعة,مراجعة مع المخزن,جلسة استماع عاجلة"</formula1>
      <formula2>0</formula2>
    </dataValidation>
    <dataValidation type="list" allowBlank="1" showInputMessage="1" showErrorMessage="1" errorTitle="قيمة غير صالحة" error="الرجاء اختيار ممول من القائمة." sqref="N2:N1048576 O999:U1048576" xr:uid="{00000000-0002-0000-0100-000003000000}">
      <formula1>FunderList</formula1>
    </dataValidation>
    <dataValidation type="list" allowBlank="1" showInputMessage="1" showErrorMessage="1" errorTitle="قيمة غير صالحة" error="الرجاء اختيار المسؤول من القائمة." sqref="J2:J1048576" xr:uid="{00000000-0002-0000-0100-000004000000}">
      <formula1>ResponsibleList</formula1>
    </dataValidation>
    <dataValidation type="list" allowBlank="1" showInputMessage="1" showErrorMessage="1" sqref="T2:T992" xr:uid="{00000000-0002-0000-0100-000005000000}">
      <formula1>"جاهز للتنفيذ,جاهز جزئياً,موقوف"</formula1>
    </dataValidation>
    <dataValidation type="list" allowBlank="1" showInputMessage="1" showErrorMessage="1" sqref="AM2:AM992" xr:uid="{00000000-0002-0000-0100-000006000000}">
      <formula1>"ميداني,مكتبي,عن بُعد"</formula1>
    </dataValidation>
    <dataValidation type="list" allowBlank="1" showInputMessage="1" showErrorMessage="1" sqref="AN2:AN992" xr:uid="{00000000-0002-0000-0100-000007000000}">
      <formula1>"قبل التنفيذ,أثناء التنفيذ,بعد التنفيذ"</formula1>
    </dataValidation>
    <dataValidation type="custom" allowBlank="1" showInputMessage="1" showErrorMessage="1" errorTitle="حقل إلزامي" error="لا يمكن ترك «الوقت» فارغًا. يجب إدخال قيمة لضمان المساءلة." promptTitle="حقل إلزامي" prompt="أدخل «الوقت» — لا يُقبل الفراغ." sqref="F2:F28 F30:F1048576" xr:uid="{00000000-0002-0000-0100-000008000000}">
      <formula1>LEN(TRIM(F2))&gt;0</formula1>
    </dataValidation>
  </dataValidations>
  <pageMargins left="0.75" right="0.75" top="1" bottom="1" header="0.511811023622047" footer="0.511811023622047"/>
  <pageSetup paperSize="9" scale="15"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8"/>
  <sheetViews>
    <sheetView rightToLeft="1" zoomScale="90" workbookViewId="0">
      <pane xSplit="1" ySplit="3" topLeftCell="B4" activePane="bottomRight" state="frozen"/>
      <selection pane="topRight"/>
      <selection pane="bottomLeft"/>
      <selection pane="bottomRight" activeCell="A16" sqref="A16:XFD20"/>
    </sheetView>
  </sheetViews>
  <sheetFormatPr defaultRowHeight="15"/>
  <cols>
    <col min="1" max="1" width="4" customWidth="1"/>
    <col min="2" max="2" width="28" customWidth="1"/>
    <col min="3" max="3" width="22" customWidth="1"/>
    <col min="4" max="4" width="18" customWidth="1"/>
    <col min="5" max="6" width="14" customWidth="1"/>
    <col min="7" max="7" width="24" customWidth="1"/>
    <col min="8" max="8" width="16" customWidth="1"/>
    <col min="9" max="9" width="13" customWidth="1"/>
    <col min="10" max="10" width="12" customWidth="1"/>
    <col min="11" max="11" width="14" customWidth="1"/>
  </cols>
  <sheetData>
    <row r="1" spans="1:11" ht="45.95" customHeight="1">
      <c r="A1" s="405" t="s">
        <v>1070</v>
      </c>
      <c r="B1" s="373"/>
      <c r="C1" s="373"/>
      <c r="D1" s="373"/>
      <c r="E1" s="373"/>
      <c r="F1" s="373"/>
      <c r="G1" s="373"/>
      <c r="H1" s="373"/>
      <c r="I1" s="373"/>
      <c r="J1" s="373"/>
      <c r="K1" s="373"/>
    </row>
    <row r="2" spans="1:11" ht="20.100000000000001" customHeight="1">
      <c r="A2" s="401" t="s">
        <v>2</v>
      </c>
      <c r="B2" s="373"/>
      <c r="C2" s="247" t="s">
        <v>1071</v>
      </c>
      <c r="D2" s="406"/>
      <c r="E2" s="373"/>
      <c r="F2" s="247" t="s">
        <v>1072</v>
      </c>
      <c r="G2" s="406"/>
      <c r="H2" s="373"/>
      <c r="I2" s="410" t="s">
        <v>1073</v>
      </c>
      <c r="J2" s="373"/>
      <c r="K2" s="373"/>
    </row>
    <row r="3" spans="1:11" ht="21.95" customHeight="1">
      <c r="A3" s="407" t="s">
        <v>1074</v>
      </c>
      <c r="B3" s="373"/>
      <c r="C3" s="373"/>
      <c r="D3" s="373"/>
      <c r="E3" s="373"/>
      <c r="F3" s="373"/>
      <c r="G3" s="373"/>
      <c r="H3" s="373"/>
      <c r="I3" s="373"/>
      <c r="J3" s="373"/>
      <c r="K3" s="373"/>
    </row>
    <row r="4" spans="1:11" ht="24" customHeight="1">
      <c r="A4" s="248" t="s">
        <v>1075</v>
      </c>
      <c r="B4" s="404"/>
      <c r="C4" s="373"/>
      <c r="D4" s="248" t="s">
        <v>623</v>
      </c>
      <c r="E4" s="337"/>
      <c r="F4" s="248" t="s">
        <v>627</v>
      </c>
      <c r="G4" s="404"/>
      <c r="H4" s="373"/>
      <c r="I4" s="248" t="s">
        <v>1076</v>
      </c>
      <c r="J4" s="404"/>
      <c r="K4" s="373"/>
    </row>
    <row r="5" spans="1:11" ht="24" customHeight="1">
      <c r="A5" s="248" t="s">
        <v>1077</v>
      </c>
      <c r="B5" s="337"/>
      <c r="C5" s="248" t="s">
        <v>91</v>
      </c>
      <c r="D5" s="404"/>
      <c r="E5" s="373"/>
      <c r="F5" s="248" t="s">
        <v>628</v>
      </c>
      <c r="G5" s="404"/>
      <c r="H5" s="373"/>
      <c r="I5" s="248" t="s">
        <v>46</v>
      </c>
      <c r="J5" s="404"/>
      <c r="K5" s="373"/>
    </row>
    <row r="6" spans="1:11" ht="30" customHeight="1">
      <c r="A6" s="248" t="s">
        <v>637</v>
      </c>
      <c r="B6" s="411"/>
      <c r="C6" s="373"/>
      <c r="D6" s="373"/>
      <c r="E6" s="373"/>
      <c r="F6" s="373"/>
      <c r="G6" s="373"/>
      <c r="H6" s="373"/>
      <c r="I6" s="373"/>
      <c r="J6" s="373"/>
      <c r="K6" s="373"/>
    </row>
    <row r="7" spans="1:11" ht="21.95" customHeight="1">
      <c r="A7" s="407" t="s">
        <v>1078</v>
      </c>
      <c r="B7" s="373"/>
      <c r="C7" s="373"/>
      <c r="D7" s="373"/>
      <c r="E7" s="373"/>
      <c r="F7" s="373"/>
      <c r="G7" s="373"/>
      <c r="H7" s="373"/>
      <c r="I7" s="373"/>
      <c r="J7" s="373"/>
      <c r="K7" s="373"/>
    </row>
    <row r="8" spans="1:11" ht="20.100000000000001" customHeight="1">
      <c r="A8" s="249" t="s">
        <v>1079</v>
      </c>
      <c r="B8" s="401" t="s">
        <v>1080</v>
      </c>
      <c r="C8" s="373"/>
      <c r="D8" s="401" t="s">
        <v>1081</v>
      </c>
      <c r="E8" s="373"/>
      <c r="F8" s="373"/>
      <c r="G8" s="401" t="s">
        <v>92</v>
      </c>
      <c r="H8" s="373"/>
      <c r="I8" s="401" t="s">
        <v>1082</v>
      </c>
      <c r="J8" s="373"/>
      <c r="K8" s="373"/>
    </row>
    <row r="9" spans="1:11" ht="21.95" customHeight="1">
      <c r="A9" s="250">
        <v>1</v>
      </c>
      <c r="B9" s="398"/>
      <c r="C9" s="373"/>
      <c r="D9" s="398"/>
      <c r="E9" s="373"/>
      <c r="F9" s="373"/>
      <c r="G9" s="398"/>
      <c r="H9" s="373"/>
      <c r="I9" s="398"/>
      <c r="J9" s="373"/>
      <c r="K9" s="373"/>
    </row>
    <row r="10" spans="1:11" ht="21.95" customHeight="1">
      <c r="A10" s="250">
        <v>2</v>
      </c>
      <c r="B10" s="398"/>
      <c r="C10" s="373"/>
      <c r="D10" s="398"/>
      <c r="E10" s="373"/>
      <c r="F10" s="373"/>
      <c r="G10" s="398"/>
      <c r="H10" s="373"/>
      <c r="I10" s="398"/>
      <c r="J10" s="373"/>
      <c r="K10" s="373"/>
    </row>
    <row r="11" spans="1:11" ht="21.95" customHeight="1">
      <c r="A11" s="250">
        <v>3</v>
      </c>
      <c r="B11" s="398"/>
      <c r="C11" s="373"/>
      <c r="D11" s="398"/>
      <c r="E11" s="373"/>
      <c r="F11" s="373"/>
      <c r="G11" s="398"/>
      <c r="H11" s="373"/>
      <c r="I11" s="398"/>
      <c r="J11" s="373"/>
      <c r="K11" s="373"/>
    </row>
    <row r="12" spans="1:11" ht="21.95" customHeight="1">
      <c r="A12" s="250">
        <v>4</v>
      </c>
      <c r="B12" s="398"/>
      <c r="C12" s="373"/>
      <c r="D12" s="398"/>
      <c r="E12" s="373"/>
      <c r="F12" s="373"/>
      <c r="G12" s="398"/>
      <c r="H12" s="373"/>
      <c r="I12" s="398"/>
      <c r="J12" s="373"/>
      <c r="K12" s="373"/>
    </row>
    <row r="13" spans="1:11" ht="21.95" customHeight="1">
      <c r="A13" s="403" t="s">
        <v>1083</v>
      </c>
      <c r="B13" s="373"/>
      <c r="C13" s="373"/>
      <c r="D13" s="373"/>
      <c r="E13" s="373"/>
      <c r="F13" s="373"/>
      <c r="G13" s="373"/>
      <c r="H13" s="373"/>
      <c r="I13" s="373"/>
      <c r="J13" s="373"/>
      <c r="K13" s="373"/>
    </row>
    <row r="14" spans="1:11" ht="20.100000000000001" customHeight="1">
      <c r="A14" s="338" t="s">
        <v>1079</v>
      </c>
      <c r="B14" s="399" t="s">
        <v>1084</v>
      </c>
      <c r="C14" s="373"/>
      <c r="D14" s="373"/>
      <c r="E14" s="373"/>
      <c r="F14" s="373"/>
      <c r="G14" s="402" t="s">
        <v>1085</v>
      </c>
      <c r="H14" s="373"/>
      <c r="I14" s="373"/>
      <c r="J14" s="373"/>
      <c r="K14" s="373"/>
    </row>
    <row r="15" spans="1:11" ht="21.95" customHeight="1">
      <c r="A15" s="339"/>
      <c r="B15" s="334" t="s">
        <v>1086</v>
      </c>
      <c r="C15" s="334" t="s">
        <v>1087</v>
      </c>
      <c r="D15" s="334" t="s">
        <v>1088</v>
      </c>
      <c r="E15" s="334" t="s">
        <v>1089</v>
      </c>
      <c r="F15" s="334" t="s">
        <v>1090</v>
      </c>
      <c r="G15" s="340" t="s">
        <v>640</v>
      </c>
      <c r="H15" s="335" t="s">
        <v>1091</v>
      </c>
      <c r="I15" s="335" t="s">
        <v>1092</v>
      </c>
      <c r="J15" s="335" t="s">
        <v>1093</v>
      </c>
      <c r="K15" s="335" t="s">
        <v>1094</v>
      </c>
    </row>
    <row r="16" spans="1:11" ht="36" customHeight="1">
      <c r="A16" s="336">
        <v>1</v>
      </c>
      <c r="B16" s="251"/>
      <c r="C16" s="251"/>
      <c r="D16" s="251"/>
      <c r="E16" s="251"/>
      <c r="F16" s="251"/>
      <c r="G16" s="341"/>
      <c r="H16" s="342"/>
      <c r="I16" s="342"/>
      <c r="J16" s="342"/>
      <c r="K16" s="342"/>
    </row>
    <row r="17" spans="1:11" ht="36" customHeight="1">
      <c r="A17" s="336">
        <v>2</v>
      </c>
      <c r="B17" s="251"/>
      <c r="C17" s="251"/>
      <c r="D17" s="251"/>
      <c r="E17" s="251"/>
      <c r="F17" s="251"/>
      <c r="G17" s="341"/>
      <c r="H17" s="342"/>
      <c r="I17" s="342"/>
      <c r="J17" s="342"/>
      <c r="K17" s="342"/>
    </row>
    <row r="18" spans="1:11" ht="36" customHeight="1">
      <c r="A18" s="336">
        <v>3</v>
      </c>
      <c r="B18" s="251"/>
      <c r="C18" s="251"/>
      <c r="D18" s="251"/>
      <c r="E18" s="251"/>
      <c r="F18" s="251"/>
      <c r="G18" s="341"/>
      <c r="H18" s="342"/>
      <c r="I18" s="342"/>
      <c r="J18" s="342"/>
      <c r="K18" s="342"/>
    </row>
    <row r="19" spans="1:11" ht="36" customHeight="1">
      <c r="A19" s="336">
        <v>4</v>
      </c>
      <c r="B19" s="251"/>
      <c r="C19" s="251"/>
      <c r="D19" s="251"/>
      <c r="E19" s="251"/>
      <c r="F19" s="251"/>
      <c r="G19" s="341"/>
      <c r="H19" s="342"/>
      <c r="I19" s="342"/>
      <c r="J19" s="342"/>
      <c r="K19" s="342"/>
    </row>
    <row r="20" spans="1:11" ht="36" customHeight="1">
      <c r="A20" s="336">
        <v>5</v>
      </c>
      <c r="B20" s="251"/>
      <c r="C20" s="251"/>
      <c r="D20" s="251"/>
      <c r="E20" s="251"/>
      <c r="F20" s="251"/>
      <c r="G20" s="341"/>
      <c r="H20" s="342"/>
      <c r="I20" s="342"/>
      <c r="J20" s="342"/>
      <c r="K20" s="342"/>
    </row>
    <row r="21" spans="1:11" ht="36" customHeight="1">
      <c r="A21" s="336">
        <v>6</v>
      </c>
      <c r="B21" s="251"/>
      <c r="C21" s="251"/>
      <c r="D21" s="251"/>
      <c r="E21" s="251"/>
      <c r="F21" s="251"/>
      <c r="G21" s="341"/>
      <c r="H21" s="342"/>
      <c r="I21" s="342"/>
      <c r="J21" s="342"/>
      <c r="K21" s="342"/>
    </row>
    <row r="22" spans="1:11" ht="21.95" customHeight="1">
      <c r="A22" s="403" t="s">
        <v>1095</v>
      </c>
      <c r="B22" s="373"/>
      <c r="C22" s="373"/>
      <c r="D22" s="373"/>
      <c r="E22" s="373"/>
      <c r="F22" s="373"/>
      <c r="G22" s="373"/>
      <c r="H22" s="373"/>
      <c r="I22" s="373"/>
      <c r="J22" s="373"/>
      <c r="K22" s="373"/>
    </row>
    <row r="23" spans="1:11" ht="24" customHeight="1">
      <c r="A23" s="252" t="s">
        <v>1096</v>
      </c>
      <c r="B23" s="404"/>
      <c r="C23" s="373"/>
      <c r="D23" s="252" t="s">
        <v>1097</v>
      </c>
      <c r="E23" s="404"/>
      <c r="F23" s="373"/>
      <c r="G23" s="252" t="s">
        <v>1098</v>
      </c>
      <c r="H23" s="404"/>
      <c r="I23" s="373"/>
      <c r="J23" s="252" t="s">
        <v>1099</v>
      </c>
      <c r="K23" s="337"/>
    </row>
    <row r="24" spans="1:11" ht="21.95" customHeight="1">
      <c r="A24" s="252" t="s">
        <v>1100</v>
      </c>
      <c r="B24" s="404"/>
      <c r="C24" s="373"/>
      <c r="D24" s="252" t="s">
        <v>1101</v>
      </c>
      <c r="E24" s="400"/>
      <c r="F24" s="373"/>
      <c r="G24" s="373"/>
      <c r="H24" s="373"/>
      <c r="I24" s="373"/>
      <c r="J24" s="373"/>
      <c r="K24" s="373"/>
    </row>
    <row r="25" spans="1:11" ht="21.95" customHeight="1">
      <c r="A25" s="407" t="s">
        <v>1102</v>
      </c>
      <c r="B25" s="373"/>
      <c r="C25" s="373"/>
      <c r="D25" s="373"/>
      <c r="E25" s="373"/>
      <c r="F25" s="373"/>
      <c r="G25" s="373"/>
      <c r="H25" s="373"/>
      <c r="I25" s="373"/>
      <c r="J25" s="373"/>
      <c r="K25" s="373"/>
    </row>
    <row r="26" spans="1:11" ht="20.100000000000001" customHeight="1">
      <c r="A26" s="401" t="s">
        <v>84</v>
      </c>
      <c r="B26" s="373"/>
      <c r="C26" s="373"/>
      <c r="D26" s="401" t="s">
        <v>1103</v>
      </c>
      <c r="E26" s="373"/>
      <c r="F26" s="373"/>
      <c r="G26" s="373"/>
      <c r="H26" s="401" t="s">
        <v>85</v>
      </c>
      <c r="I26" s="373"/>
      <c r="J26" s="373"/>
      <c r="K26" s="373"/>
    </row>
    <row r="27" spans="1:11" ht="38.1" customHeight="1">
      <c r="A27" s="409" t="s">
        <v>1104</v>
      </c>
      <c r="B27" s="373"/>
      <c r="C27" s="373"/>
      <c r="D27" s="409" t="s">
        <v>1104</v>
      </c>
      <c r="E27" s="373"/>
      <c r="F27" s="373"/>
      <c r="G27" s="373"/>
      <c r="H27" s="409" t="s">
        <v>1104</v>
      </c>
      <c r="I27" s="373"/>
      <c r="J27" s="373"/>
      <c r="K27" s="373"/>
    </row>
    <row r="28" spans="1:11" ht="15.95" customHeight="1">
      <c r="A28" s="408" t="s">
        <v>1105</v>
      </c>
      <c r="B28" s="373"/>
      <c r="C28" s="373"/>
      <c r="D28" s="373"/>
      <c r="E28" s="373"/>
      <c r="F28" s="373"/>
      <c r="G28" s="373"/>
      <c r="H28" s="373"/>
      <c r="I28" s="373"/>
      <c r="J28" s="373"/>
      <c r="K28" s="373"/>
    </row>
  </sheetData>
  <mergeCells count="51">
    <mergeCell ref="B4:C4"/>
    <mergeCell ref="A2:B2"/>
    <mergeCell ref="I10:K10"/>
    <mergeCell ref="A3:K3"/>
    <mergeCell ref="I9:K9"/>
    <mergeCell ref="B10:C10"/>
    <mergeCell ref="G5:H5"/>
    <mergeCell ref="B9:C9"/>
    <mergeCell ref="D10:F10"/>
    <mergeCell ref="G4:H4"/>
    <mergeCell ref="I2:K2"/>
    <mergeCell ref="D5:E5"/>
    <mergeCell ref="B6:K6"/>
    <mergeCell ref="G8:H8"/>
    <mergeCell ref="J4:K4"/>
    <mergeCell ref="A28:K28"/>
    <mergeCell ref="A13:K13"/>
    <mergeCell ref="B23:C23"/>
    <mergeCell ref="A27:C27"/>
    <mergeCell ref="I12:K12"/>
    <mergeCell ref="H27:K27"/>
    <mergeCell ref="D27:G27"/>
    <mergeCell ref="A1:K1"/>
    <mergeCell ref="A26:C26"/>
    <mergeCell ref="B12:C12"/>
    <mergeCell ref="D26:G26"/>
    <mergeCell ref="D2:E2"/>
    <mergeCell ref="B11:C11"/>
    <mergeCell ref="H26:K26"/>
    <mergeCell ref="A7:K7"/>
    <mergeCell ref="G10:H10"/>
    <mergeCell ref="A25:K25"/>
    <mergeCell ref="I8:K8"/>
    <mergeCell ref="D12:F12"/>
    <mergeCell ref="J5:K5"/>
    <mergeCell ref="G2:H2"/>
    <mergeCell ref="G11:H11"/>
    <mergeCell ref="E23:F23"/>
    <mergeCell ref="D9:F9"/>
    <mergeCell ref="B14:F14"/>
    <mergeCell ref="E24:K24"/>
    <mergeCell ref="D8:F8"/>
    <mergeCell ref="B8:C8"/>
    <mergeCell ref="G14:K14"/>
    <mergeCell ref="I11:K11"/>
    <mergeCell ref="A22:K22"/>
    <mergeCell ref="B24:C24"/>
    <mergeCell ref="H23:I23"/>
    <mergeCell ref="D11:F11"/>
    <mergeCell ref="G12:H12"/>
    <mergeCell ref="G9:H9"/>
  </mergeCells>
  <dataValidations count="10">
    <dataValidation type="list" allowBlank="1" sqref="B4" xr:uid="{00000000-0002-0000-0200-000000000000}">
      <formula1>"رقابي,توعوي,متابعة ميدانية,مقابلة فردية,تقييم أداء,متابعة توصيات,أخرى"</formula1>
    </dataValidation>
    <dataValidation type="list" allowBlank="1" sqref="E4" xr:uid="{00000000-0002-0000-0200-000001000000}">
      <formula1>"الأحد,الاثنين,الثلاثاء,الأربعاء,الخميس,الجمعة,السبت"</formula1>
    </dataValidation>
    <dataValidation type="list" allowBlank="1" sqref="B5" xr:uid="{00000000-0002-0000-0200-000002000000}">
      <formula1>"الجمعية,المراكز الصحية"</formula1>
    </dataValidation>
    <dataValidation type="list" allowBlank="1" sqref="E16 E17 E18 E19 E20 E21" xr:uid="{00000000-0002-0000-0200-000003000000}">
      <formula1>"أول مرة,متكرر (مرتان),متكرر (3+),مستمر"</formula1>
    </dataValidation>
    <dataValidation type="list" allowBlank="1" sqref="F16 F17 F18 F19 F20 F21" xr:uid="{00000000-0002-0000-0200-000004000000}">
      <formula1>"مفتوحة,قيد المعالجة,مغلقة,متأخرة"</formula1>
    </dataValidation>
    <dataValidation type="list" allowBlank="1" sqref="J16 J17 J18 J19 J20 J21" xr:uid="{00000000-0002-0000-0200-000005000000}">
      <formula1>"🔴 عالية,🟡 متوسطة,🟢 منخفضة"</formula1>
    </dataValidation>
    <dataValidation type="list" allowBlank="1" sqref="K16 K17 K18 K19 K20 K21" xr:uid="{00000000-0002-0000-0200-000006000000}">
      <formula1>"لم تبدأ,قيد التنفيذ,مكتملة,متأخرة,ملغاة"</formula1>
    </dataValidation>
    <dataValidation type="list" allowBlank="1" sqref="B23" xr:uid="{00000000-0002-0000-0200-000007000000}">
      <formula1>"ممتاز ✅,جيد ⭐,مقبول 🟡,ضعيف ⚠️,خطر 🔴"</formula1>
    </dataValidation>
    <dataValidation type="list" allowBlank="1" sqref="E23" xr:uid="{00000000-0002-0000-0200-000008000000}">
      <formula1>"لا يحتاج,تدخل عادي,تدخل عاجل,تدخل فوري"</formula1>
    </dataValidation>
    <dataValidation type="list" allowBlank="1" sqref="K23" xr:uid="{00000000-0002-0000-0200-000009000000}">
      <formula1>"ميدانية,تقرير,إلكتروني,اجتماع,مزيج"</formula1>
    </dataValidation>
  </dataValidation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5D04F-0337-40DC-B716-0CC09577236F}">
  <dimension ref="A1:K39"/>
  <sheetViews>
    <sheetView showGridLines="0" rightToLeft="1" topLeftCell="A6" workbookViewId="0">
      <selection activeCell="E4" sqref="E4:F4"/>
    </sheetView>
  </sheetViews>
  <sheetFormatPr defaultRowHeight="15"/>
  <cols>
    <col min="1" max="1" width="6.42578125" customWidth="1"/>
    <col min="2" max="11" width="12.140625" customWidth="1"/>
  </cols>
  <sheetData>
    <row r="1" spans="1:11" ht="36" customHeight="1">
      <c r="A1" s="428" t="s">
        <v>1329</v>
      </c>
      <c r="B1" s="428"/>
      <c r="C1" s="428"/>
      <c r="D1" s="428"/>
      <c r="E1" s="428"/>
      <c r="F1" s="428"/>
      <c r="G1" s="428"/>
      <c r="H1" s="428"/>
      <c r="I1" s="428"/>
      <c r="J1" s="428"/>
      <c r="K1" s="428"/>
    </row>
    <row r="2" spans="1:11" ht="20.100000000000001" customHeight="1">
      <c r="A2" s="429" t="s">
        <v>1330</v>
      </c>
      <c r="B2" s="429"/>
      <c r="C2" s="429"/>
      <c r="D2" s="429"/>
      <c r="E2" s="429"/>
      <c r="F2" s="429"/>
      <c r="G2" s="429"/>
      <c r="H2" s="429"/>
      <c r="I2" s="429"/>
      <c r="J2" s="429"/>
      <c r="K2" s="429"/>
    </row>
    <row r="3" spans="1:11" ht="24" customHeight="1">
      <c r="A3" s="415" t="s">
        <v>1074</v>
      </c>
      <c r="B3" s="415"/>
      <c r="C3" s="415"/>
      <c r="D3" s="415"/>
      <c r="E3" s="415"/>
      <c r="F3" s="415"/>
      <c r="G3" s="415"/>
      <c r="H3" s="415"/>
      <c r="I3" s="415"/>
      <c r="J3" s="415"/>
      <c r="K3" s="415"/>
    </row>
    <row r="4" spans="1:11" ht="24" customHeight="1">
      <c r="A4" s="343" t="s">
        <v>1331</v>
      </c>
      <c r="B4" s="430" t="s">
        <v>1332</v>
      </c>
      <c r="C4" s="430"/>
      <c r="D4" s="343" t="s">
        <v>1333</v>
      </c>
      <c r="E4" s="431">
        <v>46194</v>
      </c>
      <c r="F4" s="431"/>
      <c r="G4" s="343" t="s">
        <v>1334</v>
      </c>
      <c r="H4" s="432" t="s">
        <v>1335</v>
      </c>
      <c r="I4" s="432"/>
      <c r="J4" s="343" t="s">
        <v>623</v>
      </c>
      <c r="K4" s="344" t="str">
        <f>IF($E$4="","",CHOOSE(WEEKDAY($E$4,2),"الاثنين","الثلاثاء","الأربعاء","الخميس","الجمعة","السبت","الأحد"))</f>
        <v>الأحد</v>
      </c>
    </row>
    <row r="5" spans="1:11" ht="24" customHeight="1">
      <c r="A5" s="343" t="s">
        <v>1075</v>
      </c>
      <c r="B5" s="427" t="s">
        <v>1336</v>
      </c>
      <c r="C5" s="427"/>
      <c r="D5" s="343" t="s">
        <v>91</v>
      </c>
      <c r="E5" s="427" t="s">
        <v>104</v>
      </c>
      <c r="F5" s="427"/>
      <c r="G5" s="343" t="s">
        <v>628</v>
      </c>
      <c r="H5" s="427" t="s">
        <v>192</v>
      </c>
      <c r="I5" s="427"/>
      <c r="J5" s="427"/>
      <c r="K5" s="427"/>
    </row>
    <row r="6" spans="1:11" ht="24" customHeight="1">
      <c r="A6" s="343" t="s">
        <v>46</v>
      </c>
      <c r="B6" s="427" t="s">
        <v>26</v>
      </c>
      <c r="C6" s="427"/>
      <c r="D6" s="343" t="s">
        <v>1337</v>
      </c>
      <c r="E6" s="427" t="s">
        <v>1338</v>
      </c>
      <c r="F6" s="427"/>
      <c r="G6" s="427"/>
      <c r="H6" s="427"/>
      <c r="I6" s="427"/>
      <c r="J6" s="427"/>
      <c r="K6" s="427"/>
    </row>
    <row r="7" spans="1:11" ht="45.95" customHeight="1">
      <c r="A7" s="343" t="s">
        <v>1339</v>
      </c>
      <c r="B7" s="427" t="s">
        <v>1340</v>
      </c>
      <c r="C7" s="427"/>
      <c r="D7" s="427"/>
      <c r="E7" s="427"/>
      <c r="F7" s="427"/>
      <c r="G7" s="427"/>
      <c r="H7" s="427"/>
      <c r="I7" s="427"/>
      <c r="J7" s="427"/>
      <c r="K7" s="427"/>
    </row>
    <row r="8" spans="1:11" ht="45.95" customHeight="1">
      <c r="A8" s="343" t="s">
        <v>1341</v>
      </c>
      <c r="B8" s="427" t="s">
        <v>1342</v>
      </c>
      <c r="C8" s="427"/>
      <c r="D8" s="427"/>
      <c r="E8" s="427"/>
      <c r="F8" s="427"/>
      <c r="G8" s="427"/>
      <c r="H8" s="427"/>
      <c r="I8" s="427"/>
      <c r="J8" s="427"/>
      <c r="K8" s="427"/>
    </row>
    <row r="9" spans="1:11" ht="24" customHeight="1">
      <c r="A9" s="415" t="s">
        <v>1343</v>
      </c>
      <c r="B9" s="415"/>
      <c r="C9" s="415"/>
      <c r="D9" s="415"/>
      <c r="E9" s="415"/>
      <c r="F9" s="415"/>
      <c r="G9" s="415"/>
      <c r="H9" s="415"/>
      <c r="I9" s="415"/>
      <c r="J9" s="415"/>
      <c r="K9" s="415"/>
    </row>
    <row r="10" spans="1:11" ht="24" customHeight="1">
      <c r="A10" s="345" t="s">
        <v>1079</v>
      </c>
      <c r="B10" s="420" t="s">
        <v>1080</v>
      </c>
      <c r="C10" s="420"/>
      <c r="D10" s="420" t="s">
        <v>1081</v>
      </c>
      <c r="E10" s="420"/>
      <c r="F10" s="420" t="s">
        <v>92</v>
      </c>
      <c r="G10" s="420"/>
      <c r="H10" s="420"/>
      <c r="I10" s="420" t="s">
        <v>1344</v>
      </c>
      <c r="J10" s="420"/>
      <c r="K10" s="420"/>
    </row>
    <row r="11" spans="1:11" ht="24" customHeight="1">
      <c r="A11" s="346">
        <v>1</v>
      </c>
      <c r="B11" s="414" t="s">
        <v>1345</v>
      </c>
      <c r="C11" s="414"/>
      <c r="D11" s="414" t="s">
        <v>85</v>
      </c>
      <c r="E11" s="414"/>
      <c r="F11" s="414" t="s">
        <v>2</v>
      </c>
      <c r="G11" s="414"/>
      <c r="H11" s="414"/>
      <c r="I11" s="414" t="s">
        <v>1346</v>
      </c>
      <c r="J11" s="414"/>
      <c r="K11" s="414"/>
    </row>
    <row r="12" spans="1:11" ht="24" customHeight="1">
      <c r="A12" s="347">
        <v>2</v>
      </c>
      <c r="B12" s="413" t="s">
        <v>134</v>
      </c>
      <c r="C12" s="413"/>
      <c r="D12" s="413" t="s">
        <v>1347</v>
      </c>
      <c r="E12" s="413"/>
      <c r="F12" s="413" t="s">
        <v>2</v>
      </c>
      <c r="G12" s="413"/>
      <c r="H12" s="413"/>
      <c r="I12" s="413" t="s">
        <v>1348</v>
      </c>
      <c r="J12" s="413"/>
      <c r="K12" s="413"/>
    </row>
    <row r="13" spans="1:11" ht="24" customHeight="1">
      <c r="A13" s="346">
        <v>3</v>
      </c>
      <c r="B13" s="414" t="s">
        <v>1349</v>
      </c>
      <c r="C13" s="414"/>
      <c r="D13" s="414" t="s">
        <v>1350</v>
      </c>
      <c r="E13" s="414"/>
      <c r="F13" s="414" t="s">
        <v>104</v>
      </c>
      <c r="G13" s="414"/>
      <c r="H13" s="414"/>
      <c r="I13" s="414" t="s">
        <v>1351</v>
      </c>
      <c r="J13" s="414"/>
      <c r="K13" s="414"/>
    </row>
    <row r="14" spans="1:11" ht="24" customHeight="1">
      <c r="A14" s="347">
        <v>4</v>
      </c>
      <c r="B14" s="413" t="s">
        <v>1352</v>
      </c>
      <c r="C14" s="413"/>
      <c r="D14" s="413" t="s">
        <v>1353</v>
      </c>
      <c r="E14" s="413"/>
      <c r="F14" s="413" t="s">
        <v>1354</v>
      </c>
      <c r="G14" s="413"/>
      <c r="H14" s="413"/>
      <c r="I14" s="413" t="s">
        <v>1355</v>
      </c>
      <c r="J14" s="413"/>
      <c r="K14" s="413"/>
    </row>
    <row r="15" spans="1:11" ht="24" customHeight="1">
      <c r="A15" s="346">
        <v>5</v>
      </c>
      <c r="B15" s="414" t="s">
        <v>1356</v>
      </c>
      <c r="C15" s="414"/>
      <c r="D15" s="414" t="s">
        <v>1357</v>
      </c>
      <c r="E15" s="414"/>
      <c r="F15" s="414" t="s">
        <v>103</v>
      </c>
      <c r="G15" s="414"/>
      <c r="H15" s="414"/>
      <c r="I15" s="414" t="s">
        <v>1355</v>
      </c>
      <c r="J15" s="414"/>
      <c r="K15" s="414"/>
    </row>
    <row r="16" spans="1:11" ht="24" customHeight="1">
      <c r="A16" s="415" t="s">
        <v>1358</v>
      </c>
      <c r="B16" s="415"/>
      <c r="C16" s="415"/>
      <c r="D16" s="415"/>
      <c r="E16" s="415"/>
      <c r="F16" s="415"/>
      <c r="G16" s="415"/>
      <c r="H16" s="415"/>
      <c r="I16" s="415"/>
      <c r="J16" s="415"/>
      <c r="K16" s="415"/>
    </row>
    <row r="17" spans="1:11" ht="24" customHeight="1">
      <c r="A17" s="345" t="s">
        <v>1079</v>
      </c>
      <c r="B17" s="420" t="s">
        <v>637</v>
      </c>
      <c r="C17" s="420"/>
      <c r="D17" s="420" t="s">
        <v>1359</v>
      </c>
      <c r="E17" s="420"/>
      <c r="F17" s="420"/>
      <c r="G17" s="420"/>
      <c r="H17" s="420" t="s">
        <v>1360</v>
      </c>
      <c r="I17" s="420"/>
      <c r="J17" s="420"/>
      <c r="K17" s="420"/>
    </row>
    <row r="18" spans="1:11" ht="24" customHeight="1">
      <c r="A18" s="346">
        <v>1</v>
      </c>
      <c r="B18" s="414" t="s">
        <v>1361</v>
      </c>
      <c r="C18" s="414"/>
      <c r="D18" s="414" t="s">
        <v>1362</v>
      </c>
      <c r="E18" s="414"/>
      <c r="F18" s="414"/>
      <c r="G18" s="414"/>
      <c r="H18" s="414" t="s">
        <v>1363</v>
      </c>
      <c r="I18" s="414"/>
      <c r="J18" s="414"/>
      <c r="K18" s="414"/>
    </row>
    <row r="19" spans="1:11" ht="24" customHeight="1">
      <c r="A19" s="347">
        <v>2</v>
      </c>
      <c r="B19" s="413" t="s">
        <v>1364</v>
      </c>
      <c r="C19" s="413"/>
      <c r="D19" s="413" t="s">
        <v>1365</v>
      </c>
      <c r="E19" s="413"/>
      <c r="F19" s="413"/>
      <c r="G19" s="413"/>
      <c r="H19" s="413" t="s">
        <v>1366</v>
      </c>
      <c r="I19" s="413"/>
      <c r="J19" s="413"/>
      <c r="K19" s="413"/>
    </row>
    <row r="20" spans="1:11" ht="24" customHeight="1">
      <c r="A20" s="346">
        <v>3</v>
      </c>
      <c r="B20" s="414" t="s">
        <v>1367</v>
      </c>
      <c r="C20" s="414"/>
      <c r="D20" s="414" t="s">
        <v>1368</v>
      </c>
      <c r="E20" s="414"/>
      <c r="F20" s="414"/>
      <c r="G20" s="414"/>
      <c r="H20" s="414" t="s">
        <v>1369</v>
      </c>
      <c r="I20" s="414"/>
      <c r="J20" s="414"/>
      <c r="K20" s="414"/>
    </row>
    <row r="21" spans="1:11" ht="24" customHeight="1">
      <c r="A21" s="350">
        <v>4</v>
      </c>
      <c r="B21" s="426" t="s">
        <v>1370</v>
      </c>
      <c r="C21" s="426"/>
      <c r="D21" s="426" t="s">
        <v>1371</v>
      </c>
      <c r="E21" s="426"/>
      <c r="F21" s="426"/>
      <c r="G21" s="426"/>
      <c r="H21" s="426" t="s">
        <v>1372</v>
      </c>
      <c r="I21" s="426"/>
      <c r="J21" s="426"/>
      <c r="K21" s="426"/>
    </row>
    <row r="22" spans="1:11" ht="26.1" customHeight="1">
      <c r="A22" s="424" t="s">
        <v>1405</v>
      </c>
      <c r="B22" s="424"/>
      <c r="C22" s="424"/>
      <c r="D22" s="424"/>
      <c r="E22" s="424"/>
      <c r="F22" s="424"/>
      <c r="G22" s="424"/>
      <c r="H22" s="424"/>
      <c r="I22" s="424"/>
      <c r="J22" s="424"/>
      <c r="K22" s="424"/>
    </row>
    <row r="23" spans="1:11" ht="32.1" customHeight="1">
      <c r="A23" s="351" t="s">
        <v>1373</v>
      </c>
      <c r="B23" s="425" t="s">
        <v>1406</v>
      </c>
      <c r="C23" s="425"/>
      <c r="D23" s="425" t="s">
        <v>1374</v>
      </c>
      <c r="E23" s="425"/>
      <c r="F23" s="425" t="s">
        <v>1407</v>
      </c>
      <c r="G23" s="425"/>
      <c r="H23" s="425"/>
      <c r="I23" s="425"/>
      <c r="J23" s="425" t="s">
        <v>1091</v>
      </c>
      <c r="K23" s="425"/>
    </row>
    <row r="24" spans="1:11" ht="81.95" customHeight="1">
      <c r="A24" s="352" t="s">
        <v>1375</v>
      </c>
      <c r="B24" s="421" t="s">
        <v>1376</v>
      </c>
      <c r="C24" s="421"/>
      <c r="D24" s="421" t="s">
        <v>1377</v>
      </c>
      <c r="E24" s="421"/>
      <c r="F24" s="421" t="s">
        <v>1408</v>
      </c>
      <c r="G24" s="421"/>
      <c r="H24" s="421"/>
      <c r="I24" s="421"/>
      <c r="J24" s="422" t="s">
        <v>1378</v>
      </c>
      <c r="K24" s="423"/>
    </row>
    <row r="25" spans="1:11" ht="81.95" customHeight="1">
      <c r="A25" s="352" t="s">
        <v>1379</v>
      </c>
      <c r="B25" s="421" t="s">
        <v>1380</v>
      </c>
      <c r="C25" s="421"/>
      <c r="D25" s="421" t="s">
        <v>1381</v>
      </c>
      <c r="E25" s="421"/>
      <c r="F25" s="421" t="s">
        <v>1409</v>
      </c>
      <c r="G25" s="421"/>
      <c r="H25" s="421"/>
      <c r="I25" s="421"/>
      <c r="J25" s="422" t="s">
        <v>1382</v>
      </c>
      <c r="K25" s="423"/>
    </row>
    <row r="26" spans="1:11" ht="81.95" customHeight="1">
      <c r="A26" s="352" t="s">
        <v>1383</v>
      </c>
      <c r="B26" s="421" t="s">
        <v>1384</v>
      </c>
      <c r="C26" s="421"/>
      <c r="D26" s="421" t="s">
        <v>1385</v>
      </c>
      <c r="E26" s="421"/>
      <c r="F26" s="421" t="s">
        <v>1410</v>
      </c>
      <c r="G26" s="421"/>
      <c r="H26" s="421"/>
      <c r="I26" s="421"/>
      <c r="J26" s="422" t="s">
        <v>1386</v>
      </c>
      <c r="K26" s="423"/>
    </row>
    <row r="27" spans="1:11" ht="81.95" customHeight="1">
      <c r="A27" s="352" t="s">
        <v>1387</v>
      </c>
      <c r="B27" s="421" t="s">
        <v>1388</v>
      </c>
      <c r="C27" s="421"/>
      <c r="D27" s="421" t="s">
        <v>1389</v>
      </c>
      <c r="E27" s="421"/>
      <c r="F27" s="421" t="s">
        <v>1411</v>
      </c>
      <c r="G27" s="421"/>
      <c r="H27" s="421"/>
      <c r="I27" s="421"/>
      <c r="J27" s="422" t="s">
        <v>1378</v>
      </c>
      <c r="K27" s="423"/>
    </row>
    <row r="28" spans="1:11" ht="24" customHeight="1">
      <c r="A28" s="418" t="s">
        <v>1412</v>
      </c>
      <c r="B28" s="418"/>
      <c r="C28" s="418"/>
      <c r="D28" s="418"/>
      <c r="E28" s="418"/>
      <c r="F28" s="418"/>
      <c r="G28" s="418"/>
      <c r="H28" s="418"/>
      <c r="I28" s="418"/>
      <c r="J28" s="418"/>
      <c r="K28" s="418"/>
    </row>
    <row r="29" spans="1:11" ht="54" customHeight="1">
      <c r="A29" s="419" t="s">
        <v>1390</v>
      </c>
      <c r="B29" s="419"/>
      <c r="C29" s="419"/>
      <c r="D29" s="419"/>
      <c r="E29" s="419"/>
      <c r="F29" s="419"/>
      <c r="G29" s="419"/>
      <c r="H29" s="419"/>
      <c r="I29" s="419"/>
      <c r="J29" s="419"/>
      <c r="K29" s="419"/>
    </row>
    <row r="30" spans="1:11" ht="54" customHeight="1">
      <c r="A30" s="419"/>
      <c r="B30" s="419"/>
      <c r="C30" s="419"/>
      <c r="D30" s="419"/>
      <c r="E30" s="419"/>
      <c r="F30" s="419"/>
      <c r="G30" s="419"/>
      <c r="H30" s="419"/>
      <c r="I30" s="419"/>
      <c r="J30" s="419"/>
      <c r="K30" s="419"/>
    </row>
    <row r="31" spans="1:11" ht="24" customHeight="1">
      <c r="A31" s="415" t="s">
        <v>1413</v>
      </c>
      <c r="B31" s="415"/>
      <c r="C31" s="415"/>
      <c r="D31" s="415"/>
      <c r="E31" s="415"/>
      <c r="F31" s="415"/>
      <c r="G31" s="415"/>
      <c r="H31" s="415"/>
      <c r="I31" s="415"/>
      <c r="J31" s="415"/>
      <c r="K31" s="415"/>
    </row>
    <row r="32" spans="1:11" ht="24" customHeight="1">
      <c r="A32" s="345" t="s">
        <v>1373</v>
      </c>
      <c r="B32" s="420" t="s">
        <v>1391</v>
      </c>
      <c r="C32" s="420"/>
      <c r="D32" s="420"/>
      <c r="E32" s="420"/>
      <c r="F32" s="420"/>
      <c r="G32" s="420"/>
      <c r="H32" s="420"/>
      <c r="I32" s="420" t="s">
        <v>1392</v>
      </c>
      <c r="J32" s="420"/>
      <c r="K32" s="420"/>
    </row>
    <row r="33" spans="1:11" ht="24" customHeight="1">
      <c r="A33" s="348" t="s">
        <v>1393</v>
      </c>
      <c r="B33" s="414" t="s">
        <v>1394</v>
      </c>
      <c r="C33" s="414"/>
      <c r="D33" s="414"/>
      <c r="E33" s="414"/>
      <c r="F33" s="414"/>
      <c r="G33" s="414"/>
      <c r="H33" s="414"/>
      <c r="I33" s="414" t="s">
        <v>1395</v>
      </c>
      <c r="J33" s="414"/>
      <c r="K33" s="414"/>
    </row>
    <row r="34" spans="1:11" ht="24" customHeight="1">
      <c r="A34" s="349" t="s">
        <v>1396</v>
      </c>
      <c r="B34" s="413" t="s">
        <v>1397</v>
      </c>
      <c r="C34" s="413"/>
      <c r="D34" s="413"/>
      <c r="E34" s="413"/>
      <c r="F34" s="413"/>
      <c r="G34" s="413"/>
      <c r="H34" s="413"/>
      <c r="I34" s="413" t="s">
        <v>2</v>
      </c>
      <c r="J34" s="413"/>
      <c r="K34" s="413"/>
    </row>
    <row r="35" spans="1:11" ht="24" customHeight="1">
      <c r="A35" s="348" t="s">
        <v>1398</v>
      </c>
      <c r="B35" s="414" t="s">
        <v>1399</v>
      </c>
      <c r="C35" s="414"/>
      <c r="D35" s="414"/>
      <c r="E35" s="414"/>
      <c r="F35" s="414"/>
      <c r="G35" s="414"/>
      <c r="H35" s="414"/>
      <c r="I35" s="414" t="s">
        <v>100</v>
      </c>
      <c r="J35" s="414"/>
      <c r="K35" s="414"/>
    </row>
    <row r="36" spans="1:11" ht="24" customHeight="1">
      <c r="A36" s="415" t="s">
        <v>1414</v>
      </c>
      <c r="B36" s="415"/>
      <c r="C36" s="415"/>
      <c r="D36" s="415"/>
      <c r="E36" s="415"/>
      <c r="F36" s="415"/>
      <c r="G36" s="415"/>
      <c r="H36" s="415"/>
      <c r="I36" s="415"/>
      <c r="J36" s="415"/>
      <c r="K36" s="415"/>
    </row>
    <row r="37" spans="1:11" ht="21.95" customHeight="1">
      <c r="A37" s="416" t="s">
        <v>1400</v>
      </c>
      <c r="B37" s="416"/>
      <c r="C37" s="416"/>
      <c r="D37" s="416" t="s">
        <v>1401</v>
      </c>
      <c r="E37" s="416"/>
      <c r="F37" s="416"/>
      <c r="G37" s="416" t="s">
        <v>85</v>
      </c>
      <c r="H37" s="416"/>
      <c r="I37" s="416"/>
      <c r="J37" s="416" t="s">
        <v>1346</v>
      </c>
      <c r="K37" s="416"/>
    </row>
    <row r="38" spans="1:11" ht="24" customHeight="1">
      <c r="A38" s="417" t="s">
        <v>134</v>
      </c>
      <c r="B38" s="417"/>
      <c r="C38" s="417"/>
      <c r="D38" s="417" t="s">
        <v>1378</v>
      </c>
      <c r="E38" s="417"/>
      <c r="F38" s="417"/>
      <c r="G38" s="417" t="s">
        <v>1345</v>
      </c>
      <c r="H38" s="417"/>
      <c r="I38" s="417"/>
      <c r="J38" s="417" t="s">
        <v>1402</v>
      </c>
      <c r="K38" s="417"/>
    </row>
    <row r="39" spans="1:11" ht="21.95" customHeight="1">
      <c r="A39" s="412" t="s">
        <v>1403</v>
      </c>
      <c r="B39" s="412"/>
      <c r="C39" s="412"/>
      <c r="D39" s="412" t="s">
        <v>1403</v>
      </c>
      <c r="E39" s="412"/>
      <c r="F39" s="412"/>
      <c r="G39" s="412" t="s">
        <v>1403</v>
      </c>
      <c r="H39" s="412"/>
      <c r="I39" s="412"/>
      <c r="J39" s="412" t="s">
        <v>1404</v>
      </c>
      <c r="K39" s="412"/>
    </row>
  </sheetData>
  <mergeCells count="99">
    <mergeCell ref="A1:K1"/>
    <mergeCell ref="A2:K2"/>
    <mergeCell ref="A3:K3"/>
    <mergeCell ref="B4:C4"/>
    <mergeCell ref="E4:F4"/>
    <mergeCell ref="H4:I4"/>
    <mergeCell ref="D10:E10"/>
    <mergeCell ref="F10:H10"/>
    <mergeCell ref="I10:K10"/>
    <mergeCell ref="B14:C14"/>
    <mergeCell ref="D14:E14"/>
    <mergeCell ref="F14:H14"/>
    <mergeCell ref="I14:K14"/>
    <mergeCell ref="B5:C5"/>
    <mergeCell ref="E5:F5"/>
    <mergeCell ref="H5:K5"/>
    <mergeCell ref="B6:C6"/>
    <mergeCell ref="E6:K6"/>
    <mergeCell ref="B7:K7"/>
    <mergeCell ref="B13:C13"/>
    <mergeCell ref="D13:E13"/>
    <mergeCell ref="F13:H13"/>
    <mergeCell ref="I13:K13"/>
    <mergeCell ref="B11:C11"/>
    <mergeCell ref="D11:E11"/>
    <mergeCell ref="F11:H11"/>
    <mergeCell ref="I11:K11"/>
    <mergeCell ref="B12:C12"/>
    <mergeCell ref="D12:E12"/>
    <mergeCell ref="F12:H12"/>
    <mergeCell ref="I12:K12"/>
    <mergeCell ref="B8:K8"/>
    <mergeCell ref="A9:K9"/>
    <mergeCell ref="B10:C10"/>
    <mergeCell ref="B19:C19"/>
    <mergeCell ref="D19:G19"/>
    <mergeCell ref="H19:K19"/>
    <mergeCell ref="B15:C15"/>
    <mergeCell ref="D15:E15"/>
    <mergeCell ref="F15:H15"/>
    <mergeCell ref="I15:K15"/>
    <mergeCell ref="A16:K16"/>
    <mergeCell ref="B17:C17"/>
    <mergeCell ref="D17:G17"/>
    <mergeCell ref="H17:K17"/>
    <mergeCell ref="B18:C18"/>
    <mergeCell ref="D18:G18"/>
    <mergeCell ref="H18:K18"/>
    <mergeCell ref="A22:K22"/>
    <mergeCell ref="B23:C23"/>
    <mergeCell ref="D23:E23"/>
    <mergeCell ref="J23:K23"/>
    <mergeCell ref="B20:C20"/>
    <mergeCell ref="D20:G20"/>
    <mergeCell ref="H20:K20"/>
    <mergeCell ref="B21:C21"/>
    <mergeCell ref="D21:G21"/>
    <mergeCell ref="H21:K21"/>
    <mergeCell ref="F23:I23"/>
    <mergeCell ref="B24:C24"/>
    <mergeCell ref="D24:E24"/>
    <mergeCell ref="J24:K24"/>
    <mergeCell ref="B25:C25"/>
    <mergeCell ref="D25:E25"/>
    <mergeCell ref="J25:K25"/>
    <mergeCell ref="F24:I24"/>
    <mergeCell ref="F25:I25"/>
    <mergeCell ref="B26:C26"/>
    <mergeCell ref="D26:E26"/>
    <mergeCell ref="J26:K26"/>
    <mergeCell ref="B27:C27"/>
    <mergeCell ref="D27:E27"/>
    <mergeCell ref="J27:K27"/>
    <mergeCell ref="F26:I26"/>
    <mergeCell ref="F27:I27"/>
    <mergeCell ref="A28:K28"/>
    <mergeCell ref="A29:K30"/>
    <mergeCell ref="A31:K31"/>
    <mergeCell ref="B32:H32"/>
    <mergeCell ref="I32:K32"/>
    <mergeCell ref="B33:H33"/>
    <mergeCell ref="I33:K33"/>
    <mergeCell ref="A38:C38"/>
    <mergeCell ref="D38:F38"/>
    <mergeCell ref="G38:I38"/>
    <mergeCell ref="J38:K38"/>
    <mergeCell ref="A39:C39"/>
    <mergeCell ref="D39:F39"/>
    <mergeCell ref="G39:I39"/>
    <mergeCell ref="J39:K39"/>
    <mergeCell ref="B34:H34"/>
    <mergeCell ref="I34:K34"/>
    <mergeCell ref="B35:H35"/>
    <mergeCell ref="I35:K35"/>
    <mergeCell ref="A36:K36"/>
    <mergeCell ref="A37:C37"/>
    <mergeCell ref="D37:F37"/>
    <mergeCell ref="G37:I37"/>
    <mergeCell ref="J37:K37"/>
  </mergeCells>
  <dataValidations count="3">
    <dataValidation type="list" allowBlank="1" showInputMessage="1" showErrorMessage="1" sqref="B5" xr:uid="{71D18703-E79C-43FD-9F57-CDCC9FFFFCB5}">
      <formula1>"اجتماع رقابي دوري,اجتماع طارئ,اجتماع متابعة,اجتماع لجنة,اجتماع تنسيقي"</formula1>
    </dataValidation>
    <dataValidation type="list" errorStyle="information" allowBlank="1" showInputMessage="1" sqref="B11:B15 J24:J27" xr:uid="{75704363-34AC-4121-B403-56DF59B6D9CA}">
      <formula1>ResponsibleList</formula1>
    </dataValidation>
    <dataValidation type="list" errorStyle="information" allowBlank="1" showInputMessage="1" sqref="I11:I15" xr:uid="{2D91F493-306E-48F1-BFF4-C1B5C81B62F4}">
      <formula1>"رئيس الاجتماع,مقرر المحضر,عضو / الجهة المعنية,عضو"</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9795B2B-7BA5-406A-BC71-A4063063064D}">
          <x14:formula1>
            <xm:f>LISTS!$S$2:$S$4</xm:f>
          </x14:formula1>
          <xm:sqref>B6</xm:sqref>
        </x14:dataValidation>
        <x14:dataValidation type="list" errorStyle="information" allowBlank="1" showInputMessage="1" xr:uid="{863ECD4A-1498-48BC-AC48-B1848E72BBC8}">
          <x14:formula1>
            <xm:f>LISTS!$AB$1:$AJ$1</xm:f>
          </x14:formula1>
          <xm:sqref>E5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64"/>
  <sheetViews>
    <sheetView showGridLines="0" rightToLeft="1" topLeftCell="A9" zoomScale="115" zoomScaleNormal="115" workbookViewId="0">
      <selection activeCell="I12" sqref="G12:L12"/>
    </sheetView>
  </sheetViews>
  <sheetFormatPr defaultColWidth="8.7109375" defaultRowHeight="15"/>
  <cols>
    <col min="1" max="1" width="9.5703125" customWidth="1"/>
    <col min="2" max="2" width="11.5703125" customWidth="1"/>
    <col min="3" max="4" width="12" customWidth="1"/>
    <col min="5" max="5" width="3" customWidth="1"/>
    <col min="6" max="6" width="18" customWidth="1"/>
    <col min="7" max="8" width="12" customWidth="1"/>
    <col min="9" max="9" width="3" customWidth="1"/>
    <col min="10" max="10" width="18" customWidth="1"/>
    <col min="11" max="11" width="12" customWidth="1"/>
    <col min="12" max="12" width="9.28515625" customWidth="1"/>
  </cols>
  <sheetData>
    <row r="1" spans="1:16" ht="7.5" customHeight="1">
      <c r="A1" s="361"/>
      <c r="B1" s="362"/>
      <c r="C1" s="362"/>
      <c r="D1" s="362"/>
      <c r="E1" s="362"/>
      <c r="F1" s="362"/>
      <c r="G1" s="362"/>
      <c r="H1" s="362"/>
      <c r="I1" s="362"/>
      <c r="J1" s="362"/>
      <c r="K1" s="362"/>
      <c r="L1" s="362"/>
    </row>
    <row r="2" spans="1:16" ht="13.5" customHeight="1">
      <c r="A2" s="390" t="s">
        <v>0</v>
      </c>
      <c r="B2" s="362"/>
      <c r="C2" s="362"/>
      <c r="D2" s="395" t="s">
        <v>1</v>
      </c>
      <c r="E2" s="362"/>
      <c r="F2" s="362"/>
      <c r="G2" s="362"/>
      <c r="H2" s="362"/>
      <c r="I2" s="362"/>
      <c r="J2" s="362"/>
      <c r="K2" s="362"/>
      <c r="L2" s="362"/>
    </row>
    <row r="3" spans="1:16" ht="13.5" customHeight="1">
      <c r="A3" s="362"/>
      <c r="B3" s="362"/>
      <c r="C3" s="362"/>
      <c r="D3" s="362"/>
      <c r="E3" s="362"/>
      <c r="F3" s="362"/>
      <c r="G3" s="362"/>
      <c r="H3" s="362"/>
      <c r="I3" s="362"/>
      <c r="J3" s="362"/>
      <c r="K3" s="362"/>
      <c r="L3" s="362"/>
    </row>
    <row r="4" spans="1:16" ht="13.5" customHeight="1">
      <c r="A4" s="362"/>
      <c r="B4" s="362"/>
      <c r="C4" s="362"/>
      <c r="D4" s="362"/>
      <c r="E4" s="362"/>
      <c r="F4" s="362"/>
      <c r="G4" s="362"/>
      <c r="H4" s="362"/>
      <c r="I4" s="362"/>
      <c r="J4" s="362"/>
      <c r="K4" s="362"/>
      <c r="L4" s="362"/>
    </row>
    <row r="5" spans="1:16" ht="13.5" customHeight="1">
      <c r="A5" s="362"/>
      <c r="B5" s="362"/>
      <c r="C5" s="362"/>
      <c r="D5" s="362"/>
      <c r="E5" s="362"/>
      <c r="F5" s="362"/>
      <c r="G5" s="362"/>
      <c r="H5" s="362"/>
      <c r="I5" s="362"/>
      <c r="J5" s="362"/>
      <c r="K5" s="362"/>
      <c r="L5" s="362"/>
    </row>
    <row r="6" spans="1:16">
      <c r="A6" s="376" t="s">
        <v>2</v>
      </c>
      <c r="B6" s="354"/>
      <c r="C6" s="354"/>
      <c r="D6" s="377" t="s">
        <v>3</v>
      </c>
      <c r="E6" s="354"/>
      <c r="F6" s="354"/>
      <c r="G6" s="380" t="s">
        <v>4</v>
      </c>
      <c r="H6" s="354"/>
      <c r="I6" s="354"/>
      <c r="J6" s="377" t="s">
        <v>5</v>
      </c>
      <c r="K6" s="354"/>
      <c r="L6" s="354"/>
    </row>
    <row r="7" spans="1:16" ht="3" customHeight="1">
      <c r="A7" s="383"/>
      <c r="B7" s="362"/>
      <c r="C7" s="362"/>
      <c r="D7" s="362"/>
      <c r="E7" s="362"/>
      <c r="F7" s="362"/>
      <c r="G7" s="362"/>
      <c r="H7" s="362"/>
      <c r="I7" s="362"/>
      <c r="J7" s="362"/>
      <c r="K7" s="362"/>
      <c r="L7" s="362"/>
    </row>
    <row r="8" spans="1:16" ht="3.75" customHeight="1">
      <c r="A8" s="191"/>
      <c r="B8" s="191"/>
      <c r="C8" s="191"/>
      <c r="D8" s="191"/>
      <c r="E8" s="191"/>
      <c r="F8" s="191"/>
      <c r="G8" s="191"/>
      <c r="H8" s="191"/>
      <c r="I8" s="191"/>
      <c r="J8" s="191"/>
      <c r="K8" s="191"/>
      <c r="L8" s="191"/>
    </row>
    <row r="9" spans="1:16" ht="19.5" customHeight="1">
      <c r="A9" s="353" t="s">
        <v>6</v>
      </c>
      <c r="B9" s="354"/>
      <c r="C9" s="354"/>
      <c r="D9" s="354"/>
      <c r="E9" s="354"/>
      <c r="F9" s="354"/>
      <c r="G9" s="354"/>
      <c r="H9" s="354"/>
      <c r="I9" s="354"/>
      <c r="J9" s="354"/>
      <c r="K9" s="354"/>
      <c r="L9" s="354"/>
    </row>
    <row r="10" spans="1:16" ht="18" customHeight="1">
      <c r="A10" s="367" t="s">
        <v>7</v>
      </c>
      <c r="B10" s="354"/>
      <c r="C10" s="369" t="s">
        <v>8</v>
      </c>
      <c r="D10" s="360"/>
      <c r="E10" s="360"/>
      <c r="F10" s="365"/>
      <c r="G10" s="359" t="s">
        <v>9</v>
      </c>
      <c r="H10" s="360"/>
      <c r="I10" s="364" t="s">
        <v>10</v>
      </c>
      <c r="J10" s="360"/>
      <c r="K10" s="360"/>
      <c r="L10" s="365"/>
    </row>
    <row r="11" spans="1:16" ht="18" customHeight="1">
      <c r="A11" s="367" t="s">
        <v>11</v>
      </c>
      <c r="B11" s="354"/>
      <c r="C11" s="369" t="s">
        <v>12</v>
      </c>
      <c r="D11" s="360"/>
      <c r="E11" s="360"/>
      <c r="F11" s="365"/>
      <c r="G11" s="359" t="s">
        <v>13</v>
      </c>
      <c r="H11" s="360"/>
      <c r="I11" s="364" t="s">
        <v>14</v>
      </c>
      <c r="J11" s="360"/>
      <c r="K11" s="360"/>
      <c r="L11" s="365"/>
    </row>
    <row r="12" spans="1:16" ht="18" customHeight="1">
      <c r="A12" s="367" t="s">
        <v>15</v>
      </c>
      <c r="B12" s="354"/>
      <c r="C12" s="369" t="s">
        <v>16</v>
      </c>
      <c r="D12" s="360"/>
      <c r="E12" s="360"/>
      <c r="F12" s="365"/>
      <c r="G12" s="359" t="s">
        <v>17</v>
      </c>
      <c r="H12" s="360"/>
      <c r="I12" s="364" t="s">
        <v>18</v>
      </c>
      <c r="J12" s="360"/>
      <c r="K12" s="360"/>
      <c r="L12" s="365"/>
    </row>
    <row r="13" spans="1:16" ht="18" customHeight="1">
      <c r="A13" s="367" t="s">
        <v>19</v>
      </c>
      <c r="B13" s="354"/>
      <c r="C13" s="388" t="s">
        <v>20</v>
      </c>
      <c r="D13" s="354"/>
      <c r="E13" s="354"/>
      <c r="F13" s="375"/>
      <c r="G13" s="397" t="s">
        <v>21</v>
      </c>
      <c r="H13" s="354"/>
      <c r="I13" s="379" t="s">
        <v>22</v>
      </c>
      <c r="J13" s="354"/>
      <c r="K13" s="354"/>
      <c r="L13" s="375"/>
      <c r="P13" s="218"/>
    </row>
    <row r="14" spans="1:16" ht="4.5" customHeight="1">
      <c r="A14" s="191"/>
      <c r="B14" s="191"/>
      <c r="C14" s="191"/>
      <c r="D14" s="191"/>
      <c r="E14" s="191"/>
      <c r="F14" s="191"/>
      <c r="G14" s="191"/>
      <c r="H14" s="191"/>
      <c r="I14" s="191"/>
      <c r="J14" s="191"/>
      <c r="K14" s="191"/>
      <c r="L14" s="191"/>
    </row>
    <row r="15" spans="1:16" ht="19.5" customHeight="1">
      <c r="A15" s="374" t="s">
        <v>23</v>
      </c>
      <c r="B15" s="354"/>
      <c r="C15" s="354"/>
      <c r="D15" s="354"/>
      <c r="E15" s="354"/>
      <c r="F15" s="375"/>
      <c r="G15" s="394" t="s">
        <v>24</v>
      </c>
      <c r="H15" s="360"/>
      <c r="I15" s="360"/>
      <c r="J15" s="360"/>
      <c r="K15" s="360"/>
      <c r="L15" s="360"/>
    </row>
    <row r="16" spans="1:16" ht="18.75" customHeight="1">
      <c r="A16" s="367" t="s">
        <v>25</v>
      </c>
      <c r="B16" s="354"/>
      <c r="C16" s="378" t="s">
        <v>26</v>
      </c>
      <c r="D16" s="360"/>
      <c r="E16" s="360"/>
      <c r="F16" s="365"/>
      <c r="G16" s="359" t="s">
        <v>27</v>
      </c>
      <c r="H16" s="360"/>
      <c r="I16" s="364" t="s">
        <v>28</v>
      </c>
      <c r="J16" s="360"/>
      <c r="K16" s="360"/>
      <c r="L16" s="365"/>
    </row>
    <row r="17" spans="1:13" ht="18.75" customHeight="1">
      <c r="A17" s="367" t="s">
        <v>29</v>
      </c>
      <c r="B17" s="354"/>
      <c r="C17" s="378" t="s">
        <v>30</v>
      </c>
      <c r="D17" s="360"/>
      <c r="E17" s="360"/>
      <c r="F17" s="365"/>
      <c r="G17" s="359" t="s">
        <v>31</v>
      </c>
      <c r="H17" s="360"/>
      <c r="I17" s="364" t="s">
        <v>32</v>
      </c>
      <c r="J17" s="360"/>
      <c r="K17" s="360"/>
      <c r="L17" s="365"/>
    </row>
    <row r="18" spans="1:13" ht="18.75" customHeight="1">
      <c r="A18" s="389" t="s">
        <v>33</v>
      </c>
      <c r="B18" s="354"/>
      <c r="C18" s="378" t="s">
        <v>20</v>
      </c>
      <c r="D18" s="360"/>
      <c r="E18" s="360"/>
      <c r="F18" s="365"/>
      <c r="G18" s="359" t="s">
        <v>34</v>
      </c>
      <c r="H18" s="360"/>
      <c r="I18" s="364" t="s">
        <v>35</v>
      </c>
      <c r="J18" s="360"/>
      <c r="K18" s="360"/>
      <c r="L18" s="365"/>
    </row>
    <row r="19" spans="1:13" ht="18.75" customHeight="1">
      <c r="A19" s="367" t="s">
        <v>36</v>
      </c>
      <c r="B19" s="354"/>
      <c r="C19" s="382" t="s">
        <v>37</v>
      </c>
      <c r="D19" s="354"/>
      <c r="E19" s="354"/>
      <c r="F19" s="375"/>
      <c r="G19" s="397" t="s">
        <v>38</v>
      </c>
      <c r="H19" s="354"/>
      <c r="I19" s="379" t="s">
        <v>39</v>
      </c>
      <c r="J19" s="354"/>
      <c r="K19" s="354"/>
      <c r="L19" s="375"/>
    </row>
    <row r="20" spans="1:13" ht="4.5" customHeight="1">
      <c r="A20" s="191"/>
      <c r="B20" s="191"/>
      <c r="C20" s="191"/>
      <c r="D20" s="191"/>
      <c r="E20" s="191"/>
      <c r="F20" s="191"/>
      <c r="G20" s="191"/>
      <c r="H20" s="191"/>
      <c r="I20" s="191"/>
      <c r="J20" s="191"/>
      <c r="K20" s="191"/>
      <c r="L20" s="191"/>
    </row>
    <row r="21" spans="1:13" ht="19.5" customHeight="1">
      <c r="A21" s="353" t="s">
        <v>40</v>
      </c>
      <c r="B21" s="354"/>
      <c r="C21" s="354"/>
      <c r="D21" s="354"/>
      <c r="E21" s="354"/>
      <c r="F21" s="354"/>
      <c r="G21" s="354"/>
      <c r="H21" s="354"/>
      <c r="I21" s="354"/>
      <c r="J21" s="354"/>
      <c r="K21" s="354"/>
      <c r="L21" s="354"/>
    </row>
    <row r="22" spans="1:13" ht="18" customHeight="1">
      <c r="A22" s="381" t="s">
        <v>41</v>
      </c>
      <c r="B22" s="354"/>
      <c r="C22" s="354"/>
      <c r="D22" s="354"/>
      <c r="E22" s="381" t="s">
        <v>42</v>
      </c>
      <c r="F22" s="354"/>
      <c r="G22" s="354"/>
      <c r="H22" s="354"/>
      <c r="I22" s="381" t="s">
        <v>43</v>
      </c>
      <c r="J22" s="354"/>
      <c r="K22" s="354"/>
      <c r="L22" s="354"/>
    </row>
    <row r="23" spans="1:13">
      <c r="A23" s="376" t="s">
        <v>44</v>
      </c>
      <c r="B23" s="354"/>
      <c r="C23" s="192" t="s">
        <v>45</v>
      </c>
      <c r="D23" s="193" t="s">
        <v>46</v>
      </c>
      <c r="E23" s="376" t="s">
        <v>44</v>
      </c>
      <c r="F23" s="354"/>
      <c r="G23" s="192" t="s">
        <v>45</v>
      </c>
      <c r="H23" s="193" t="s">
        <v>46</v>
      </c>
      <c r="I23" s="376" t="s">
        <v>47</v>
      </c>
      <c r="J23" s="354"/>
      <c r="K23" s="192" t="s">
        <v>45</v>
      </c>
      <c r="L23" s="193" t="s">
        <v>46</v>
      </c>
    </row>
    <row r="24" spans="1:13" ht="18" customHeight="1">
      <c r="A24" s="377" t="s">
        <v>48</v>
      </c>
      <c r="B24" s="354"/>
      <c r="C24" s="223" t="s">
        <v>49</v>
      </c>
      <c r="D24" s="223"/>
      <c r="E24" s="355" t="s">
        <v>50</v>
      </c>
      <c r="F24" s="354"/>
      <c r="G24" s="223"/>
      <c r="H24" s="223"/>
      <c r="I24" s="377" t="s">
        <v>51</v>
      </c>
      <c r="J24" s="354"/>
      <c r="K24" s="223"/>
      <c r="L24" s="223"/>
    </row>
    <row r="25" spans="1:13" ht="18" customHeight="1">
      <c r="A25" s="355" t="s">
        <v>52</v>
      </c>
      <c r="B25" s="354"/>
      <c r="C25" s="223" t="s">
        <v>49</v>
      </c>
      <c r="D25" s="223"/>
      <c r="E25" s="355" t="s">
        <v>53</v>
      </c>
      <c r="F25" s="354"/>
      <c r="G25" s="223"/>
      <c r="H25" s="223"/>
      <c r="I25" s="355" t="s">
        <v>54</v>
      </c>
      <c r="J25" s="354"/>
      <c r="K25" s="223"/>
      <c r="L25" s="223"/>
    </row>
    <row r="26" spans="1:13" ht="18" customHeight="1">
      <c r="A26" s="377" t="s">
        <v>55</v>
      </c>
      <c r="B26" s="354"/>
      <c r="C26" s="223" t="s">
        <v>1415</v>
      </c>
      <c r="D26" s="223"/>
      <c r="E26" s="355" t="s">
        <v>56</v>
      </c>
      <c r="F26" s="354"/>
      <c r="G26" s="223" t="s">
        <v>49</v>
      </c>
      <c r="H26" s="223"/>
      <c r="I26" s="377" t="s">
        <v>57</v>
      </c>
      <c r="J26" s="354"/>
      <c r="K26" s="223"/>
      <c r="L26" s="223"/>
      <c r="M26" t="s">
        <v>58</v>
      </c>
    </row>
    <row r="27" spans="1:13" ht="18" customHeight="1">
      <c r="A27" s="355" t="s">
        <v>59</v>
      </c>
      <c r="B27" s="354"/>
      <c r="C27" s="223" t="s">
        <v>49</v>
      </c>
      <c r="D27" s="223"/>
      <c r="E27" s="355" t="s">
        <v>60</v>
      </c>
      <c r="F27" s="354"/>
      <c r="G27" s="223" t="s">
        <v>1415</v>
      </c>
      <c r="H27" s="223"/>
      <c r="I27" s="355" t="s">
        <v>61</v>
      </c>
      <c r="J27" s="354"/>
      <c r="K27" s="223"/>
      <c r="L27" s="223"/>
    </row>
    <row r="28" spans="1:13" ht="18" customHeight="1">
      <c r="A28" s="377" t="s">
        <v>62</v>
      </c>
      <c r="B28" s="354"/>
      <c r="C28" s="223" t="s">
        <v>1415</v>
      </c>
      <c r="D28" s="223"/>
      <c r="E28" s="355" t="s">
        <v>63</v>
      </c>
      <c r="F28" s="354"/>
      <c r="G28" s="223"/>
      <c r="H28" s="223"/>
      <c r="I28" s="377" t="s">
        <v>64</v>
      </c>
      <c r="J28" s="354"/>
      <c r="K28" s="223"/>
      <c r="L28" s="223"/>
    </row>
    <row r="29" spans="1:13" ht="18" customHeight="1">
      <c r="A29" s="355" t="s">
        <v>65</v>
      </c>
      <c r="B29" s="354"/>
      <c r="C29" s="223" t="s">
        <v>49</v>
      </c>
      <c r="D29" s="223"/>
      <c r="G29" s="194"/>
      <c r="H29" s="194"/>
      <c r="I29" s="355" t="s">
        <v>66</v>
      </c>
      <c r="J29" s="354"/>
      <c r="K29" s="224"/>
      <c r="L29" s="223"/>
    </row>
    <row r="30" spans="1:13" ht="18" customHeight="1">
      <c r="A30" s="377" t="s">
        <v>67</v>
      </c>
      <c r="B30" s="354"/>
      <c r="C30" s="223" t="s">
        <v>49</v>
      </c>
      <c r="D30" s="223"/>
      <c r="E30" s="195"/>
      <c r="F30" s="195"/>
      <c r="G30" s="224"/>
      <c r="H30" s="194"/>
      <c r="I30" s="377" t="s">
        <v>68</v>
      </c>
      <c r="J30" s="354"/>
      <c r="K30" s="224"/>
      <c r="L30" s="223"/>
    </row>
    <row r="31" spans="1:13" ht="4.5" customHeight="1">
      <c r="A31" s="191"/>
      <c r="B31" s="191"/>
      <c r="C31" s="191"/>
      <c r="D31" s="191"/>
      <c r="E31" s="191"/>
      <c r="F31" s="191"/>
      <c r="G31" s="191"/>
      <c r="H31" s="191"/>
      <c r="I31" s="191"/>
      <c r="J31" s="191"/>
      <c r="K31" s="191"/>
      <c r="L31" s="191"/>
    </row>
    <row r="32" spans="1:13" ht="19.5" customHeight="1">
      <c r="A32" s="353" t="s">
        <v>69</v>
      </c>
      <c r="B32" s="354"/>
      <c r="C32" s="354"/>
      <c r="D32" s="354"/>
      <c r="E32" s="354"/>
      <c r="F32" s="354"/>
      <c r="G32" s="354"/>
      <c r="H32" s="354"/>
      <c r="I32" s="354"/>
      <c r="J32" s="354"/>
      <c r="K32" s="354"/>
      <c r="L32" s="354"/>
    </row>
    <row r="33" spans="1:12" ht="23.25" customHeight="1">
      <c r="A33" s="386" t="s">
        <v>70</v>
      </c>
      <c r="B33" s="360"/>
      <c r="C33" s="360"/>
      <c r="D33" s="386" t="s">
        <v>71</v>
      </c>
      <c r="E33" s="360"/>
      <c r="F33" s="360"/>
      <c r="G33" s="386" t="s">
        <v>72</v>
      </c>
      <c r="H33" s="360"/>
      <c r="I33" s="360"/>
      <c r="J33" s="386" t="s">
        <v>73</v>
      </c>
      <c r="K33" s="360"/>
      <c r="L33" s="360"/>
    </row>
    <row r="34" spans="1:12" ht="27.95" customHeight="1">
      <c r="A34" s="220" t="s">
        <v>45</v>
      </c>
      <c r="B34" s="391">
        <f t="array" ref="B34">_xlfn.LET(_xlpm.s,C24:C30,_xlpm.req,SUMPRODUCT((_xlpm.s&lt;&gt;"غير مطلوب")*1),IF(_xlpm.req=0,"",SUMPRODUCT((_xlpm.s="جاهز")+(_xlpm.s="جزئي")*0.5)/_xlpm.req))</f>
        <v>0.7142857142857143</v>
      </c>
      <c r="C34" s="358"/>
      <c r="D34" s="392">
        <f t="array" ref="D34">_xlfn.LET(_xlpm.s,G24:G28,_xlpm.req,SUMPRODUCT((_xlpm.s&lt;&gt;"غير مطلوب")*1),IF(_xlpm.req=0,"",SUMPRODUCT((_xlpm.s="جاهز")+(_xlpm.s="جزئي")*0.5)/_xlpm.req))</f>
        <v>0.2</v>
      </c>
      <c r="E34" s="357"/>
      <c r="F34" s="358"/>
      <c r="G34" s="392">
        <f t="array" ref="G34">_xlfn.LET(_xlpm.s,K24:K28,_xlpm.req,SUMPRODUCT((_xlpm.s&lt;&gt;"غير مطلوب")*1),IF(_xlpm.req=0,"",SUMPRODUCT((_xlpm.s="جاهز")+(_xlpm.s="جزئي")*0.5)/_xlpm.req))</f>
        <v>0</v>
      </c>
      <c r="H34" s="357"/>
      <c r="I34" s="358"/>
      <c r="J34" s="392">
        <f>IFERROR(AVERAGE(B34,D34,G34),"")</f>
        <v>0.30476190476190479</v>
      </c>
      <c r="K34" s="357"/>
      <c r="L34" s="358"/>
    </row>
    <row r="35" spans="1:12" ht="27.95" customHeight="1">
      <c r="A35" s="221" t="s">
        <v>46</v>
      </c>
      <c r="B35" s="391">
        <f t="array" ref="B35">_xlfn.LET(_xlpm.s,D24:D30,_xlpm.req,SUMPRODUCT((_xlpm.s&lt;&gt;"غير مطلوب")*1),IF(_xlpm.req=0,"",SUMPRODUCT((_xlpm.s="جاهز")+(_xlpm.s="جزئي")*0.5)/_xlpm.req))</f>
        <v>0</v>
      </c>
      <c r="C35" s="358"/>
      <c r="D35" s="387">
        <f t="array" ref="D35">_xlfn.LET(_xlpm.s,H24:H28,_xlpm.req,SUMPRODUCT((_xlpm.s&lt;&gt;"غير مطلوب")*1),IF(_xlpm.req=0,"",SUMPRODUCT((_xlpm.s="جاهز")+(_xlpm.s="جزئي")*0.5)/_xlpm.req))</f>
        <v>0</v>
      </c>
      <c r="E35" s="354"/>
      <c r="F35" s="375"/>
      <c r="G35" s="387">
        <f t="array" ref="G35">_xlfn.LET(_xlpm.s,L24:L30,_xlpm.req,SUMPRODUCT((_xlpm.s&lt;&gt;"غير مطلوب")*1),IF(_xlpm.req=0,"",SUMPRODUCT((_xlpm.s="جاهز")+(_xlpm.s="جزئي")*0.5)/_xlpm.req))</f>
        <v>0</v>
      </c>
      <c r="H35" s="354"/>
      <c r="I35" s="375"/>
      <c r="J35" s="387">
        <f>IFERROR(AVERAGE(B35,D35,G35),"")</f>
        <v>0</v>
      </c>
      <c r="K35" s="354"/>
      <c r="L35" s="375"/>
    </row>
    <row r="36" spans="1:12" ht="4.5" customHeight="1">
      <c r="A36" s="191"/>
      <c r="B36" s="191"/>
      <c r="C36" s="191"/>
      <c r="D36" s="191"/>
      <c r="E36" s="191"/>
      <c r="F36" s="191"/>
      <c r="G36" s="191"/>
      <c r="H36" s="191"/>
      <c r="I36" s="191"/>
      <c r="J36" s="191"/>
      <c r="K36" s="191"/>
      <c r="L36" s="191"/>
    </row>
    <row r="37" spans="1:12" ht="19.5" customHeight="1">
      <c r="A37" s="353" t="s">
        <v>74</v>
      </c>
      <c r="B37" s="354"/>
      <c r="C37" s="354"/>
      <c r="D37" s="354"/>
      <c r="E37" s="354"/>
      <c r="F37" s="354"/>
      <c r="G37" s="354"/>
      <c r="H37" s="354"/>
      <c r="I37" s="354"/>
      <c r="J37" s="354"/>
      <c r="K37" s="354"/>
      <c r="L37" s="354"/>
    </row>
    <row r="38" spans="1:12" ht="17.100000000000001" customHeight="1">
      <c r="A38" s="384" t="s">
        <v>75</v>
      </c>
      <c r="B38" s="385"/>
      <c r="C38" s="385"/>
      <c r="D38" s="385"/>
      <c r="E38" s="385"/>
      <c r="F38" s="385"/>
      <c r="G38" s="385"/>
      <c r="H38" s="385"/>
      <c r="I38" s="385"/>
      <c r="J38" s="385"/>
      <c r="K38" s="385"/>
      <c r="L38" s="385"/>
    </row>
    <row r="39" spans="1:12" ht="17.100000000000001" customHeight="1">
      <c r="A39" s="222">
        <f>IF(B39&lt;&gt;"",ROW()-38,"")</f>
        <v>1</v>
      </c>
      <c r="B39" s="356" t="s">
        <v>76</v>
      </c>
      <c r="C39" s="357"/>
      <c r="D39" s="357"/>
      <c r="E39" s="357"/>
      <c r="F39" s="357"/>
      <c r="G39" s="357"/>
      <c r="H39" s="357"/>
      <c r="I39" s="357"/>
      <c r="J39" s="357"/>
      <c r="K39" s="357"/>
      <c r="L39" s="358"/>
    </row>
    <row r="40" spans="1:12" ht="17.100000000000001" customHeight="1">
      <c r="A40" s="222">
        <f>IF(B40&lt;&gt;"",ROW()-38,"")</f>
        <v>2</v>
      </c>
      <c r="B40" s="356" t="s">
        <v>77</v>
      </c>
      <c r="C40" s="357"/>
      <c r="D40" s="357"/>
      <c r="E40" s="357"/>
      <c r="F40" s="357"/>
      <c r="G40" s="357"/>
      <c r="H40" s="357"/>
      <c r="I40" s="357"/>
      <c r="J40" s="357"/>
      <c r="K40" s="357"/>
      <c r="L40" s="358"/>
    </row>
    <row r="41" spans="1:12" ht="17.100000000000001" customHeight="1">
      <c r="A41" s="222">
        <f>IF(B41&lt;&gt;"",ROW()-38,"")</f>
        <v>3</v>
      </c>
      <c r="B41" s="356" t="s">
        <v>78</v>
      </c>
      <c r="C41" s="357"/>
      <c r="D41" s="357"/>
      <c r="E41" s="357"/>
      <c r="F41" s="357"/>
      <c r="G41" s="357"/>
      <c r="H41" s="357"/>
      <c r="I41" s="357"/>
      <c r="J41" s="357"/>
      <c r="K41" s="357"/>
      <c r="L41" s="358"/>
    </row>
    <row r="42" spans="1:12" ht="17.100000000000001" customHeight="1">
      <c r="A42" s="222" t="str">
        <f>IF(B42&lt;&gt;"",ROW()-38,"")</f>
        <v/>
      </c>
      <c r="B42" s="356"/>
      <c r="C42" s="357"/>
      <c r="D42" s="357"/>
      <c r="E42" s="357"/>
      <c r="F42" s="357"/>
      <c r="G42" s="357"/>
      <c r="H42" s="357"/>
      <c r="I42" s="357"/>
      <c r="J42" s="357"/>
      <c r="K42" s="357"/>
      <c r="L42" s="358"/>
    </row>
    <row r="43" spans="1:12" ht="17.100000000000001" customHeight="1">
      <c r="A43" s="222" t="str">
        <f>IF(B43&lt;&gt;"",ROW()-38,"")</f>
        <v/>
      </c>
      <c r="B43" s="356"/>
      <c r="C43" s="357"/>
      <c r="D43" s="357"/>
      <c r="E43" s="357"/>
      <c r="F43" s="357"/>
      <c r="G43" s="357"/>
      <c r="H43" s="357"/>
      <c r="I43" s="357"/>
      <c r="J43" s="357"/>
      <c r="K43" s="357"/>
      <c r="L43" s="358"/>
    </row>
    <row r="44" spans="1:12" ht="17.100000000000001" customHeight="1">
      <c r="A44" s="396" t="s">
        <v>79</v>
      </c>
      <c r="B44" s="373"/>
      <c r="C44" s="373"/>
      <c r="D44" s="373"/>
      <c r="E44" s="373"/>
      <c r="F44" s="373"/>
      <c r="G44" s="373"/>
      <c r="H44" s="373"/>
      <c r="I44" s="373"/>
      <c r="J44" s="373"/>
      <c r="K44" s="373"/>
      <c r="L44" s="373"/>
    </row>
    <row r="45" spans="1:12" ht="17.100000000000001" customHeight="1">
      <c r="A45" s="222">
        <f>IF(B45&lt;&gt;"",ROW()-44,"")</f>
        <v>1</v>
      </c>
      <c r="B45" s="356" t="s">
        <v>80</v>
      </c>
      <c r="C45" s="357"/>
      <c r="D45" s="357"/>
      <c r="E45" s="357"/>
      <c r="F45" s="357"/>
      <c r="G45" s="357"/>
      <c r="H45" s="357"/>
      <c r="I45" s="357"/>
      <c r="J45" s="357"/>
      <c r="K45" s="357"/>
      <c r="L45" s="358"/>
    </row>
    <row r="46" spans="1:12" ht="17.100000000000001" customHeight="1">
      <c r="A46" s="222">
        <f>IF(B46&lt;&gt;"",ROW()-44,"")</f>
        <v>2</v>
      </c>
      <c r="B46" s="356" t="s">
        <v>81</v>
      </c>
      <c r="C46" s="357"/>
      <c r="D46" s="357"/>
      <c r="E46" s="357"/>
      <c r="F46" s="357"/>
      <c r="G46" s="357"/>
      <c r="H46" s="357"/>
      <c r="I46" s="357"/>
      <c r="J46" s="357"/>
      <c r="K46" s="357"/>
      <c r="L46" s="358"/>
    </row>
    <row r="47" spans="1:12" ht="17.100000000000001" customHeight="1">
      <c r="A47" s="222">
        <f>IF(B47&lt;&gt;"",ROW()-44,"")</f>
        <v>3</v>
      </c>
      <c r="B47" s="356" t="s">
        <v>82</v>
      </c>
      <c r="C47" s="357"/>
      <c r="D47" s="357"/>
      <c r="E47" s="357"/>
      <c r="F47" s="357"/>
      <c r="G47" s="357"/>
      <c r="H47" s="357"/>
      <c r="I47" s="357"/>
      <c r="J47" s="357"/>
      <c r="K47" s="357"/>
      <c r="L47" s="358"/>
    </row>
    <row r="48" spans="1:12" ht="17.100000000000001" customHeight="1">
      <c r="A48" s="222" t="str">
        <f>IF(B48&lt;&gt;"",ROW()-44,"")</f>
        <v/>
      </c>
      <c r="B48" s="356"/>
      <c r="C48" s="357"/>
      <c r="D48" s="357"/>
      <c r="E48" s="357"/>
      <c r="F48" s="357"/>
      <c r="G48" s="357"/>
      <c r="H48" s="357"/>
      <c r="I48" s="357"/>
      <c r="J48" s="357"/>
      <c r="K48" s="357"/>
      <c r="L48" s="358"/>
    </row>
    <row r="49" spans="1:12" ht="17.100000000000001" customHeight="1">
      <c r="A49" s="222" t="str">
        <f>IF(B49&lt;&gt;"",ROW()-44,"")</f>
        <v/>
      </c>
      <c r="B49" s="356"/>
      <c r="C49" s="357"/>
      <c r="D49" s="357"/>
      <c r="E49" s="357"/>
      <c r="F49" s="357"/>
      <c r="G49" s="357"/>
      <c r="H49" s="357"/>
      <c r="I49" s="357"/>
      <c r="J49" s="357"/>
      <c r="K49" s="357"/>
      <c r="L49" s="358"/>
    </row>
    <row r="50" spans="1:12" ht="4.5" customHeight="1">
      <c r="A50" s="191"/>
      <c r="B50" s="191"/>
      <c r="C50" s="191"/>
      <c r="D50" s="191"/>
      <c r="E50" s="191"/>
      <c r="F50" s="191"/>
      <c r="G50" s="191"/>
      <c r="H50" s="191"/>
      <c r="I50" s="191"/>
      <c r="J50" s="191"/>
      <c r="K50" s="191"/>
      <c r="L50" s="191"/>
    </row>
    <row r="51" spans="1:12" ht="3.75" customHeight="1" thickBot="1">
      <c r="A51" s="383"/>
      <c r="B51" s="362"/>
      <c r="C51" s="362"/>
      <c r="D51" s="362"/>
      <c r="E51" s="362"/>
      <c r="F51" s="362"/>
      <c r="G51" s="362"/>
      <c r="H51" s="362"/>
      <c r="I51" s="362"/>
      <c r="J51" s="362"/>
      <c r="K51" s="362"/>
      <c r="L51" s="362"/>
    </row>
    <row r="52" spans="1:12" ht="13.5" customHeight="1" thickBot="1">
      <c r="A52" s="370" t="str">
        <f>IF(COUNTIF(D24:D30,"غير جاهز")&gt;0,"🔴 موقوف — يحتاج مراجعة",IF(COUNTIF(D24:D30,"جزئي")&gt;0,"🔶 جاهز جزئياً — يحتاج متابعة","✅ جاهز للتنفيذ — موصى بالمتابعة"))</f>
        <v>✅ جاهز للتنفيذ — موصى بالمتابعة</v>
      </c>
      <c r="B52" s="371"/>
      <c r="C52" s="371"/>
      <c r="D52" s="371"/>
      <c r="E52" s="371"/>
      <c r="F52" s="371"/>
      <c r="G52" s="371"/>
      <c r="H52" s="371"/>
      <c r="I52" s="371"/>
      <c r="J52" s="371"/>
      <c r="K52" s="371"/>
      <c r="L52" s="371"/>
    </row>
    <row r="53" spans="1:12" ht="13.5" customHeight="1" thickBot="1">
      <c r="A53" s="372"/>
      <c r="B53" s="373"/>
      <c r="C53" s="373"/>
      <c r="D53" s="373"/>
      <c r="E53" s="373"/>
      <c r="F53" s="373"/>
      <c r="G53" s="373"/>
      <c r="H53" s="373"/>
      <c r="I53" s="373"/>
      <c r="J53" s="373"/>
      <c r="K53" s="373"/>
      <c r="L53" s="373"/>
    </row>
    <row r="54" spans="1:12" ht="13.5" customHeight="1">
      <c r="A54" s="372"/>
      <c r="B54" s="373"/>
      <c r="C54" s="373"/>
      <c r="D54" s="373"/>
      <c r="E54" s="373"/>
      <c r="F54" s="373"/>
      <c r="G54" s="373"/>
      <c r="H54" s="373"/>
      <c r="I54" s="373"/>
      <c r="J54" s="373"/>
      <c r="K54" s="373"/>
      <c r="L54" s="373"/>
    </row>
    <row r="55" spans="1:12" ht="3.75" customHeight="1">
      <c r="A55" s="383"/>
      <c r="B55" s="362"/>
      <c r="C55" s="362"/>
      <c r="D55" s="362"/>
      <c r="E55" s="362"/>
      <c r="F55" s="362"/>
      <c r="G55" s="362"/>
      <c r="H55" s="362"/>
      <c r="I55" s="362"/>
      <c r="J55" s="362"/>
      <c r="K55" s="362"/>
      <c r="L55" s="362"/>
    </row>
    <row r="56" spans="1:12" ht="4.5" customHeight="1">
      <c r="A56" s="191"/>
      <c r="B56" s="191"/>
      <c r="C56" s="191"/>
      <c r="D56" s="191"/>
      <c r="E56" s="191"/>
      <c r="F56" s="191"/>
      <c r="G56" s="191"/>
      <c r="H56" s="191"/>
      <c r="I56" s="191"/>
      <c r="J56" s="191"/>
      <c r="K56" s="191"/>
      <c r="L56" s="191"/>
    </row>
    <row r="57" spans="1:12" ht="19.5" customHeight="1">
      <c r="A57" s="353" t="s">
        <v>83</v>
      </c>
      <c r="B57" s="354"/>
      <c r="C57" s="354"/>
      <c r="D57" s="354"/>
      <c r="E57" s="354"/>
      <c r="F57" s="354"/>
      <c r="G57" s="354"/>
      <c r="H57" s="354"/>
      <c r="I57" s="354"/>
      <c r="J57" s="354"/>
      <c r="K57" s="354"/>
      <c r="L57" s="354"/>
    </row>
    <row r="58" spans="1:12" ht="15.75" customHeight="1">
      <c r="A58" s="366" t="s">
        <v>84</v>
      </c>
      <c r="B58" s="354"/>
      <c r="C58" s="354"/>
      <c r="D58" s="122"/>
      <c r="E58" s="366" t="s">
        <v>15</v>
      </c>
      <c r="F58" s="354"/>
      <c r="G58" s="354"/>
      <c r="H58" s="122"/>
      <c r="I58" s="366" t="s">
        <v>85</v>
      </c>
      <c r="J58" s="354"/>
      <c r="K58" s="354"/>
      <c r="L58" s="122"/>
    </row>
    <row r="59" spans="1:12" ht="15.75" customHeight="1">
      <c r="A59" s="363" t="s">
        <v>86</v>
      </c>
      <c r="B59" s="354"/>
      <c r="C59" s="354"/>
      <c r="D59" s="122"/>
      <c r="E59" s="363" t="s">
        <v>87</v>
      </c>
      <c r="F59" s="354"/>
      <c r="G59" s="354"/>
      <c r="H59" s="122"/>
      <c r="I59" s="363"/>
      <c r="J59" s="354"/>
      <c r="K59" s="354"/>
      <c r="L59" s="122"/>
    </row>
    <row r="60" spans="1:12" ht="13.5" customHeight="1">
      <c r="A60" s="368" t="s">
        <v>88</v>
      </c>
      <c r="B60" s="362"/>
      <c r="C60" s="362"/>
      <c r="D60" s="122"/>
      <c r="E60" s="368" t="s">
        <v>88</v>
      </c>
      <c r="F60" s="362"/>
      <c r="G60" s="362"/>
      <c r="H60" s="122"/>
      <c r="I60" s="368" t="s">
        <v>88</v>
      </c>
      <c r="J60" s="362"/>
      <c r="K60" s="362"/>
      <c r="L60" s="122"/>
    </row>
    <row r="61" spans="1:12" ht="13.5" customHeight="1">
      <c r="A61" s="362"/>
      <c r="B61" s="362"/>
      <c r="C61" s="362"/>
      <c r="D61" s="122"/>
      <c r="E61" s="362"/>
      <c r="F61" s="362"/>
      <c r="G61" s="362"/>
      <c r="H61" s="122"/>
      <c r="I61" s="362"/>
      <c r="J61" s="362"/>
      <c r="K61" s="362"/>
      <c r="L61" s="122"/>
    </row>
    <row r="62" spans="1:12" ht="3.75" customHeight="1">
      <c r="A62" s="191"/>
      <c r="B62" s="191"/>
      <c r="C62" s="191"/>
      <c r="D62" s="191"/>
      <c r="E62" s="191"/>
      <c r="F62" s="191"/>
      <c r="G62" s="191"/>
      <c r="H62" s="191"/>
      <c r="I62" s="191"/>
      <c r="J62" s="191"/>
      <c r="K62" s="191"/>
      <c r="L62" s="191"/>
    </row>
    <row r="63" spans="1:12" ht="3" customHeight="1">
      <c r="A63" s="361"/>
      <c r="B63" s="362"/>
      <c r="C63" s="362"/>
      <c r="D63" s="362"/>
      <c r="E63" s="362"/>
      <c r="F63" s="362"/>
      <c r="G63" s="362"/>
      <c r="H63" s="362"/>
      <c r="I63" s="362"/>
      <c r="J63" s="362"/>
      <c r="K63" s="362"/>
      <c r="L63" s="362"/>
    </row>
    <row r="64" spans="1:12">
      <c r="A64" s="393" t="s">
        <v>89</v>
      </c>
      <c r="B64" s="362"/>
      <c r="C64" s="362"/>
      <c r="D64" s="362"/>
      <c r="E64" s="362"/>
      <c r="F64" s="362"/>
      <c r="G64" s="362"/>
      <c r="H64" s="362"/>
      <c r="I64" s="362"/>
      <c r="J64" s="362"/>
      <c r="K64" s="362"/>
      <c r="L64" s="362"/>
    </row>
  </sheetData>
  <mergeCells count="110">
    <mergeCell ref="A1:L1"/>
    <mergeCell ref="I12:L12"/>
    <mergeCell ref="A13:B13"/>
    <mergeCell ref="C11:F11"/>
    <mergeCell ref="B45:L45"/>
    <mergeCell ref="D2:L5"/>
    <mergeCell ref="B34:C34"/>
    <mergeCell ref="D35:F35"/>
    <mergeCell ref="A44:L44"/>
    <mergeCell ref="I23:J23"/>
    <mergeCell ref="A23:B23"/>
    <mergeCell ref="C18:F18"/>
    <mergeCell ref="B43:L43"/>
    <mergeCell ref="B42:L42"/>
    <mergeCell ref="G13:H13"/>
    <mergeCell ref="I11:L11"/>
    <mergeCell ref="D33:F33"/>
    <mergeCell ref="A12:B12"/>
    <mergeCell ref="A25:B25"/>
    <mergeCell ref="G10:H10"/>
    <mergeCell ref="G19:H19"/>
    <mergeCell ref="E28:F28"/>
    <mergeCell ref="G35:I35"/>
    <mergeCell ref="I28:J28"/>
    <mergeCell ref="A2:C5"/>
    <mergeCell ref="B35:C35"/>
    <mergeCell ref="A59:C59"/>
    <mergeCell ref="D34:F34"/>
    <mergeCell ref="A64:L64"/>
    <mergeCell ref="A51:L51"/>
    <mergeCell ref="C12:F12"/>
    <mergeCell ref="J34:L34"/>
    <mergeCell ref="D6:F6"/>
    <mergeCell ref="A24:B24"/>
    <mergeCell ref="A7:L7"/>
    <mergeCell ref="E24:F24"/>
    <mergeCell ref="I27:J27"/>
    <mergeCell ref="I58:K58"/>
    <mergeCell ref="B46:L46"/>
    <mergeCell ref="G17:H17"/>
    <mergeCell ref="G33:I33"/>
    <mergeCell ref="G15:L15"/>
    <mergeCell ref="A16:B16"/>
    <mergeCell ref="A33:C33"/>
    <mergeCell ref="J6:L6"/>
    <mergeCell ref="I17:L17"/>
    <mergeCell ref="G11:H11"/>
    <mergeCell ref="G34:I34"/>
    <mergeCell ref="G6:I6"/>
    <mergeCell ref="A22:D22"/>
    <mergeCell ref="A11:B11"/>
    <mergeCell ref="C19:F19"/>
    <mergeCell ref="E59:G59"/>
    <mergeCell ref="A55:L55"/>
    <mergeCell ref="E22:H22"/>
    <mergeCell ref="I13:L13"/>
    <mergeCell ref="A32:L32"/>
    <mergeCell ref="A38:L38"/>
    <mergeCell ref="A26:B26"/>
    <mergeCell ref="J33:L33"/>
    <mergeCell ref="I24:J24"/>
    <mergeCell ref="A58:C58"/>
    <mergeCell ref="J35:L35"/>
    <mergeCell ref="A21:L21"/>
    <mergeCell ref="I26:J26"/>
    <mergeCell ref="C13:F13"/>
    <mergeCell ref="A18:B18"/>
    <mergeCell ref="C16:F16"/>
    <mergeCell ref="A9:L9"/>
    <mergeCell ref="I22:L22"/>
    <mergeCell ref="I29:J29"/>
    <mergeCell ref="A6:C6"/>
    <mergeCell ref="C10:F10"/>
    <mergeCell ref="A52:L54"/>
    <mergeCell ref="A15:F15"/>
    <mergeCell ref="B40:L40"/>
    <mergeCell ref="B49:L49"/>
    <mergeCell ref="I18:L18"/>
    <mergeCell ref="A19:B19"/>
    <mergeCell ref="E26:F26"/>
    <mergeCell ref="G16:H16"/>
    <mergeCell ref="E25:F25"/>
    <mergeCell ref="A10:B10"/>
    <mergeCell ref="B48:L48"/>
    <mergeCell ref="A29:B29"/>
    <mergeCell ref="A37:L37"/>
    <mergeCell ref="B47:L47"/>
    <mergeCell ref="E23:F23"/>
    <mergeCell ref="B41:L41"/>
    <mergeCell ref="I30:J30"/>
    <mergeCell ref="A30:B30"/>
    <mergeCell ref="G12:H12"/>
    <mergeCell ref="C17:F17"/>
    <mergeCell ref="A28:B28"/>
    <mergeCell ref="I10:L10"/>
    <mergeCell ref="I19:L19"/>
    <mergeCell ref="A57:L57"/>
    <mergeCell ref="I25:J25"/>
    <mergeCell ref="B39:L39"/>
    <mergeCell ref="A27:B27"/>
    <mergeCell ref="G18:H18"/>
    <mergeCell ref="A63:L63"/>
    <mergeCell ref="I59:K59"/>
    <mergeCell ref="E27:F27"/>
    <mergeCell ref="I16:L16"/>
    <mergeCell ref="E58:G58"/>
    <mergeCell ref="A17:B17"/>
    <mergeCell ref="E60:G61"/>
    <mergeCell ref="A60:C61"/>
    <mergeCell ref="I60:K61"/>
  </mergeCells>
  <conditionalFormatting sqref="A52">
    <cfRule type="cellIs" dxfId="34" priority="7" operator="equal">
      <formula>"✅ جاهز للتنفيذ — موصى بالمتابعة"</formula>
    </cfRule>
    <cfRule type="cellIs" dxfId="33" priority="8" operator="equal">
      <formula>"🔴 موقوف — يحتاج مراجعة"</formula>
    </cfRule>
    <cfRule type="cellIs" dxfId="32" priority="9" operator="equal">
      <formula>"🔶 جاهز جزئياً — يحتاج متابعة"</formula>
    </cfRule>
  </conditionalFormatting>
  <conditionalFormatting sqref="C24:D30">
    <cfRule type="cellIs" dxfId="31" priority="10" operator="equal">
      <formula>"✓"</formula>
    </cfRule>
    <cfRule type="cellIs" dxfId="30" priority="11" operator="equal">
      <formula>"✗"</formula>
    </cfRule>
    <cfRule type="cellIs" dxfId="29" priority="12" operator="equal">
      <formula>"~"</formula>
    </cfRule>
  </conditionalFormatting>
  <conditionalFormatting sqref="G24:H30">
    <cfRule type="cellIs" dxfId="28" priority="4" operator="equal">
      <formula>"✓"</formula>
    </cfRule>
    <cfRule type="cellIs" dxfId="27" priority="5" operator="equal">
      <formula>"✗"</formula>
    </cfRule>
    <cfRule type="cellIs" dxfId="26" priority="6" operator="equal">
      <formula>"~"</formula>
    </cfRule>
  </conditionalFormatting>
  <conditionalFormatting sqref="K24:L30">
    <cfRule type="cellIs" dxfId="25" priority="1" operator="equal">
      <formula>"✓"</formula>
    </cfRule>
    <cfRule type="cellIs" dxfId="24" priority="2" operator="equal">
      <formula>"✗"</formula>
    </cfRule>
    <cfRule type="cellIs" dxfId="23" priority="3" operator="equal">
      <formula>"~"</formula>
    </cfRule>
  </conditionalFormatting>
  <dataValidations count="5">
    <dataValidation type="list" allowBlank="1" showInputMessage="1" showErrorMessage="1" sqref="G29:H29" xr:uid="{00000000-0002-0000-0300-000000000000}">
      <formula1>"جاهز,جزئي,غير جاهز"</formula1>
    </dataValidation>
    <dataValidation type="list" allowBlank="1" showInputMessage="1" showErrorMessage="1" sqref="G30:H30" xr:uid="{00000000-0002-0000-0300-000001000000}">
      <formula1>"✓,~,✗"</formula1>
      <formula2>0</formula2>
    </dataValidation>
    <dataValidation type="list" allowBlank="1" showInputMessage="1" showErrorMessage="1" sqref="C19" xr:uid="{00000000-0002-0000-0300-000002000000}">
      <formula1>"قبل التنفيذ,أثناء التنفيذ,بعد التنفيذ"</formula1>
      <formula2>0</formula2>
    </dataValidation>
    <dataValidation type="list" allowBlank="1" showInputMessage="1" showErrorMessage="1" sqref="C17" xr:uid="{00000000-0002-0000-0300-000003000000}">
      <formula1>"ميداني,هاتفي,وكيل,مكتبي"</formula1>
      <formula2>0</formula2>
    </dataValidation>
    <dataValidation type="list" allowBlank="1" showInputMessage="1" showErrorMessage="1" sqref="C24:D30 G24:H28 K24:L30" xr:uid="{00000000-0002-0000-0300-000004000000}">
      <formula1>"جاهز,جزئي,غير جاهز,غير مطلوب"</formula1>
    </dataValidation>
  </dataValidations>
  <pageMargins left="0.75" right="0.75" top="0.28999999999999998" bottom="0.62" header="0.19" footer="0.511811023622047"/>
  <pageSetup paperSize="9" scale="98"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A4B8C"/>
  </sheetPr>
  <dimension ref="A1:L73"/>
  <sheetViews>
    <sheetView showGridLines="0" rightToLeft="1" tabSelected="1" workbookViewId="0">
      <selection activeCell="C8" sqref="C8:F8"/>
    </sheetView>
  </sheetViews>
  <sheetFormatPr defaultRowHeight="15"/>
  <cols>
    <col min="1" max="1" width="7.5703125" customWidth="1"/>
    <col min="2" max="12" width="14.140625" customWidth="1"/>
  </cols>
  <sheetData>
    <row r="1" spans="1:12" ht="38.1" customHeight="1">
      <c r="A1" s="459" t="s">
        <v>1106</v>
      </c>
      <c r="B1" s="373"/>
      <c r="C1" s="373"/>
      <c r="D1" s="373"/>
      <c r="E1" s="373"/>
      <c r="F1" s="373"/>
      <c r="G1" s="373"/>
      <c r="H1" s="373"/>
      <c r="I1" s="373"/>
      <c r="J1" s="373"/>
      <c r="K1" s="373"/>
      <c r="L1" s="373"/>
    </row>
    <row r="2" spans="1:12" ht="20.100000000000001" customHeight="1">
      <c r="A2" s="461" t="s">
        <v>1107</v>
      </c>
      <c r="B2" s="373"/>
      <c r="C2" s="373"/>
      <c r="D2" s="373"/>
      <c r="E2" s="373"/>
      <c r="F2" s="373"/>
      <c r="G2" s="373"/>
      <c r="H2" s="373"/>
      <c r="I2" s="373"/>
      <c r="J2" s="373"/>
      <c r="K2" s="373"/>
      <c r="L2" s="373"/>
    </row>
    <row r="3" spans="1:12" ht="6" customHeight="1">
      <c r="A3" s="449"/>
      <c r="B3" s="373"/>
      <c r="C3" s="373"/>
      <c r="D3" s="373"/>
      <c r="E3" s="373"/>
      <c r="F3" s="373"/>
      <c r="G3" s="373"/>
      <c r="H3" s="373"/>
      <c r="I3" s="373"/>
      <c r="J3" s="373"/>
      <c r="K3" s="373"/>
      <c r="L3" s="373"/>
    </row>
    <row r="4" spans="1:12" ht="6" customHeight="1"/>
    <row r="5" spans="1:12" ht="24" customHeight="1">
      <c r="A5" s="436" t="s">
        <v>1108</v>
      </c>
      <c r="B5" s="373"/>
      <c r="C5" s="373"/>
      <c r="D5" s="373"/>
      <c r="E5" s="373"/>
      <c r="F5" s="373"/>
      <c r="G5" s="373"/>
      <c r="H5" s="373"/>
      <c r="I5" s="373"/>
      <c r="J5" s="373"/>
      <c r="K5" s="373"/>
      <c r="L5" s="373"/>
    </row>
    <row r="6" spans="1:12" ht="21.95" customHeight="1">
      <c r="A6" s="433" t="s">
        <v>90</v>
      </c>
      <c r="B6" s="358"/>
      <c r="C6" s="440"/>
      <c r="D6" s="357"/>
      <c r="E6" s="357"/>
      <c r="F6" s="358"/>
      <c r="G6" s="433" t="s">
        <v>91</v>
      </c>
      <c r="H6" s="358"/>
      <c r="I6" s="440"/>
      <c r="J6" s="357"/>
      <c r="K6" s="357"/>
      <c r="L6" s="358"/>
    </row>
    <row r="7" spans="1:12" ht="21.95" customHeight="1">
      <c r="A7" s="433" t="s">
        <v>628</v>
      </c>
      <c r="B7" s="358"/>
      <c r="C7" s="440"/>
      <c r="D7" s="357"/>
      <c r="E7" s="357"/>
      <c r="F7" s="358"/>
      <c r="G7" s="433" t="s">
        <v>1109</v>
      </c>
      <c r="H7" s="358"/>
      <c r="I7" s="440"/>
      <c r="J7" s="357"/>
      <c r="K7" s="357"/>
      <c r="L7" s="358"/>
    </row>
    <row r="8" spans="1:12" ht="21.95" customHeight="1">
      <c r="A8" s="433" t="s">
        <v>1110</v>
      </c>
      <c r="B8" s="358"/>
      <c r="C8" s="440"/>
      <c r="D8" s="357"/>
      <c r="E8" s="357"/>
      <c r="F8" s="358"/>
      <c r="G8" s="433" t="s">
        <v>1111</v>
      </c>
      <c r="H8" s="358"/>
      <c r="I8" s="440"/>
      <c r="J8" s="357"/>
      <c r="K8" s="357"/>
      <c r="L8" s="358"/>
    </row>
    <row r="9" spans="1:12" ht="21.95" customHeight="1">
      <c r="A9" s="433" t="s">
        <v>1112</v>
      </c>
      <c r="B9" s="358"/>
      <c r="C9" s="435"/>
      <c r="D9" s="357"/>
      <c r="E9" s="357"/>
      <c r="F9" s="358"/>
      <c r="G9" s="433" t="s">
        <v>1113</v>
      </c>
      <c r="H9" s="358"/>
      <c r="I9" s="447"/>
      <c r="J9" s="357"/>
      <c r="K9" s="357"/>
      <c r="L9" s="358"/>
    </row>
    <row r="10" spans="1:12" ht="6" customHeight="1"/>
    <row r="11" spans="1:12" ht="24" customHeight="1">
      <c r="A11" s="442" t="s">
        <v>1114</v>
      </c>
      <c r="B11" s="438"/>
      <c r="C11" s="438"/>
      <c r="D11" s="438"/>
      <c r="E11" s="438"/>
      <c r="F11" s="438"/>
      <c r="G11" s="438"/>
      <c r="H11" s="438"/>
      <c r="I11" s="462" t="s">
        <v>1115</v>
      </c>
      <c r="J11" s="438"/>
      <c r="K11" s="438"/>
      <c r="L11" s="438"/>
    </row>
    <row r="12" spans="1:12" ht="21.95" customHeight="1">
      <c r="A12" s="433" t="s">
        <v>1116</v>
      </c>
      <c r="B12" s="358"/>
      <c r="C12" s="447"/>
      <c r="D12" s="358"/>
      <c r="E12" s="433" t="s">
        <v>1117</v>
      </c>
      <c r="F12" s="358"/>
      <c r="G12" s="447"/>
      <c r="H12" s="358"/>
      <c r="I12" s="433" t="s">
        <v>1118</v>
      </c>
      <c r="J12" s="358"/>
      <c r="K12" s="434" t="str">
        <f>IF($I$11="لا ينطبق","—",IF(OR($C$12="",$G$12=""),"",C12/G12))</f>
        <v/>
      </c>
      <c r="L12" s="358"/>
    </row>
    <row r="13" spans="1:12" ht="21.95" customHeight="1">
      <c r="A13" s="433" t="s">
        <v>1119</v>
      </c>
      <c r="B13" s="358"/>
      <c r="C13" s="460" t="str">
        <f>IF($I$11="لا ينطبق","غير مطلوب",IF(OR($C$12="",$G$12=""),"",IF(C12&gt;=G12,"كافٍ",IF(C12&gt;=G12*0.8,"شبه كافٍ","غير كافٍ"))))</f>
        <v/>
      </c>
      <c r="D13" s="358"/>
      <c r="E13" s="433" t="s">
        <v>1120</v>
      </c>
      <c r="F13" s="358"/>
      <c r="G13" s="460" t="str">
        <f>IF($I$11="لا ينطبق","—",IF(OR($C$12="",$G$12=""),"",C12-G12))</f>
        <v/>
      </c>
      <c r="H13" s="358"/>
      <c r="I13" s="433" t="s">
        <v>1121</v>
      </c>
      <c r="J13" s="358"/>
      <c r="K13" s="440"/>
      <c r="L13" s="358"/>
    </row>
    <row r="14" spans="1:12" ht="21.95" customHeight="1">
      <c r="A14" s="433" t="s">
        <v>1122</v>
      </c>
      <c r="B14" s="358"/>
      <c r="C14" s="440"/>
      <c r="D14" s="357"/>
      <c r="E14" s="357"/>
      <c r="F14" s="357"/>
      <c r="G14" s="357"/>
      <c r="H14" s="357"/>
      <c r="I14" s="357"/>
      <c r="J14" s="357"/>
      <c r="K14" s="357"/>
      <c r="L14" s="358"/>
    </row>
    <row r="15" spans="1:12" ht="6" customHeight="1"/>
    <row r="16" spans="1:12" ht="24" customHeight="1">
      <c r="A16" s="436" t="s">
        <v>1123</v>
      </c>
      <c r="B16" s="373"/>
      <c r="C16" s="373"/>
      <c r="D16" s="373"/>
      <c r="E16" s="373"/>
      <c r="F16" s="373"/>
      <c r="G16" s="373"/>
      <c r="H16" s="373"/>
      <c r="I16" s="373"/>
      <c r="J16" s="373"/>
      <c r="K16" s="373"/>
      <c r="L16" s="373"/>
    </row>
    <row r="17" spans="1:12" ht="20.100000000000001" customHeight="1">
      <c r="A17" s="443" t="s">
        <v>44</v>
      </c>
      <c r="B17" s="357"/>
      <c r="C17" s="357"/>
      <c r="D17" s="357"/>
      <c r="E17" s="357"/>
      <c r="F17" s="358"/>
      <c r="G17" s="443" t="s">
        <v>1124</v>
      </c>
      <c r="H17" s="358"/>
      <c r="I17" s="443" t="s">
        <v>1048</v>
      </c>
      <c r="J17" s="357"/>
      <c r="K17" s="357"/>
      <c r="L17" s="358"/>
    </row>
    <row r="18" spans="1:12" ht="20.100000000000001" customHeight="1">
      <c r="A18" s="385" t="s">
        <v>1125</v>
      </c>
      <c r="B18" s="385"/>
      <c r="C18" s="385"/>
      <c r="D18" s="385"/>
      <c r="E18" s="385"/>
      <c r="F18" s="385"/>
      <c r="G18" s="385"/>
      <c r="H18" s="385"/>
      <c r="I18" s="385"/>
      <c r="J18" s="385"/>
      <c r="K18" s="385"/>
      <c r="L18" s="385"/>
    </row>
    <row r="19" spans="1:12" ht="20.100000000000001" customHeight="1">
      <c r="A19" s="373" t="s">
        <v>1126</v>
      </c>
      <c r="B19" s="373"/>
      <c r="C19" s="373"/>
      <c r="D19" s="373"/>
      <c r="E19" s="373"/>
      <c r="F19" s="373"/>
      <c r="G19" s="373"/>
      <c r="H19" s="373"/>
      <c r="I19" s="373"/>
      <c r="J19" s="373"/>
      <c r="K19" s="373"/>
      <c r="L19" s="373"/>
    </row>
    <row r="20" spans="1:12" ht="20.100000000000001" customHeight="1">
      <c r="A20" s="373" t="s">
        <v>1127</v>
      </c>
      <c r="B20" s="373"/>
      <c r="C20" s="373"/>
      <c r="D20" s="373"/>
      <c r="E20" s="373"/>
      <c r="F20" s="373"/>
      <c r="G20" s="373"/>
      <c r="H20" s="373"/>
      <c r="I20" s="373"/>
      <c r="J20" s="373"/>
      <c r="K20" s="373"/>
      <c r="L20" s="373"/>
    </row>
    <row r="21" spans="1:12" ht="20.100000000000001" customHeight="1">
      <c r="A21" s="373" t="s">
        <v>1128</v>
      </c>
      <c r="B21" s="373"/>
      <c r="C21" s="373"/>
      <c r="D21" s="373"/>
      <c r="E21" s="373"/>
      <c r="F21" s="373"/>
      <c r="G21" s="373"/>
      <c r="H21" s="373"/>
      <c r="I21" s="373"/>
      <c r="J21" s="373"/>
      <c r="K21" s="373"/>
      <c r="L21" s="373"/>
    </row>
    <row r="22" spans="1:12" ht="20.100000000000001" customHeight="1">
      <c r="A22" s="373" t="s">
        <v>1129</v>
      </c>
      <c r="B22" s="373"/>
      <c r="C22" s="373"/>
      <c r="D22" s="373"/>
      <c r="E22" s="373"/>
      <c r="F22" s="373"/>
      <c r="G22" s="373"/>
      <c r="H22" s="373"/>
      <c r="I22" s="373"/>
      <c r="J22" s="373"/>
      <c r="K22" s="373"/>
      <c r="L22" s="373"/>
    </row>
    <row r="23" spans="1:12" ht="20.100000000000001" customHeight="1">
      <c r="A23" s="373" t="s">
        <v>1130</v>
      </c>
      <c r="B23" s="373"/>
      <c r="C23" s="373"/>
      <c r="D23" s="373"/>
      <c r="E23" s="373"/>
      <c r="F23" s="373"/>
      <c r="G23" s="373"/>
      <c r="H23" s="373"/>
      <c r="I23" s="373"/>
      <c r="J23" s="373"/>
      <c r="K23" s="373"/>
      <c r="L23" s="373"/>
    </row>
    <row r="24" spans="1:12" ht="20.100000000000001" customHeight="1">
      <c r="A24" s="373" t="s">
        <v>1131</v>
      </c>
      <c r="B24" s="373"/>
      <c r="C24" s="373"/>
      <c r="D24" s="373"/>
      <c r="E24" s="373"/>
      <c r="F24" s="373"/>
      <c r="G24" s="373"/>
      <c r="H24" s="373"/>
      <c r="I24" s="373"/>
      <c r="J24" s="373"/>
      <c r="K24" s="373"/>
      <c r="L24" s="373"/>
    </row>
    <row r="25" spans="1:12" ht="20.100000000000001" customHeight="1">
      <c r="A25" s="373" t="str">
        <f t="array" ref="A25">IFERROR(INDEX('معايير الأقسام'!$A$2:$I$6,ROW()-24,MATCH($I$6,'معايير الأقسام'!$A$1:$I$1,0)),"")</f>
        <v/>
      </c>
      <c r="B25" s="373"/>
      <c r="C25" s="373"/>
      <c r="D25" s="373"/>
      <c r="E25" s="373"/>
      <c r="F25" s="373"/>
      <c r="G25" s="373"/>
      <c r="H25" s="373"/>
      <c r="I25" s="373"/>
      <c r="J25" s="373"/>
      <c r="K25" s="373"/>
      <c r="L25" s="373"/>
    </row>
    <row r="26" spans="1:12" ht="20.100000000000001" customHeight="1">
      <c r="A26" s="373" t="str">
        <f t="array" ref="A26">IFERROR(INDEX('معايير الأقسام'!$A$2:$I$6,ROW()-24,MATCH($I$6,'معايير الأقسام'!$A$1:$I$1,0)),"")</f>
        <v/>
      </c>
      <c r="B26" s="373"/>
      <c r="C26" s="373"/>
      <c r="D26" s="373"/>
      <c r="E26" s="373"/>
      <c r="F26" s="373"/>
      <c r="G26" s="373"/>
      <c r="H26" s="373"/>
      <c r="I26" s="373"/>
      <c r="J26" s="373"/>
      <c r="K26" s="373"/>
      <c r="L26" s="373"/>
    </row>
    <row r="27" spans="1:12" ht="20.100000000000001" customHeight="1">
      <c r="A27" s="373" t="str">
        <f t="array" ref="A27">IFERROR(INDEX('معايير الأقسام'!$A$2:$I$6,ROW()-24,MATCH($I$6,'معايير الأقسام'!$A$1:$I$1,0)),"")</f>
        <v/>
      </c>
      <c r="B27" s="373"/>
      <c r="C27" s="373"/>
      <c r="D27" s="373"/>
      <c r="E27" s="373"/>
      <c r="F27" s="373"/>
      <c r="G27" s="373"/>
      <c r="H27" s="373"/>
      <c r="I27" s="373"/>
      <c r="J27" s="373"/>
      <c r="K27" s="373"/>
      <c r="L27" s="373"/>
    </row>
    <row r="28" spans="1:12" ht="20.100000000000001" customHeight="1">
      <c r="A28" s="373" t="str">
        <f t="array" ref="A28">IFERROR(INDEX('معايير الأقسام'!$A$2:$I$6,ROW()-24,MATCH($I$6,'معايير الأقسام'!$A$1:$I$1,0)),"")</f>
        <v/>
      </c>
      <c r="B28" s="373"/>
      <c r="C28" s="373"/>
      <c r="D28" s="373"/>
      <c r="E28" s="373"/>
      <c r="F28" s="373"/>
      <c r="G28" s="373"/>
      <c r="H28" s="373"/>
      <c r="I28" s="373"/>
      <c r="J28" s="373"/>
      <c r="K28" s="373"/>
      <c r="L28" s="373"/>
    </row>
    <row r="29" spans="1:12" ht="20.100000000000001" customHeight="1">
      <c r="A29" s="373" t="str">
        <f t="array" ref="A29">IFERROR(INDEX('معايير الأقسام'!$A$2:$I$6,ROW()-24,MATCH($I$6,'معايير الأقسام'!$A$1:$I$1,0)),"")</f>
        <v/>
      </c>
      <c r="B29" s="373"/>
      <c r="C29" s="373"/>
      <c r="D29" s="373"/>
      <c r="E29" s="373"/>
      <c r="F29" s="373"/>
      <c r="G29" s="373"/>
      <c r="H29" s="373"/>
      <c r="I29" s="373"/>
      <c r="J29" s="373"/>
      <c r="K29" s="373"/>
      <c r="L29" s="373"/>
    </row>
    <row r="30" spans="1:12" ht="27.95" customHeight="1">
      <c r="A30" s="373" t="s">
        <v>1132</v>
      </c>
      <c r="B30" s="373"/>
      <c r="C30" s="373"/>
      <c r="D30" s="373"/>
      <c r="E30" s="373"/>
      <c r="F30" s="373"/>
      <c r="G30" s="373"/>
      <c r="H30" s="373"/>
      <c r="I30" s="373"/>
      <c r="J30" s="373"/>
      <c r="K30" s="373"/>
      <c r="L30" s="373"/>
    </row>
    <row r="31" spans="1:12" ht="6" customHeight="1"/>
    <row r="32" spans="1:12" ht="24" customHeight="1">
      <c r="A32" s="436" t="s">
        <v>1133</v>
      </c>
      <c r="B32" s="373"/>
      <c r="C32" s="373"/>
      <c r="D32" s="373"/>
      <c r="E32" s="373"/>
      <c r="F32" s="373"/>
      <c r="G32" s="373"/>
      <c r="H32" s="373"/>
      <c r="I32" s="373"/>
      <c r="J32" s="373"/>
      <c r="K32" s="373"/>
      <c r="L32" s="373"/>
    </row>
    <row r="33" spans="1:12" ht="20.100000000000001" customHeight="1">
      <c r="A33" s="222" t="str">
        <f>IF(B33&lt;&gt;"",ROW()-30,"")</f>
        <v/>
      </c>
      <c r="B33" s="356"/>
      <c r="C33" s="357"/>
      <c r="D33" s="357"/>
      <c r="E33" s="357"/>
      <c r="F33" s="357"/>
      <c r="G33" s="357"/>
      <c r="H33" s="357"/>
      <c r="I33" s="357"/>
      <c r="J33" s="357"/>
      <c r="K33" s="357"/>
      <c r="L33" s="358"/>
    </row>
    <row r="34" spans="1:12" ht="20.100000000000001" customHeight="1">
      <c r="A34" s="222" t="str">
        <f>IF(B34&lt;&gt;"",ROW()-30,"")</f>
        <v/>
      </c>
      <c r="B34" s="356"/>
      <c r="C34" s="357"/>
      <c r="D34" s="357"/>
      <c r="E34" s="357"/>
      <c r="F34" s="357"/>
      <c r="G34" s="357"/>
      <c r="H34" s="357"/>
      <c r="I34" s="357"/>
      <c r="J34" s="357"/>
      <c r="K34" s="357"/>
      <c r="L34" s="358"/>
    </row>
    <row r="35" spans="1:12" ht="20.100000000000001" customHeight="1">
      <c r="A35" s="222" t="str">
        <f>IF(B35&lt;&gt;"",ROW()-30,"")</f>
        <v/>
      </c>
      <c r="B35" s="356"/>
      <c r="C35" s="357"/>
      <c r="D35" s="357"/>
      <c r="E35" s="357"/>
      <c r="F35" s="357"/>
      <c r="G35" s="357"/>
      <c r="H35" s="357"/>
      <c r="I35" s="357"/>
      <c r="J35" s="357"/>
      <c r="K35" s="357"/>
      <c r="L35" s="358"/>
    </row>
    <row r="36" spans="1:12" ht="20.100000000000001" customHeight="1">
      <c r="A36" s="222" t="str">
        <f>IF(B36&lt;&gt;"",ROW()-30,"")</f>
        <v/>
      </c>
      <c r="B36" s="356"/>
      <c r="C36" s="357"/>
      <c r="D36" s="357"/>
      <c r="E36" s="357"/>
      <c r="F36" s="357"/>
      <c r="G36" s="357"/>
      <c r="H36" s="357"/>
      <c r="I36" s="357"/>
      <c r="J36" s="357"/>
      <c r="K36" s="357"/>
      <c r="L36" s="358"/>
    </row>
    <row r="37" spans="1:12" ht="20.100000000000001" customHeight="1">
      <c r="A37" s="222" t="str">
        <f>IF(B37&lt;&gt;"",ROW()-30,"")</f>
        <v/>
      </c>
      <c r="B37" s="356"/>
      <c r="C37" s="357"/>
      <c r="D37" s="357"/>
      <c r="E37" s="357"/>
      <c r="F37" s="357"/>
      <c r="G37" s="357"/>
      <c r="H37" s="357"/>
      <c r="I37" s="357"/>
      <c r="J37" s="357"/>
      <c r="K37" s="357"/>
      <c r="L37" s="358"/>
    </row>
    <row r="38" spans="1:12" ht="6" customHeight="1"/>
    <row r="39" spans="1:12" ht="24" customHeight="1">
      <c r="A39" s="436" t="s">
        <v>1134</v>
      </c>
      <c r="B39" s="373"/>
      <c r="C39" s="373"/>
      <c r="D39" s="373"/>
      <c r="E39" s="373"/>
      <c r="F39" s="373"/>
      <c r="G39" s="373"/>
      <c r="H39" s="373"/>
      <c r="I39" s="373"/>
      <c r="J39" s="373"/>
      <c r="K39" s="373"/>
      <c r="L39" s="373"/>
    </row>
    <row r="40" spans="1:12" ht="20.100000000000001" customHeight="1">
      <c r="A40" s="222" t="str">
        <f>IF(B40&lt;&gt;"",ROW()-37,"")</f>
        <v/>
      </c>
      <c r="B40" s="356"/>
      <c r="C40" s="357"/>
      <c r="D40" s="357"/>
      <c r="E40" s="357"/>
      <c r="F40" s="357"/>
      <c r="G40" s="357"/>
      <c r="H40" s="357"/>
      <c r="I40" s="357"/>
      <c r="J40" s="357"/>
      <c r="K40" s="357"/>
      <c r="L40" s="358"/>
    </row>
    <row r="41" spans="1:12" ht="20.100000000000001" customHeight="1">
      <c r="A41" s="222" t="str">
        <f>IF(B41&lt;&gt;"",ROW()-37,"")</f>
        <v/>
      </c>
      <c r="B41" s="356"/>
      <c r="C41" s="357"/>
      <c r="D41" s="357"/>
      <c r="E41" s="357"/>
      <c r="F41" s="357"/>
      <c r="G41" s="357"/>
      <c r="H41" s="357"/>
      <c r="I41" s="357"/>
      <c r="J41" s="357"/>
      <c r="K41" s="357"/>
      <c r="L41" s="358"/>
    </row>
    <row r="42" spans="1:12" ht="20.100000000000001" customHeight="1">
      <c r="A42" s="222" t="str">
        <f>IF(B42&lt;&gt;"",ROW()-37,"")</f>
        <v/>
      </c>
      <c r="B42" s="356"/>
      <c r="C42" s="357"/>
      <c r="D42" s="357"/>
      <c r="E42" s="357"/>
      <c r="F42" s="357"/>
      <c r="G42" s="357"/>
      <c r="H42" s="357"/>
      <c r="I42" s="357"/>
      <c r="J42" s="357"/>
      <c r="K42" s="357"/>
      <c r="L42" s="358"/>
    </row>
    <row r="43" spans="1:12" ht="20.100000000000001" customHeight="1">
      <c r="A43" s="222" t="str">
        <f>IF(B43&lt;&gt;"",ROW()-37,"")</f>
        <v/>
      </c>
      <c r="B43" s="356"/>
      <c r="C43" s="357"/>
      <c r="D43" s="357"/>
      <c r="E43" s="357"/>
      <c r="F43" s="357"/>
      <c r="G43" s="357"/>
      <c r="H43" s="357"/>
      <c r="I43" s="357"/>
      <c r="J43" s="357"/>
      <c r="K43" s="357"/>
      <c r="L43" s="358"/>
    </row>
    <row r="44" spans="1:12" ht="20.100000000000001" customHeight="1">
      <c r="A44" s="222" t="str">
        <f>IF(B44&lt;&gt;"",ROW()-37,"")</f>
        <v/>
      </c>
      <c r="B44" s="356"/>
      <c r="C44" s="357"/>
      <c r="D44" s="357"/>
      <c r="E44" s="357"/>
      <c r="F44" s="357"/>
      <c r="G44" s="357"/>
      <c r="H44" s="357"/>
      <c r="I44" s="357"/>
      <c r="J44" s="357"/>
      <c r="K44" s="357"/>
      <c r="L44" s="358"/>
    </row>
    <row r="45" spans="1:12" ht="6" customHeight="1"/>
    <row r="46" spans="1:12" ht="24" customHeight="1">
      <c r="A46" s="436" t="s">
        <v>1135</v>
      </c>
      <c r="B46" s="373"/>
      <c r="C46" s="373"/>
      <c r="D46" s="373"/>
      <c r="E46" s="373"/>
      <c r="F46" s="373"/>
      <c r="G46" s="373"/>
      <c r="H46" s="373"/>
      <c r="I46" s="373"/>
      <c r="J46" s="373"/>
      <c r="K46" s="373"/>
      <c r="L46" s="373"/>
    </row>
    <row r="47" spans="1:12" ht="20.100000000000001" customHeight="1">
      <c r="A47" s="222" t="str">
        <f>IF(B47&lt;&gt;"",ROW()-44,"")</f>
        <v/>
      </c>
      <c r="B47" s="356"/>
      <c r="C47" s="357"/>
      <c r="D47" s="357"/>
      <c r="E47" s="357"/>
      <c r="F47" s="357"/>
      <c r="G47" s="357"/>
      <c r="H47" s="357"/>
      <c r="I47" s="357"/>
      <c r="J47" s="357"/>
      <c r="K47" s="357"/>
      <c r="L47" s="358"/>
    </row>
    <row r="48" spans="1:12" ht="20.100000000000001" customHeight="1">
      <c r="A48" s="222" t="str">
        <f>IF(B48&lt;&gt;"",ROW()-44,"")</f>
        <v/>
      </c>
      <c r="B48" s="356"/>
      <c r="C48" s="357"/>
      <c r="D48" s="357"/>
      <c r="E48" s="357"/>
      <c r="F48" s="357"/>
      <c r="G48" s="357"/>
      <c r="H48" s="357"/>
      <c r="I48" s="357"/>
      <c r="J48" s="357"/>
      <c r="K48" s="357"/>
      <c r="L48" s="358"/>
    </row>
    <row r="49" spans="1:12" ht="20.100000000000001" customHeight="1">
      <c r="A49" s="222" t="str">
        <f>IF(B49&lt;&gt;"",ROW()-44,"")</f>
        <v/>
      </c>
      <c r="B49" s="356"/>
      <c r="C49" s="357"/>
      <c r="D49" s="357"/>
      <c r="E49" s="357"/>
      <c r="F49" s="357"/>
      <c r="G49" s="357"/>
      <c r="H49" s="357"/>
      <c r="I49" s="357"/>
      <c r="J49" s="357"/>
      <c r="K49" s="357"/>
      <c r="L49" s="358"/>
    </row>
    <row r="50" spans="1:12" ht="20.100000000000001" customHeight="1">
      <c r="A50" s="222" t="str">
        <f>IF(B50&lt;&gt;"",ROW()-44,"")</f>
        <v/>
      </c>
      <c r="B50" s="356"/>
      <c r="C50" s="357"/>
      <c r="D50" s="357"/>
      <c r="E50" s="357"/>
      <c r="F50" s="357"/>
      <c r="G50" s="357"/>
      <c r="H50" s="357"/>
      <c r="I50" s="357"/>
      <c r="J50" s="357"/>
      <c r="K50" s="357"/>
      <c r="L50" s="358"/>
    </row>
    <row r="51" spans="1:12" ht="20.100000000000001" customHeight="1">
      <c r="A51" s="222" t="str">
        <f>IF(B51&lt;&gt;"",ROW()-44,"")</f>
        <v/>
      </c>
      <c r="B51" s="356"/>
      <c r="C51" s="357"/>
      <c r="D51" s="357"/>
      <c r="E51" s="357"/>
      <c r="F51" s="357"/>
      <c r="G51" s="357"/>
      <c r="H51" s="357"/>
      <c r="I51" s="357"/>
      <c r="J51" s="357"/>
      <c r="K51" s="357"/>
      <c r="L51" s="358"/>
    </row>
    <row r="52" spans="1:12" ht="6" customHeight="1"/>
    <row r="53" spans="1:12" ht="24" customHeight="1" thickBot="1">
      <c r="A53" s="436" t="s">
        <v>1136</v>
      </c>
      <c r="B53" s="373"/>
      <c r="C53" s="373"/>
      <c r="D53" s="373"/>
      <c r="E53" s="373"/>
      <c r="F53" s="373"/>
      <c r="G53" s="373"/>
      <c r="H53" s="373"/>
      <c r="I53" s="373"/>
      <c r="J53" s="373"/>
      <c r="K53" s="373"/>
      <c r="L53" s="373"/>
    </row>
    <row r="54" spans="1:12" ht="24" customHeight="1">
      <c r="A54" s="452" t="str">
        <f>IF($I$30="","— لم يُقيَّم بعد —",IF(OR($I$30&lt;0.6,$C$13="غير كافٍ"),"🔴 غير جاهز — يحتاج معالجة عاجلة",IF(OR($I$30&lt;0.85,$C$13="شبه كافٍ"),"🔶 جاهز جزئياً — يحتاج متابعة","✅ جاهز — أداء القسم ضمن المستهدف")))</f>
        <v>— لم يُقيَّم بعد —</v>
      </c>
      <c r="B54" s="453"/>
      <c r="C54" s="453"/>
      <c r="D54" s="453"/>
      <c r="E54" s="453"/>
      <c r="F54" s="453"/>
      <c r="G54" s="453"/>
      <c r="H54" s="453"/>
      <c r="I54" s="453"/>
      <c r="J54" s="453"/>
      <c r="K54" s="453"/>
      <c r="L54" s="454"/>
    </row>
    <row r="55" spans="1:12" ht="21.95" customHeight="1" thickBot="1">
      <c r="A55" s="455"/>
      <c r="B55" s="456"/>
      <c r="C55" s="456"/>
      <c r="D55" s="456"/>
      <c r="E55" s="456"/>
      <c r="F55" s="456"/>
      <c r="G55" s="456"/>
      <c r="H55" s="456"/>
      <c r="I55" s="456"/>
      <c r="J55" s="456"/>
      <c r="K55" s="456"/>
      <c r="L55" s="457"/>
    </row>
    <row r="56" spans="1:12" ht="6" customHeight="1"/>
    <row r="57" spans="1:12" ht="24" customHeight="1">
      <c r="A57" s="436" t="s">
        <v>1137</v>
      </c>
      <c r="B57" s="373"/>
      <c r="C57" s="373"/>
      <c r="D57" s="373"/>
      <c r="E57" s="373"/>
      <c r="F57" s="373"/>
      <c r="G57" s="373"/>
      <c r="H57" s="373"/>
      <c r="I57" s="373"/>
      <c r="J57" s="373"/>
      <c r="K57" s="373"/>
      <c r="L57" s="373"/>
    </row>
    <row r="58" spans="1:12" ht="20.100000000000001" customHeight="1">
      <c r="A58" s="444" t="s">
        <v>1109</v>
      </c>
      <c r="B58" s="385"/>
      <c r="C58" s="385"/>
      <c r="D58" s="445"/>
      <c r="E58" s="444" t="s">
        <v>84</v>
      </c>
      <c r="F58" s="385"/>
      <c r="G58" s="385"/>
      <c r="H58" s="445"/>
      <c r="I58" s="444" t="s">
        <v>85</v>
      </c>
      <c r="J58" s="385"/>
      <c r="K58" s="385"/>
      <c r="L58" s="445"/>
    </row>
    <row r="59" spans="1:12" ht="21.95" customHeight="1">
      <c r="A59" s="450"/>
      <c r="B59" s="373"/>
      <c r="C59" s="373"/>
      <c r="D59" s="451"/>
      <c r="E59" s="450"/>
      <c r="F59" s="373"/>
      <c r="G59" s="373"/>
      <c r="H59" s="451"/>
      <c r="I59" s="450"/>
      <c r="J59" s="373"/>
      <c r="K59" s="373"/>
      <c r="L59" s="451"/>
    </row>
    <row r="60" spans="1:12" ht="21.95" customHeight="1">
      <c r="A60" s="437" t="s">
        <v>1138</v>
      </c>
      <c r="B60" s="438"/>
      <c r="C60" s="438"/>
      <c r="D60" s="439"/>
      <c r="E60" s="437" t="s">
        <v>1138</v>
      </c>
      <c r="F60" s="438"/>
      <c r="G60" s="438"/>
      <c r="H60" s="439"/>
      <c r="I60" s="437" t="s">
        <v>1138</v>
      </c>
      <c r="J60" s="438"/>
      <c r="K60" s="438"/>
      <c r="L60" s="439"/>
    </row>
    <row r="61" spans="1:12" ht="6" customHeight="1"/>
    <row r="62" spans="1:12" ht="24" customHeight="1">
      <c r="A62" s="436" t="s">
        <v>1139</v>
      </c>
      <c r="B62" s="373"/>
      <c r="C62" s="373"/>
      <c r="D62" s="373"/>
      <c r="E62" s="373"/>
      <c r="F62" s="373"/>
      <c r="G62" s="373"/>
      <c r="H62" s="373"/>
      <c r="I62" s="373"/>
      <c r="J62" s="373"/>
      <c r="K62" s="373"/>
      <c r="L62" s="373"/>
    </row>
    <row r="63" spans="1:12" ht="20.100000000000001" customHeight="1">
      <c r="A63" s="433" t="s">
        <v>626</v>
      </c>
      <c r="B63" s="357"/>
      <c r="C63" s="357"/>
      <c r="D63" s="357"/>
      <c r="E63" s="358"/>
      <c r="F63" s="446" t="str">
        <f>IF($C$9="","",$C$9)</f>
        <v/>
      </c>
      <c r="G63" s="357"/>
      <c r="H63" s="357"/>
      <c r="I63" s="357"/>
      <c r="J63" s="357"/>
      <c r="K63" s="357"/>
      <c r="L63" s="358"/>
    </row>
    <row r="64" spans="1:12" ht="20.100000000000001" customHeight="1">
      <c r="A64" s="433" t="s">
        <v>90</v>
      </c>
      <c r="B64" s="357"/>
      <c r="C64" s="357"/>
      <c r="D64" s="357"/>
      <c r="E64" s="358"/>
      <c r="F64" s="448" t="str">
        <f>IF($C$6="","",$C$6)</f>
        <v/>
      </c>
      <c r="G64" s="357"/>
      <c r="H64" s="357"/>
      <c r="I64" s="357"/>
      <c r="J64" s="357"/>
      <c r="K64" s="357"/>
      <c r="L64" s="358"/>
    </row>
    <row r="65" spans="1:12" ht="20.100000000000001" customHeight="1">
      <c r="A65" s="433" t="s">
        <v>91</v>
      </c>
      <c r="B65" s="357"/>
      <c r="C65" s="357"/>
      <c r="D65" s="357"/>
      <c r="E65" s="358"/>
      <c r="F65" s="448" t="str">
        <f>IF($I$6="","",$I$6)</f>
        <v/>
      </c>
      <c r="G65" s="357"/>
      <c r="H65" s="357"/>
      <c r="I65" s="357"/>
      <c r="J65" s="357"/>
      <c r="K65" s="357"/>
      <c r="L65" s="358"/>
    </row>
    <row r="66" spans="1:12" ht="20.100000000000001" customHeight="1">
      <c r="A66" s="433" t="s">
        <v>628</v>
      </c>
      <c r="B66" s="357"/>
      <c r="C66" s="357"/>
      <c r="D66" s="357"/>
      <c r="E66" s="358"/>
      <c r="F66" s="448" t="str">
        <f>IF($C$7="","",$C$7)</f>
        <v/>
      </c>
      <c r="G66" s="357"/>
      <c r="H66" s="357"/>
      <c r="I66" s="357"/>
      <c r="J66" s="357"/>
      <c r="K66" s="357"/>
      <c r="L66" s="358"/>
    </row>
    <row r="67" spans="1:12" ht="20.100000000000001" customHeight="1">
      <c r="A67" s="433" t="s">
        <v>1110</v>
      </c>
      <c r="B67" s="357"/>
      <c r="C67" s="357"/>
      <c r="D67" s="357"/>
      <c r="E67" s="358"/>
      <c r="F67" s="448" t="str">
        <f>IF($C$8="","",$C$8)</f>
        <v/>
      </c>
      <c r="G67" s="357"/>
      <c r="H67" s="357"/>
      <c r="I67" s="357"/>
      <c r="J67" s="357"/>
      <c r="K67" s="357"/>
      <c r="L67" s="358"/>
    </row>
    <row r="68" spans="1:12" ht="20.100000000000001" customHeight="1">
      <c r="A68" s="433" t="s">
        <v>1140</v>
      </c>
      <c r="B68" s="357"/>
      <c r="C68" s="357"/>
      <c r="D68" s="357"/>
      <c r="E68" s="358"/>
      <c r="F68" s="441" t="str">
        <f>IF($I$30="","",$I$30)</f>
        <v/>
      </c>
      <c r="G68" s="357"/>
      <c r="H68" s="357"/>
      <c r="I68" s="357"/>
      <c r="J68" s="357"/>
      <c r="K68" s="357"/>
      <c r="L68" s="358"/>
    </row>
    <row r="69" spans="1:12" ht="20.100000000000001" customHeight="1">
      <c r="A69" s="433" t="s">
        <v>635</v>
      </c>
      <c r="B69" s="357"/>
      <c r="C69" s="357"/>
      <c r="D69" s="357"/>
      <c r="E69" s="358"/>
      <c r="F69" s="448" t="str">
        <f>IF($I$30="","",IF($I$30&gt;=0.85,"جاهز",IF($I$30&gt;=0.6,"جزئي","غير جاهز")))</f>
        <v/>
      </c>
      <c r="G69" s="357"/>
      <c r="H69" s="357"/>
      <c r="I69" s="357"/>
      <c r="J69" s="357"/>
      <c r="K69" s="357"/>
      <c r="L69" s="358"/>
    </row>
    <row r="70" spans="1:12" ht="20.100000000000001" customHeight="1">
      <c r="A70" s="433" t="s">
        <v>1141</v>
      </c>
      <c r="B70" s="357"/>
      <c r="C70" s="357"/>
      <c r="D70" s="357"/>
      <c r="E70" s="358"/>
      <c r="F70" s="448" t="str">
        <f>_xlfn.TEXTJOIN(" | ",TRUE,B33:B37)</f>
        <v/>
      </c>
      <c r="G70" s="357"/>
      <c r="H70" s="357"/>
      <c r="I70" s="357"/>
      <c r="J70" s="357"/>
      <c r="K70" s="357"/>
      <c r="L70" s="358"/>
    </row>
    <row r="71" spans="1:12" ht="20.100000000000001" customHeight="1">
      <c r="A71" s="433" t="s">
        <v>1142</v>
      </c>
      <c r="B71" s="357"/>
      <c r="C71" s="357"/>
      <c r="D71" s="357"/>
      <c r="E71" s="358"/>
      <c r="F71" s="448" t="str">
        <f>_xlfn.TEXTJOIN(" | ",TRUE,B40:B44)</f>
        <v/>
      </c>
      <c r="G71" s="357"/>
      <c r="H71" s="357"/>
      <c r="I71" s="357"/>
      <c r="J71" s="357"/>
      <c r="K71" s="357"/>
      <c r="L71" s="358"/>
    </row>
    <row r="72" spans="1:12" ht="20.100000000000001" customHeight="1">
      <c r="A72" s="433" t="s">
        <v>636</v>
      </c>
      <c r="B72" s="357"/>
      <c r="C72" s="357"/>
      <c r="D72" s="357"/>
      <c r="E72" s="358"/>
      <c r="F72" s="448" t="str">
        <f>_xlfn.TEXTJOIN(" | ",TRUE,B47:B51)</f>
        <v/>
      </c>
      <c r="G72" s="357"/>
      <c r="H72" s="357"/>
      <c r="I72" s="357"/>
      <c r="J72" s="357"/>
      <c r="K72" s="357"/>
      <c r="L72" s="358"/>
    </row>
    <row r="73" spans="1:12" ht="20.100000000000001" customHeight="1">
      <c r="A73" s="458" t="s">
        <v>1143</v>
      </c>
      <c r="B73" s="373"/>
      <c r="C73" s="373"/>
      <c r="D73" s="373"/>
      <c r="E73" s="373"/>
      <c r="F73" s="373"/>
      <c r="G73" s="373"/>
      <c r="H73" s="373"/>
      <c r="I73" s="373"/>
      <c r="J73" s="373"/>
      <c r="K73" s="373"/>
      <c r="L73" s="373"/>
    </row>
  </sheetData>
  <mergeCells count="126">
    <mergeCell ref="A1:L1"/>
    <mergeCell ref="A68:E68"/>
    <mergeCell ref="A13:B13"/>
    <mergeCell ref="E59:H59"/>
    <mergeCell ref="C13:D13"/>
    <mergeCell ref="B36:L36"/>
    <mergeCell ref="F72:L72"/>
    <mergeCell ref="A25:F25"/>
    <mergeCell ref="A2:L2"/>
    <mergeCell ref="B43:L43"/>
    <mergeCell ref="I60:L60"/>
    <mergeCell ref="I9:L9"/>
    <mergeCell ref="I30:L30"/>
    <mergeCell ref="F69:L69"/>
    <mergeCell ref="A17:F17"/>
    <mergeCell ref="E13:F13"/>
    <mergeCell ref="B42:L42"/>
    <mergeCell ref="G13:H13"/>
    <mergeCell ref="A66:E66"/>
    <mergeCell ref="I11:L11"/>
    <mergeCell ref="C14:L14"/>
    <mergeCell ref="A12:B12"/>
    <mergeCell ref="C12:D12"/>
    <mergeCell ref="B44:L44"/>
    <mergeCell ref="A73:L73"/>
    <mergeCell ref="A24:L24"/>
    <mergeCell ref="G25:H25"/>
    <mergeCell ref="G9:H9"/>
    <mergeCell ref="A67:E67"/>
    <mergeCell ref="A16:L16"/>
    <mergeCell ref="A30:H30"/>
    <mergeCell ref="I17:L17"/>
    <mergeCell ref="C8:F8"/>
    <mergeCell ref="A18:L18"/>
    <mergeCell ref="A26:F26"/>
    <mergeCell ref="I19:L19"/>
    <mergeCell ref="I59:L59"/>
    <mergeCell ref="A72:E72"/>
    <mergeCell ref="F71:L71"/>
    <mergeCell ref="G27:H27"/>
    <mergeCell ref="A71:E71"/>
    <mergeCell ref="I25:L25"/>
    <mergeCell ref="B40:L40"/>
    <mergeCell ref="B49:L49"/>
    <mergeCell ref="G20:H20"/>
    <mergeCell ref="I58:L58"/>
    <mergeCell ref="F66:L66"/>
    <mergeCell ref="B33:L33"/>
    <mergeCell ref="A3:L3"/>
    <mergeCell ref="A69:E69"/>
    <mergeCell ref="G7:H7"/>
    <mergeCell ref="F64:L64"/>
    <mergeCell ref="A5:L5"/>
    <mergeCell ref="A32:L32"/>
    <mergeCell ref="I6:L6"/>
    <mergeCell ref="A59:D59"/>
    <mergeCell ref="A22:F22"/>
    <mergeCell ref="F65:L65"/>
    <mergeCell ref="A28:F28"/>
    <mergeCell ref="A54:L55"/>
    <mergeCell ref="B37:L37"/>
    <mergeCell ref="I7:L7"/>
    <mergeCell ref="A8:B8"/>
    <mergeCell ref="G26:H26"/>
    <mergeCell ref="A19:F19"/>
    <mergeCell ref="B34:L34"/>
    <mergeCell ref="A14:B14"/>
    <mergeCell ref="I21:L21"/>
    <mergeCell ref="I23:L23"/>
    <mergeCell ref="I8:L8"/>
    <mergeCell ref="A64:E64"/>
    <mergeCell ref="F67:L67"/>
    <mergeCell ref="A70:E70"/>
    <mergeCell ref="B48:L48"/>
    <mergeCell ref="E58:H58"/>
    <mergeCell ref="A23:F23"/>
    <mergeCell ref="F70:L70"/>
    <mergeCell ref="G21:H21"/>
    <mergeCell ref="A46:L46"/>
    <mergeCell ref="B47:L47"/>
    <mergeCell ref="G23:H23"/>
    <mergeCell ref="A57:L57"/>
    <mergeCell ref="A65:E65"/>
    <mergeCell ref="B51:L51"/>
    <mergeCell ref="A63:E63"/>
    <mergeCell ref="G22:H22"/>
    <mergeCell ref="B41:L41"/>
    <mergeCell ref="B35:L35"/>
    <mergeCell ref="B50:L50"/>
    <mergeCell ref="A27:F27"/>
    <mergeCell ref="A21:F21"/>
    <mergeCell ref="C7:F7"/>
    <mergeCell ref="A6:B6"/>
    <mergeCell ref="G19:H19"/>
    <mergeCell ref="G28:H28"/>
    <mergeCell ref="G6:H6"/>
    <mergeCell ref="A53:L53"/>
    <mergeCell ref="F68:L68"/>
    <mergeCell ref="I27:L27"/>
    <mergeCell ref="A11:H11"/>
    <mergeCell ref="G8:H8"/>
    <mergeCell ref="G17:H17"/>
    <mergeCell ref="A7:B7"/>
    <mergeCell ref="A58:D58"/>
    <mergeCell ref="C6:F6"/>
    <mergeCell ref="A20:F20"/>
    <mergeCell ref="A60:D60"/>
    <mergeCell ref="A29:F29"/>
    <mergeCell ref="F63:L63"/>
    <mergeCell ref="I26:L26"/>
    <mergeCell ref="I13:J13"/>
    <mergeCell ref="A9:B9"/>
    <mergeCell ref="K13:L13"/>
    <mergeCell ref="E12:F12"/>
    <mergeCell ref="G12:H12"/>
    <mergeCell ref="I12:J12"/>
    <mergeCell ref="K12:L12"/>
    <mergeCell ref="C9:F9"/>
    <mergeCell ref="I29:L29"/>
    <mergeCell ref="A62:L62"/>
    <mergeCell ref="A39:L39"/>
    <mergeCell ref="G29:H29"/>
    <mergeCell ref="I22:L22"/>
    <mergeCell ref="I28:L28"/>
    <mergeCell ref="E60:H60"/>
    <mergeCell ref="I20:L20"/>
  </mergeCells>
  <conditionalFormatting sqref="A54:L55">
    <cfRule type="containsText" dxfId="22" priority="1" operator="containsText" text="🔴">
      <formula>NOT(ISERROR(SEARCH("🔴",A54)))</formula>
    </cfRule>
    <cfRule type="containsText" dxfId="21" priority="2" operator="containsText" text="🔶">
      <formula>NOT(ISERROR(SEARCH("🔶",A54)))</formula>
    </cfRule>
    <cfRule type="containsText" dxfId="20" priority="3" operator="containsText" text="✅">
      <formula>NOT(ISERROR(SEARCH("✅",A54)))</formula>
    </cfRule>
  </conditionalFormatting>
  <conditionalFormatting sqref="C12:L14">
    <cfRule type="expression" dxfId="19" priority="4">
      <formula>$I$11="لا ينطبق"</formula>
    </cfRule>
  </conditionalFormatting>
  <dataValidations count="3">
    <dataValidation type="list" allowBlank="1" showInputMessage="1" showErrorMessage="1" sqref="C6" xr:uid="{00000000-0002-0000-0400-000000000000}">
      <formula1>"الجمعية,المراكز الصحية"</formula1>
    </dataValidation>
    <dataValidation type="list" allowBlank="1" showInputMessage="1" showErrorMessage="1" sqref="K13" xr:uid="{00000000-0002-0000-0400-000001000000}">
      <formula1>"جاهز,جزئي,غير جاهز,غير مطلوب"</formula1>
    </dataValidation>
    <dataValidation type="list" allowBlank="1" showInputMessage="1" showErrorMessage="1" sqref="I11" xr:uid="{00000000-0002-0000-0400-000002000000}">
      <formula1>"ينطبق,لا ينطبق"</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Q68"/>
  <sheetViews>
    <sheetView showGridLines="0" rightToLeft="1" topLeftCell="A31" zoomScale="85" zoomScaleNormal="85" workbookViewId="0">
      <selection activeCell="B53" sqref="B53:F53"/>
    </sheetView>
  </sheetViews>
  <sheetFormatPr defaultColWidth="8.7109375" defaultRowHeight="15" outlineLevelRow="1" outlineLevelCol="1"/>
  <cols>
    <col min="1" max="1" width="2" customWidth="1"/>
    <col min="2" max="2" width="6" customWidth="1"/>
    <col min="3" max="3" width="18" customWidth="1"/>
    <col min="4" max="5" width="14" customWidth="1"/>
    <col min="6" max="6" width="16" customWidth="1"/>
    <col min="7" max="7" width="18" customWidth="1"/>
    <col min="8" max="8" width="20" customWidth="1"/>
    <col min="9" max="9" width="16.140625" customWidth="1"/>
    <col min="10" max="10" width="14" customWidth="1"/>
    <col min="11" max="11" width="14.85546875" customWidth="1"/>
    <col min="12" max="12" width="7.140625" customWidth="1"/>
    <col min="13" max="13" width="14" customWidth="1"/>
    <col min="14" max="14" width="11.42578125" customWidth="1"/>
    <col min="16" max="17" width="8.7109375" customWidth="1" outlineLevel="1"/>
  </cols>
  <sheetData>
    <row r="1" spans="2:16" ht="4.5" customHeight="1"/>
    <row r="2" spans="2:16" ht="12" customHeight="1">
      <c r="B2" s="42"/>
      <c r="C2" s="42"/>
      <c r="D2" s="42"/>
      <c r="E2" s="42"/>
      <c r="F2" s="42"/>
      <c r="G2" s="42"/>
      <c r="H2" s="42"/>
      <c r="I2" s="42"/>
      <c r="J2" s="42"/>
      <c r="K2" s="42"/>
      <c r="L2" s="42"/>
      <c r="M2" s="42"/>
      <c r="N2" s="42"/>
    </row>
    <row r="3" spans="2:16" ht="49.5" customHeight="1">
      <c r="B3" s="42"/>
      <c r="C3" s="509" t="s">
        <v>1144</v>
      </c>
      <c r="D3" s="373"/>
      <c r="E3" s="373"/>
      <c r="F3" s="373"/>
      <c r="G3" s="373"/>
      <c r="H3" s="373"/>
      <c r="I3" s="373"/>
      <c r="J3" s="373"/>
      <c r="K3" s="373"/>
      <c r="L3" s="373"/>
      <c r="M3" s="373"/>
      <c r="N3" s="373"/>
    </row>
    <row r="4" spans="2:16" ht="17.25" customHeight="1">
      <c r="B4" s="512" t="s">
        <v>1145</v>
      </c>
      <c r="C4" s="373"/>
      <c r="D4" s="373"/>
      <c r="E4" s="373"/>
      <c r="F4" s="373"/>
      <c r="G4" s="373"/>
      <c r="H4" s="373"/>
      <c r="I4" s="373"/>
      <c r="J4" s="373"/>
      <c r="K4" s="373"/>
      <c r="L4" s="373"/>
      <c r="M4" s="373"/>
      <c r="N4" s="373"/>
    </row>
    <row r="5" spans="2:16" ht="33.75" customHeight="1">
      <c r="B5" s="491" t="s">
        <v>1146</v>
      </c>
      <c r="C5" s="467"/>
      <c r="D5" s="43" t="s">
        <v>26</v>
      </c>
      <c r="E5" s="44"/>
      <c r="F5" s="491" t="s">
        <v>1147</v>
      </c>
      <c r="G5" s="467"/>
      <c r="H5" s="253">
        <v>46143</v>
      </c>
      <c r="I5" s="491" t="s">
        <v>1148</v>
      </c>
      <c r="J5" s="467"/>
      <c r="K5" s="254">
        <v>46172</v>
      </c>
      <c r="L5" s="495" t="str">
        <f>IFERROR("مدة: "&amp;TEXT(K5-H5+1,"0")&amp;" يوم","—")</f>
        <v>مدة: 30 يوم</v>
      </c>
      <c r="M5" s="472"/>
      <c r="N5" s="467"/>
    </row>
    <row r="6" spans="2:16" ht="33.75" customHeight="1">
      <c r="B6" s="475" t="s">
        <v>1149</v>
      </c>
      <c r="C6" s="467"/>
      <c r="D6" s="466">
        <f ca="1">NOW()</f>
        <v>46201.532175231485</v>
      </c>
      <c r="E6" s="467"/>
      <c r="F6" s="475" t="s">
        <v>1150</v>
      </c>
      <c r="G6" s="467"/>
      <c r="H6" s="505" t="str">
        <f>IFERROR(IF(B11="—","—",IF(B11&gt;=P17,"🟢 أعلى من متوسط الفريق","🔴 دون متوسط الفريق")),"—")</f>
        <v>🟢 أعلى من متوسط الفريق</v>
      </c>
      <c r="I6" s="472"/>
      <c r="J6" s="472"/>
      <c r="K6" s="467"/>
      <c r="L6" s="502" t="s">
        <v>1151</v>
      </c>
      <c r="M6" s="373"/>
      <c r="N6" s="373"/>
    </row>
    <row r="7" spans="2:16" ht="7.5" customHeight="1"/>
    <row r="8" spans="2:16" ht="25.5" customHeight="1" outlineLevel="1">
      <c r="B8" s="504" t="s">
        <v>1152</v>
      </c>
      <c r="C8" s="373"/>
      <c r="D8" s="373"/>
      <c r="E8" s="373"/>
      <c r="F8" s="373"/>
      <c r="G8" s="373"/>
      <c r="H8" s="373"/>
      <c r="I8" s="373"/>
      <c r="J8" s="373"/>
      <c r="K8" s="373"/>
      <c r="L8" s="373"/>
      <c r="M8" s="373"/>
      <c r="N8" s="373"/>
    </row>
    <row r="9" spans="2:16" ht="7.5" customHeight="1" outlineLevel="1" thickBot="1"/>
    <row r="10" spans="2:16" ht="27.75" customHeight="1" outlineLevel="1" thickBot="1">
      <c r="B10" s="489" t="s">
        <v>1153</v>
      </c>
      <c r="C10" s="373"/>
      <c r="D10" s="490"/>
      <c r="E10" s="497" t="s">
        <v>1154</v>
      </c>
      <c r="F10" s="467"/>
      <c r="G10" s="45" t="s">
        <v>1155</v>
      </c>
      <c r="H10" s="46" t="s">
        <v>1156</v>
      </c>
      <c r="I10" s="47" t="s">
        <v>1157</v>
      </c>
      <c r="J10" s="227" t="s">
        <v>1158</v>
      </c>
      <c r="K10" s="494" t="s">
        <v>1159</v>
      </c>
      <c r="L10" s="467"/>
      <c r="M10" s="470" t="s">
        <v>1160</v>
      </c>
      <c r="N10" s="467"/>
    </row>
    <row r="11" spans="2:16" ht="43.5" customHeight="1" outlineLevel="1" thickBot="1">
      <c r="B11" s="500">
        <f>IFERROR(IF(E11=0,"—",ROUND(AVERAGEIFS(DATA!$AI:$AI,DATA!$AD:$AD,$D$5,DATA!$E:$E,"&gt;="&amp;$H$5,DATA!$E:$E,"&lt;="&amp;$K$5),1)),"—")</f>
        <v>93.1</v>
      </c>
      <c r="C11" s="373"/>
      <c r="D11" s="490"/>
      <c r="E11" s="503">
        <f>COUNTIFS(DATA!$AD:$AD,$D$5,DATA!$E:$E,"&gt;="&amp;$H$5,DATA!$E:$E,"&lt;="&amp;$K$5)</f>
        <v>100</v>
      </c>
      <c r="F11" s="467"/>
      <c r="G11" s="48">
        <f>COUNTIFS(DATA!$AD:$AD,$D$5,DATA!$E:$E,"&gt;="&amp;$H$5,DATA!$E:$E,"&lt;="&amp;$K$5,DATA!$AI:$AI,"&gt;=85")</f>
        <v>88</v>
      </c>
      <c r="H11" s="49">
        <f>COUNTIFS(DATA!$AD:$AD,$D$5,DATA!$E:$E,"&gt;="&amp;$H$5,DATA!$E:$E,"&lt;="&amp;$K$5,DATA!$AI:$AI,"&gt;=70",DATA!$AI:$AI,"&lt;85")</f>
        <v>3</v>
      </c>
      <c r="I11" s="50">
        <f>COUNTIFS(DATA!$AD:$AD,$D$5,DATA!$E:$E,"&gt;="&amp;$H$5,DATA!$E:$E,"&lt;="&amp;$K$5,DATA!$AI:$AI,"&gt;=60",DATA!$AI:$AI,"&lt;70")</f>
        <v>2</v>
      </c>
      <c r="J11" s="51">
        <f>COUNTIFS(DATA!$AD:$AD,$D$5,DATA!$E:$E,"&gt;="&amp;$H$5,DATA!$E:$E,"&lt;="&amp;$K$5,DATA!$AI:$AI,"&lt;60")</f>
        <v>7</v>
      </c>
      <c r="K11" s="498">
        <f>IFERROR(IF(E11=0,"—",COUNTIFS(DATA!$AD:$AD,$D$5,DATA!$E:$E,"&gt;="&amp;$H$5,DATA!$E:$E,"&lt;="&amp;$K$5,DATA!$AB:$AB,"مكتمل 100%")/E11),"—")</f>
        <v>0.89</v>
      </c>
      <c r="L11" s="467"/>
      <c r="M11" s="499">
        <f>IFERROR(IF(E11=0,"—",_xlfn.MINIFS(DATA!$AI:$AI,DATA!$AD:$AD,$D$5,DATA!$E:$E,"&gt;="&amp;$H$5,DATA!$E:$E,"&lt;="&amp;$K$5)),"—")</f>
        <v>15</v>
      </c>
      <c r="N11" s="467"/>
    </row>
    <row r="12" spans="2:16" ht="7.5" customHeight="1" outlineLevel="1" thickBot="1"/>
    <row r="13" spans="2:16" ht="30" customHeight="1" outlineLevel="1">
      <c r="B13" s="475" t="s">
        <v>1161</v>
      </c>
      <c r="C13" s="472"/>
      <c r="D13" s="467"/>
      <c r="E13" s="510" t="str">
        <f>IFERROR(IF(B11="—","لا بيانات في هذه الفترة",IF(B11&gt;=85,"⭐  ممتاز — أداء متميز يستحق التقدير والتكريم الرسمي",IF(B11&gt;=70,"🟢  جيد — أداء فوق المتوسط ويستحق الثناء",IF(B11&gt;=60,"🟡  مقبول — الأداء ضمن الحد الأدنى ويحتاج تطوير","🔴  ضعيف — يتطلب تدخلاً فورياً وخطة تصحيحية عاجلة")))),"—")</f>
        <v>⭐  ممتاز — أداء متميز يستحق التقدير والتكريم الرسمي</v>
      </c>
      <c r="F13" s="472"/>
      <c r="G13" s="472"/>
      <c r="H13" s="472"/>
      <c r="I13" s="472"/>
      <c r="J13" s="472"/>
      <c r="K13" s="472"/>
      <c r="L13" s="472"/>
      <c r="M13" s="472"/>
      <c r="N13" s="467"/>
    </row>
    <row r="14" spans="2:16" ht="7.5" customHeight="1" outlineLevel="1"/>
    <row r="15" spans="2:16" ht="30" customHeight="1" outlineLevel="1">
      <c r="B15" s="475" t="s">
        <v>1162</v>
      </c>
      <c r="C15" s="472"/>
      <c r="D15" s="467"/>
      <c r="E15" s="511" t="str">
        <f>IFERROR(REPT("█",ROUND(B11/10,0))&amp;REPT("░",10-ROUND(B11/10,0))&amp;"   "&amp;TEXT(B11,"0.0")&amp;" / 100  |  الامتثال: "&amp;TEXT(K11,"0%"),"░░░░░░░░░░")</f>
        <v>█████████░   93.1 / 100  |  الامتثال: 89%</v>
      </c>
      <c r="F15" s="472"/>
      <c r="G15" s="472"/>
      <c r="H15" s="472"/>
      <c r="I15" s="472"/>
      <c r="J15" s="472"/>
      <c r="K15" s="472"/>
      <c r="L15" s="472"/>
      <c r="M15" s="472"/>
      <c r="N15" s="467"/>
    </row>
    <row r="16" spans="2:16" ht="7.5" customHeight="1" outlineLevel="1">
      <c r="P16" s="94" t="s">
        <v>1163</v>
      </c>
    </row>
    <row r="17" spans="2:16" ht="30" customHeight="1" outlineLevel="1">
      <c r="B17" s="475" t="s">
        <v>1164</v>
      </c>
      <c r="C17" s="472"/>
      <c r="D17" s="467"/>
      <c r="E17" s="492" t="str">
        <f>IFERROR(IF(B11="—","—","الفرد "&amp;TEXT(B11,"0.0")&amp;" مقابل متوسط الفريق "&amp;TEXT(P17,"0.0")&amp;" ("&amp;IF(B11&gt;=P17,"+","")&amp;TEXT(B11-P17,"0.0")&amp;")"),"—")</f>
        <v>الفرد 93.1 مقابل متوسط الفريق 93.0 (+0.1)</v>
      </c>
      <c r="F17" s="472"/>
      <c r="G17" s="472"/>
      <c r="H17" s="472"/>
      <c r="I17" s="472"/>
      <c r="J17" s="472"/>
      <c r="K17" s="472"/>
      <c r="L17" s="472"/>
      <c r="M17" s="472"/>
      <c r="N17" s="467"/>
      <c r="P17" s="94">
        <f>IFERROR(ROUND(AVERAGEIFS(DATA!$AI:$AI,DATA!$E:$E,"&gt;="&amp;$H$5,DATA!$E:$E,"&lt;="&amp;$K$5),1),0)</f>
        <v>93</v>
      </c>
    </row>
    <row r="18" spans="2:16" ht="7.5" customHeight="1" outlineLevel="1"/>
    <row r="19" spans="2:16" ht="7.5" customHeight="1"/>
    <row r="20" spans="2:16" ht="25.5" customHeight="1">
      <c r="B20" s="496" t="s">
        <v>1165</v>
      </c>
      <c r="C20" s="373"/>
      <c r="D20" s="373"/>
      <c r="E20" s="373"/>
      <c r="F20" s="373"/>
      <c r="G20" s="373"/>
      <c r="H20" s="373"/>
      <c r="I20" s="373"/>
      <c r="J20" s="373"/>
      <c r="K20" s="373"/>
      <c r="L20" s="373"/>
      <c r="M20" s="373"/>
      <c r="N20" s="373"/>
    </row>
    <row r="21" spans="2:16" ht="7.5" customHeight="1" thickBot="1"/>
    <row r="22" spans="2:16" ht="27" customHeight="1" thickBot="1">
      <c r="B22" s="508" t="s">
        <v>93</v>
      </c>
      <c r="C22" s="472"/>
      <c r="D22" s="467"/>
      <c r="E22" s="103" t="s">
        <v>1166</v>
      </c>
      <c r="F22" s="228" t="s">
        <v>1167</v>
      </c>
      <c r="G22" s="107" t="s">
        <v>1168</v>
      </c>
      <c r="H22" s="108" t="s">
        <v>1169</v>
      </c>
      <c r="I22" s="228" t="s">
        <v>642</v>
      </c>
      <c r="J22" s="474" t="s">
        <v>1170</v>
      </c>
      <c r="K22" s="464"/>
      <c r="L22" s="464"/>
      <c r="M22" s="464"/>
      <c r="N22" s="465"/>
    </row>
    <row r="23" spans="2:16" ht="21.75" customHeight="1">
      <c r="B23" s="476" t="s">
        <v>222</v>
      </c>
      <c r="C23" s="464"/>
      <c r="D23" s="465"/>
      <c r="E23" s="104">
        <f>COUNTIFS(DATA!$AD:$AD,$D$5,DATA!$E:$E,"&gt;="&amp;$H$5,DATA!$E:$E,"&lt;="&amp;$K$5,DATA!$K:$K,$B23)</f>
        <v>0</v>
      </c>
      <c r="F23" s="105">
        <f t="array" ref="F23">IFERROR(SUMPRODUCT(((DATA!$AD$2:$AD$992=$D$5)*(DATA!$E$2:$E$992&gt;=$H$5)*(DATA!$E$2:$E$992&lt;=$K$5)*(DATA!$K$2:$K$992=$B23)*(DATA!$M$2:$M$992&lt;&gt;""))/(COUNTIFS(DATA!$M$2:$M$992,DATA!$M$2:$M$992&amp;"",DATA!$AD$2:$AD$992,$D$5,DATA!$E$2:$E$992,"&gt;="&amp;$H$5,DATA!$E$2:$E$992,"&lt;="&amp;$K$5,DATA!$K$2:$K$992,$B23)+((DATA!$AD$2:$AD$992=$D$5)*(DATA!$E$2:$E$992&gt;=$H$5)*(DATA!$E$2:$E$992&lt;=$K$5)*(DATA!$K$2:$K$992=$B23)*(DATA!$M$2:$M$992&lt;&gt;"")=0))),0)</f>
        <v>0</v>
      </c>
      <c r="G23" s="255" t="str">
        <f>IFERROR(IF(E23=0,"—",ROUND(AVERAGEIFS(DATA!$AI:$AI,DATA!$AD:$AD,$D$5,DATA!$E:$E,"&gt;="&amp;$H$5,DATA!$E:$E,"&lt;="&amp;$K$5,DATA!$K:$K,$B23),1)),"—")</f>
        <v>—</v>
      </c>
      <c r="H23" s="109" t="str">
        <f>IFERROR(IF(E23=0,"—",COUNTIFS(DATA!$AD:$AD,$D$5,DATA!$E:$E,"&gt;="&amp;$H$5,DATA!$E:$E,"&lt;="&amp;$K$5,DATA!$K:$K,$B23,DATA!$AB:$AB,"مكتمل 100%")/E23),"—")</f>
        <v>—</v>
      </c>
      <c r="I23" s="114" t="str">
        <f t="shared" ref="I23:I32" si="0">IFERROR(IF(G23="—","—",IF(G23&gt;=95,"🌟 ممتاز جدًا",IF(G23&gt;=85,"⭐ ممتاز",IF(G23&gt;=70,"🟢 جيد",IF(G23&gt;=60,"🟡 مقبول",IF(G23&gt;=40,"🔴 ضعيف","🚨 خطر شديد")))))),"—")</f>
        <v>—</v>
      </c>
      <c r="J23" s="473" t="str">
        <f t="shared" ref="J23:J32" si="1">IFERROR(IF(G23="—","—",REPT("█",ROUND(G23/10,0))&amp;REPT("░",10-ROUND(G23/10,0))),"—")</f>
        <v>—</v>
      </c>
      <c r="K23" s="464"/>
      <c r="L23" s="464"/>
      <c r="M23" s="464"/>
      <c r="N23" s="465"/>
    </row>
    <row r="24" spans="2:16" ht="21.75" customHeight="1">
      <c r="B24" s="468" t="s">
        <v>229</v>
      </c>
      <c r="C24" s="464"/>
      <c r="D24" s="465"/>
      <c r="E24" s="115">
        <f>COUNTIFS(DATA!$AD:$AD,$D$5,DATA!$E:$E,"&gt;="&amp;$H$5,DATA!$E:$E,"&lt;="&amp;$K$5,DATA!$K:$K,$B24)</f>
        <v>0</v>
      </c>
      <c r="F24" s="116">
        <f t="array" ref="F24">IFERROR(SUMPRODUCT(((DATA!$AD$2:$AD$992=$D$5)*(DATA!$E$2:$E$992&gt;=$H$5)*(DATA!$E$2:$E$992&lt;=$K$5)*(DATA!$K$2:$K$992=$B24)*(DATA!$M$2:$M$992&lt;&gt;""))/(COUNTIFS(DATA!$M$2:$M$992,DATA!$M$2:$M$992&amp;"",DATA!$AD$2:$AD$992,$D$5,DATA!$E$2:$E$992,"&gt;="&amp;$H$5,DATA!$E$2:$E$992,"&lt;="&amp;$K$5,DATA!$K$2:$K$992,$B24)+((DATA!$AD$2:$AD$992=$D$5)*(DATA!$E$2:$E$992&gt;=$H$5)*(DATA!$E$2:$E$992&lt;=$K$5)*(DATA!$K$2:$K$992=$B24)*(DATA!$M$2:$M$992&lt;&gt;"")=0))),0)</f>
        <v>0</v>
      </c>
      <c r="G24" s="256" t="str">
        <f>IFERROR(IF(E24=0,"—",ROUND(AVERAGEIFS(DATA!$AI:$AI,DATA!$AD:$AD,$D$5,DATA!$E:$E,"&gt;="&amp;$H$5,DATA!$E:$E,"&lt;="&amp;$K$5,DATA!$K:$K,$B24),1)),"—")</f>
        <v>—</v>
      </c>
      <c r="H24" s="117" t="str">
        <f>IFERROR(IF(E24=0,"—",COUNTIFS(DATA!$AD:$AD,$D$5,DATA!$E:$E,"&gt;="&amp;$H$5,DATA!$E:$E,"&lt;="&amp;$K$5,DATA!$K:$K,$B24,DATA!$AB:$AB,"مكتمل 100%")/E24),"—")</f>
        <v>—</v>
      </c>
      <c r="I24" s="118" t="str">
        <f t="shared" si="0"/>
        <v>—</v>
      </c>
      <c r="J24" s="486" t="str">
        <f t="shared" si="1"/>
        <v>—</v>
      </c>
      <c r="K24" s="464"/>
      <c r="L24" s="464"/>
      <c r="M24" s="464"/>
      <c r="N24" s="465"/>
    </row>
    <row r="25" spans="2:16" ht="21.75" customHeight="1">
      <c r="B25" s="476" t="s">
        <v>207</v>
      </c>
      <c r="C25" s="464"/>
      <c r="D25" s="465"/>
      <c r="E25" s="104">
        <f>COUNTIFS(DATA!$AD:$AD,$D$5,DATA!$E:$E,"&gt;="&amp;$H$5,DATA!$E:$E,"&lt;="&amp;$K$5,DATA!$K:$K,$B25)</f>
        <v>1</v>
      </c>
      <c r="F25" s="105">
        <f t="array" ref="F25">IFERROR(SUMPRODUCT(((DATA!$AD$2:$AD$992=$D$5)*(DATA!$E$2:$E$992&gt;=$H$5)*(DATA!$E$2:$E$992&lt;=$K$5)*(DATA!$K$2:$K$992=$B25)*(DATA!$M$2:$M$992&lt;&gt;""))/(COUNTIFS(DATA!$M$2:$M$992,DATA!$M$2:$M$992&amp;"",DATA!$AD$2:$AD$992,$D$5,DATA!$E$2:$E$992,"&gt;="&amp;$H$5,DATA!$E$2:$E$992,"&lt;="&amp;$K$5,DATA!$K$2:$K$992,$B25)+((DATA!$AD$2:$AD$992=$D$5)*(DATA!$E$2:$E$992&gt;=$H$5)*(DATA!$E$2:$E$992&lt;=$K$5)*(DATA!$K$2:$K$992=$B25)*(DATA!$M$2:$M$992&lt;&gt;"")=0))),0)</f>
        <v>0</v>
      </c>
      <c r="G25" s="255">
        <f>IFERROR(IF(E25=0,"—",ROUND(AVERAGEIFS(DATA!$AI:$AI,DATA!$AD:$AD,$D$5,DATA!$E:$E,"&gt;="&amp;$H$5,DATA!$E:$E,"&lt;="&amp;$K$5,DATA!$K:$K,$B25),1)),"—")</f>
        <v>100</v>
      </c>
      <c r="H25" s="109">
        <f>IFERROR(IF(E25=0,"—",COUNTIFS(DATA!$AD:$AD,$D$5,DATA!$E:$E,"&gt;="&amp;$H$5,DATA!$E:$E,"&lt;="&amp;$K$5,DATA!$K:$K,$B25,DATA!$AB:$AB,"مكتمل 100%")/E25),"—")</f>
        <v>1</v>
      </c>
      <c r="I25" s="114" t="str">
        <f t="shared" si="0"/>
        <v>🌟 ممتاز جدًا</v>
      </c>
      <c r="J25" s="473" t="str">
        <f t="shared" si="1"/>
        <v>██████████</v>
      </c>
      <c r="K25" s="464"/>
      <c r="L25" s="464"/>
      <c r="M25" s="464"/>
      <c r="N25" s="465"/>
    </row>
    <row r="26" spans="2:16" ht="21.75" customHeight="1">
      <c r="B26" s="468" t="s">
        <v>152</v>
      </c>
      <c r="C26" s="464"/>
      <c r="D26" s="465"/>
      <c r="E26" s="115">
        <f>COUNTIFS(DATA!$AD:$AD,$D$5,DATA!$E:$E,"&gt;="&amp;$H$5,DATA!$E:$E,"&lt;="&amp;$K$5,DATA!$K:$K,$B26)</f>
        <v>6</v>
      </c>
      <c r="F26" s="116">
        <f t="array" ref="F26">IFERROR(SUMPRODUCT(((DATA!$AD$2:$AD$992=$D$5)*(DATA!$E$2:$E$992&gt;=$H$5)*(DATA!$E$2:$E$992&lt;=$K$5)*(DATA!$K$2:$K$992=$B26)*(DATA!$M$2:$M$992&lt;&gt;""))/(COUNTIFS(DATA!$M$2:$M$992,DATA!$M$2:$M$992&amp;"",DATA!$AD$2:$AD$992,$D$5,DATA!$E$2:$E$992,"&gt;="&amp;$H$5,DATA!$E$2:$E$992,"&lt;="&amp;$K$5,DATA!$K$2:$K$992,$B26)+((DATA!$AD$2:$AD$992=$D$5)*(DATA!$E$2:$E$992&gt;=$H$5)*(DATA!$E$2:$E$992&lt;=$K$5)*(DATA!$K$2:$K$992=$B26)*(DATA!$M$2:$M$992&lt;&gt;"")=0))),0)</f>
        <v>0</v>
      </c>
      <c r="G26" s="256">
        <f>IFERROR(IF(E26=0,"—",ROUND(AVERAGEIFS(DATA!$AI:$AI,DATA!$AD:$AD,$D$5,DATA!$E:$E,"&gt;="&amp;$H$5,DATA!$E:$E,"&lt;="&amp;$K$5,DATA!$K:$K,$B26),1)),"—")</f>
        <v>20.3</v>
      </c>
      <c r="H26" s="117">
        <f>IFERROR(IF(E26=0,"—",COUNTIFS(DATA!$AD:$AD,$D$5,DATA!$E:$E,"&gt;="&amp;$H$5,DATA!$E:$E,"&lt;="&amp;$K$5,DATA!$K:$K,$B26,DATA!$AB:$AB,"مكتمل 100%")/E26),"—")</f>
        <v>0</v>
      </c>
      <c r="I26" s="118" t="str">
        <f t="shared" si="0"/>
        <v>🚨 خطر شديد</v>
      </c>
      <c r="J26" s="486" t="str">
        <f t="shared" si="1"/>
        <v>██░░░░░░░░</v>
      </c>
      <c r="K26" s="464"/>
      <c r="L26" s="464"/>
      <c r="M26" s="464"/>
      <c r="N26" s="465"/>
    </row>
    <row r="27" spans="2:16" ht="21.75" customHeight="1">
      <c r="B27" s="476" t="s">
        <v>133</v>
      </c>
      <c r="C27" s="464"/>
      <c r="D27" s="465"/>
      <c r="E27" s="104">
        <f>COUNTIFS(DATA!$AD:$AD,$D$5,DATA!$E:$E,"&gt;="&amp;$H$5,DATA!$E:$E,"&lt;="&amp;$K$5,DATA!$K:$K,$B27)</f>
        <v>5</v>
      </c>
      <c r="F27" s="105">
        <f t="array" ref="F27">IFERROR(SUMPRODUCT(((DATA!$AD$2:$AD$992=$D$5)*(DATA!$E$2:$E$992&gt;=$H$5)*(DATA!$E$2:$E$992&lt;=$K$5)*(DATA!$K$2:$K$992=$B27)*(DATA!$M$2:$M$992&lt;&gt;""))/(COUNTIFS(DATA!$M$2:$M$992,DATA!$M$2:$M$992&amp;"",DATA!$AD$2:$AD$992,$D$5,DATA!$E$2:$E$992,"&gt;="&amp;$H$5,DATA!$E$2:$E$992,"&lt;="&amp;$K$5,DATA!$K$2:$K$992,$B27)+((DATA!$AD$2:$AD$992=$D$5)*(DATA!$E$2:$E$992&gt;=$H$5)*(DATA!$E$2:$E$992&lt;=$K$5)*(DATA!$K$2:$K$992=$B27)*(DATA!$M$2:$M$992&lt;&gt;"")=0))),0)</f>
        <v>0</v>
      </c>
      <c r="G27" s="255">
        <f>IFERROR(IF(E27=0,"—",ROUND(AVERAGEIFS(DATA!$AI:$AI,DATA!$AD:$AD,$D$5,DATA!$E:$E,"&gt;="&amp;$H$5,DATA!$E:$E,"&lt;="&amp;$K$5,DATA!$K:$K,$B27),1)),"—")</f>
        <v>91.3</v>
      </c>
      <c r="H27" s="109">
        <f>IFERROR(IF(E27=0,"—",COUNTIFS(DATA!$AD:$AD,$D$5,DATA!$E:$E,"&gt;="&amp;$H$5,DATA!$E:$E,"&lt;="&amp;$K$5,DATA!$K:$K,$B27,DATA!$AB:$AB,"مكتمل 100%")/E27),"—")</f>
        <v>0.8</v>
      </c>
      <c r="I27" s="114" t="str">
        <f t="shared" si="0"/>
        <v>⭐ ممتاز</v>
      </c>
      <c r="J27" s="473" t="str">
        <f t="shared" si="1"/>
        <v>█████████░</v>
      </c>
      <c r="K27" s="464"/>
      <c r="L27" s="464"/>
      <c r="M27" s="464"/>
      <c r="N27" s="465"/>
    </row>
    <row r="28" spans="2:16" ht="21.75" customHeight="1">
      <c r="B28" s="468" t="s">
        <v>806</v>
      </c>
      <c r="C28" s="464"/>
      <c r="D28" s="465"/>
      <c r="E28" s="115">
        <f>COUNTIFS(DATA!$AD:$AD,$D$5,DATA!$E:$E,"&gt;="&amp;$H$5,DATA!$E:$E,"&lt;="&amp;$K$5,DATA!$K:$K,$B28)</f>
        <v>0</v>
      </c>
      <c r="F28" s="116">
        <f t="array" ref="F28">IFERROR(SUMPRODUCT(((DATA!$AD$2:$AD$992=$D$5)*(DATA!$E$2:$E$992&gt;=$H$5)*(DATA!$E$2:$E$992&lt;=$K$5)*(DATA!$K$2:$K$992=$B28)*(DATA!$M$2:$M$992&lt;&gt;""))/(COUNTIFS(DATA!$M$2:$M$992,DATA!$M$2:$M$992&amp;"",DATA!$AD$2:$AD$992,$D$5,DATA!$E$2:$E$992,"&gt;="&amp;$H$5,DATA!$E$2:$E$992,"&lt;="&amp;$K$5,DATA!$K$2:$K$992,$B28)+((DATA!$AD$2:$AD$992=$D$5)*(DATA!$E$2:$E$992&gt;=$H$5)*(DATA!$E$2:$E$992&lt;=$K$5)*(DATA!$K$2:$K$992=$B28)*(DATA!$M$2:$M$992&lt;&gt;"")=0))),0)</f>
        <v>0</v>
      </c>
      <c r="G28" s="256" t="str">
        <f>IFERROR(IF(E28=0,"—",ROUND(AVERAGEIFS(DATA!$AI:$AI,DATA!$AD:$AD,$D$5,DATA!$E:$E,"&gt;="&amp;$H$5,DATA!$E:$E,"&lt;="&amp;$K$5,DATA!$K:$K,$B28),1)),"—")</f>
        <v>—</v>
      </c>
      <c r="H28" s="117" t="str">
        <f>IFERROR(IF(E28=0,"—",COUNTIFS(DATA!$AD:$AD,$D$5,DATA!$E:$E,"&gt;="&amp;$H$5,DATA!$E:$E,"&lt;="&amp;$K$5,DATA!$K:$K,$B28,DATA!$AB:$AB,"مكتمل 100%")/E28),"—")</f>
        <v>—</v>
      </c>
      <c r="I28" s="118" t="str">
        <f t="shared" si="0"/>
        <v>—</v>
      </c>
      <c r="J28" s="486" t="str">
        <f t="shared" si="1"/>
        <v>—</v>
      </c>
      <c r="K28" s="464"/>
      <c r="L28" s="464"/>
      <c r="M28" s="464"/>
      <c r="N28" s="465"/>
    </row>
    <row r="29" spans="2:16" ht="21.75" customHeight="1">
      <c r="B29" s="476" t="s">
        <v>215</v>
      </c>
      <c r="C29" s="464"/>
      <c r="D29" s="465"/>
      <c r="E29" s="104">
        <f>COUNTIFS(DATA!$AD:$AD,$D$5,DATA!$E:$E,"&gt;="&amp;$H$5,DATA!$E:$E,"&lt;="&amp;$K$5,DATA!$K:$K,$B29)</f>
        <v>1</v>
      </c>
      <c r="F29" s="105">
        <f t="array" ref="F29">IFERROR(SUMPRODUCT(((DATA!$AD$2:$AD$992=$D$5)*(DATA!$E$2:$E$992&gt;=$H$5)*(DATA!$E$2:$E$992&lt;=$K$5)*(DATA!$K$2:$K$992=$B29)*(DATA!$M$2:$M$992&lt;&gt;""))/(COUNTIFS(DATA!$M$2:$M$992,DATA!$M$2:$M$992&amp;"",DATA!$AD$2:$AD$992,$D$5,DATA!$E$2:$E$992,"&gt;="&amp;$H$5,DATA!$E$2:$E$992,"&lt;="&amp;$K$5,DATA!$K$2:$K$992,$B29)+((DATA!$AD$2:$AD$992=$D$5)*(DATA!$E$2:$E$992&gt;=$H$5)*(DATA!$E$2:$E$992&lt;=$K$5)*(DATA!$K$2:$K$992=$B29)*(DATA!$M$2:$M$992&lt;&gt;"")=0))),0)</f>
        <v>0</v>
      </c>
      <c r="G29" s="255">
        <f>IFERROR(IF(E29=0,"—",ROUND(AVERAGEIFS(DATA!$AI:$AI,DATA!$AD:$AD,$D$5,DATA!$E:$E,"&gt;="&amp;$H$5,DATA!$E:$E,"&lt;="&amp;$K$5,DATA!$K:$K,$B29),1)),"—")</f>
        <v>100</v>
      </c>
      <c r="H29" s="109">
        <f>IFERROR(IF(E29=0,"—",COUNTIFS(DATA!$AD:$AD,$D$5,DATA!$E:$E,"&gt;="&amp;$H$5,DATA!$E:$E,"&lt;="&amp;$K$5,DATA!$K:$K,$B29,DATA!$AB:$AB,"مكتمل 100%")/E29),"—")</f>
        <v>1</v>
      </c>
      <c r="I29" s="114" t="str">
        <f t="shared" si="0"/>
        <v>🌟 ممتاز جدًا</v>
      </c>
      <c r="J29" s="473" t="str">
        <f t="shared" si="1"/>
        <v>██████████</v>
      </c>
      <c r="K29" s="464"/>
      <c r="L29" s="464"/>
      <c r="M29" s="464"/>
      <c r="N29" s="465"/>
    </row>
    <row r="30" spans="2:16" ht="21.75" customHeight="1">
      <c r="B30" s="468" t="s">
        <v>116</v>
      </c>
      <c r="C30" s="464"/>
      <c r="D30" s="465"/>
      <c r="E30" s="115">
        <f>COUNTIFS(DATA!$AD:$AD,$D$5,DATA!$E:$E,"&gt;="&amp;$H$5,DATA!$E:$E,"&lt;="&amp;$K$5,DATA!$K:$K,$B30)</f>
        <v>82</v>
      </c>
      <c r="F30" s="116">
        <f t="array" ref="F30">IFERROR(SUMPRODUCT(((DATA!$AD$2:$AD$992=$D$5)*(DATA!$E$2:$E$992&gt;=$H$5)*(DATA!$E$2:$E$992&lt;=$K$5)*(DATA!$K$2:$K$992=$B30)*(DATA!$M$2:$M$992&lt;&gt;""))/(COUNTIFS(DATA!$M$2:$M$992,DATA!$M$2:$M$992&amp;"",DATA!$AD$2:$AD$992,$D$5,DATA!$E$2:$E$992,"&gt;="&amp;$H$5,DATA!$E$2:$E$992,"&lt;="&amp;$K$5,DATA!$K$2:$K$992,$B30)+((DATA!$AD$2:$AD$992=$D$5)*(DATA!$E$2:$E$992&gt;=$H$5)*(DATA!$E$2:$E$992&lt;=$K$5)*(DATA!$K$2:$K$992=$B30)*(DATA!$M$2:$M$992&lt;&gt;"")=0))),0)</f>
        <v>0</v>
      </c>
      <c r="G30" s="256">
        <f>IFERROR(IF(E30=0,"—",ROUND(AVERAGEIFS(DATA!$AI:$AI,DATA!$AD:$AD,$D$5,DATA!$E:$E,"&gt;="&amp;$H$5,DATA!$E:$E,"&lt;="&amp;$K$5,DATA!$K:$K,$B30),1)),"—")</f>
        <v>98.6</v>
      </c>
      <c r="H30" s="117">
        <f>IFERROR(IF(E30=0,"—",COUNTIFS(DATA!$AD:$AD,$D$5,DATA!$E:$E,"&gt;="&amp;$H$5,DATA!$E:$E,"&lt;="&amp;$K$5,DATA!$K:$K,$B30,DATA!$AB:$AB,"مكتمل 100%")/E30),"—")</f>
        <v>0.96341463414634143</v>
      </c>
      <c r="I30" s="118" t="str">
        <f t="shared" si="0"/>
        <v>🌟 ممتاز جدًا</v>
      </c>
      <c r="J30" s="486" t="str">
        <f t="shared" si="1"/>
        <v>██████████</v>
      </c>
      <c r="K30" s="464"/>
      <c r="L30" s="464"/>
      <c r="M30" s="464"/>
      <c r="N30" s="465"/>
    </row>
    <row r="31" spans="2:16" ht="21.75" customHeight="1">
      <c r="B31" s="476" t="s">
        <v>169</v>
      </c>
      <c r="C31" s="464"/>
      <c r="D31" s="465"/>
      <c r="E31" s="104">
        <f>COUNTIFS(DATA!$AD:$AD,$D$5,DATA!$E:$E,"&gt;="&amp;$H$5,DATA!$E:$E,"&lt;="&amp;$K$5,DATA!$K:$K,$B31)</f>
        <v>3</v>
      </c>
      <c r="F31" s="105">
        <f t="array" ref="F31">IFERROR(SUMPRODUCT(((DATA!$AD$2:$AD$992=$D$5)*(DATA!$E$2:$E$992&gt;=$H$5)*(DATA!$E$2:$E$992&lt;=$K$5)*(DATA!$K$2:$K$992=$B31)*(DATA!$M$2:$M$992&lt;&gt;""))/(COUNTIFS(DATA!$M$2:$M$992,DATA!$M$2:$M$992&amp;"",DATA!$AD$2:$AD$992,$D$5,DATA!$E$2:$E$992,"&gt;="&amp;$H$5,DATA!$E$2:$E$992,"&lt;="&amp;$K$5,DATA!$K$2:$K$992,$B31)+((DATA!$AD$2:$AD$992=$D$5)*(DATA!$E$2:$E$992&gt;=$H$5)*(DATA!$E$2:$E$992&lt;=$K$5)*(DATA!$K$2:$K$992=$B31)*(DATA!$M$2:$M$992&lt;&gt;"")=0))),0)</f>
        <v>0</v>
      </c>
      <c r="G31" s="255">
        <f>IFERROR(IF(E31=0,"—",ROUND(AVERAGEIFS(DATA!$AI:$AI,DATA!$AD:$AD,$D$5,DATA!$E:$E,"&gt;="&amp;$H$5,DATA!$E:$E,"&lt;="&amp;$K$5,DATA!$K:$K,$B31),1)),"—")</f>
        <v>100</v>
      </c>
      <c r="H31" s="109">
        <f>IFERROR(IF(E31=0,"—",COUNTIFS(DATA!$AD:$AD,$D$5,DATA!$E:$E,"&gt;="&amp;$H$5,DATA!$E:$E,"&lt;="&amp;$K$5,DATA!$K:$K,$B31,DATA!$AB:$AB,"مكتمل 100%")/E31),"—")</f>
        <v>1</v>
      </c>
      <c r="I31" s="114" t="str">
        <f t="shared" si="0"/>
        <v>🌟 ممتاز جدًا</v>
      </c>
      <c r="J31" s="473" t="str">
        <f t="shared" si="1"/>
        <v>██████████</v>
      </c>
      <c r="K31" s="464"/>
      <c r="L31" s="464"/>
      <c r="M31" s="464"/>
      <c r="N31" s="465"/>
    </row>
    <row r="32" spans="2:16" ht="21.75" customHeight="1">
      <c r="B32" s="468" t="s">
        <v>185</v>
      </c>
      <c r="C32" s="464"/>
      <c r="D32" s="465"/>
      <c r="E32" s="115">
        <f>COUNTIFS(DATA!$AD:$AD,$D$5,DATA!$E:$E,"&gt;="&amp;$H$5,DATA!$E:$E,"&lt;="&amp;$K$5,DATA!$K:$K,$B32)</f>
        <v>1</v>
      </c>
      <c r="F32" s="116">
        <f t="array" ref="F32">IFERROR(SUMPRODUCT(((DATA!$AD$2:$AD$992=$D$5)*(DATA!$E$2:$E$992&gt;=$H$5)*(DATA!$E$2:$E$992&lt;=$K$5)*(DATA!$K$2:$K$992=$B32)*(DATA!$M$2:$M$992&lt;&gt;""))/(COUNTIFS(DATA!$M$2:$M$992,DATA!$M$2:$M$992&amp;"",DATA!$AD$2:$AD$992,$D$5,DATA!$E$2:$E$992,"&gt;="&amp;$H$5,DATA!$E$2:$E$992,"&lt;="&amp;$K$5,DATA!$K$2:$K$992,$B32)+((DATA!$AD$2:$AD$992=$D$5)*(DATA!$E$2:$E$992&gt;=$H$5)*(DATA!$E$2:$E$992&lt;=$K$5)*(DATA!$K$2:$K$992=$B32)*(DATA!$M$2:$M$992&lt;&gt;"")=0))),0)</f>
        <v>0</v>
      </c>
      <c r="G32" s="256">
        <f>IFERROR(IF(E32=0,"—",ROUND(AVERAGEIFS(DATA!$AI:$AI,DATA!$AD:$AD,$D$5,DATA!$E:$E,"&gt;="&amp;$H$5,DATA!$E:$E,"&lt;="&amp;$K$5,DATA!$K:$K,$B32),1)),"—")</f>
        <v>44</v>
      </c>
      <c r="H32" s="117">
        <f>IFERROR(IF(E32=0,"—",COUNTIFS(DATA!$AD:$AD,$D$5,DATA!$E:$E,"&gt;="&amp;$H$5,DATA!$E:$E,"&lt;="&amp;$K$5,DATA!$K:$K,$B32,DATA!$AB:$AB,"مكتمل 100%")/E32),"—")</f>
        <v>0</v>
      </c>
      <c r="I32" s="118" t="str">
        <f t="shared" si="0"/>
        <v>🔴 ضعيف</v>
      </c>
      <c r="J32" s="486" t="str">
        <f t="shared" si="1"/>
        <v>████░░░░░░</v>
      </c>
      <c r="K32" s="464"/>
      <c r="L32" s="464"/>
      <c r="M32" s="464"/>
      <c r="N32" s="465"/>
    </row>
    <row r="33" spans="1:17" ht="21" customHeight="1">
      <c r="B33" s="102" t="s">
        <v>1171</v>
      </c>
      <c r="C33" s="102"/>
      <c r="D33" s="102"/>
      <c r="E33" s="257">
        <f>SUM(E23:E32)-COUNTIFS(DATA!$AD:$AD,$D$5,DATA!$E:$E,"&gt;="&amp;$H$5,DATA!$E:$E,"&lt;="&amp;$K$5)</f>
        <v>-1</v>
      </c>
      <c r="F33" s="258">
        <f t="array" ref="F33">SUM(F23:F32)-SUMPRODUCT(((DATA!$AD$2:$AD$992=$D$5)*(DATA!$E$2:$E$992&gt;=$H$5)*(DATA!$E$2:$E$992&lt;=$K$5)*(DATA!$M$2:$M$992&lt;&gt;""))/(COUNTIFS(DATA!$AD$2:$AD$992,$D$5,DATA!$E$2:$E$992,"&gt;="&amp;$H$5,DATA!$E$2:$E$992,"&lt;="&amp;$K$5,DATA!$K$2:$K$992,DATA!$K$2:$K$992&amp;"",DATA!$M$2:$M$992,DATA!$M$2:$M$992&amp;"")+((DATA!$AD$2:$AD$992=$D$5)*(DATA!$E$2:$E$992&gt;=$H$5)*(DATA!$E$2:$E$992&lt;=$K$5)*(DATA!$M$2:$M$992&lt;&gt;"")=0)))</f>
        <v>0</v>
      </c>
      <c r="Q33" s="94"/>
    </row>
    <row r="34" spans="1:17" ht="25.5" customHeight="1" thickBot="1">
      <c r="B34" s="477" t="s">
        <v>1172</v>
      </c>
      <c r="C34" s="373"/>
      <c r="D34" s="373"/>
      <c r="E34" s="373"/>
      <c r="F34" s="373"/>
      <c r="G34" s="373"/>
      <c r="H34" s="373"/>
      <c r="I34" s="373"/>
      <c r="J34" s="373"/>
      <c r="K34" s="373"/>
      <c r="L34" s="373"/>
      <c r="M34" s="373"/>
      <c r="N34" s="373"/>
    </row>
    <row r="35" spans="1:17" ht="27.75" customHeight="1" thickBot="1">
      <c r="B35" s="480" t="s">
        <v>1173</v>
      </c>
      <c r="C35" s="472"/>
      <c r="D35" s="472"/>
      <c r="E35" s="472"/>
      <c r="F35" s="467"/>
      <c r="G35" s="52" t="s">
        <v>1174</v>
      </c>
      <c r="H35" s="52" t="s">
        <v>626</v>
      </c>
      <c r="I35" s="52" t="s">
        <v>641</v>
      </c>
      <c r="J35" s="52" t="s">
        <v>1175</v>
      </c>
      <c r="K35" s="480" t="s">
        <v>1176</v>
      </c>
      <c r="L35" s="472"/>
      <c r="M35" s="472"/>
      <c r="N35" s="467"/>
      <c r="Q35" s="94" t="s">
        <v>1177</v>
      </c>
    </row>
    <row r="36" spans="1:17" ht="21.75" customHeight="1">
      <c r="A36" s="106"/>
      <c r="B36" s="469" t="str">
        <f t="array" ref="B36">IF($Q36="","—",INDEX(DATA!$V:$V,$Q36))</f>
        <v>متابعة توزيع وجبات ساخنة — مكتب خانيونس والمواصي ودير البلح</v>
      </c>
      <c r="C36" s="464"/>
      <c r="D36" s="464"/>
      <c r="E36" s="464"/>
      <c r="F36" s="465"/>
      <c r="G36" s="110" t="str">
        <f t="array" ref="G36">IF($Q36="","—",INDEX(DATA!$I:$I,$Q36))</f>
        <v>مكتب خانيونس</v>
      </c>
      <c r="H36" s="259">
        <f t="array" ref="H36">IF($Q36="","—",INDEX(DATA!$E:$E,$Q36))</f>
        <v>46144</v>
      </c>
      <c r="I36" s="260">
        <f t="array" ref="I36">IF($Q36="","—",INDEX(DATA!$AI:$AI,$Q36))</f>
        <v>70</v>
      </c>
      <c r="J36" s="111" t="str">
        <f t="array" ref="J36">IF($Q36="","—",INDEX(DATA!$AJ:$AJ,$Q36))</f>
        <v>🟡 مقبول</v>
      </c>
      <c r="K36" s="485" t="str">
        <f t="array" ref="K36">IF($Q36="","—",IF(INDEX(DATA!$Y:$Y,$Q36)&lt;&gt;"","⚙️ "&amp;INDEX(DATA!$Y:$Y,$Q36),"⚙️ تدقيق إضافي وخطة تصحيحية"))</f>
        <v>⚙️ إشعار رسمي</v>
      </c>
      <c r="L36" s="464"/>
      <c r="M36" s="464"/>
      <c r="N36" s="465"/>
      <c r="Q36" s="94">
        <f t="array" ref="Q36">IFERROR(_xlfn.AGGREGATE(15,6,(ROW(DATA!$AI$2:$AI$992))/((DATA!$AD$2:$AD$992=$D$5)*(DATA!$E$2:$E$992&gt;=$H$5)*(DATA!$E$2:$E$992&lt;=$K$5)*((DATA!$X$2:$X$992="نعم")+(DATA!$AI$2:$AI$992&lt;70)&gt;0)),ROWS($Q$36:Q36)),"")</f>
        <v>87</v>
      </c>
    </row>
    <row r="37" spans="1:17" ht="21.75" customHeight="1">
      <c r="A37" s="106"/>
      <c r="B37" s="481" t="str">
        <f t="array" ref="B37">IF($Q37="","—",INDEX(DATA!$V:$V,$Q37))</f>
        <v>متابعة توزيع الرغيف الخيري — منطقة البريج</v>
      </c>
      <c r="C37" s="464"/>
      <c r="D37" s="464"/>
      <c r="E37" s="464"/>
      <c r="F37" s="465"/>
      <c r="G37" s="112" t="str">
        <f t="array" ref="G37">IF($Q37="","—",INDEX(DATA!$I:$I,$Q37))</f>
        <v>مكتب دير البلح</v>
      </c>
      <c r="H37" s="261">
        <f t="array" ref="H37">IF($Q37="","—",INDEX(DATA!$E:$E,$Q37))</f>
        <v>46145</v>
      </c>
      <c r="I37" s="262">
        <f t="array" ref="I37">IF($Q37="","—",INDEX(DATA!$AI:$AI,$Q37))</f>
        <v>65.5</v>
      </c>
      <c r="J37" s="113" t="str">
        <f t="array" ref="J37">IF($Q37="","—",INDEX(DATA!$AJ:$AJ,$Q37))</f>
        <v>🟡 مقبول</v>
      </c>
      <c r="K37" s="482" t="str">
        <f t="array" ref="K37">IF($Q37="","—",IF(INDEX(DATA!$Y:$Y,$Q37)&lt;&gt;"","⚙️ "&amp;INDEX(DATA!$Y:$Y,$Q37),"⚙️ تدقيق إضافي"))</f>
        <v>⚙️ إشعار رسمي</v>
      </c>
      <c r="L37" s="464"/>
      <c r="M37" s="464"/>
      <c r="N37" s="465"/>
      <c r="Q37" s="94">
        <f t="array" ref="Q37">IFERROR(_xlfn.AGGREGATE(15,6,(ROW(DATA!$AI$2:$AI$992))/((DATA!$AD$2:$AD$992=$D$5)*(DATA!$E$2:$E$992&gt;=$H$5)*(DATA!$E$2:$E$992&lt;=$K$5)*((DATA!$X$2:$X$992="نعم")+(DATA!$AI$2:$AI$992&lt;70)&gt;0)),ROWS($Q$36:Q37)),"")</f>
        <v>91</v>
      </c>
    </row>
    <row r="38" spans="1:17" ht="21.75" customHeight="1">
      <c r="A38" s="106"/>
      <c r="B38" s="469" t="str">
        <f t="array" ref="B38">IF($Q38="","—",INDEX(DATA!$V:$V,$Q38))</f>
        <v>شكوى نقص سقيا الماء — منطقة البريج</v>
      </c>
      <c r="C38" s="464"/>
      <c r="D38" s="464"/>
      <c r="E38" s="464"/>
      <c r="F38" s="465"/>
      <c r="G38" s="110" t="str">
        <f t="array" ref="G38">IF($Q38="","—",INDEX(DATA!$I:$I,$Q38))</f>
        <v>مكتب البريج</v>
      </c>
      <c r="H38" s="259">
        <f t="array" ref="H38">IF($Q38="","—",INDEX(DATA!$E:$E,$Q38))</f>
        <v>46147</v>
      </c>
      <c r="I38" s="260">
        <f t="array" ref="I38">IF($Q38="","—",INDEX(DATA!$AI:$AI,$Q38))</f>
        <v>44</v>
      </c>
      <c r="J38" s="111" t="str">
        <f t="array" ref="J38">IF($Q38="","—",INDEX(DATA!$AJ:$AJ,$Q38))</f>
        <v>🔴 ضعيف</v>
      </c>
      <c r="K38" s="485" t="str">
        <f t="array" ref="K38">IF($Q38="","—",IF(INDEX(DATA!$Y:$Y,$Q38)&lt;&gt;"","⚙️ "&amp;INDEX(DATA!$Y:$Y,$Q38),"⚙️ تدقيق إضافي"))</f>
        <v>⚙️ تقرير عاجل</v>
      </c>
      <c r="L38" s="464"/>
      <c r="M38" s="464"/>
      <c r="N38" s="465"/>
      <c r="Q38" s="94">
        <f t="array" ref="Q38">IFERROR(_xlfn.AGGREGATE(15,6,(ROW(DATA!$AI$2:$AI$992))/((DATA!$AD$2:$AD$992=$D$5)*(DATA!$E$2:$E$992&gt;=$H$5)*(DATA!$E$2:$E$992&lt;=$K$5)*((DATA!$X$2:$X$992="نعم")+(DATA!$AI$2:$AI$992&lt;70)&gt;0)),ROWS($Q$36:Q38)),"")</f>
        <v>109</v>
      </c>
    </row>
    <row r="39" spans="1:17" ht="21.75" customHeight="1">
      <c r="A39" s="106"/>
      <c r="B39" s="481" t="str">
        <f t="array" ref="B39">IF($Q39="","—",INDEX(DATA!$V:$V,$Q39))</f>
        <v>فحص باص نص نقل — السائق عماد نطط</v>
      </c>
      <c r="C39" s="464"/>
      <c r="D39" s="464"/>
      <c r="E39" s="464"/>
      <c r="F39" s="465"/>
      <c r="G39" s="112" t="str">
        <f t="array" ref="G39">IF($Q39="","—",INDEX(DATA!$I:$I,$Q39))</f>
        <v>متابعة السيارات</v>
      </c>
      <c r="H39" s="261">
        <f t="array" ref="H39">IF($Q39="","—",INDEX(DATA!$E:$E,$Q39))</f>
        <v>46148</v>
      </c>
      <c r="I39" s="262">
        <f t="array" ref="I39">IF($Q39="","—",INDEX(DATA!$AI:$AI,$Q39))</f>
        <v>15</v>
      </c>
      <c r="J39" s="113" t="str">
        <f t="array" ref="J39">IF($Q39="","—",INDEX(DATA!$AJ:$AJ,$Q39))</f>
        <v>🚨 خطر شديد</v>
      </c>
      <c r="K39" s="482" t="str">
        <f t="array" ref="K39">IF($Q39="","—",IF(INDEX(DATA!$Y:$Y,$Q39)&lt;&gt;"","⚙️ "&amp;INDEX(DATA!$Y:$Y,$Q39),"⚙️ تدقيق إضافي"))</f>
        <v>⚙️ تقرير عاجل</v>
      </c>
      <c r="L39" s="464"/>
      <c r="M39" s="464"/>
      <c r="N39" s="465"/>
      <c r="Q39" s="94">
        <f t="array" ref="Q39">IFERROR(_xlfn.AGGREGATE(15,6,(ROW(DATA!$AI$2:$AI$992))/((DATA!$AD$2:$AD$992=$D$5)*(DATA!$E$2:$E$992&gt;=$H$5)*(DATA!$E$2:$E$992&lt;=$K$5)*((DATA!$X$2:$X$992="نعم")+(DATA!$AI$2:$AI$992&lt;70)&gt;0)),ROWS($Q$36:Q39)),"")</f>
        <v>110</v>
      </c>
    </row>
    <row r="40" spans="1:17" ht="21.75" customHeight="1">
      <c r="A40" s="106"/>
      <c r="B40" s="469" t="str">
        <f t="array" ref="B40">IF($Q40="","—",INDEX(DATA!$V:$V,$Q40))</f>
        <v>فحص سيارة تويوتا — السائق سالم البحيصي</v>
      </c>
      <c r="C40" s="464"/>
      <c r="D40" s="464"/>
      <c r="E40" s="464"/>
      <c r="F40" s="465"/>
      <c r="G40" s="110" t="str">
        <f t="array" ref="G40">IF($Q40="","—",INDEX(DATA!$I:$I,$Q40))</f>
        <v>متابعة السيارات</v>
      </c>
      <c r="H40" s="259">
        <f t="array" ref="H40">IF($Q40="","—",INDEX(DATA!$E:$E,$Q40))</f>
        <v>46148</v>
      </c>
      <c r="I40" s="260">
        <f t="array" ref="I40">IF($Q40="","—",INDEX(DATA!$AI:$AI,$Q40))</f>
        <v>15</v>
      </c>
      <c r="J40" s="111" t="str">
        <f t="array" ref="J40">IF($Q40="","—",INDEX(DATA!$AJ:$AJ,$Q40))</f>
        <v>🚨 خطر شديد</v>
      </c>
      <c r="K40" s="485" t="str">
        <f t="array" ref="K40">IF($Q40="","—",IF(INDEX(DATA!$Y:$Y,$Q40)&lt;&gt;"","⚙️ "&amp;INDEX(DATA!$Y:$Y,$Q40),"⚙️ تدقيق إضافي"))</f>
        <v>⚙️ تقرير عاجل</v>
      </c>
      <c r="L40" s="464"/>
      <c r="M40" s="464"/>
      <c r="N40" s="465"/>
      <c r="Q40" s="94">
        <f t="array" ref="Q40">IFERROR(_xlfn.AGGREGATE(15,6,(ROW(DATA!$AI$2:$AI$992))/((DATA!$AD$2:$AD$992=$D$5)*(DATA!$E$2:$E$992&gt;=$H$5)*(DATA!$E$2:$E$992&lt;=$K$5)*((DATA!$X$2:$X$992="نعم")+(DATA!$AI$2:$AI$992&lt;70)&gt;0)),ROWS($Q$36:Q40)),"")</f>
        <v>111</v>
      </c>
    </row>
    <row r="41" spans="1:17" ht="21.75" customHeight="1">
      <c r="A41" s="106"/>
      <c r="B41" s="481" t="str">
        <f t="array" ref="B41">IF($Q41="","—",INDEX(DATA!$V:$V,$Q41))</f>
        <v>فحص باص كرافتر يافا — السائق عماد نطط</v>
      </c>
      <c r="C41" s="464"/>
      <c r="D41" s="464"/>
      <c r="E41" s="464"/>
      <c r="F41" s="465"/>
      <c r="G41" s="112" t="str">
        <f t="array" ref="G41">IF($Q41="","—",INDEX(DATA!$I:$I,$Q41))</f>
        <v>متابعة السيارات</v>
      </c>
      <c r="H41" s="261">
        <f t="array" ref="H41">IF($Q41="","—",INDEX(DATA!$E:$E,$Q41))</f>
        <v>46148</v>
      </c>
      <c r="I41" s="262">
        <f t="array" ref="I41">IF($Q41="","—",INDEX(DATA!$AI:$AI,$Q41))</f>
        <v>34</v>
      </c>
      <c r="J41" s="113" t="str">
        <f t="array" ref="J41">IF($Q41="","—",INDEX(DATA!$AJ:$AJ,$Q41))</f>
        <v>🚨 خطر شديد</v>
      </c>
      <c r="K41" s="482" t="str">
        <f t="array" ref="K41">IF($Q41="","—",IF(INDEX(DATA!$Y:$Y,$Q41)&lt;&gt;"","⚙️ "&amp;INDEX(DATA!$Y:$Y,$Q41),"⚙️ تدقيق إضافي"))</f>
        <v>⚙️ إشعار رسمي</v>
      </c>
      <c r="L41" s="464"/>
      <c r="M41" s="464"/>
      <c r="N41" s="465"/>
      <c r="Q41" s="94">
        <f t="array" ref="Q41">IFERROR(_xlfn.AGGREGATE(15,6,(ROW(DATA!$AI$2:$AI$992))/((DATA!$AD$2:$AD$992=$D$5)*(DATA!$E$2:$E$992&gt;=$H$5)*(DATA!$E$2:$E$992&lt;=$K$5)*((DATA!$X$2:$X$992="نعم")+(DATA!$AI$2:$AI$992&lt;70)&gt;0)),ROWS($Q$36:Q41)),"")</f>
        <v>112</v>
      </c>
    </row>
    <row r="42" spans="1:17" ht="21.75" customHeight="1">
      <c r="A42" s="106"/>
      <c r="B42" s="469" t="str">
        <f t="array" ref="B42">IF($Q42="","—",INDEX(DATA!$V:$V,$Q42))</f>
        <v>فحص سيارة كرافتا — السائق أحمد التليني</v>
      </c>
      <c r="C42" s="464"/>
      <c r="D42" s="464"/>
      <c r="E42" s="464"/>
      <c r="F42" s="465"/>
      <c r="G42" s="110" t="str">
        <f t="array" ref="G42">IF($Q42="","—",INDEX(DATA!$I:$I,$Q42))</f>
        <v>متابعة السيارات</v>
      </c>
      <c r="H42" s="259">
        <f t="array" ref="H42">IF($Q42="","—",INDEX(DATA!$E:$E,$Q42))</f>
        <v>46166</v>
      </c>
      <c r="I42" s="260">
        <f t="array" ref="I42">IF($Q42="","—",INDEX(DATA!$AI:$AI,$Q42))</f>
        <v>15</v>
      </c>
      <c r="J42" s="111" t="str">
        <f t="array" ref="J42">IF($Q42="","—",INDEX(DATA!$AJ:$AJ,$Q42))</f>
        <v>🚨 خطر شديد</v>
      </c>
      <c r="K42" s="485" t="str">
        <f t="array" ref="K42">IF($Q42="","—",IF(INDEX(DATA!$Y:$Y,$Q42)&lt;&gt;"","⚙️ "&amp;INDEX(DATA!$Y:$Y,$Q42),"⚙️ تدقيق إضافي"))</f>
        <v>⚙️ تقرير عاجل</v>
      </c>
      <c r="L42" s="464"/>
      <c r="M42" s="464"/>
      <c r="N42" s="465"/>
      <c r="Q42" s="94">
        <f t="array" ref="Q42">IFERROR(_xlfn.AGGREGATE(15,6,(ROW(DATA!$AI$2:$AI$992))/((DATA!$AD$2:$AD$992=$D$5)*(DATA!$E$2:$E$992&gt;=$H$5)*(DATA!$E$2:$E$992&lt;=$K$5)*((DATA!$X$2:$X$992="نعم")+(DATA!$AI$2:$AI$992&lt;70)&gt;0)),ROWS($Q$36:Q42)),"")</f>
        <v>169</v>
      </c>
    </row>
    <row r="43" spans="1:17" ht="21.75" customHeight="1">
      <c r="A43" s="106"/>
      <c r="B43" s="481" t="str">
        <f t="array" ref="B43">IF($Q43="","—",INDEX(DATA!$V:$V,$Q43))</f>
        <v>فحص سيارة تويوتا — السائق سالم البحيصي</v>
      </c>
      <c r="C43" s="464"/>
      <c r="D43" s="464"/>
      <c r="E43" s="464"/>
      <c r="F43" s="465"/>
      <c r="G43" s="112" t="str">
        <f t="array" ref="G43">IF($Q43="","—",INDEX(DATA!$I:$I,$Q43))</f>
        <v>متابعة السيارات</v>
      </c>
      <c r="H43" s="261">
        <f t="array" ref="H43">IF($Q43="","—",INDEX(DATA!$E:$E,$Q43))</f>
        <v>46166</v>
      </c>
      <c r="I43" s="262">
        <f t="array" ref="I43">IF($Q43="","—",INDEX(DATA!$AI:$AI,$Q43))</f>
        <v>15</v>
      </c>
      <c r="J43" s="113" t="str">
        <f t="array" ref="J43">IF($Q43="","—",INDEX(DATA!$AJ:$AJ,$Q43))</f>
        <v>🚨 خطر شديد</v>
      </c>
      <c r="K43" s="482" t="str">
        <f t="array" ref="K43">IF($Q43="","—",IF(INDEX(DATA!$Y:$Y,$Q43)&lt;&gt;"","⚙️ "&amp;INDEX(DATA!$Y:$Y,$Q43),"⚙️ تدقيق إضافي"))</f>
        <v>⚙️ تقرير عاجل</v>
      </c>
      <c r="L43" s="464"/>
      <c r="M43" s="464"/>
      <c r="N43" s="465"/>
      <c r="Q43" s="94">
        <f t="array" ref="Q43">IFERROR(_xlfn.AGGREGATE(15,6,(ROW(DATA!$AI$2:$AI$992))/((DATA!$AD$2:$AD$992=$D$5)*(DATA!$E$2:$E$992&gt;=$H$5)*(DATA!$E$2:$E$992&lt;=$K$5)*((DATA!$X$2:$X$992="نعم")+(DATA!$AI$2:$AI$992&lt;70)&gt;0)),ROWS($Q$36:Q43)),"")</f>
        <v>170</v>
      </c>
    </row>
    <row r="44" spans="1:17" ht="21.75" customHeight="1">
      <c r="A44" s="106"/>
      <c r="B44" s="469" t="str">
        <f t="array" ref="B44">IF($Q44="","—",INDEX(DATA!$V:$V,$Q44))</f>
        <v>فحص باص كرافتر يافا — السائق عماد نطط</v>
      </c>
      <c r="C44" s="464"/>
      <c r="D44" s="464"/>
      <c r="E44" s="464"/>
      <c r="F44" s="465"/>
      <c r="G44" s="110" t="str">
        <f t="array" ref="G44">IF($Q44="","—",INDEX(DATA!$I:$I,$Q44))</f>
        <v>متابعة السيارات</v>
      </c>
      <c r="H44" s="259">
        <f t="array" ref="H44">IF($Q44="","—",INDEX(DATA!$E:$E,$Q44))</f>
        <v>46166</v>
      </c>
      <c r="I44" s="260">
        <f t="array" ref="I44">IF($Q44="","—",INDEX(DATA!$AI:$AI,$Q44))</f>
        <v>28</v>
      </c>
      <c r="J44" s="111" t="str">
        <f t="array" ref="J44">IF($Q44="","—",INDEX(DATA!$AJ:$AJ,$Q44))</f>
        <v>🚨 خطر شديد</v>
      </c>
      <c r="K44" s="485" t="str">
        <f t="array" ref="K44">IF($Q44="","—",IF(INDEX(DATA!$Y:$Y,$Q44)&lt;&gt;"","⚙️ "&amp;INDEX(DATA!$Y:$Y,$Q44),"⚙️ تدقيق إضافي"))</f>
        <v>⚙️ تقرير عاجل</v>
      </c>
      <c r="L44" s="464"/>
      <c r="M44" s="464"/>
      <c r="N44" s="465"/>
      <c r="Q44" s="94">
        <f t="array" ref="Q44">IFERROR(_xlfn.AGGREGATE(15,6,(ROW(DATA!$AI$2:$AI$992))/((DATA!$AD$2:$AD$992=$D$5)*(DATA!$E$2:$E$992&gt;=$H$5)*(DATA!$E$2:$E$992&lt;=$K$5)*((DATA!$X$2:$X$992="نعم")+(DATA!$AI$2:$AI$992&lt;70)&gt;0)),ROWS($Q$36:Q44)),"")</f>
        <v>171</v>
      </c>
    </row>
    <row r="45" spans="1:17" ht="21.75" customHeight="1">
      <c r="A45" s="106"/>
      <c r="B45" s="481" t="str">
        <f t="array" ref="B45">IF($Q45="","—",INDEX(DATA!$V:$V,$Q45))</f>
        <v>متابعة وجبات مطبخ دار محسن رمضان — منطقة البريج</v>
      </c>
      <c r="C45" s="464"/>
      <c r="D45" s="464"/>
      <c r="E45" s="464"/>
      <c r="F45" s="465"/>
      <c r="G45" s="112" t="str">
        <f t="array" ref="G45">IF($Q45="","—",INDEX(DATA!$I:$I,$Q45))</f>
        <v>مكتب البريج</v>
      </c>
      <c r="H45" s="261">
        <f t="array" ref="H45">IF($Q45="","—",INDEX(DATA!$E:$E,$Q45))</f>
        <v>46169</v>
      </c>
      <c r="I45" s="262">
        <f t="array" ref="I45">IF($Q45="","—",INDEX(DATA!$AI:$AI,$Q45))</f>
        <v>65.5</v>
      </c>
      <c r="J45" s="113" t="str">
        <f t="array" ref="J45">IF($Q45="","—",INDEX(DATA!$AJ:$AJ,$Q45))</f>
        <v>🟡 مقبول</v>
      </c>
      <c r="K45" s="482" t="str">
        <f t="array" ref="K45">IF($Q45="","—",IF(INDEX(DATA!$Y:$Y,$Q45)&lt;&gt;"","⚙️ "&amp;INDEX(DATA!$Y:$Y,$Q45),"⚙️ تدقيق إضافي"))</f>
        <v>⚙️ إشعار رسمي</v>
      </c>
      <c r="L45" s="464"/>
      <c r="M45" s="464"/>
      <c r="N45" s="465"/>
      <c r="Q45" s="94">
        <f t="array" ref="Q45">IFERROR(_xlfn.AGGREGATE(15,6,(ROW(DATA!$AI$2:$AI$992))/((DATA!$AD$2:$AD$992=$D$5)*(DATA!$E$2:$E$992&gt;=$H$5)*(DATA!$E$2:$E$992&lt;=$K$5)*((DATA!$X$2:$X$992="نعم")+(DATA!$AI$2:$AI$992&lt;70)&gt;0)),ROWS($Q$36:Q45)),"")</f>
        <v>194</v>
      </c>
    </row>
    <row r="46" spans="1:17" ht="21" customHeight="1">
      <c r="B46" s="101" t="s">
        <v>1171</v>
      </c>
      <c r="E46" s="263">
        <f t="array" ref="E46">COUNTIF($I36:$I45,"&gt;=0")-MIN(10,SUMPRODUCT((DATA!$AD$2:$AD$992=$D$5)*(DATA!$E$2:$E$992&gt;=$H$5)*(DATA!$E$2:$E$992&lt;=$K$5)*(((DATA!$X$2:$X$992="نعم")+(DATA!$AI$2:$AI$992&lt;70))&gt;0)))</f>
        <v>0</v>
      </c>
      <c r="Q46" s="94"/>
    </row>
    <row r="47" spans="1:17" ht="7.5" customHeight="1"/>
    <row r="48" spans="1:17" ht="23.25" customHeight="1">
      <c r="B48" s="506" t="s">
        <v>1178</v>
      </c>
      <c r="C48" s="373"/>
      <c r="D48" s="373"/>
      <c r="E48" s="373"/>
      <c r="F48" s="373"/>
      <c r="G48" s="373"/>
      <c r="H48" s="373"/>
      <c r="I48" s="373"/>
      <c r="J48" s="373"/>
      <c r="K48" s="373"/>
      <c r="L48" s="373"/>
      <c r="M48" s="373"/>
      <c r="N48" s="373"/>
    </row>
    <row r="49" spans="2:17" ht="26.25" customHeight="1">
      <c r="B49" s="471" t="s">
        <v>1179</v>
      </c>
      <c r="C49" s="472"/>
      <c r="D49" s="472"/>
      <c r="E49" s="472"/>
      <c r="F49" s="467"/>
      <c r="G49" s="95" t="s">
        <v>1174</v>
      </c>
      <c r="H49" s="95" t="s">
        <v>626</v>
      </c>
      <c r="I49" s="95" t="s">
        <v>641</v>
      </c>
      <c r="J49" s="95" t="s">
        <v>1175</v>
      </c>
      <c r="K49" s="471" t="s">
        <v>1180</v>
      </c>
      <c r="L49" s="472"/>
      <c r="M49" s="472"/>
      <c r="N49" s="467"/>
      <c r="Q49" s="94" t="s">
        <v>1181</v>
      </c>
    </row>
    <row r="50" spans="2:17" ht="21.75" customHeight="1">
      <c r="B50" s="463" t="str">
        <f t="array" ref="B50">IF($Q50="","—",INDEX(DATA!$V:$V,$Q50))</f>
        <v>متابعة أعمال مشروع حفر بئر مياه — خانيونس غرب القرارة</v>
      </c>
      <c r="C50" s="464"/>
      <c r="D50" s="464"/>
      <c r="E50" s="464"/>
      <c r="F50" s="465"/>
      <c r="G50" s="96" t="str">
        <f t="array" ref="G50">IF($Q50="","—",INDEX(DATA!$I:$I,$Q50))</f>
        <v>مكتب خانيونس</v>
      </c>
      <c r="H50" s="264">
        <f t="array" ref="H50">IF($Q50="","—",INDEX(DATA!$E:$E,$Q50))</f>
        <v>46144</v>
      </c>
      <c r="I50" s="265">
        <f t="array" ref="I50">IF($Q50="","—",INDEX(DATA!$AI:$AI,$Q50))</f>
        <v>100</v>
      </c>
      <c r="J50" s="97" t="str">
        <f t="array" ref="J50">IF($Q50="","—",INDEX(DATA!$AJ:$AJ,$Q50))</f>
        <v>🌟 ممتاز جدًا</v>
      </c>
      <c r="K50" s="484" t="str">
        <f t="array" ref="K50">IF($Q50="","—",IF(INDEX(DATA!$AI:$AI,$Q50)&gt;=95,"🌟 أداء مثالي — يُنصح باعتماده نموذجاً للفريق","✅ أداء متميز يستحق الثناء"))</f>
        <v>🌟 أداء مثالي — يُنصح باعتماده نموذجاً للفريق</v>
      </c>
      <c r="L50" s="464"/>
      <c r="M50" s="464"/>
      <c r="N50" s="465"/>
      <c r="Q50" s="94">
        <f t="array" ref="Q50">IFERROR(_xlfn.AGGREGATE(15,6,(ROW(DATA!$AI$2:$AI$992))/((DATA!$AD$2:$AD$992=$D$5)*(DATA!$E$2:$E$992&gt;=$H$5)*(DATA!$E$2:$E$992&lt;=$K$5)*(DATA!$AI$2:$AI$992&gt;=85)),ROWS($Q$50:Q50)),"")</f>
        <v>88</v>
      </c>
    </row>
    <row r="51" spans="2:17" ht="21.75" customHeight="1">
      <c r="B51" s="478" t="str">
        <f t="array" ref="B51">IF($Q51="","—",INDEX(DATA!$V:$V,$Q51))</f>
        <v>متابعة توزيع الرغيف الخيري — منطقة النصيرات</v>
      </c>
      <c r="C51" s="464"/>
      <c r="D51" s="464"/>
      <c r="E51" s="464"/>
      <c r="F51" s="465"/>
      <c r="G51" s="98" t="str">
        <f t="array" ref="G51">IF($Q51="","—",INDEX(DATA!$I:$I,$Q51))</f>
        <v>مكتب دير البلح</v>
      </c>
      <c r="H51" s="266">
        <f t="array" ref="H51">IF($Q51="","—",INDEX(DATA!$E:$E,$Q51))</f>
        <v>46145</v>
      </c>
      <c r="I51" s="267">
        <f t="array" ref="I51">IF($Q51="","—",INDEX(DATA!$AI:$AI,$Q51))</f>
        <v>100</v>
      </c>
      <c r="J51" s="99" t="str">
        <f t="array" ref="J51">IF($Q51="","—",INDEX(DATA!$AJ:$AJ,$Q51))</f>
        <v>🌟 ممتاز جدًا</v>
      </c>
      <c r="K51" s="483" t="str">
        <f t="array" ref="K51">IF($Q51="","—",IF(INDEX(DATA!$AI:$AI,$Q51)&gt;=95,"🌟 أداء مثالي — يُنصح باعتماده نموذجاً للفريق","✅ أداء متميز يستحق الثناء"))</f>
        <v>🌟 أداء مثالي — يُنصح باعتماده نموذجاً للفريق</v>
      </c>
      <c r="L51" s="464"/>
      <c r="M51" s="464"/>
      <c r="N51" s="465"/>
      <c r="Q51" s="94">
        <f t="array" ref="Q51">IFERROR(_xlfn.AGGREGATE(15,6,(ROW(DATA!$AI$2:$AI$992))/((DATA!$AD$2:$AD$992=$D$5)*(DATA!$E$2:$E$992&gt;=$H$5)*(DATA!$E$2:$E$992&lt;=$K$5)*(DATA!$AI$2:$AI$992&gt;=85)),ROWS($Q$50:Q51)),"")</f>
        <v>89</v>
      </c>
    </row>
    <row r="52" spans="2:17" ht="21.75" customHeight="1">
      <c r="B52" s="463" t="str">
        <f t="array" ref="B52">IF($Q52="","—",INDEX(DATA!$V:$V,$Q52))</f>
        <v>متابعة جودة وجبات مطبخ البركة — المغازي ودير البلح</v>
      </c>
      <c r="C52" s="464"/>
      <c r="D52" s="464"/>
      <c r="E52" s="464"/>
      <c r="F52" s="465"/>
      <c r="G52" s="96" t="str">
        <f t="array" ref="G52">IF($Q52="","—",INDEX(DATA!$I:$I,$Q52))</f>
        <v>مطبخ البركة</v>
      </c>
      <c r="H52" s="264">
        <f t="array" ref="H52">IF($Q52="","—",INDEX(DATA!$E:$E,$Q52))</f>
        <v>46145</v>
      </c>
      <c r="I52" s="265">
        <f t="array" ref="I52">IF($Q52="","—",INDEX(DATA!$AI:$AI,$Q52))</f>
        <v>95.5</v>
      </c>
      <c r="J52" s="97" t="str">
        <f t="array" ref="J52">IF($Q52="","—",INDEX(DATA!$AJ:$AJ,$Q52))</f>
        <v>⭐ ممتاز</v>
      </c>
      <c r="K52" s="484" t="str">
        <f t="array" ref="K52">IF($Q52="","—",IF(INDEX(DATA!$AI:$AI,$Q52)&gt;=95,"🌟 أداء مثالي — يُنصح باعتماده نموذجاً للفريق","✅ أداء متميز يستحق الثناء"))</f>
        <v>🌟 أداء مثالي — يُنصح باعتماده نموذجاً للفريق</v>
      </c>
      <c r="L52" s="464"/>
      <c r="M52" s="464"/>
      <c r="N52" s="465"/>
      <c r="Q52" s="94">
        <f t="array" ref="Q52">IFERROR(_xlfn.AGGREGATE(15,6,(ROW(DATA!$AI$2:$AI$992))/((DATA!$AD$2:$AD$992=$D$5)*(DATA!$E$2:$E$992&gt;=$H$5)*(DATA!$E$2:$E$992&lt;=$K$5)*(DATA!$AI$2:$AI$992&gt;=85)),ROWS($Q$50:Q52)),"")</f>
        <v>90</v>
      </c>
    </row>
    <row r="53" spans="2:17" ht="21.75" customHeight="1">
      <c r="B53" s="478" t="str">
        <f t="array" ref="B53">IF($Q53="","—",INDEX(DATA!$V:$V,$Q53))</f>
        <v>متابعة توزيع الرغيف الخيري — منطقة رفح</v>
      </c>
      <c r="C53" s="464"/>
      <c r="D53" s="464"/>
      <c r="E53" s="464"/>
      <c r="F53" s="465"/>
      <c r="G53" s="98" t="str">
        <f t="array" ref="G53">IF($Q53="","—",INDEX(DATA!$I:$I,$Q53))</f>
        <v>مكتب رفح</v>
      </c>
      <c r="H53" s="266">
        <f t="array" ref="H53">IF($Q53="","—",INDEX(DATA!$E:$E,$Q53))</f>
        <v>46145</v>
      </c>
      <c r="I53" s="267">
        <f t="array" ref="I53">IF($Q53="","—",INDEX(DATA!$AI:$AI,$Q53))</f>
        <v>100</v>
      </c>
      <c r="J53" s="99" t="str">
        <f t="array" ref="J53">IF($Q53="","—",INDEX(DATA!$AJ:$AJ,$Q53))</f>
        <v>🌟 ممتاز جدًا</v>
      </c>
      <c r="K53" s="483" t="str">
        <f t="array" ref="K53">IF($Q53="","—",IF(INDEX(DATA!$AI:$AI,$Q53)&gt;=95,"🌟 أداء مثالي — يُنصح باعتماده نموذجاً للفريق","✅ أداء متميز يستحق الثناء"))</f>
        <v>🌟 أداء مثالي — يُنصح باعتماده نموذجاً للفريق</v>
      </c>
      <c r="L53" s="464"/>
      <c r="M53" s="464"/>
      <c r="N53" s="465"/>
      <c r="Q53" s="94">
        <f t="array" ref="Q53">IFERROR(_xlfn.AGGREGATE(15,6,(ROW(DATA!$AI$2:$AI$992))/((DATA!$AD$2:$AD$992=$D$5)*(DATA!$E$2:$E$992&gt;=$H$5)*(DATA!$E$2:$E$992&lt;=$K$5)*(DATA!$AI$2:$AI$992&gt;=85)),ROWS($Q$50:Q53)),"")</f>
        <v>92</v>
      </c>
    </row>
    <row r="54" spans="2:17" ht="21" customHeight="1">
      <c r="B54" s="463" t="str">
        <f t="array" ref="B54">IF($Q54="","—",INDEX(DATA!$V:$V,$Q54))</f>
        <v>متابعة توزيع الرغيف الخيري — منطقة الزوايدة</v>
      </c>
      <c r="C54" s="464"/>
      <c r="D54" s="464"/>
      <c r="E54" s="464"/>
      <c r="F54" s="465"/>
      <c r="G54" s="96" t="str">
        <f t="array" ref="G54">IF($Q54="","—",INDEX(DATA!$I:$I,$Q54))</f>
        <v>مكتب الزوايدة</v>
      </c>
      <c r="H54" s="264">
        <f t="array" ref="H54">IF($Q54="","—",INDEX(DATA!$E:$E,$Q54))</f>
        <v>46145</v>
      </c>
      <c r="I54" s="265">
        <f t="array" ref="I54">IF($Q54="","—",INDEX(DATA!$AI:$AI,$Q54))</f>
        <v>100</v>
      </c>
      <c r="J54" s="97" t="str">
        <f t="array" ref="J54">IF($Q54="","—",INDEX(DATA!$AJ:$AJ,$Q54))</f>
        <v>🌟 ممتاز جدًا</v>
      </c>
      <c r="K54" s="484" t="str">
        <f t="array" ref="K54">IF($Q54="","—",IF(INDEX(DATA!$AI:$AI,$Q54)&gt;=95,"🌟 أداء مثالي — يُنصح باعتماده نموذجاً للفريق","✅ أداء متميز يستحق الثناء"))</f>
        <v>🌟 أداء مثالي — يُنصح باعتماده نموذجاً للفريق</v>
      </c>
      <c r="L54" s="464"/>
      <c r="M54" s="464"/>
      <c r="N54" s="465"/>
      <c r="Q54" s="94">
        <f t="array" ref="Q54">IFERROR(_xlfn.AGGREGATE(15,6,(ROW(DATA!$AI$2:$AI$992))/((DATA!$AD$2:$AD$992=$D$5)*(DATA!$E$2:$E$992&gt;=$H$5)*(DATA!$E$2:$E$992&lt;=$K$5)*(DATA!$AI$2:$AI$992&gt;=85)),ROWS($Q$50:Q54)),"")</f>
        <v>93</v>
      </c>
    </row>
    <row r="55" spans="2:17" ht="21" customHeight="1">
      <c r="B55" s="101" t="s">
        <v>1171</v>
      </c>
      <c r="E55" s="263">
        <f>COUNTIF($I50:$I54,"&gt;=0")-MIN(5,COUNTIFS(DATA!$AD:$AD,$D$5,DATA!$E:$E,"&gt;="&amp;$H$5,DATA!$E:$E,"&lt;="&amp;$K$5,DATA!$AI:$AI,"&gt;=85"))</f>
        <v>0</v>
      </c>
      <c r="Q55" s="94"/>
    </row>
    <row r="56" spans="2:17" ht="25.5" customHeight="1">
      <c r="B56" s="504" t="s">
        <v>1182</v>
      </c>
      <c r="C56" s="373"/>
      <c r="D56" s="373"/>
      <c r="E56" s="373"/>
      <c r="F56" s="373"/>
      <c r="G56" s="373"/>
      <c r="H56" s="373"/>
      <c r="I56" s="373"/>
      <c r="J56" s="373"/>
      <c r="K56" s="373"/>
      <c r="L56" s="373"/>
      <c r="M56" s="373"/>
      <c r="N56" s="373"/>
    </row>
    <row r="57" spans="2:17" ht="7.5" customHeight="1"/>
    <row r="58" spans="2:17" ht="25.5" customHeight="1">
      <c r="B58" s="487" t="str">
        <f>IFERROR("📌 أنجز "&amp;E11&amp;" نشاطاً رقابياً للفترة من "&amp;TEXT(H5,"DD/MM/YYYY")&amp;" إلى "&amp;TEXT(K5,"DD/MM/YYYY")&amp;" ("&amp;TEXT(L5,"0")&amp;")","لا بيانات")</f>
        <v>📌 أنجز 100 نشاطاً رقابياً للفترة من 01/05/2026 إلى 30/05/2026 (مدة: 30 يوم)</v>
      </c>
      <c r="C58" s="472"/>
      <c r="D58" s="472"/>
      <c r="E58" s="472"/>
      <c r="F58" s="472"/>
      <c r="G58" s="472"/>
      <c r="H58" s="472"/>
      <c r="I58" s="472"/>
      <c r="J58" s="472"/>
      <c r="K58" s="472"/>
      <c r="L58" s="472"/>
      <c r="M58" s="472"/>
      <c r="N58" s="467"/>
    </row>
    <row r="59" spans="2:17" ht="25.5" customHeight="1">
      <c r="B59" s="479" t="str">
        <f>IFERROR(IF(B11="—","لا بيانات",IF(B11&gt;=85,"✅ تجاوز المراقب حد الامتياز بمتوسط "&amp;TEXT(B11,"0.0")&amp;" — يُنصح بمكافأة رسمية وتقديمه نموذجاً للفريق.",IF(B11&gt;=70,"🟢 أداء مرضٍ بمتوسط "&amp;TEXT(B11,"0.0")&amp;" — يُنصح بتعزيز نقاط القوة وتدريب مستهدف.",IF(B11&gt;=60,"⚠️ أداء ضمن الحد الأدنى بمتوسط "&amp;TEXT(B11,"0.0")&amp;" — خطة تحسين وجلسة متابعة شهرية.","🚨 أداء دون المطلوب بمتوسط "&amp;TEXT(B11,"0.0")&amp;" — تدخل فوري وبرنامج تصحيح مكثف.")))),"—")</f>
        <v>✅ تجاوز المراقب حد الامتياز بمتوسط 93.1 — يُنصح بمكافأة رسمية وتقديمه نموذجاً للفريق.</v>
      </c>
      <c r="C59" s="472"/>
      <c r="D59" s="472"/>
      <c r="E59" s="472"/>
      <c r="F59" s="472"/>
      <c r="G59" s="472"/>
      <c r="H59" s="472"/>
      <c r="I59" s="472"/>
      <c r="J59" s="472"/>
      <c r="K59" s="472"/>
      <c r="L59" s="472"/>
      <c r="M59" s="472"/>
      <c r="N59" s="467"/>
    </row>
    <row r="60" spans="2:17" ht="25.5" customHeight="1">
      <c r="B60" s="507" t="str">
        <f>IFERROR("📊 نسبة الامتثال: "&amp;TEXT(K11,"0%")&amp;IF(K11="—","",IF(K11&gt;=0.8," ✅ ممتازة — التزام عالٍ بالمعايير.",IF(K11&gt;=0.6," 🟡 مقبولة — تحتاج رفعاً."," 🔴 منخفضة — مراجعة جذرية مطلوبة."))),"—")</f>
        <v>📊 نسبة الامتثال: 89% ✅ ممتازة — التزام عالٍ بالمعايير.</v>
      </c>
      <c r="C60" s="472"/>
      <c r="D60" s="472"/>
      <c r="E60" s="472"/>
      <c r="F60" s="472"/>
      <c r="G60" s="472"/>
      <c r="H60" s="472"/>
      <c r="I60" s="472"/>
      <c r="J60" s="472"/>
      <c r="K60" s="472"/>
      <c r="L60" s="472"/>
      <c r="M60" s="472"/>
      <c r="N60" s="467"/>
    </row>
    <row r="61" spans="2:17" ht="25.5" customHeight="1">
      <c r="B61" s="493" t="str">
        <f>IFERROR("⚠️ أنشطة ضعيفة (KPI&lt;60): "&amp;J11&amp;IF(J11=0," نشاط — لا مخاطر رقابية 🎯",IF(J11&lt;=2," أنشطة — يُوصى بمراجعتها."," أنشطة — تستوجب خطة تصحيحية فورية وتدريباً مكثفاً. 🚨")),"—")</f>
        <v>⚠️ أنشطة ضعيفة (KPI&lt;60): 7 أنشطة — تستوجب خطة تصحيحية فورية وتدريباً مكثفاً. 🚨</v>
      </c>
      <c r="C61" s="472"/>
      <c r="D61" s="472"/>
      <c r="E61" s="472"/>
      <c r="F61" s="472"/>
      <c r="G61" s="472"/>
      <c r="H61" s="472"/>
      <c r="I61" s="472"/>
      <c r="J61" s="472"/>
      <c r="K61" s="472"/>
      <c r="L61" s="472"/>
      <c r="M61" s="472"/>
      <c r="N61" s="467"/>
    </row>
    <row r="62" spans="2:17" ht="25.5" customHeight="1">
      <c r="B62" s="501"/>
      <c r="C62" s="472"/>
      <c r="D62" s="472"/>
      <c r="E62" s="472"/>
      <c r="F62" s="472"/>
      <c r="G62" s="472"/>
      <c r="H62" s="472"/>
      <c r="I62" s="472"/>
      <c r="J62" s="472"/>
      <c r="K62" s="472"/>
      <c r="L62" s="472"/>
      <c r="M62" s="472"/>
      <c r="N62" s="467"/>
    </row>
    <row r="63" spans="2:17" ht="4.5" customHeight="1">
      <c r="B63" s="42"/>
      <c r="C63" s="42"/>
      <c r="D63" s="42"/>
      <c r="E63" s="42"/>
      <c r="F63" s="42"/>
      <c r="G63" s="42"/>
      <c r="H63" s="42"/>
      <c r="I63" s="42"/>
      <c r="J63" s="42"/>
      <c r="K63" s="42"/>
      <c r="L63" s="42"/>
      <c r="M63" s="42"/>
      <c r="N63" s="42"/>
    </row>
    <row r="64" spans="2:17" ht="18" customHeight="1">
      <c r="B64" s="488" t="s">
        <v>1183</v>
      </c>
      <c r="C64" s="373"/>
      <c r="D64" s="373"/>
      <c r="E64" s="373"/>
      <c r="F64" s="373"/>
      <c r="G64" s="373"/>
      <c r="H64" s="373"/>
      <c r="I64" s="373"/>
      <c r="J64" s="373"/>
      <c r="K64" s="373"/>
      <c r="L64" s="373"/>
      <c r="M64" s="373"/>
      <c r="N64" s="373"/>
    </row>
    <row r="66" spans="2:17">
      <c r="B66" s="186" t="s">
        <v>1184</v>
      </c>
      <c r="I66" s="187" t="s">
        <v>1185</v>
      </c>
      <c r="J66" s="188" t="s">
        <v>1158</v>
      </c>
    </row>
    <row r="67" spans="2:17">
      <c r="B67" s="184" t="s">
        <v>1186</v>
      </c>
      <c r="C67" s="184" t="s">
        <v>626</v>
      </c>
      <c r="D67" s="184" t="s">
        <v>624</v>
      </c>
      <c r="E67" s="184" t="s">
        <v>628</v>
      </c>
      <c r="F67" s="184" t="s">
        <v>93</v>
      </c>
      <c r="G67" s="184" t="s">
        <v>637</v>
      </c>
      <c r="L67" s="184" t="s">
        <v>641</v>
      </c>
      <c r="M67" s="184" t="s">
        <v>642</v>
      </c>
      <c r="Q67" s="185" t="s">
        <v>1187</v>
      </c>
    </row>
    <row r="68" spans="2:17">
      <c r="Q68" s="185">
        <f t="array" ref="Q68">IFERROR(_xlfn.AGGREGATE(15,6,(ROW(DATA!$AI$2:$AI$992))/((DATA!$AD$2:$AD$992=$D$5)*(DATA!$E$2:$E$992&gt;=$H$5)*(DATA!$E$2:$E$992&lt;=$K$5)*(DATA!$AI$2:$AI$992&lt;60)),ROWS($Q$68:Q68)),"")</f>
        <v>109</v>
      </c>
    </row>
  </sheetData>
  <mergeCells count="92">
    <mergeCell ref="C3:N3"/>
    <mergeCell ref="J31:N31"/>
    <mergeCell ref="B40:F40"/>
    <mergeCell ref="B49:F49"/>
    <mergeCell ref="E13:N13"/>
    <mergeCell ref="K44:N44"/>
    <mergeCell ref="B8:N8"/>
    <mergeCell ref="B27:D27"/>
    <mergeCell ref="E15:N15"/>
    <mergeCell ref="J23:N23"/>
    <mergeCell ref="B41:F41"/>
    <mergeCell ref="B35:F35"/>
    <mergeCell ref="B4:N4"/>
    <mergeCell ref="I5:J5"/>
    <mergeCell ref="B5:C5"/>
    <mergeCell ref="B36:F36"/>
    <mergeCell ref="B62:N62"/>
    <mergeCell ref="B15:D15"/>
    <mergeCell ref="L6:N6"/>
    <mergeCell ref="B24:D24"/>
    <mergeCell ref="K36:N36"/>
    <mergeCell ref="B38:F38"/>
    <mergeCell ref="B32:D32"/>
    <mergeCell ref="E11:F11"/>
    <mergeCell ref="B56:N56"/>
    <mergeCell ref="B26:D26"/>
    <mergeCell ref="H6:K6"/>
    <mergeCell ref="B48:N48"/>
    <mergeCell ref="B51:F51"/>
    <mergeCell ref="B60:N60"/>
    <mergeCell ref="K40:N40"/>
    <mergeCell ref="B22:D22"/>
    <mergeCell ref="B39:F39"/>
    <mergeCell ref="M11:N11"/>
    <mergeCell ref="J30:N30"/>
    <mergeCell ref="K45:N45"/>
    <mergeCell ref="J32:N32"/>
    <mergeCell ref="B25:D25"/>
    <mergeCell ref="B11:D11"/>
    <mergeCell ref="L5:N5"/>
    <mergeCell ref="B29:D29"/>
    <mergeCell ref="B20:N20"/>
    <mergeCell ref="E10:F10"/>
    <mergeCell ref="K11:L11"/>
    <mergeCell ref="B64:N64"/>
    <mergeCell ref="K37:N37"/>
    <mergeCell ref="B10:D10"/>
    <mergeCell ref="B43:F43"/>
    <mergeCell ref="F5:G5"/>
    <mergeCell ref="J24:N24"/>
    <mergeCell ref="J26:N26"/>
    <mergeCell ref="E17:N17"/>
    <mergeCell ref="K51:N51"/>
    <mergeCell ref="K41:N41"/>
    <mergeCell ref="K50:N50"/>
    <mergeCell ref="B6:C6"/>
    <mergeCell ref="B61:N61"/>
    <mergeCell ref="B31:D31"/>
    <mergeCell ref="K10:L10"/>
    <mergeCell ref="K43:N43"/>
    <mergeCell ref="B53:F53"/>
    <mergeCell ref="B59:N59"/>
    <mergeCell ref="J25:N25"/>
    <mergeCell ref="K35:N35"/>
    <mergeCell ref="B37:F37"/>
    <mergeCell ref="B54:F54"/>
    <mergeCell ref="J29:N29"/>
    <mergeCell ref="K39:N39"/>
    <mergeCell ref="K53:N53"/>
    <mergeCell ref="B45:F45"/>
    <mergeCell ref="K52:N52"/>
    <mergeCell ref="K42:N42"/>
    <mergeCell ref="J28:N28"/>
    <mergeCell ref="K54:N54"/>
    <mergeCell ref="B58:N58"/>
    <mergeCell ref="K38:N38"/>
    <mergeCell ref="B52:F52"/>
    <mergeCell ref="D6:E6"/>
    <mergeCell ref="B28:D28"/>
    <mergeCell ref="B42:F42"/>
    <mergeCell ref="M10:N10"/>
    <mergeCell ref="K49:N49"/>
    <mergeCell ref="B30:D30"/>
    <mergeCell ref="J27:N27"/>
    <mergeCell ref="B44:F44"/>
    <mergeCell ref="J22:N22"/>
    <mergeCell ref="B17:D17"/>
    <mergeCell ref="F6:G6"/>
    <mergeCell ref="B23:D23"/>
    <mergeCell ref="B13:D13"/>
    <mergeCell ref="B50:F50"/>
    <mergeCell ref="B34:N34"/>
  </mergeCells>
  <conditionalFormatting sqref="I23:I32">
    <cfRule type="containsText" dxfId="18" priority="3" operator="containsText" text="خطر شديد">
      <formula>NOT(ISERROR(SEARCH("خطر شديد",I23)))</formula>
    </cfRule>
    <cfRule type="containsText" dxfId="17" priority="4" operator="containsText" text="ضعيف">
      <formula>NOT(ISERROR(SEARCH("ضعيف",I23)))</formula>
    </cfRule>
    <cfRule type="containsText" dxfId="16" priority="5" operator="containsText" text="مقبول">
      <formula>NOT(ISERROR(SEARCH("مقبول",I23)))</formula>
    </cfRule>
    <cfRule type="containsText" dxfId="15" priority="6" operator="containsText" text="جيد">
      <formula>NOT(ISERROR(SEARCH("جيد",I23)))</formula>
    </cfRule>
    <cfRule type="containsText" dxfId="14" priority="7" operator="containsText" text="ممتاز">
      <formula>NOT(ISERROR(SEARCH("ممتاز",I23)))</formula>
    </cfRule>
  </conditionalFormatting>
  <conditionalFormatting sqref="J36:J45">
    <cfRule type="containsText" dxfId="13" priority="18" operator="containsText" text="خطر">
      <formula>NOT(ISERROR(SEARCH("خطر",J36)))</formula>
    </cfRule>
    <cfRule type="containsText" dxfId="12" priority="19" operator="containsText" text="ضعيف">
      <formula>NOT(ISERROR(SEARCH("ضعيف",J36)))</formula>
    </cfRule>
    <cfRule type="containsText" dxfId="11" priority="20" operator="containsText" text="مقبول">
      <formula>NOT(ISERROR(SEARCH("مقبول",J36)))</formula>
    </cfRule>
    <cfRule type="containsText" dxfId="10" priority="21" operator="containsText" text="جيد">
      <formula>NOT(ISERROR(SEARCH("جيد",J36)))</formula>
    </cfRule>
    <cfRule type="containsText" dxfId="9" priority="22" operator="containsText" text="ممتاز">
      <formula>NOT(ISERROR(SEARCH("ممتاز",J36)))</formula>
    </cfRule>
  </conditionalFormatting>
  <conditionalFormatting sqref="J50:J54">
    <cfRule type="containsText" dxfId="8" priority="23" operator="containsText" text="خطر">
      <formula>NOT(ISERROR(SEARCH("خطر",J50)))</formula>
    </cfRule>
    <cfRule type="containsText" dxfId="7" priority="24" operator="containsText" text="ضعيف">
      <formula>NOT(ISERROR(SEARCH("ضعيف",J50)))</formula>
    </cfRule>
    <cfRule type="containsText" dxfId="6" priority="25" operator="containsText" text="مقبول">
      <formula>NOT(ISERROR(SEARCH("مقبول",J50)))</formula>
    </cfRule>
    <cfRule type="containsText" dxfId="5" priority="26" operator="containsText" text="جيد">
      <formula>NOT(ISERROR(SEARCH("جيد",J50)))</formula>
    </cfRule>
    <cfRule type="containsText" dxfId="4" priority="27" operator="containsText" text="ممتاز">
      <formula>NOT(ISERROR(SEARCH("ممتاز",J50)))</formula>
    </cfRule>
  </conditionalFormatting>
  <conditionalFormatting sqref="M13:M18">
    <cfRule type="colorScale" priority="2">
      <colorScale>
        <cfvo type="num" val="0"/>
        <cfvo type="num" val="60"/>
        <cfvo type="num" val="100"/>
        <color rgb="FF8B1A1A"/>
        <color rgb="FFC05A00"/>
        <color rgb="FF1A5C2A"/>
      </colorScale>
    </cfRule>
  </conditionalFormatting>
  <pageMargins left="0.75" right="0.75" top="1" bottom="1" header="0.511811023622047" footer="0.511811023622047"/>
  <pageSetup paperSize="9" fitToHeight="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77"/>
  <sheetViews>
    <sheetView showGridLines="0" rightToLeft="1" zoomScale="70" zoomScaleNormal="70" workbookViewId="0">
      <pane xSplit="3" ySplit="1" topLeftCell="D2" activePane="bottomRight" state="frozen"/>
      <selection activeCell="J1988" sqref="J1988"/>
      <selection pane="topRight" activeCell="J1988" sqref="J1988"/>
      <selection pane="bottomLeft" activeCell="J1988" sqref="J1988"/>
      <selection pane="bottomRight" activeCell="K13" sqref="K13"/>
    </sheetView>
  </sheetViews>
  <sheetFormatPr defaultColWidth="8.7109375" defaultRowHeight="19.5"/>
  <cols>
    <col min="1" max="1" width="20.140625" style="1" customWidth="1"/>
    <col min="2" max="2" width="34.85546875" style="2" customWidth="1"/>
    <col min="3" max="3" width="32.42578125" customWidth="1"/>
    <col min="4" max="15" width="14.85546875" customWidth="1"/>
    <col min="16" max="16" width="22.42578125" customWidth="1"/>
    <col min="17" max="17" width="5.42578125" customWidth="1"/>
    <col min="19" max="19" width="13.42578125" style="3" customWidth="1"/>
    <col min="20" max="20" width="22.85546875" customWidth="1"/>
    <col min="21" max="21" width="31.42578125" customWidth="1"/>
    <col min="22" max="33" width="14.85546875" customWidth="1"/>
    <col min="34" max="34" width="20" customWidth="1"/>
  </cols>
  <sheetData>
    <row r="1" spans="1:19" ht="31.5" customHeight="1">
      <c r="A1" s="4" t="s">
        <v>90</v>
      </c>
      <c r="B1" s="5" t="s">
        <v>1188</v>
      </c>
      <c r="C1" s="6" t="s">
        <v>1189</v>
      </c>
      <c r="D1" s="7" t="s">
        <v>1190</v>
      </c>
      <c r="E1" s="7" t="s">
        <v>1191</v>
      </c>
      <c r="F1" s="7" t="s">
        <v>1192</v>
      </c>
      <c r="G1" s="7" t="s">
        <v>1193</v>
      </c>
      <c r="H1" s="7" t="s">
        <v>1194</v>
      </c>
      <c r="I1" s="7" t="s">
        <v>1195</v>
      </c>
      <c r="J1" s="7" t="s">
        <v>1196</v>
      </c>
      <c r="K1" s="7" t="s">
        <v>1197</v>
      </c>
      <c r="L1" s="7" t="s">
        <v>1198</v>
      </c>
      <c r="M1" s="7" t="s">
        <v>1199</v>
      </c>
      <c r="N1" s="7" t="s">
        <v>1200</v>
      </c>
      <c r="O1" s="7" t="s">
        <v>1201</v>
      </c>
      <c r="P1" s="8" t="s">
        <v>1202</v>
      </c>
      <c r="Q1" s="9"/>
      <c r="R1" s="10" t="s">
        <v>1203</v>
      </c>
      <c r="S1" s="11" t="s">
        <v>1204</v>
      </c>
    </row>
    <row r="2" spans="1:19" ht="21.75" customHeight="1">
      <c r="A2" s="268" t="s">
        <v>97</v>
      </c>
      <c r="B2" s="12" t="s">
        <v>99</v>
      </c>
      <c r="C2" s="13" t="s">
        <v>121</v>
      </c>
      <c r="D2" s="269">
        <f>COUNTIFS(DATA!$G$2:$G$992,$A2,DATA!$H$2:$H$992,$B2,DATA!$I$2:$I$992,$C2,DATA!$E$2:$E$992,"&gt;="&amp;DATE(2026,1,1),DATA!$E$2:$E$992,"&lt;="&amp;EOMONTH(DATE(2026,1,1),0))</f>
        <v>0</v>
      </c>
      <c r="E2" s="269">
        <f>COUNTIFS(DATA!$G$2:$G$992,$A2,DATA!$H$2:$H$992,$B2,DATA!$I$2:$I$992,$C2,DATA!$E$2:$E$992,"&gt;="&amp;DATE(2026,2,1),DATA!$E$2:$E$992,"&lt;="&amp;EOMONTH(DATE(2026,2,1),0))</f>
        <v>0</v>
      </c>
      <c r="F2" s="269">
        <f>COUNTIFS(DATA!$G$2:$G$992,$A2,DATA!$H$2:$H$992,$B2,DATA!$I$2:$I$992,$C2,DATA!$E$2:$E$992,"&gt;="&amp;DATE(2026,3,1),DATA!$E$2:$E$992,"&lt;="&amp;EOMONTH(DATE(2026,3,1),0))</f>
        <v>0</v>
      </c>
      <c r="G2" s="269">
        <f>COUNTIFS(DATA!$G$2:$G$992,$A2,DATA!$H$2:$H$992,$B2,DATA!$I$2:$I$992,$C2,DATA!$E$2:$E$992,"&gt;="&amp;DATE(2026,4,1),DATA!$E$2:$E$992,"&lt;="&amp;EOMONTH(DATE(2026,4,1),0))</f>
        <v>0</v>
      </c>
      <c r="H2" s="269">
        <f>COUNTIFS(DATA!$G$2:$G$992,$A2,DATA!$H$2:$H$992,$B2,DATA!$I$2:$I$992,$C2,DATA!$E$2:$E$992,"&gt;="&amp;DATE(2026,5,1),DATA!$E$2:$E$992,"&lt;="&amp;EOMONTH(DATE(2026,5,1),0))</f>
        <v>0</v>
      </c>
      <c r="I2" s="269">
        <f>COUNTIFS(DATA!$G$2:$G$992,$A2,DATA!$H$2:$H$992,$B2,DATA!$I$2:$I$992,$C2,DATA!$E$2:$E$992,"&gt;="&amp;DATE(2026,6,1),DATA!$E$2:$E$992,"&lt;="&amp;EOMONTH(DATE(2026,6,1),0))</f>
        <v>0</v>
      </c>
      <c r="J2" s="269">
        <f>COUNTIFS(DATA!$G$2:$G$992,$A2,DATA!$H$2:$H$992,$B2,DATA!$I$2:$I$992,$C2,DATA!$E$2:$E$992,"&gt;="&amp;DATE(2026,7,1),DATA!$E$2:$E$992,"&lt;="&amp;EOMONTH(DATE(2026,7,1),0))</f>
        <v>0</v>
      </c>
      <c r="K2" s="269">
        <f>COUNTIFS(DATA!$G$2:$G$992,$A2,DATA!$H$2:$H$992,$B2,DATA!$I$2:$I$992,$C2,DATA!$E$2:$E$992,"&gt;="&amp;DATE(2026,8,1),DATA!$E$2:$E$992,"&lt;="&amp;EOMONTH(DATE(2026,8,1),0))</f>
        <v>0</v>
      </c>
      <c r="L2" s="269">
        <f>COUNTIFS(DATA!$G$2:$G$992,$A2,DATA!$H$2:$H$992,$B2,DATA!$I$2:$I$992,$C2,DATA!$E$2:$E$992,"&gt;="&amp;DATE(2026,9,1),DATA!$E$2:$E$992,"&lt;="&amp;EOMONTH(DATE(2026,9,1),0))</f>
        <v>0</v>
      </c>
      <c r="M2" s="269">
        <f>COUNTIFS(DATA!$G$2:$G$992,$A2,DATA!$H$2:$H$992,$B2,DATA!$I$2:$I$992,$C2,DATA!$E$2:$E$992,"&gt;="&amp;DATE(2026,10,1),DATA!$E$2:$E$992,"&lt;="&amp;EOMONTH(DATE(2026,10,1),0))</f>
        <v>0</v>
      </c>
      <c r="N2" s="269">
        <f>COUNTIFS(DATA!$G$2:$G$992,$A2,DATA!$H$2:$H$992,$B2,DATA!$I$2:$I$992,$C2,DATA!$E$2:$E$992,"&gt;="&amp;DATE(2026,11,1),DATA!$E$2:$E$992,"&lt;="&amp;EOMONTH(DATE(2026,11,1),0))</f>
        <v>0</v>
      </c>
      <c r="O2" s="269">
        <f>COUNTIFS(DATA!$G$2:$G$992,$A2,DATA!$H$2:$H$992,$B2,DATA!$I$2:$I$992,$C2,DATA!$E$2:$E$992,"&gt;="&amp;DATE(2026,12,1),DATA!$E$2:$E$992,"&lt;="&amp;EOMONTH(DATE(2026,12,1),0))</f>
        <v>0</v>
      </c>
      <c r="P2" s="270">
        <f t="shared" ref="P2:P33" si="0">SUM(D2:O2)</f>
        <v>0</v>
      </c>
      <c r="Q2" s="271"/>
      <c r="R2" s="272">
        <f t="shared" ref="R2:R33" si="1">IFERROR(P2/$P$71,0)</f>
        <v>0</v>
      </c>
      <c r="S2" s="14">
        <f>IFERROR(SUM($P$2:$P$3)/$P$71,0)</f>
        <v>0</v>
      </c>
    </row>
    <row r="3" spans="1:19" ht="21.75" customHeight="1">
      <c r="A3" s="273" t="s">
        <v>97</v>
      </c>
      <c r="B3" s="274" t="s">
        <v>99</v>
      </c>
      <c r="C3" s="15" t="s">
        <v>139</v>
      </c>
      <c r="D3" s="275">
        <f>COUNTIFS(DATA!$G$2:$G$992,$A3,DATA!$H$2:$H$992,$B3,DATA!$I$2:$I$992,$C3,DATA!$E$2:$E$992,"&gt;="&amp;DATE(2026,1,1),DATA!$E$2:$E$992,"&lt;="&amp;EOMONTH(DATE(2026,1,1),0))</f>
        <v>0</v>
      </c>
      <c r="E3" s="275">
        <f>COUNTIFS(DATA!$G$2:$G$992,$A3,DATA!$H$2:$H$992,$B3,DATA!$I$2:$I$992,$C3,DATA!$E$2:$E$992,"&gt;="&amp;DATE(2026,2,1),DATA!$E$2:$E$992,"&lt;="&amp;EOMONTH(DATE(2026,2,1),0))</f>
        <v>0</v>
      </c>
      <c r="F3" s="275">
        <f>COUNTIFS(DATA!$G$2:$G$992,$A3,DATA!$H$2:$H$992,$B3,DATA!$I$2:$I$992,$C3,DATA!$E$2:$E$992,"&gt;="&amp;DATE(2026,3,1),DATA!$E$2:$E$992,"&lt;="&amp;EOMONTH(DATE(2026,3,1),0))</f>
        <v>0</v>
      </c>
      <c r="G3" s="275">
        <f>COUNTIFS(DATA!$G$2:$G$992,$A3,DATA!$H$2:$H$992,$B3,DATA!$I$2:$I$992,$C3,DATA!$E$2:$E$992,"&gt;="&amp;DATE(2026,4,1),DATA!$E$2:$E$992,"&lt;="&amp;EOMONTH(DATE(2026,4,1),0))</f>
        <v>0</v>
      </c>
      <c r="H3" s="275">
        <f>COUNTIFS(DATA!$G$2:$G$992,$A3,DATA!$H$2:$H$992,$B3,DATA!$I$2:$I$992,$C3,DATA!$E$2:$E$992,"&gt;="&amp;DATE(2026,5,1),DATA!$E$2:$E$992,"&lt;="&amp;EOMONTH(DATE(2026,5,1),0))</f>
        <v>0</v>
      </c>
      <c r="I3" s="275">
        <f>COUNTIFS(DATA!$G$2:$G$992,$A3,DATA!$H$2:$H$992,$B3,DATA!$I$2:$I$992,$C3,DATA!$E$2:$E$992,"&gt;="&amp;DATE(2026,6,1),DATA!$E$2:$E$992,"&lt;="&amp;EOMONTH(DATE(2026,6,1),0))</f>
        <v>0</v>
      </c>
      <c r="J3" s="275">
        <f>COUNTIFS(DATA!$G$2:$G$992,$A3,DATA!$H$2:$H$992,$B3,DATA!$I$2:$I$992,$C3,DATA!$E$2:$E$992,"&gt;="&amp;DATE(2026,7,1),DATA!$E$2:$E$992,"&lt;="&amp;EOMONTH(DATE(2026,7,1),0))</f>
        <v>0</v>
      </c>
      <c r="K3" s="275">
        <f>COUNTIFS(DATA!$G$2:$G$992,$A3,DATA!$H$2:$H$992,$B3,DATA!$I$2:$I$992,$C3,DATA!$E$2:$E$992,"&gt;="&amp;DATE(2026,8,1),DATA!$E$2:$E$992,"&lt;="&amp;EOMONTH(DATE(2026,8,1),0))</f>
        <v>0</v>
      </c>
      <c r="L3" s="275">
        <f>COUNTIFS(DATA!$G$2:$G$992,$A3,DATA!$H$2:$H$992,$B3,DATA!$I$2:$I$992,$C3,DATA!$E$2:$E$992,"&gt;="&amp;DATE(2026,9,1),DATA!$E$2:$E$992,"&lt;="&amp;EOMONTH(DATE(2026,9,1),0))</f>
        <v>0</v>
      </c>
      <c r="M3" s="275">
        <f>COUNTIFS(DATA!$G$2:$G$992,$A3,DATA!$H$2:$H$992,$B3,DATA!$I$2:$I$992,$C3,DATA!$E$2:$E$992,"&gt;="&amp;DATE(2026,10,1),DATA!$E$2:$E$992,"&lt;="&amp;EOMONTH(DATE(2026,10,1),0))</f>
        <v>0</v>
      </c>
      <c r="N3" s="275">
        <f>COUNTIFS(DATA!$G$2:$G$992,$A3,DATA!$H$2:$H$992,$B3,DATA!$I$2:$I$992,$C3,DATA!$E$2:$E$992,"&gt;="&amp;DATE(2026,11,1),DATA!$E$2:$E$992,"&lt;="&amp;EOMONTH(DATE(2026,11,1),0))</f>
        <v>0</v>
      </c>
      <c r="O3" s="275">
        <f>COUNTIFS(DATA!$G$2:$G$992,$A3,DATA!$H$2:$H$992,$B3,DATA!$I$2:$I$992,$C3,DATA!$E$2:$E$992,"&gt;="&amp;DATE(2026,12,1),DATA!$E$2:$E$992,"&lt;="&amp;EOMONTH(DATE(2026,12,1),0))</f>
        <v>0</v>
      </c>
      <c r="P3" s="276">
        <f t="shared" si="0"/>
        <v>0</v>
      </c>
      <c r="Q3" s="271"/>
      <c r="R3" s="272">
        <f t="shared" si="1"/>
        <v>0</v>
      </c>
      <c r="S3" s="277">
        <f>IFERROR(SUM($P$2:$P$3)/$P$71,0)</f>
        <v>0</v>
      </c>
    </row>
    <row r="4" spans="1:19" ht="21.75" customHeight="1">
      <c r="A4" s="273" t="s">
        <v>97</v>
      </c>
      <c r="B4" s="278" t="s">
        <v>100</v>
      </c>
      <c r="C4" s="16" t="s">
        <v>122</v>
      </c>
      <c r="D4" s="279">
        <f>COUNTIFS(DATA!$G$2:$G$992,$A4,DATA!$H$2:$H$992,$B4,DATA!$I$2:$I$992,$C4,DATA!$E$2:$E$992,"&gt;="&amp;DATE(2026,1,1),DATA!$E$2:$E$992,"&lt;="&amp;EOMONTH(DATE(2026,1,1),0))</f>
        <v>0</v>
      </c>
      <c r="E4" s="279">
        <f>COUNTIFS(DATA!$G$2:$G$992,$A4,DATA!$H$2:$H$992,$B4,DATA!$I$2:$I$992,$C4,DATA!$E$2:$E$992,"&gt;="&amp;DATE(2026,2,1),DATA!$E$2:$E$992,"&lt;="&amp;EOMONTH(DATE(2026,2,1),0))</f>
        <v>0</v>
      </c>
      <c r="F4" s="279">
        <f>COUNTIFS(DATA!$G$2:$G$992,$A4,DATA!$H$2:$H$992,$B4,DATA!$I$2:$I$992,$C4,DATA!$E$2:$E$992,"&gt;="&amp;DATE(2026,3,1),DATA!$E$2:$E$992,"&lt;="&amp;EOMONTH(DATE(2026,3,1),0))</f>
        <v>0</v>
      </c>
      <c r="G4" s="279">
        <f>COUNTIFS(DATA!$G$2:$G$992,$A4,DATA!$H$2:$H$992,$B4,DATA!$I$2:$I$992,$C4,DATA!$E$2:$E$992,"&gt;="&amp;DATE(2026,4,1),DATA!$E$2:$E$992,"&lt;="&amp;EOMONTH(DATE(2026,4,1),0))</f>
        <v>0</v>
      </c>
      <c r="H4" s="279">
        <f>COUNTIFS(DATA!$G$2:$G$992,$A4,DATA!$H$2:$H$992,$B4,DATA!$I$2:$I$992,$C4,DATA!$E$2:$E$992,"&gt;="&amp;DATE(2026,5,1),DATA!$E$2:$E$992,"&lt;="&amp;EOMONTH(DATE(2026,5,1),0))</f>
        <v>0</v>
      </c>
      <c r="I4" s="279">
        <f>COUNTIFS(DATA!$G$2:$G$992,$A4,DATA!$H$2:$H$992,$B4,DATA!$I$2:$I$992,$C4,DATA!$E$2:$E$992,"&gt;="&amp;DATE(2026,6,1),DATA!$E$2:$E$992,"&lt;="&amp;EOMONTH(DATE(2026,6,1),0))</f>
        <v>0</v>
      </c>
      <c r="J4" s="279">
        <f>COUNTIFS(DATA!$G$2:$G$992,$A4,DATA!$H$2:$H$992,$B4,DATA!$I$2:$I$992,$C4,DATA!$E$2:$E$992,"&gt;="&amp;DATE(2026,7,1),DATA!$E$2:$E$992,"&lt;="&amp;EOMONTH(DATE(2026,7,1),0))</f>
        <v>0</v>
      </c>
      <c r="K4" s="279">
        <f>COUNTIFS(DATA!$G$2:$G$992,$A4,DATA!$H$2:$H$992,$B4,DATA!$I$2:$I$992,$C4,DATA!$E$2:$E$992,"&gt;="&amp;DATE(2026,8,1),DATA!$E$2:$E$992,"&lt;="&amp;EOMONTH(DATE(2026,8,1),0))</f>
        <v>0</v>
      </c>
      <c r="L4" s="279">
        <f>COUNTIFS(DATA!$G$2:$G$992,$A4,DATA!$H$2:$H$992,$B4,DATA!$I$2:$I$992,$C4,DATA!$E$2:$E$992,"&gt;="&amp;DATE(2026,9,1),DATA!$E$2:$E$992,"&lt;="&amp;EOMONTH(DATE(2026,9,1),0))</f>
        <v>0</v>
      </c>
      <c r="M4" s="279">
        <f>COUNTIFS(DATA!$G$2:$G$992,$A4,DATA!$H$2:$H$992,$B4,DATA!$I$2:$I$992,$C4,DATA!$E$2:$E$992,"&gt;="&amp;DATE(2026,10,1),DATA!$E$2:$E$992,"&lt;="&amp;EOMONTH(DATE(2026,10,1),0))</f>
        <v>0</v>
      </c>
      <c r="N4" s="279">
        <f>COUNTIFS(DATA!$G$2:$G$992,$A4,DATA!$H$2:$H$992,$B4,DATA!$I$2:$I$992,$C4,DATA!$E$2:$E$992,"&gt;="&amp;DATE(2026,11,1),DATA!$E$2:$E$992,"&lt;="&amp;EOMONTH(DATE(2026,11,1),0))</f>
        <v>0</v>
      </c>
      <c r="O4" s="279">
        <f>COUNTIFS(DATA!$G$2:$G$992,$A4,DATA!$H$2:$H$992,$B4,DATA!$I$2:$I$992,$C4,DATA!$E$2:$E$992,"&gt;="&amp;DATE(2026,12,1),DATA!$E$2:$E$992,"&lt;="&amp;EOMONTH(DATE(2026,12,1),0))</f>
        <v>0</v>
      </c>
      <c r="P4" s="280">
        <f t="shared" si="0"/>
        <v>0</v>
      </c>
      <c r="Q4" s="271"/>
      <c r="R4" s="272">
        <f t="shared" si="1"/>
        <v>0</v>
      </c>
      <c r="S4" s="281">
        <f>IFERROR(SUM($P$4:$P$8)/$P$71,0)</f>
        <v>1.4285714285714285E-2</v>
      </c>
    </row>
    <row r="5" spans="1:19" ht="21.75" customHeight="1">
      <c r="A5" s="282" t="s">
        <v>97</v>
      </c>
      <c r="B5" s="274" t="s">
        <v>100</v>
      </c>
      <c r="C5" s="17" t="s">
        <v>140</v>
      </c>
      <c r="D5" s="283">
        <f>COUNTIFS(DATA!$G$2:$G$992,$A5,DATA!$H$2:$H$992,$B5,DATA!$I$2:$I$992,$C5,DATA!$E$2:$E$992,"&gt;="&amp;DATE(2026,1,1),DATA!$E$2:$E$992,"&lt;="&amp;EOMONTH(DATE(2026,1,1),0))</f>
        <v>0</v>
      </c>
      <c r="E5" s="283">
        <f>COUNTIFS(DATA!$G$2:$G$992,$A5,DATA!$H$2:$H$992,$B5,DATA!$I$2:$I$992,$C5,DATA!$E$2:$E$992,"&gt;="&amp;DATE(2026,2,1),DATA!$E$2:$E$992,"&lt;="&amp;EOMONTH(DATE(2026,2,1),0))</f>
        <v>0</v>
      </c>
      <c r="F5" s="283">
        <f>COUNTIFS(DATA!$G$2:$G$992,$A5,DATA!$H$2:$H$992,$B5,DATA!$I$2:$I$992,$C5,DATA!$E$2:$E$992,"&gt;="&amp;DATE(2026,3,1),DATA!$E$2:$E$992,"&lt;="&amp;EOMONTH(DATE(2026,3,1),0))</f>
        <v>0</v>
      </c>
      <c r="G5" s="283">
        <f>COUNTIFS(DATA!$G$2:$G$992,$A5,DATA!$H$2:$H$992,$B5,DATA!$I$2:$I$992,$C5,DATA!$E$2:$E$992,"&gt;="&amp;DATE(2026,4,1),DATA!$E$2:$E$992,"&lt;="&amp;EOMONTH(DATE(2026,4,1),0))</f>
        <v>0</v>
      </c>
      <c r="H5" s="283">
        <f>COUNTIFS(DATA!$G$2:$G$992,$A5,DATA!$H$2:$H$992,$B5,DATA!$I$2:$I$992,$C5,DATA!$E$2:$E$992,"&gt;="&amp;DATE(2026,5,1),DATA!$E$2:$E$992,"&lt;="&amp;EOMONTH(DATE(2026,5,1),0))</f>
        <v>0</v>
      </c>
      <c r="I5" s="283">
        <f>COUNTIFS(DATA!$G$2:$G$992,$A5,DATA!$H$2:$H$992,$B5,DATA!$I$2:$I$992,$C5,DATA!$E$2:$E$992,"&gt;="&amp;DATE(2026,6,1),DATA!$E$2:$E$992,"&lt;="&amp;EOMONTH(DATE(2026,6,1),0))</f>
        <v>0</v>
      </c>
      <c r="J5" s="283">
        <f>COUNTIFS(DATA!$G$2:$G$992,$A5,DATA!$H$2:$H$992,$B5,DATA!$I$2:$I$992,$C5,DATA!$E$2:$E$992,"&gt;="&amp;DATE(2026,7,1),DATA!$E$2:$E$992,"&lt;="&amp;EOMONTH(DATE(2026,7,1),0))</f>
        <v>0</v>
      </c>
      <c r="K5" s="283">
        <f>COUNTIFS(DATA!$G$2:$G$992,$A5,DATA!$H$2:$H$992,$B5,DATA!$I$2:$I$992,$C5,DATA!$E$2:$E$992,"&gt;="&amp;DATE(2026,8,1),DATA!$E$2:$E$992,"&lt;="&amp;EOMONTH(DATE(2026,8,1),0))</f>
        <v>0</v>
      </c>
      <c r="L5" s="283">
        <f>COUNTIFS(DATA!$G$2:$G$992,$A5,DATA!$H$2:$H$992,$B5,DATA!$I$2:$I$992,$C5,DATA!$E$2:$E$992,"&gt;="&amp;DATE(2026,9,1),DATA!$E$2:$E$992,"&lt;="&amp;EOMONTH(DATE(2026,9,1),0))</f>
        <v>0</v>
      </c>
      <c r="M5" s="283">
        <f>COUNTIFS(DATA!$G$2:$G$992,$A5,DATA!$H$2:$H$992,$B5,DATA!$I$2:$I$992,$C5,DATA!$E$2:$E$992,"&gt;="&amp;DATE(2026,10,1),DATA!$E$2:$E$992,"&lt;="&amp;EOMONTH(DATE(2026,10,1),0))</f>
        <v>0</v>
      </c>
      <c r="N5" s="283">
        <f>COUNTIFS(DATA!$G$2:$G$992,$A5,DATA!$H$2:$H$992,$B5,DATA!$I$2:$I$992,$C5,DATA!$E$2:$E$992,"&gt;="&amp;DATE(2026,11,1),DATA!$E$2:$E$992,"&lt;="&amp;EOMONTH(DATE(2026,11,1),0))</f>
        <v>0</v>
      </c>
      <c r="O5" s="283">
        <f>COUNTIFS(DATA!$G$2:$G$992,$A5,DATA!$H$2:$H$992,$B5,DATA!$I$2:$I$992,$C5,DATA!$E$2:$E$992,"&gt;="&amp;DATE(2026,12,1),DATA!$E$2:$E$992,"&lt;="&amp;EOMONTH(DATE(2026,12,1),0))</f>
        <v>0</v>
      </c>
      <c r="P5" s="284">
        <f t="shared" si="0"/>
        <v>0</v>
      </c>
      <c r="Q5" s="271"/>
      <c r="R5" s="272">
        <f t="shared" si="1"/>
        <v>0</v>
      </c>
      <c r="S5" s="277">
        <f>IFERROR(SUM($P$4:$P$8)/$P$71,0)</f>
        <v>1.4285714285714285E-2</v>
      </c>
    </row>
    <row r="6" spans="1:19" ht="21.75" customHeight="1">
      <c r="A6" s="282" t="s">
        <v>97</v>
      </c>
      <c r="B6" s="18" t="s">
        <v>100</v>
      </c>
      <c r="C6" s="13" t="s">
        <v>158</v>
      </c>
      <c r="D6" s="269">
        <f>COUNTIFS(DATA!$G$2:$G$992,$A6,DATA!$H$2:$H$992,$B6,DATA!$I$2:$I$992,$C6,DATA!$E$2:$E$992,"&gt;="&amp;DATE(2026,1,1),DATA!$E$2:$E$992,"&lt;="&amp;EOMONTH(DATE(2026,1,1),0))</f>
        <v>0</v>
      </c>
      <c r="E6" s="269">
        <f>COUNTIFS(DATA!$G$2:$G$992,$A6,DATA!$H$2:$H$992,$B6,DATA!$I$2:$I$992,$C6,DATA!$E$2:$E$992,"&gt;="&amp;DATE(2026,2,1),DATA!$E$2:$E$992,"&lt;="&amp;EOMONTH(DATE(2026,2,1),0))</f>
        <v>0</v>
      </c>
      <c r="F6" s="269">
        <f>COUNTIFS(DATA!$G$2:$G$992,$A6,DATA!$H$2:$H$992,$B6,DATA!$I$2:$I$992,$C6,DATA!$E$2:$E$992,"&gt;="&amp;DATE(2026,3,1),DATA!$E$2:$E$992,"&lt;="&amp;EOMONTH(DATE(2026,3,1),0))</f>
        <v>0</v>
      </c>
      <c r="G6" s="269">
        <f>COUNTIFS(DATA!$G$2:$G$992,$A6,DATA!$H$2:$H$992,$B6,DATA!$I$2:$I$992,$C6,DATA!$E$2:$E$992,"&gt;="&amp;DATE(2026,4,1),DATA!$E$2:$E$992,"&lt;="&amp;EOMONTH(DATE(2026,4,1),0))</f>
        <v>0</v>
      </c>
      <c r="H6" s="269">
        <f>COUNTIFS(DATA!$G$2:$G$992,$A6,DATA!$H$2:$H$992,$B6,DATA!$I$2:$I$992,$C6,DATA!$E$2:$E$992,"&gt;="&amp;DATE(2026,5,1),DATA!$E$2:$E$992,"&lt;="&amp;EOMONTH(DATE(2026,5,1),0))</f>
        <v>0</v>
      </c>
      <c r="I6" s="269">
        <f>COUNTIFS(DATA!$G$2:$G$992,$A6,DATA!$H$2:$H$992,$B6,DATA!$I$2:$I$992,$C6,DATA!$E$2:$E$992,"&gt;="&amp;DATE(2026,6,1),DATA!$E$2:$E$992,"&lt;="&amp;EOMONTH(DATE(2026,6,1),0))</f>
        <v>0</v>
      </c>
      <c r="J6" s="269">
        <f>COUNTIFS(DATA!$G$2:$G$992,$A6,DATA!$H$2:$H$992,$B6,DATA!$I$2:$I$992,$C6,DATA!$E$2:$E$992,"&gt;="&amp;DATE(2026,7,1),DATA!$E$2:$E$992,"&lt;="&amp;EOMONTH(DATE(2026,7,1),0))</f>
        <v>0</v>
      </c>
      <c r="K6" s="269">
        <f>COUNTIFS(DATA!$G$2:$G$992,$A6,DATA!$H$2:$H$992,$B6,DATA!$I$2:$I$992,$C6,DATA!$E$2:$E$992,"&gt;="&amp;DATE(2026,8,1),DATA!$E$2:$E$992,"&lt;="&amp;EOMONTH(DATE(2026,8,1),0))</f>
        <v>0</v>
      </c>
      <c r="L6" s="269">
        <f>COUNTIFS(DATA!$G$2:$G$992,$A6,DATA!$H$2:$H$992,$B6,DATA!$I$2:$I$992,$C6,DATA!$E$2:$E$992,"&gt;="&amp;DATE(2026,9,1),DATA!$E$2:$E$992,"&lt;="&amp;EOMONTH(DATE(2026,9,1),0))</f>
        <v>0</v>
      </c>
      <c r="M6" s="269">
        <f>COUNTIFS(DATA!$G$2:$G$992,$A6,DATA!$H$2:$H$992,$B6,DATA!$I$2:$I$992,$C6,DATA!$E$2:$E$992,"&gt;="&amp;DATE(2026,10,1),DATA!$E$2:$E$992,"&lt;="&amp;EOMONTH(DATE(2026,10,1),0))</f>
        <v>0</v>
      </c>
      <c r="N6" s="269">
        <f>COUNTIFS(DATA!$G$2:$G$992,$A6,DATA!$H$2:$H$992,$B6,DATA!$I$2:$I$992,$C6,DATA!$E$2:$E$992,"&gt;="&amp;DATE(2026,11,1),DATA!$E$2:$E$992,"&lt;="&amp;EOMONTH(DATE(2026,11,1),0))</f>
        <v>0</v>
      </c>
      <c r="O6" s="269">
        <f>COUNTIFS(DATA!$G$2:$G$992,$A6,DATA!$H$2:$H$992,$B6,DATA!$I$2:$I$992,$C6,DATA!$E$2:$E$992,"&gt;="&amp;DATE(2026,12,1),DATA!$E$2:$E$992,"&lt;="&amp;EOMONTH(DATE(2026,12,1),0))</f>
        <v>0</v>
      </c>
      <c r="P6" s="270">
        <f t="shared" si="0"/>
        <v>0</v>
      </c>
      <c r="Q6" s="271"/>
      <c r="R6" s="272">
        <f t="shared" si="1"/>
        <v>0</v>
      </c>
      <c r="S6" s="19">
        <f>IFERROR(SUM($P$4:$P$8)/$P$71,0)</f>
        <v>1.4285714285714285E-2</v>
      </c>
    </row>
    <row r="7" spans="1:19" ht="21.75" customHeight="1">
      <c r="A7" s="282" t="s">
        <v>97</v>
      </c>
      <c r="B7" s="274" t="s">
        <v>100</v>
      </c>
      <c r="C7" s="15" t="s">
        <v>174</v>
      </c>
      <c r="D7" s="275">
        <f>COUNTIFS(DATA!$G$2:$G$992,$A7,DATA!$H$2:$H$992,$B7,DATA!$I$2:$I$992,$C7,DATA!$E$2:$E$992,"&gt;="&amp;DATE(2026,1,1),DATA!$E$2:$E$992,"&lt;="&amp;EOMONTH(DATE(2026,1,1),0))</f>
        <v>0</v>
      </c>
      <c r="E7" s="275">
        <f>COUNTIFS(DATA!$G$2:$G$992,$A7,DATA!$H$2:$H$992,$B7,DATA!$I$2:$I$992,$C7,DATA!$E$2:$E$992,"&gt;="&amp;DATE(2026,2,1),DATA!$E$2:$E$992,"&lt;="&amp;EOMONTH(DATE(2026,2,1),0))</f>
        <v>0</v>
      </c>
      <c r="F7" s="275">
        <f>COUNTIFS(DATA!$G$2:$G$992,$A7,DATA!$H$2:$H$992,$B7,DATA!$I$2:$I$992,$C7,DATA!$E$2:$E$992,"&gt;="&amp;DATE(2026,3,1),DATA!$E$2:$E$992,"&lt;="&amp;EOMONTH(DATE(2026,3,1),0))</f>
        <v>0</v>
      </c>
      <c r="G7" s="275">
        <f>COUNTIFS(DATA!$G$2:$G$992,$A7,DATA!$H$2:$H$992,$B7,DATA!$I$2:$I$992,$C7,DATA!$E$2:$E$992,"&gt;="&amp;DATE(2026,4,1),DATA!$E$2:$E$992,"&lt;="&amp;EOMONTH(DATE(2026,4,1),0))</f>
        <v>0</v>
      </c>
      <c r="H7" s="275">
        <f>COUNTIFS(DATA!$G$2:$G$992,$A7,DATA!$H$2:$H$992,$B7,DATA!$I$2:$I$992,$C7,DATA!$E$2:$E$992,"&gt;="&amp;DATE(2026,5,1),DATA!$E$2:$E$992,"&lt;="&amp;EOMONTH(DATE(2026,5,1),0))</f>
        <v>0</v>
      </c>
      <c r="I7" s="275">
        <f>COUNTIFS(DATA!$G$2:$G$992,$A7,DATA!$H$2:$H$992,$B7,DATA!$I$2:$I$992,$C7,DATA!$E$2:$E$992,"&gt;="&amp;DATE(2026,6,1),DATA!$E$2:$E$992,"&lt;="&amp;EOMONTH(DATE(2026,6,1),0))</f>
        <v>0</v>
      </c>
      <c r="J7" s="275">
        <f>COUNTIFS(DATA!$G$2:$G$992,$A7,DATA!$H$2:$H$992,$B7,DATA!$I$2:$I$992,$C7,DATA!$E$2:$E$992,"&gt;="&amp;DATE(2026,7,1),DATA!$E$2:$E$992,"&lt;="&amp;EOMONTH(DATE(2026,7,1),0))</f>
        <v>0</v>
      </c>
      <c r="K7" s="275">
        <f>COUNTIFS(DATA!$G$2:$G$992,$A7,DATA!$H$2:$H$992,$B7,DATA!$I$2:$I$992,$C7,DATA!$E$2:$E$992,"&gt;="&amp;DATE(2026,8,1),DATA!$E$2:$E$992,"&lt;="&amp;EOMONTH(DATE(2026,8,1),0))</f>
        <v>0</v>
      </c>
      <c r="L7" s="275">
        <f>COUNTIFS(DATA!$G$2:$G$992,$A7,DATA!$H$2:$H$992,$B7,DATA!$I$2:$I$992,$C7,DATA!$E$2:$E$992,"&gt;="&amp;DATE(2026,9,1),DATA!$E$2:$E$992,"&lt;="&amp;EOMONTH(DATE(2026,9,1),0))</f>
        <v>0</v>
      </c>
      <c r="M7" s="275">
        <f>COUNTIFS(DATA!$G$2:$G$992,$A7,DATA!$H$2:$H$992,$B7,DATA!$I$2:$I$992,$C7,DATA!$E$2:$E$992,"&gt;="&amp;DATE(2026,10,1),DATA!$E$2:$E$992,"&lt;="&amp;EOMONTH(DATE(2026,10,1),0))</f>
        <v>0</v>
      </c>
      <c r="N7" s="275">
        <f>COUNTIFS(DATA!$G$2:$G$992,$A7,DATA!$H$2:$H$992,$B7,DATA!$I$2:$I$992,$C7,DATA!$E$2:$E$992,"&gt;="&amp;DATE(2026,11,1),DATA!$E$2:$E$992,"&lt;="&amp;EOMONTH(DATE(2026,11,1),0))</f>
        <v>0</v>
      </c>
      <c r="O7" s="275">
        <f>COUNTIFS(DATA!$G$2:$G$992,$A7,DATA!$H$2:$H$992,$B7,DATA!$I$2:$I$992,$C7,DATA!$E$2:$E$992,"&gt;="&amp;DATE(2026,12,1),DATA!$E$2:$E$992,"&lt;="&amp;EOMONTH(DATE(2026,12,1),0))</f>
        <v>0</v>
      </c>
      <c r="P7" s="276">
        <f t="shared" si="0"/>
        <v>0</v>
      </c>
      <c r="Q7" s="271"/>
      <c r="R7" s="272">
        <f t="shared" si="1"/>
        <v>0</v>
      </c>
      <c r="S7" s="277">
        <f>IFERROR(SUM($P$4:$P$8)/$P$71,0)</f>
        <v>1.4285714285714285E-2</v>
      </c>
    </row>
    <row r="8" spans="1:19" ht="21.75" customHeight="1">
      <c r="A8" s="273" t="s">
        <v>97</v>
      </c>
      <c r="B8" s="274" t="s">
        <v>100</v>
      </c>
      <c r="C8" s="15" t="s">
        <v>190</v>
      </c>
      <c r="D8" s="285">
        <f>COUNTIFS(DATA!$G$2:$G$992,$A8,DATA!$H$2:$H$992,$B8,DATA!$I$2:$I$992,$C8,DATA!$E$2:$E$992,"&gt;="&amp;DATE(2026,1,1),DATA!$E$2:$E$992,"&lt;="&amp;EOMONTH(DATE(2026,1,1),0))</f>
        <v>0</v>
      </c>
      <c r="E8" s="285">
        <f>COUNTIFS(DATA!$G$2:$G$992,$A8,DATA!$H$2:$H$992,$B8,DATA!$I$2:$I$992,$C8,DATA!$E$2:$E$992,"&gt;="&amp;DATE(2026,2,1),DATA!$E$2:$E$992,"&lt;="&amp;EOMONTH(DATE(2026,2,1),0))</f>
        <v>0</v>
      </c>
      <c r="F8" s="285">
        <f>COUNTIFS(DATA!$G$2:$G$992,$A8,DATA!$H$2:$H$992,$B8,DATA!$I$2:$I$992,$C8,DATA!$E$2:$E$992,"&gt;="&amp;DATE(2026,3,1),DATA!$E$2:$E$992,"&lt;="&amp;EOMONTH(DATE(2026,3,1),0))</f>
        <v>0</v>
      </c>
      <c r="G8" s="285">
        <f>COUNTIFS(DATA!$G$2:$G$992,$A8,DATA!$H$2:$H$992,$B8,DATA!$I$2:$I$992,$C8,DATA!$E$2:$E$992,"&gt;="&amp;DATE(2026,4,1),DATA!$E$2:$E$992,"&lt;="&amp;EOMONTH(DATE(2026,4,1),0))</f>
        <v>0</v>
      </c>
      <c r="H8" s="285">
        <f>COUNTIFS(DATA!$G$2:$G$992,$A8,DATA!$H$2:$H$992,$B8,DATA!$I$2:$I$992,$C8,DATA!$E$2:$E$992,"&gt;="&amp;DATE(2026,5,1),DATA!$E$2:$E$992,"&lt;="&amp;EOMONTH(DATE(2026,5,1),0))</f>
        <v>3</v>
      </c>
      <c r="I8" s="285">
        <f>COUNTIFS(DATA!$G$2:$G$992,$A8,DATA!$H$2:$H$992,$B8,DATA!$I$2:$I$992,$C8,DATA!$E$2:$E$992,"&gt;="&amp;DATE(2026,6,1),DATA!$E$2:$E$992,"&lt;="&amp;EOMONTH(DATE(2026,6,1),0))</f>
        <v>0</v>
      </c>
      <c r="J8" s="285">
        <f>COUNTIFS(DATA!$G$2:$G$992,$A8,DATA!$H$2:$H$992,$B8,DATA!$I$2:$I$992,$C8,DATA!$E$2:$E$992,"&gt;="&amp;DATE(2026,7,1),DATA!$E$2:$E$992,"&lt;="&amp;EOMONTH(DATE(2026,7,1),0))</f>
        <v>0</v>
      </c>
      <c r="K8" s="285">
        <f>COUNTIFS(DATA!$G$2:$G$992,$A8,DATA!$H$2:$H$992,$B8,DATA!$I$2:$I$992,$C8,DATA!$E$2:$E$992,"&gt;="&amp;DATE(2026,8,1),DATA!$E$2:$E$992,"&lt;="&amp;EOMONTH(DATE(2026,8,1),0))</f>
        <v>0</v>
      </c>
      <c r="L8" s="285">
        <f>COUNTIFS(DATA!$G$2:$G$992,$A8,DATA!$H$2:$H$992,$B8,DATA!$I$2:$I$992,$C8,DATA!$E$2:$E$992,"&gt;="&amp;DATE(2026,9,1),DATA!$E$2:$E$992,"&lt;="&amp;EOMONTH(DATE(2026,9,1),0))</f>
        <v>0</v>
      </c>
      <c r="M8" s="285">
        <f>COUNTIFS(DATA!$G$2:$G$992,$A8,DATA!$H$2:$H$992,$B8,DATA!$I$2:$I$992,$C8,DATA!$E$2:$E$992,"&gt;="&amp;DATE(2026,10,1),DATA!$E$2:$E$992,"&lt;="&amp;EOMONTH(DATE(2026,10,1),0))</f>
        <v>0</v>
      </c>
      <c r="N8" s="285">
        <f>COUNTIFS(DATA!$G$2:$G$992,$A8,DATA!$H$2:$H$992,$B8,DATA!$I$2:$I$992,$C8,DATA!$E$2:$E$992,"&gt;="&amp;DATE(2026,11,1),DATA!$E$2:$E$992,"&lt;="&amp;EOMONTH(DATE(2026,11,1),0))</f>
        <v>0</v>
      </c>
      <c r="O8" s="285">
        <f>COUNTIFS(DATA!$G$2:$G$992,$A8,DATA!$H$2:$H$992,$B8,DATA!$I$2:$I$992,$C8,DATA!$E$2:$E$992,"&gt;="&amp;DATE(2026,12,1),DATA!$E$2:$E$992,"&lt;="&amp;EOMONTH(DATE(2026,12,1),0))</f>
        <v>0</v>
      </c>
      <c r="P8" s="276">
        <f t="shared" si="0"/>
        <v>3</v>
      </c>
      <c r="Q8" s="271"/>
      <c r="R8" s="272">
        <f t="shared" si="1"/>
        <v>1.4285714285714285E-2</v>
      </c>
      <c r="S8" s="277">
        <f>IFERROR(SUM($P$4:$P$8)/$P$71,0)</f>
        <v>1.4285714285714285E-2</v>
      </c>
    </row>
    <row r="9" spans="1:19" ht="21.75" customHeight="1" thickBot="1">
      <c r="A9" s="273" t="s">
        <v>97</v>
      </c>
      <c r="B9" s="20" t="s">
        <v>101</v>
      </c>
      <c r="C9" s="21" t="s">
        <v>123</v>
      </c>
      <c r="D9" s="286">
        <f>COUNTIFS(DATA!$G$2:$G$992,$A9,DATA!$H$2:$H$992,$B9,DATA!$I$2:$I$992,$C9,DATA!$E$2:$E$992,"&gt;="&amp;DATE(2026,1,1),DATA!$E$2:$E$992,"&lt;="&amp;EOMONTH(DATE(2026,1,1),0))</f>
        <v>0</v>
      </c>
      <c r="E9" s="286">
        <f>COUNTIFS(DATA!$G$2:$G$992,$A9,DATA!$H$2:$H$992,$B9,DATA!$I$2:$I$992,$C9,DATA!$E$2:$E$992,"&gt;="&amp;DATE(2026,2,1),DATA!$E$2:$E$992,"&lt;="&amp;EOMONTH(DATE(2026,2,1),0))</f>
        <v>0</v>
      </c>
      <c r="F9" s="286">
        <f>COUNTIFS(DATA!$G$2:$G$992,$A9,DATA!$H$2:$H$992,$B9,DATA!$I$2:$I$992,$C9,DATA!$E$2:$E$992,"&gt;="&amp;DATE(2026,3,1),DATA!$E$2:$E$992,"&lt;="&amp;EOMONTH(DATE(2026,3,1),0))</f>
        <v>0</v>
      </c>
      <c r="G9" s="286">
        <f>COUNTIFS(DATA!$G$2:$G$992,$A9,DATA!$H$2:$H$992,$B9,DATA!$I$2:$I$992,$C9,DATA!$E$2:$E$992,"&gt;="&amp;DATE(2026,4,1),DATA!$E$2:$E$992,"&lt;="&amp;EOMONTH(DATE(2026,4,1),0))</f>
        <v>2</v>
      </c>
      <c r="H9" s="286">
        <f>COUNTIFS(DATA!$G$2:$G$992,$A9,DATA!$H$2:$H$992,$B9,DATA!$I$2:$I$992,$C9,DATA!$E$2:$E$992,"&gt;="&amp;DATE(2026,5,1),DATA!$E$2:$E$992,"&lt;="&amp;EOMONTH(DATE(2026,5,1),0))</f>
        <v>15</v>
      </c>
      <c r="I9" s="286">
        <f>COUNTIFS(DATA!$G$2:$G$992,$A9,DATA!$H$2:$H$992,$B9,DATA!$I$2:$I$992,$C9,DATA!$E$2:$E$992,"&gt;="&amp;DATE(2026,6,1),DATA!$E$2:$E$992,"&lt;="&amp;EOMONTH(DATE(2026,6,1),0))</f>
        <v>0</v>
      </c>
      <c r="J9" s="286">
        <f>COUNTIFS(DATA!$G$2:$G$992,$A9,DATA!$H$2:$H$992,$B9,DATA!$I$2:$I$992,$C9,DATA!$E$2:$E$992,"&gt;="&amp;DATE(2026,7,1),DATA!$E$2:$E$992,"&lt;="&amp;EOMONTH(DATE(2026,7,1),0))</f>
        <v>0</v>
      </c>
      <c r="K9" s="286">
        <f>COUNTIFS(DATA!$G$2:$G$992,$A9,DATA!$H$2:$H$992,$B9,DATA!$I$2:$I$992,$C9,DATA!$E$2:$E$992,"&gt;="&amp;DATE(2026,8,1),DATA!$E$2:$E$992,"&lt;="&amp;EOMONTH(DATE(2026,8,1),0))</f>
        <v>0</v>
      </c>
      <c r="L9" s="286">
        <f>COUNTIFS(DATA!$G$2:$G$992,$A9,DATA!$H$2:$H$992,$B9,DATA!$I$2:$I$992,$C9,DATA!$E$2:$E$992,"&gt;="&amp;DATE(2026,9,1),DATA!$E$2:$E$992,"&lt;="&amp;EOMONTH(DATE(2026,9,1),0))</f>
        <v>0</v>
      </c>
      <c r="M9" s="286">
        <f>COUNTIFS(DATA!$G$2:$G$992,$A9,DATA!$H$2:$H$992,$B9,DATA!$I$2:$I$992,$C9,DATA!$E$2:$E$992,"&gt;="&amp;DATE(2026,10,1),DATA!$E$2:$E$992,"&lt;="&amp;EOMONTH(DATE(2026,10,1),0))</f>
        <v>0</v>
      </c>
      <c r="N9" s="286">
        <f>COUNTIFS(DATA!$G$2:$G$992,$A9,DATA!$H$2:$H$992,$B9,DATA!$I$2:$I$992,$C9,DATA!$E$2:$E$992,"&gt;="&amp;DATE(2026,11,1),DATA!$E$2:$E$992,"&lt;="&amp;EOMONTH(DATE(2026,11,1),0))</f>
        <v>0</v>
      </c>
      <c r="O9" s="286">
        <f>COUNTIFS(DATA!$G$2:$G$992,$A9,DATA!$H$2:$H$992,$B9,DATA!$I$2:$I$992,$C9,DATA!$E$2:$E$992,"&gt;="&amp;DATE(2026,12,1),DATA!$E$2:$E$992,"&lt;="&amp;EOMONTH(DATE(2026,12,1),0))</f>
        <v>0</v>
      </c>
      <c r="P9" s="287">
        <f t="shared" si="0"/>
        <v>17</v>
      </c>
      <c r="Q9" s="271"/>
      <c r="R9" s="272">
        <f t="shared" si="1"/>
        <v>8.0952380952380956E-2</v>
      </c>
      <c r="S9" s="22">
        <f>IFERROR(SUM($P$9:$P$9)/$P$71,0)</f>
        <v>8.0952380952380956E-2</v>
      </c>
    </row>
    <row r="10" spans="1:19" ht="21.75" customHeight="1" thickBot="1">
      <c r="A10" s="273" t="s">
        <v>97</v>
      </c>
      <c r="B10" s="20" t="s">
        <v>1205</v>
      </c>
      <c r="C10" s="21" t="s">
        <v>1205</v>
      </c>
      <c r="D10" s="286">
        <f>COUNTIFS(DATA!$G$2:$G$992,$A10,DATA!$H$2:$H$992,$B10,DATA!$I$2:$I$992,$C10,DATA!$E$2:$E$992,"&gt;="&amp;DATE(2026,1,1),DATA!$E$2:$E$992,"&lt;="&amp;EOMONTH(DATE(2026,1,1),0))</f>
        <v>0</v>
      </c>
      <c r="E10" s="286">
        <f>COUNTIFS(DATA!$G$2:$G$992,$A10,DATA!$H$2:$H$992,$B10,DATA!$I$2:$I$992,$C10,DATA!$E$2:$E$992,"&gt;="&amp;DATE(2026,2,1),DATA!$E$2:$E$992,"&lt;="&amp;EOMONTH(DATE(2026,2,1),0))</f>
        <v>0</v>
      </c>
      <c r="F10" s="286">
        <f>COUNTIFS(DATA!$G$2:$G$992,$A10,DATA!$H$2:$H$992,$B10,DATA!$I$2:$I$992,$C10,DATA!$E$2:$E$992,"&gt;="&amp;DATE(2026,3,1),DATA!$E$2:$E$992,"&lt;="&amp;EOMONTH(DATE(2026,3,1),0))</f>
        <v>0</v>
      </c>
      <c r="G10" s="286">
        <f>COUNTIFS(DATA!$G$2:$G$992,$A10,DATA!$H$2:$H$992,$B10,DATA!$I$2:$I$992,$C10,DATA!$E$2:$E$992,"&gt;="&amp;DATE(2026,4,1),DATA!$E$2:$E$992,"&lt;="&amp;EOMONTH(DATE(2026,4,1),0))</f>
        <v>0</v>
      </c>
      <c r="H10" s="286">
        <f>COUNTIFS(DATA!$G$2:$G$992,$A10,DATA!$H$2:$H$992,$B10,DATA!$I$2:$I$992,$C10,DATA!$E$2:$E$992,"&gt;="&amp;DATE(2026,5,1),DATA!$E$2:$E$992,"&lt;="&amp;EOMONTH(DATE(2026,5,1),0))</f>
        <v>0</v>
      </c>
      <c r="I10" s="286">
        <f>COUNTIFS(DATA!$G$2:$G$992,$A10,DATA!$H$2:$H$992,$B10,DATA!$I$2:$I$992,$C10,DATA!$E$2:$E$992,"&gt;="&amp;DATE(2026,6,1),DATA!$E$2:$E$992,"&lt;="&amp;EOMONTH(DATE(2026,6,1),0))</f>
        <v>0</v>
      </c>
      <c r="J10" s="286">
        <f>COUNTIFS(DATA!$G$2:$G$992,$A10,DATA!$H$2:$H$992,$B10,DATA!$I$2:$I$992,$C10,DATA!$E$2:$E$992,"&gt;="&amp;DATE(2026,7,1),DATA!$E$2:$E$992,"&lt;="&amp;EOMONTH(DATE(2026,7,1),0))</f>
        <v>0</v>
      </c>
      <c r="K10" s="286">
        <f>COUNTIFS(DATA!$G$2:$G$992,$A10,DATA!$H$2:$H$992,$B10,DATA!$I$2:$I$992,$C10,DATA!$E$2:$E$992,"&gt;="&amp;DATE(2026,8,1),DATA!$E$2:$E$992,"&lt;="&amp;EOMONTH(DATE(2026,8,1),0))</f>
        <v>0</v>
      </c>
      <c r="L10" s="286">
        <f>COUNTIFS(DATA!$G$2:$G$992,$A10,DATA!$H$2:$H$992,$B10,DATA!$I$2:$I$992,$C10,DATA!$E$2:$E$992,"&gt;="&amp;DATE(2026,9,1),DATA!$E$2:$E$992,"&lt;="&amp;EOMONTH(DATE(2026,9,1),0))</f>
        <v>0</v>
      </c>
      <c r="M10" s="286">
        <f>COUNTIFS(DATA!$G$2:$G$992,$A10,DATA!$H$2:$H$992,$B10,DATA!$I$2:$I$992,$C10,DATA!$E$2:$E$992,"&gt;="&amp;DATE(2026,10,1),DATA!$E$2:$E$992,"&lt;="&amp;EOMONTH(DATE(2026,10,1),0))</f>
        <v>0</v>
      </c>
      <c r="N10" s="286">
        <f>COUNTIFS(DATA!$G$2:$G$992,$A10,DATA!$H$2:$H$992,$B10,DATA!$I$2:$I$992,$C10,DATA!$E$2:$E$992,"&gt;="&amp;DATE(2026,11,1),DATA!$E$2:$E$992,"&lt;="&amp;EOMONTH(DATE(2026,11,1),0))</f>
        <v>0</v>
      </c>
      <c r="O10" s="286">
        <f>COUNTIFS(DATA!$G$2:$G$992,$A10,DATA!$H$2:$H$992,$B10,DATA!$I$2:$I$992,$C10,DATA!$E$2:$E$992,"&gt;="&amp;DATE(2026,12,1),DATA!$E$2:$E$992,"&lt;="&amp;EOMONTH(DATE(2026,12,1),0))</f>
        <v>0</v>
      </c>
      <c r="P10" s="287">
        <f t="shared" si="0"/>
        <v>0</v>
      </c>
      <c r="Q10" s="271"/>
      <c r="R10" s="272">
        <f t="shared" si="1"/>
        <v>0</v>
      </c>
      <c r="S10" s="22">
        <f>IFERROR(SUM($P$10:$P$10)/$P$71,0)</f>
        <v>0</v>
      </c>
    </row>
    <row r="11" spans="1:19" ht="21.75" customHeight="1">
      <c r="A11" s="273" t="s">
        <v>97</v>
      </c>
      <c r="B11" s="278" t="s">
        <v>102</v>
      </c>
      <c r="C11" s="16" t="s">
        <v>124</v>
      </c>
      <c r="D11" s="279">
        <f>COUNTIFS(DATA!$G$2:$G$992,$A11,DATA!$H$2:$H$992,$B11,DATA!$I$2:$I$992,$C11,DATA!$E$2:$E$992,"&gt;="&amp;DATE(2026,1,1),DATA!$E$2:$E$992,"&lt;="&amp;EOMONTH(DATE(2026,1,1),0))</f>
        <v>0</v>
      </c>
      <c r="E11" s="279">
        <f>COUNTIFS(DATA!$G$2:$G$992,$A11,DATA!$H$2:$H$992,$B11,DATA!$I$2:$I$992,$C11,DATA!$E$2:$E$992,"&gt;="&amp;DATE(2026,2,1),DATA!$E$2:$E$992,"&lt;="&amp;EOMONTH(DATE(2026,2,1),0))</f>
        <v>0</v>
      </c>
      <c r="F11" s="279">
        <f>COUNTIFS(DATA!$G$2:$G$992,$A11,DATA!$H$2:$H$992,$B11,DATA!$I$2:$I$992,$C11,DATA!$E$2:$E$992,"&gt;="&amp;DATE(2026,3,1),DATA!$E$2:$E$992,"&lt;="&amp;EOMONTH(DATE(2026,3,1),0))</f>
        <v>0</v>
      </c>
      <c r="G11" s="279">
        <f>COUNTIFS(DATA!$G$2:$G$992,$A11,DATA!$H$2:$H$992,$B11,DATA!$I$2:$I$992,$C11,DATA!$E$2:$E$992,"&gt;="&amp;DATE(2026,4,1),DATA!$E$2:$E$992,"&lt;="&amp;EOMONTH(DATE(2026,4,1),0))</f>
        <v>19</v>
      </c>
      <c r="H11" s="279">
        <f>COUNTIFS(DATA!$G$2:$G$992,$A11,DATA!$H$2:$H$992,$B11,DATA!$I$2:$I$992,$C11,DATA!$E$2:$E$992,"&gt;="&amp;DATE(2026,5,1),DATA!$E$2:$E$992,"&lt;="&amp;EOMONTH(DATE(2026,5,1),0))</f>
        <v>42</v>
      </c>
      <c r="I11" s="279">
        <f>COUNTIFS(DATA!$G$2:$G$992,$A11,DATA!$H$2:$H$992,$B11,DATA!$I$2:$I$992,$C11,DATA!$E$2:$E$992,"&gt;="&amp;DATE(2026,6,1),DATA!$E$2:$E$992,"&lt;="&amp;EOMONTH(DATE(2026,6,1),0))</f>
        <v>7</v>
      </c>
      <c r="J11" s="279">
        <f>COUNTIFS(DATA!$G$2:$G$992,$A11,DATA!$H$2:$H$992,$B11,DATA!$I$2:$I$992,$C11,DATA!$E$2:$E$992,"&gt;="&amp;DATE(2026,7,1),DATA!$E$2:$E$992,"&lt;="&amp;EOMONTH(DATE(2026,7,1),0))</f>
        <v>0</v>
      </c>
      <c r="K11" s="279">
        <f>COUNTIFS(DATA!$G$2:$G$992,$A11,DATA!$H$2:$H$992,$B11,DATA!$I$2:$I$992,$C11,DATA!$E$2:$E$992,"&gt;="&amp;DATE(2026,8,1),DATA!$E$2:$E$992,"&lt;="&amp;EOMONTH(DATE(2026,8,1),0))</f>
        <v>0</v>
      </c>
      <c r="L11" s="279">
        <f>COUNTIFS(DATA!$G$2:$G$992,$A11,DATA!$H$2:$H$992,$B11,DATA!$I$2:$I$992,$C11,DATA!$E$2:$E$992,"&gt;="&amp;DATE(2026,9,1),DATA!$E$2:$E$992,"&lt;="&amp;EOMONTH(DATE(2026,9,1),0))</f>
        <v>0</v>
      </c>
      <c r="M11" s="279">
        <f>COUNTIFS(DATA!$G$2:$G$992,$A11,DATA!$H$2:$H$992,$B11,DATA!$I$2:$I$992,$C11,DATA!$E$2:$E$992,"&gt;="&amp;DATE(2026,10,1),DATA!$E$2:$E$992,"&lt;="&amp;EOMONTH(DATE(2026,10,1),0))</f>
        <v>0</v>
      </c>
      <c r="N11" s="279">
        <f>COUNTIFS(DATA!$G$2:$G$992,$A11,DATA!$H$2:$H$992,$B11,DATA!$I$2:$I$992,$C11,DATA!$E$2:$E$992,"&gt;="&amp;DATE(2026,11,1),DATA!$E$2:$E$992,"&lt;="&amp;EOMONTH(DATE(2026,11,1),0))</f>
        <v>0</v>
      </c>
      <c r="O11" s="279">
        <f>COUNTIFS(DATA!$G$2:$G$992,$A11,DATA!$H$2:$H$992,$B11,DATA!$I$2:$I$992,$C11,DATA!$E$2:$E$992,"&gt;="&amp;DATE(2026,12,1),DATA!$E$2:$E$992,"&lt;="&amp;EOMONTH(DATE(2026,12,1),0))</f>
        <v>0</v>
      </c>
      <c r="P11" s="280">
        <f t="shared" si="0"/>
        <v>68</v>
      </c>
      <c r="Q11" s="271"/>
      <c r="R11" s="272">
        <f t="shared" si="1"/>
        <v>0.32380952380952382</v>
      </c>
      <c r="S11" s="281">
        <f t="shared" ref="S11:S22" si="2">IFERROR(SUM($P$11:$P$22)/$P$71,0)</f>
        <v>0.80476190476190479</v>
      </c>
    </row>
    <row r="12" spans="1:19" ht="21.75" customHeight="1">
      <c r="A12" s="282" t="s">
        <v>97</v>
      </c>
      <c r="B12" s="274" t="s">
        <v>102</v>
      </c>
      <c r="C12" s="17" t="s">
        <v>142</v>
      </c>
      <c r="D12" s="283">
        <f>COUNTIFS(DATA!$G$2:$G$992,$A12,DATA!$H$2:$H$992,$B12,DATA!$I$2:$I$992,$C12,DATA!$E$2:$E$992,"&gt;="&amp;DATE(2026,1,1),DATA!$E$2:$E$992,"&lt;="&amp;EOMONTH(DATE(2026,1,1),0))</f>
        <v>0</v>
      </c>
      <c r="E12" s="283">
        <f>COUNTIFS(DATA!$G$2:$G$992,$A12,DATA!$H$2:$H$992,$B12,DATA!$I$2:$I$992,$C12,DATA!$E$2:$E$992,"&gt;="&amp;DATE(2026,2,1),DATA!$E$2:$E$992,"&lt;="&amp;EOMONTH(DATE(2026,2,1),0))</f>
        <v>0</v>
      </c>
      <c r="F12" s="283">
        <f>COUNTIFS(DATA!$G$2:$G$992,$A12,DATA!$H$2:$H$992,$B12,DATA!$I$2:$I$992,$C12,DATA!$E$2:$E$992,"&gt;="&amp;DATE(2026,3,1),DATA!$E$2:$E$992,"&lt;="&amp;EOMONTH(DATE(2026,3,1),0))</f>
        <v>0</v>
      </c>
      <c r="G12" s="283">
        <f>COUNTIFS(DATA!$G$2:$G$992,$A12,DATA!$H$2:$H$992,$B12,DATA!$I$2:$I$992,$C12,DATA!$E$2:$E$992,"&gt;="&amp;DATE(2026,4,1),DATA!$E$2:$E$992,"&lt;="&amp;EOMONTH(DATE(2026,4,1),0))</f>
        <v>11</v>
      </c>
      <c r="H12" s="283">
        <f>COUNTIFS(DATA!$G$2:$G$992,$A12,DATA!$H$2:$H$992,$B12,DATA!$I$2:$I$992,$C12,DATA!$E$2:$E$992,"&gt;="&amp;DATE(2026,5,1),DATA!$E$2:$E$992,"&lt;="&amp;EOMONTH(DATE(2026,5,1),0))</f>
        <v>19</v>
      </c>
      <c r="I12" s="283">
        <f>COUNTIFS(DATA!$G$2:$G$992,$A12,DATA!$H$2:$H$992,$B12,DATA!$I$2:$I$992,$C12,DATA!$E$2:$E$992,"&gt;="&amp;DATE(2026,6,1),DATA!$E$2:$E$992,"&lt;="&amp;EOMONTH(DATE(2026,6,1),0))</f>
        <v>0</v>
      </c>
      <c r="J12" s="283">
        <f>COUNTIFS(DATA!$G$2:$G$992,$A12,DATA!$H$2:$H$992,$B12,DATA!$I$2:$I$992,$C12,DATA!$E$2:$E$992,"&gt;="&amp;DATE(2026,7,1),DATA!$E$2:$E$992,"&lt;="&amp;EOMONTH(DATE(2026,7,1),0))</f>
        <v>0</v>
      </c>
      <c r="K12" s="283">
        <f>COUNTIFS(DATA!$G$2:$G$992,$A12,DATA!$H$2:$H$992,$B12,DATA!$I$2:$I$992,$C12,DATA!$E$2:$E$992,"&gt;="&amp;DATE(2026,8,1),DATA!$E$2:$E$992,"&lt;="&amp;EOMONTH(DATE(2026,8,1),0))</f>
        <v>0</v>
      </c>
      <c r="L12" s="283">
        <f>COUNTIFS(DATA!$G$2:$G$992,$A12,DATA!$H$2:$H$992,$B12,DATA!$I$2:$I$992,$C12,DATA!$E$2:$E$992,"&gt;="&amp;DATE(2026,9,1),DATA!$E$2:$E$992,"&lt;="&amp;EOMONTH(DATE(2026,9,1),0))</f>
        <v>0</v>
      </c>
      <c r="M12" s="283">
        <f>COUNTIFS(DATA!$G$2:$G$992,$A12,DATA!$H$2:$H$992,$B12,DATA!$I$2:$I$992,$C12,DATA!$E$2:$E$992,"&gt;="&amp;DATE(2026,10,1),DATA!$E$2:$E$992,"&lt;="&amp;EOMONTH(DATE(2026,10,1),0))</f>
        <v>0</v>
      </c>
      <c r="N12" s="283">
        <f>COUNTIFS(DATA!$G$2:$G$992,$A12,DATA!$H$2:$H$992,$B12,DATA!$I$2:$I$992,$C12,DATA!$E$2:$E$992,"&gt;="&amp;DATE(2026,11,1),DATA!$E$2:$E$992,"&lt;="&amp;EOMONTH(DATE(2026,11,1),0))</f>
        <v>0</v>
      </c>
      <c r="O12" s="283">
        <f>COUNTIFS(DATA!$G$2:$G$992,$A12,DATA!$H$2:$H$992,$B12,DATA!$I$2:$I$992,$C12,DATA!$E$2:$E$992,"&gt;="&amp;DATE(2026,12,1),DATA!$E$2:$E$992,"&lt;="&amp;EOMONTH(DATE(2026,12,1),0))</f>
        <v>0</v>
      </c>
      <c r="P12" s="284">
        <f t="shared" si="0"/>
        <v>30</v>
      </c>
      <c r="Q12" s="271"/>
      <c r="R12" s="272">
        <f t="shared" si="1"/>
        <v>0.14285714285714285</v>
      </c>
      <c r="S12" s="277">
        <f t="shared" si="2"/>
        <v>0.80476190476190479</v>
      </c>
    </row>
    <row r="13" spans="1:19" ht="21.75" customHeight="1">
      <c r="A13" s="282" t="s">
        <v>97</v>
      </c>
      <c r="B13" s="274" t="s">
        <v>102</v>
      </c>
      <c r="C13" s="13" t="s">
        <v>159</v>
      </c>
      <c r="D13" s="269">
        <f>COUNTIFS(DATA!$G$2:$G$992,$A13,DATA!$H$2:$H$992,$B13,DATA!$I$2:$I$992,$C13,DATA!$E$2:$E$992,"&gt;="&amp;DATE(2026,1,1),DATA!$E$2:$E$992,"&lt;="&amp;EOMONTH(DATE(2026,1,1),0))</f>
        <v>0</v>
      </c>
      <c r="E13" s="269">
        <f>COUNTIFS(DATA!$G$2:$G$992,$A13,DATA!$H$2:$H$992,$B13,DATA!$I$2:$I$992,$C13,DATA!$E$2:$E$992,"&gt;="&amp;DATE(2026,2,1),DATA!$E$2:$E$992,"&lt;="&amp;EOMONTH(DATE(2026,2,1),0))</f>
        <v>0</v>
      </c>
      <c r="F13" s="269">
        <f>COUNTIFS(DATA!$G$2:$G$992,$A13,DATA!$H$2:$H$992,$B13,DATA!$I$2:$I$992,$C13,DATA!$E$2:$E$992,"&gt;="&amp;DATE(2026,3,1),DATA!$E$2:$E$992,"&lt;="&amp;EOMONTH(DATE(2026,3,1),0))</f>
        <v>0</v>
      </c>
      <c r="G13" s="269">
        <f>COUNTIFS(DATA!$G$2:$G$992,$A13,DATA!$H$2:$H$992,$B13,DATA!$I$2:$I$992,$C13,DATA!$E$2:$E$992,"&gt;="&amp;DATE(2026,4,1),DATA!$E$2:$E$992,"&lt;="&amp;EOMONTH(DATE(2026,4,1),0))</f>
        <v>3</v>
      </c>
      <c r="H13" s="269">
        <f>COUNTIFS(DATA!$G$2:$G$992,$A13,DATA!$H$2:$H$992,$B13,DATA!$I$2:$I$992,$C13,DATA!$E$2:$E$992,"&gt;="&amp;DATE(2026,5,1),DATA!$E$2:$E$992,"&lt;="&amp;EOMONTH(DATE(2026,5,1),0))</f>
        <v>5</v>
      </c>
      <c r="I13" s="269">
        <f>COUNTIFS(DATA!$G$2:$G$992,$A13,DATA!$H$2:$H$992,$B13,DATA!$I$2:$I$992,$C13,DATA!$E$2:$E$992,"&gt;="&amp;DATE(2026,6,1),DATA!$E$2:$E$992,"&lt;="&amp;EOMONTH(DATE(2026,6,1),0))</f>
        <v>5</v>
      </c>
      <c r="J13" s="269">
        <f>COUNTIFS(DATA!$G$2:$G$992,$A13,DATA!$H$2:$H$992,$B13,DATA!$I$2:$I$992,$C13,DATA!$E$2:$E$992,"&gt;="&amp;DATE(2026,7,1),DATA!$E$2:$E$992,"&lt;="&amp;EOMONTH(DATE(2026,7,1),0))</f>
        <v>0</v>
      </c>
      <c r="K13" s="269">
        <f>COUNTIFS(DATA!$G$2:$G$992,$A13,DATA!$H$2:$H$992,$B13,DATA!$I$2:$I$992,$C13,DATA!$E$2:$E$992,"&gt;="&amp;DATE(2026,8,1),DATA!$E$2:$E$992,"&lt;="&amp;EOMONTH(DATE(2026,8,1),0))</f>
        <v>0</v>
      </c>
      <c r="L13" s="269">
        <f>COUNTIFS(DATA!$G$2:$G$992,$A13,DATA!$H$2:$H$992,$B13,DATA!$I$2:$I$992,$C13,DATA!$E$2:$E$992,"&gt;="&amp;DATE(2026,9,1),DATA!$E$2:$E$992,"&lt;="&amp;EOMONTH(DATE(2026,9,1),0))</f>
        <v>0</v>
      </c>
      <c r="M13" s="269">
        <f>COUNTIFS(DATA!$G$2:$G$992,$A13,DATA!$H$2:$H$992,$B13,DATA!$I$2:$I$992,$C13,DATA!$E$2:$E$992,"&gt;="&amp;DATE(2026,10,1),DATA!$E$2:$E$992,"&lt;="&amp;EOMONTH(DATE(2026,10,1),0))</f>
        <v>0</v>
      </c>
      <c r="N13" s="269">
        <f>COUNTIFS(DATA!$G$2:$G$992,$A13,DATA!$H$2:$H$992,$B13,DATA!$I$2:$I$992,$C13,DATA!$E$2:$E$992,"&gt;="&amp;DATE(2026,11,1),DATA!$E$2:$E$992,"&lt;="&amp;EOMONTH(DATE(2026,11,1),0))</f>
        <v>0</v>
      </c>
      <c r="O13" s="269">
        <f>COUNTIFS(DATA!$G$2:$G$992,$A13,DATA!$H$2:$H$992,$B13,DATA!$I$2:$I$992,$C13,DATA!$E$2:$E$992,"&gt;="&amp;DATE(2026,12,1),DATA!$E$2:$E$992,"&lt;="&amp;EOMONTH(DATE(2026,12,1),0))</f>
        <v>0</v>
      </c>
      <c r="P13" s="270">
        <f t="shared" si="0"/>
        <v>13</v>
      </c>
      <c r="Q13" s="271"/>
      <c r="R13" s="272">
        <f t="shared" si="1"/>
        <v>6.1904761904761907E-2</v>
      </c>
      <c r="S13" s="277">
        <f t="shared" si="2"/>
        <v>0.80476190476190479</v>
      </c>
    </row>
    <row r="14" spans="1:19" ht="21.75" customHeight="1">
      <c r="A14" s="282" t="s">
        <v>97</v>
      </c>
      <c r="B14" s="274" t="s">
        <v>102</v>
      </c>
      <c r="C14" s="13" t="s">
        <v>202</v>
      </c>
      <c r="D14" s="269">
        <f>COUNTIFS(DATA!$G$2:$G$992,$A14,DATA!$H$2:$H$992,$B14,DATA!$I$2:$I$992,$C14,DATA!$E$2:$E$992,"&gt;="&amp;DATE(2026,1,1),DATA!$E$2:$E$992,"&lt;="&amp;EOMONTH(DATE(2026,1,1),0))</f>
        <v>0</v>
      </c>
      <c r="E14" s="269">
        <f>COUNTIFS(DATA!$G$2:$G$992,$A14,DATA!$H$2:$H$992,$B14,DATA!$I$2:$I$992,$C14,DATA!$E$2:$E$992,"&gt;="&amp;DATE(2026,2,1),DATA!$E$2:$E$992,"&lt;="&amp;EOMONTH(DATE(2026,2,1),0))</f>
        <v>0</v>
      </c>
      <c r="F14" s="269">
        <f>COUNTIFS(DATA!$G$2:$G$992,$A14,DATA!$H$2:$H$992,$B14,DATA!$I$2:$I$992,$C14,DATA!$E$2:$E$992,"&gt;="&amp;DATE(2026,3,1),DATA!$E$2:$E$992,"&lt;="&amp;EOMONTH(DATE(2026,3,1),0))</f>
        <v>0</v>
      </c>
      <c r="G14" s="269">
        <f>COUNTIFS(DATA!$G$2:$G$992,$A14,DATA!$H$2:$H$992,$B14,DATA!$I$2:$I$992,$C14,DATA!$E$2:$E$992,"&gt;="&amp;DATE(2026,4,1),DATA!$E$2:$E$992,"&lt;="&amp;EOMONTH(DATE(2026,4,1),0))</f>
        <v>7</v>
      </c>
      <c r="H14" s="269">
        <f>COUNTIFS(DATA!$G$2:$G$992,$A14,DATA!$H$2:$H$992,$B14,DATA!$I$2:$I$992,$C14,DATA!$E$2:$E$992,"&gt;="&amp;DATE(2026,5,1),DATA!$E$2:$E$992,"&lt;="&amp;EOMONTH(DATE(2026,5,1),0))</f>
        <v>5</v>
      </c>
      <c r="I14" s="269">
        <f>COUNTIFS(DATA!$G$2:$G$992,$A14,DATA!$H$2:$H$992,$B14,DATA!$I$2:$I$992,$C14,DATA!$E$2:$E$992,"&gt;="&amp;DATE(2026,6,1),DATA!$E$2:$E$992,"&lt;="&amp;EOMONTH(DATE(2026,6,1),0))</f>
        <v>0</v>
      </c>
      <c r="J14" s="269">
        <f>COUNTIFS(DATA!$G$2:$G$992,$A14,DATA!$H$2:$H$992,$B14,DATA!$I$2:$I$992,$C14,DATA!$E$2:$E$992,"&gt;="&amp;DATE(2026,7,1),DATA!$E$2:$E$992,"&lt;="&amp;EOMONTH(DATE(2026,7,1),0))</f>
        <v>0</v>
      </c>
      <c r="K14" s="269">
        <f>COUNTIFS(DATA!$G$2:$G$992,$A14,DATA!$H$2:$H$992,$B14,DATA!$I$2:$I$992,$C14,DATA!$E$2:$E$992,"&gt;="&amp;DATE(2026,8,1),DATA!$E$2:$E$992,"&lt;="&amp;EOMONTH(DATE(2026,8,1),0))</f>
        <v>0</v>
      </c>
      <c r="L14" s="269">
        <f>COUNTIFS(DATA!$G$2:$G$992,$A14,DATA!$H$2:$H$992,$B14,DATA!$I$2:$I$992,$C14,DATA!$E$2:$E$992,"&gt;="&amp;DATE(2026,9,1),DATA!$E$2:$E$992,"&lt;="&amp;EOMONTH(DATE(2026,9,1),0))</f>
        <v>0</v>
      </c>
      <c r="M14" s="269">
        <f>COUNTIFS(DATA!$G$2:$G$992,$A14,DATA!$H$2:$H$992,$B14,DATA!$I$2:$I$992,$C14,DATA!$E$2:$E$992,"&gt;="&amp;DATE(2026,10,1),DATA!$E$2:$E$992,"&lt;="&amp;EOMONTH(DATE(2026,10,1),0))</f>
        <v>0</v>
      </c>
      <c r="N14" s="269">
        <f>COUNTIFS(DATA!$G$2:$G$992,$A14,DATA!$H$2:$H$992,$B14,DATA!$I$2:$I$992,$C14,DATA!$E$2:$E$992,"&gt;="&amp;DATE(2026,11,1),DATA!$E$2:$E$992,"&lt;="&amp;EOMONTH(DATE(2026,11,1),0))</f>
        <v>0</v>
      </c>
      <c r="O14" s="269">
        <f>COUNTIFS(DATA!$G$2:$G$992,$A14,DATA!$H$2:$H$992,$B14,DATA!$I$2:$I$992,$C14,DATA!$E$2:$E$992,"&gt;="&amp;DATE(2026,12,1),DATA!$E$2:$E$992,"&lt;="&amp;EOMONTH(DATE(2026,12,1),0))</f>
        <v>0</v>
      </c>
      <c r="P14" s="270">
        <f t="shared" si="0"/>
        <v>12</v>
      </c>
      <c r="Q14" s="271"/>
      <c r="R14" s="272">
        <f t="shared" si="1"/>
        <v>5.7142857142857141E-2</v>
      </c>
      <c r="S14" s="277">
        <f t="shared" si="2"/>
        <v>0.80476190476190479</v>
      </c>
    </row>
    <row r="15" spans="1:19" ht="21.75" customHeight="1">
      <c r="A15" s="282" t="s">
        <v>97</v>
      </c>
      <c r="B15" s="274" t="s">
        <v>102</v>
      </c>
      <c r="C15" s="13" t="s">
        <v>175</v>
      </c>
      <c r="D15" s="288">
        <f>COUNTIFS(DATA!$G$2:$G$992,$A15,DATA!$H$2:$H$992,$B15,DATA!$I$2:$I$992,$C15,DATA!$E$2:$E$992,"&gt;="&amp;DATE(2026,1,1),DATA!$E$2:$E$992,"&lt;="&amp;EOMONTH(DATE(2026,1,1),0))</f>
        <v>0</v>
      </c>
      <c r="E15" s="288">
        <f>COUNTIFS(DATA!$G$2:$G$992,$A15,DATA!$H$2:$H$992,$B15,DATA!$I$2:$I$992,$C15,DATA!$E$2:$E$992,"&gt;="&amp;DATE(2026,2,1),DATA!$E$2:$E$992,"&lt;="&amp;EOMONTH(DATE(2026,2,1),0))</f>
        <v>0</v>
      </c>
      <c r="F15" s="288">
        <f>COUNTIFS(DATA!$G$2:$G$992,$A15,DATA!$H$2:$H$992,$B15,DATA!$I$2:$I$992,$C15,DATA!$E$2:$E$992,"&gt;="&amp;DATE(2026,3,1),DATA!$E$2:$E$992,"&lt;="&amp;EOMONTH(DATE(2026,3,1),0))</f>
        <v>0</v>
      </c>
      <c r="G15" s="288">
        <f>COUNTIFS(DATA!$G$2:$G$992,$A15,DATA!$H$2:$H$992,$B15,DATA!$I$2:$I$992,$C15,DATA!$E$2:$E$992,"&gt;="&amp;DATE(2026,4,1),DATA!$E$2:$E$992,"&lt;="&amp;EOMONTH(DATE(2026,4,1),0))</f>
        <v>7</v>
      </c>
      <c r="H15" s="288">
        <f>COUNTIFS(DATA!$G$2:$G$992,$A15,DATA!$H$2:$H$992,$B15,DATA!$I$2:$I$992,$C15,DATA!$E$2:$E$992,"&gt;="&amp;DATE(2026,5,1),DATA!$E$2:$E$992,"&lt;="&amp;EOMONTH(DATE(2026,5,1),0))</f>
        <v>1</v>
      </c>
      <c r="I15" s="288">
        <f>COUNTIFS(DATA!$G$2:$G$992,$A15,DATA!$H$2:$H$992,$B15,DATA!$I$2:$I$992,$C15,DATA!$E$2:$E$992,"&gt;="&amp;DATE(2026,6,1),DATA!$E$2:$E$992,"&lt;="&amp;EOMONTH(DATE(2026,6,1),0))</f>
        <v>1</v>
      </c>
      <c r="J15" s="288">
        <f>COUNTIFS(DATA!$G$2:$G$992,$A15,DATA!$H$2:$H$992,$B15,DATA!$I$2:$I$992,$C15,DATA!$E$2:$E$992,"&gt;="&amp;DATE(2026,7,1),DATA!$E$2:$E$992,"&lt;="&amp;EOMONTH(DATE(2026,7,1),0))</f>
        <v>0</v>
      </c>
      <c r="K15" s="288">
        <f>COUNTIFS(DATA!$G$2:$G$992,$A15,DATA!$H$2:$H$992,$B15,DATA!$I$2:$I$992,$C15,DATA!$E$2:$E$992,"&gt;="&amp;DATE(2026,8,1),DATA!$E$2:$E$992,"&lt;="&amp;EOMONTH(DATE(2026,8,1),0))</f>
        <v>0</v>
      </c>
      <c r="L15" s="288">
        <f>COUNTIFS(DATA!$G$2:$G$992,$A15,DATA!$H$2:$H$992,$B15,DATA!$I$2:$I$992,$C15,DATA!$E$2:$E$992,"&gt;="&amp;DATE(2026,9,1),DATA!$E$2:$E$992,"&lt;="&amp;EOMONTH(DATE(2026,9,1),0))</f>
        <v>0</v>
      </c>
      <c r="M15" s="288">
        <f>COUNTIFS(DATA!$G$2:$G$992,$A15,DATA!$H$2:$H$992,$B15,DATA!$I$2:$I$992,$C15,DATA!$E$2:$E$992,"&gt;="&amp;DATE(2026,10,1),DATA!$E$2:$E$992,"&lt;="&amp;EOMONTH(DATE(2026,10,1),0))</f>
        <v>0</v>
      </c>
      <c r="N15" s="288">
        <f>COUNTIFS(DATA!$G$2:$G$992,$A15,DATA!$H$2:$H$992,$B15,DATA!$I$2:$I$992,$C15,DATA!$E$2:$E$992,"&gt;="&amp;DATE(2026,11,1),DATA!$E$2:$E$992,"&lt;="&amp;EOMONTH(DATE(2026,11,1),0))</f>
        <v>0</v>
      </c>
      <c r="O15" s="288">
        <f>COUNTIFS(DATA!$G$2:$G$992,$A15,DATA!$H$2:$H$992,$B15,DATA!$I$2:$I$992,$C15,DATA!$E$2:$E$992,"&gt;="&amp;DATE(2026,12,1),DATA!$E$2:$E$992,"&lt;="&amp;EOMONTH(DATE(2026,12,1),0))</f>
        <v>0</v>
      </c>
      <c r="P15" s="270">
        <f t="shared" si="0"/>
        <v>9</v>
      </c>
      <c r="Q15" s="271"/>
      <c r="R15" s="272">
        <f t="shared" si="1"/>
        <v>4.2857142857142858E-2</v>
      </c>
      <c r="S15" s="277">
        <f t="shared" si="2"/>
        <v>0.80476190476190479</v>
      </c>
    </row>
    <row r="16" spans="1:19" ht="21.75" customHeight="1">
      <c r="A16" s="282" t="s">
        <v>97</v>
      </c>
      <c r="B16" s="18" t="s">
        <v>102</v>
      </c>
      <c r="C16" s="13" t="s">
        <v>191</v>
      </c>
      <c r="D16" s="269">
        <f>COUNTIFS(DATA!$G$2:$G$992,$A16,DATA!$H$2:$H$992,$B16,DATA!$I$2:$I$992,$C16,DATA!$E$2:$E$992,"&gt;="&amp;DATE(2026,1,1),DATA!$E$2:$E$992,"&lt;="&amp;EOMONTH(DATE(2026,1,1),0))</f>
        <v>0</v>
      </c>
      <c r="E16" s="269">
        <f>COUNTIFS(DATA!$G$2:$G$992,$A16,DATA!$H$2:$H$992,$B16,DATA!$I$2:$I$992,$C16,DATA!$E$2:$E$992,"&gt;="&amp;DATE(2026,2,1),DATA!$E$2:$E$992,"&lt;="&amp;EOMONTH(DATE(2026,2,1),0))</f>
        <v>0</v>
      </c>
      <c r="F16" s="269">
        <f>COUNTIFS(DATA!$G$2:$G$992,$A16,DATA!$H$2:$H$992,$B16,DATA!$I$2:$I$992,$C16,DATA!$E$2:$E$992,"&gt;="&amp;DATE(2026,3,1),DATA!$E$2:$E$992,"&lt;="&amp;EOMONTH(DATE(2026,3,1),0))</f>
        <v>0</v>
      </c>
      <c r="G16" s="269">
        <f>COUNTIFS(DATA!$G$2:$G$992,$A16,DATA!$H$2:$H$992,$B16,DATA!$I$2:$I$992,$C16,DATA!$E$2:$E$992,"&gt;="&amp;DATE(2026,4,1),DATA!$E$2:$E$992,"&lt;="&amp;EOMONTH(DATE(2026,4,1),0))</f>
        <v>6</v>
      </c>
      <c r="H16" s="269">
        <f>COUNTIFS(DATA!$G$2:$G$992,$A16,DATA!$H$2:$H$992,$B16,DATA!$I$2:$I$992,$C16,DATA!$E$2:$E$992,"&gt;="&amp;DATE(2026,5,1),DATA!$E$2:$E$992,"&lt;="&amp;EOMONTH(DATE(2026,5,1),0))</f>
        <v>2</v>
      </c>
      <c r="I16" s="269">
        <f>COUNTIFS(DATA!$G$2:$G$992,$A16,DATA!$H$2:$H$992,$B16,DATA!$I$2:$I$992,$C16,DATA!$E$2:$E$992,"&gt;="&amp;DATE(2026,6,1),DATA!$E$2:$E$992,"&lt;="&amp;EOMONTH(DATE(2026,6,1),0))</f>
        <v>1</v>
      </c>
      <c r="J16" s="269">
        <f>COUNTIFS(DATA!$G$2:$G$992,$A16,DATA!$H$2:$H$992,$B16,DATA!$I$2:$I$992,$C16,DATA!$E$2:$E$992,"&gt;="&amp;DATE(2026,7,1),DATA!$E$2:$E$992,"&lt;="&amp;EOMONTH(DATE(2026,7,1),0))</f>
        <v>0</v>
      </c>
      <c r="K16" s="269">
        <f>COUNTIFS(DATA!$G$2:$G$992,$A16,DATA!$H$2:$H$992,$B16,DATA!$I$2:$I$992,$C16,DATA!$E$2:$E$992,"&gt;="&amp;DATE(2026,8,1),DATA!$E$2:$E$992,"&lt;="&amp;EOMONTH(DATE(2026,8,1),0))</f>
        <v>0</v>
      </c>
      <c r="L16" s="269">
        <f>COUNTIFS(DATA!$G$2:$G$992,$A16,DATA!$H$2:$H$992,$B16,DATA!$I$2:$I$992,$C16,DATA!$E$2:$E$992,"&gt;="&amp;DATE(2026,9,1),DATA!$E$2:$E$992,"&lt;="&amp;EOMONTH(DATE(2026,9,1),0))</f>
        <v>0</v>
      </c>
      <c r="M16" s="269">
        <f>COUNTIFS(DATA!$G$2:$G$992,$A16,DATA!$H$2:$H$992,$B16,DATA!$I$2:$I$992,$C16,DATA!$E$2:$E$992,"&gt;="&amp;DATE(2026,10,1),DATA!$E$2:$E$992,"&lt;="&amp;EOMONTH(DATE(2026,10,1),0))</f>
        <v>0</v>
      </c>
      <c r="N16" s="269">
        <f>COUNTIFS(DATA!$G$2:$G$992,$A16,DATA!$H$2:$H$992,$B16,DATA!$I$2:$I$992,$C16,DATA!$E$2:$E$992,"&gt;="&amp;DATE(2026,11,1),DATA!$E$2:$E$992,"&lt;="&amp;EOMONTH(DATE(2026,11,1),0))</f>
        <v>0</v>
      </c>
      <c r="O16" s="269">
        <f>COUNTIFS(DATA!$G$2:$G$992,$A16,DATA!$H$2:$H$992,$B16,DATA!$I$2:$I$992,$C16,DATA!$E$2:$E$992,"&gt;="&amp;DATE(2026,12,1),DATA!$E$2:$E$992,"&lt;="&amp;EOMONTH(DATE(2026,12,1),0))</f>
        <v>0</v>
      </c>
      <c r="P16" s="270">
        <f t="shared" si="0"/>
        <v>9</v>
      </c>
      <c r="Q16" s="271"/>
      <c r="R16" s="272">
        <f t="shared" si="1"/>
        <v>4.2857142857142858E-2</v>
      </c>
      <c r="S16" s="277">
        <f t="shared" si="2"/>
        <v>0.80476190476190479</v>
      </c>
    </row>
    <row r="17" spans="1:19" ht="21.75" customHeight="1">
      <c r="A17" s="282" t="s">
        <v>97</v>
      </c>
      <c r="B17" s="18" t="s">
        <v>102</v>
      </c>
      <c r="C17" s="13" t="s">
        <v>211</v>
      </c>
      <c r="D17" s="288">
        <f>COUNTIFS(DATA!$G$2:$G$992,$A17,DATA!$H$2:$H$992,$B17,DATA!$I$2:$I$992,$C17,DATA!$E$2:$E$992,"&gt;="&amp;DATE(2026,1,1),DATA!$E$2:$E$992,"&lt;="&amp;EOMONTH(DATE(2026,1,1),0))</f>
        <v>0</v>
      </c>
      <c r="E17" s="288">
        <f>COUNTIFS(DATA!$G$2:$G$992,$A17,DATA!$H$2:$H$992,$B17,DATA!$I$2:$I$992,$C17,DATA!$E$2:$E$992,"&gt;="&amp;DATE(2026,2,1),DATA!$E$2:$E$992,"&lt;="&amp;EOMONTH(DATE(2026,2,1),0))</f>
        <v>0</v>
      </c>
      <c r="F17" s="288">
        <f>COUNTIFS(DATA!$G$2:$G$992,$A17,DATA!$H$2:$H$992,$B17,DATA!$I$2:$I$992,$C17,DATA!$E$2:$E$992,"&gt;="&amp;DATE(2026,3,1),DATA!$E$2:$E$992,"&lt;="&amp;EOMONTH(DATE(2026,3,1),0))</f>
        <v>0</v>
      </c>
      <c r="G17" s="288">
        <f>COUNTIFS(DATA!$G$2:$G$992,$A17,DATA!$H$2:$H$992,$B17,DATA!$I$2:$I$992,$C17,DATA!$E$2:$E$992,"&gt;="&amp;DATE(2026,4,1),DATA!$E$2:$E$992,"&lt;="&amp;EOMONTH(DATE(2026,4,1),0))</f>
        <v>0</v>
      </c>
      <c r="H17" s="288">
        <f>COUNTIFS(DATA!$G$2:$G$992,$A17,DATA!$H$2:$H$992,$B17,DATA!$I$2:$I$992,$C17,DATA!$E$2:$E$992,"&gt;="&amp;DATE(2026,5,1),DATA!$E$2:$E$992,"&lt;="&amp;EOMONTH(DATE(2026,5,1),0))</f>
        <v>3</v>
      </c>
      <c r="I17" s="288">
        <f>COUNTIFS(DATA!$G$2:$G$992,$A17,DATA!$H$2:$H$992,$B17,DATA!$I$2:$I$992,$C17,DATA!$E$2:$E$992,"&gt;="&amp;DATE(2026,6,1),DATA!$E$2:$E$992,"&lt;="&amp;EOMONTH(DATE(2026,6,1),0))</f>
        <v>0</v>
      </c>
      <c r="J17" s="288">
        <f>COUNTIFS(DATA!$G$2:$G$992,$A17,DATA!$H$2:$H$992,$B17,DATA!$I$2:$I$992,$C17,DATA!$E$2:$E$992,"&gt;="&amp;DATE(2026,7,1),DATA!$E$2:$E$992,"&lt;="&amp;EOMONTH(DATE(2026,7,1),0))</f>
        <v>0</v>
      </c>
      <c r="K17" s="288">
        <f>COUNTIFS(DATA!$G$2:$G$992,$A17,DATA!$H$2:$H$992,$B17,DATA!$I$2:$I$992,$C17,DATA!$E$2:$E$992,"&gt;="&amp;DATE(2026,8,1),DATA!$E$2:$E$992,"&lt;="&amp;EOMONTH(DATE(2026,8,1),0))</f>
        <v>0</v>
      </c>
      <c r="L17" s="288">
        <f>COUNTIFS(DATA!$G$2:$G$992,$A17,DATA!$H$2:$H$992,$B17,DATA!$I$2:$I$992,$C17,DATA!$E$2:$E$992,"&gt;="&amp;DATE(2026,9,1),DATA!$E$2:$E$992,"&lt;="&amp;EOMONTH(DATE(2026,9,1),0))</f>
        <v>0</v>
      </c>
      <c r="M17" s="288">
        <f>COUNTIFS(DATA!$G$2:$G$992,$A17,DATA!$H$2:$H$992,$B17,DATA!$I$2:$I$992,$C17,DATA!$E$2:$E$992,"&gt;="&amp;DATE(2026,10,1),DATA!$E$2:$E$992,"&lt;="&amp;EOMONTH(DATE(2026,10,1),0))</f>
        <v>0</v>
      </c>
      <c r="N17" s="288">
        <f>COUNTIFS(DATA!$G$2:$G$992,$A17,DATA!$H$2:$H$992,$B17,DATA!$I$2:$I$992,$C17,DATA!$E$2:$E$992,"&gt;="&amp;DATE(2026,11,1),DATA!$E$2:$E$992,"&lt;="&amp;EOMONTH(DATE(2026,11,1),0))</f>
        <v>0</v>
      </c>
      <c r="O17" s="288">
        <f>COUNTIFS(DATA!$G$2:$G$992,$A17,DATA!$H$2:$H$992,$B17,DATA!$I$2:$I$992,$C17,DATA!$E$2:$E$992,"&gt;="&amp;DATE(2026,12,1),DATA!$E$2:$E$992,"&lt;="&amp;EOMONTH(DATE(2026,12,1),0))</f>
        <v>0</v>
      </c>
      <c r="P17" s="270">
        <f t="shared" si="0"/>
        <v>3</v>
      </c>
      <c r="Q17" s="271"/>
      <c r="R17" s="272">
        <f t="shared" si="1"/>
        <v>1.4285714285714285E-2</v>
      </c>
      <c r="S17" s="19">
        <f t="shared" si="2"/>
        <v>0.80476190476190479</v>
      </c>
    </row>
    <row r="18" spans="1:19" ht="21.75" customHeight="1">
      <c r="A18" s="23" t="s">
        <v>97</v>
      </c>
      <c r="B18" s="274" t="s">
        <v>102</v>
      </c>
      <c r="C18" s="13" t="s">
        <v>220</v>
      </c>
      <c r="D18" s="269">
        <f>COUNTIFS(DATA!$G$2:$G$992,$A18,DATA!$H$2:$H$992,$B18,DATA!$I$2:$I$992,$C18,DATA!$E$2:$E$992,"&gt;="&amp;DATE(2026,1,1),DATA!$E$2:$E$992,"&lt;="&amp;EOMONTH(DATE(2026,1,1),0))</f>
        <v>0</v>
      </c>
      <c r="E18" s="269">
        <f>COUNTIFS(DATA!$G$2:$G$992,$A18,DATA!$H$2:$H$992,$B18,DATA!$I$2:$I$992,$C18,DATA!$E$2:$E$992,"&gt;="&amp;DATE(2026,2,1),DATA!$E$2:$E$992,"&lt;="&amp;EOMONTH(DATE(2026,2,1),0))</f>
        <v>0</v>
      </c>
      <c r="F18" s="269">
        <f>COUNTIFS(DATA!$G$2:$G$992,$A18,DATA!$H$2:$H$992,$B18,DATA!$I$2:$I$992,$C18,DATA!$E$2:$E$992,"&gt;="&amp;DATE(2026,3,1),DATA!$E$2:$E$992,"&lt;="&amp;EOMONTH(DATE(2026,3,1),0))</f>
        <v>0</v>
      </c>
      <c r="G18" s="269">
        <f>COUNTIFS(DATA!$G$2:$G$992,$A18,DATA!$H$2:$H$992,$B18,DATA!$I$2:$I$992,$C18,DATA!$E$2:$E$992,"&gt;="&amp;DATE(2026,4,1),DATA!$E$2:$E$992,"&lt;="&amp;EOMONTH(DATE(2026,4,1),0))</f>
        <v>0</v>
      </c>
      <c r="H18" s="269">
        <f>COUNTIFS(DATA!$G$2:$G$992,$A18,DATA!$H$2:$H$992,$B18,DATA!$I$2:$I$992,$C18,DATA!$E$2:$E$992,"&gt;="&amp;DATE(2026,5,1),DATA!$E$2:$E$992,"&lt;="&amp;EOMONTH(DATE(2026,5,1),0))</f>
        <v>4</v>
      </c>
      <c r="I18" s="269">
        <f>COUNTIFS(DATA!$G$2:$G$992,$A18,DATA!$H$2:$H$992,$B18,DATA!$I$2:$I$992,$C18,DATA!$E$2:$E$992,"&gt;="&amp;DATE(2026,6,1),DATA!$E$2:$E$992,"&lt;="&amp;EOMONTH(DATE(2026,6,1),0))</f>
        <v>0</v>
      </c>
      <c r="J18" s="269">
        <f>COUNTIFS(DATA!$G$2:$G$992,$A18,DATA!$H$2:$H$992,$B18,DATA!$I$2:$I$992,$C18,DATA!$E$2:$E$992,"&gt;="&amp;DATE(2026,7,1),DATA!$E$2:$E$992,"&lt;="&amp;EOMONTH(DATE(2026,7,1),0))</f>
        <v>0</v>
      </c>
      <c r="K18" s="269">
        <f>COUNTIFS(DATA!$G$2:$G$992,$A18,DATA!$H$2:$H$992,$B18,DATA!$I$2:$I$992,$C18,DATA!$E$2:$E$992,"&gt;="&amp;DATE(2026,8,1),DATA!$E$2:$E$992,"&lt;="&amp;EOMONTH(DATE(2026,8,1),0))</f>
        <v>0</v>
      </c>
      <c r="L18" s="269">
        <f>COUNTIFS(DATA!$G$2:$G$992,$A18,DATA!$H$2:$H$992,$B18,DATA!$I$2:$I$992,$C18,DATA!$E$2:$E$992,"&gt;="&amp;DATE(2026,9,1),DATA!$E$2:$E$992,"&lt;="&amp;EOMONTH(DATE(2026,9,1),0))</f>
        <v>0</v>
      </c>
      <c r="M18" s="269">
        <f>COUNTIFS(DATA!$G$2:$G$992,$A18,DATA!$H$2:$H$992,$B18,DATA!$I$2:$I$992,$C18,DATA!$E$2:$E$992,"&gt;="&amp;DATE(2026,10,1),DATA!$E$2:$E$992,"&lt;="&amp;EOMONTH(DATE(2026,10,1),0))</f>
        <v>0</v>
      </c>
      <c r="N18" s="269">
        <f>COUNTIFS(DATA!$G$2:$G$992,$A18,DATA!$H$2:$H$992,$B18,DATA!$I$2:$I$992,$C18,DATA!$E$2:$E$992,"&gt;="&amp;DATE(2026,11,1),DATA!$E$2:$E$992,"&lt;="&amp;EOMONTH(DATE(2026,11,1),0))</f>
        <v>0</v>
      </c>
      <c r="O18" s="269">
        <f>COUNTIFS(DATA!$G$2:$G$992,$A18,DATA!$H$2:$H$992,$B18,DATA!$I$2:$I$992,$C18,DATA!$E$2:$E$992,"&gt;="&amp;DATE(2026,12,1),DATA!$E$2:$E$992,"&lt;="&amp;EOMONTH(DATE(2026,12,1),0))</f>
        <v>0</v>
      </c>
      <c r="P18" s="270">
        <f t="shared" si="0"/>
        <v>4</v>
      </c>
      <c r="Q18" s="271"/>
      <c r="R18" s="272">
        <f t="shared" si="1"/>
        <v>1.9047619047619049E-2</v>
      </c>
      <c r="S18" s="277">
        <f t="shared" si="2"/>
        <v>0.80476190476190479</v>
      </c>
    </row>
    <row r="19" spans="1:19" ht="21.75" customHeight="1">
      <c r="A19" s="282" t="s">
        <v>97</v>
      </c>
      <c r="B19" s="274" t="s">
        <v>102</v>
      </c>
      <c r="C19" s="13" t="s">
        <v>227</v>
      </c>
      <c r="D19" s="288">
        <f>COUNTIFS(DATA!$G$2:$G$992,$A19,DATA!$H$2:$H$992,$B19,DATA!$I$2:$I$992,$C19,DATA!$E$2:$E$992,"&gt;="&amp;DATE(2026,1,1),DATA!$E$2:$E$992,"&lt;="&amp;EOMONTH(DATE(2026,1,1),0))</f>
        <v>0</v>
      </c>
      <c r="E19" s="288">
        <f>COUNTIFS(DATA!$G$2:$G$992,$A19,DATA!$H$2:$H$992,$B19,DATA!$I$2:$I$992,$C19,DATA!$E$2:$E$992,"&gt;="&amp;DATE(2026,2,1),DATA!$E$2:$E$992,"&lt;="&amp;EOMONTH(DATE(2026,2,1),0))</f>
        <v>0</v>
      </c>
      <c r="F19" s="288">
        <f>COUNTIFS(DATA!$G$2:$G$992,$A19,DATA!$H$2:$H$992,$B19,DATA!$I$2:$I$992,$C19,DATA!$E$2:$E$992,"&gt;="&amp;DATE(2026,3,1),DATA!$E$2:$E$992,"&lt;="&amp;EOMONTH(DATE(2026,3,1),0))</f>
        <v>0</v>
      </c>
      <c r="G19" s="288">
        <f>COUNTIFS(DATA!$G$2:$G$992,$A19,DATA!$H$2:$H$992,$B19,DATA!$I$2:$I$992,$C19,DATA!$E$2:$E$992,"&gt;="&amp;DATE(2026,4,1),DATA!$E$2:$E$992,"&lt;="&amp;EOMONTH(DATE(2026,4,1),0))</f>
        <v>1</v>
      </c>
      <c r="H19" s="288">
        <f>COUNTIFS(DATA!$G$2:$G$992,$A19,DATA!$H$2:$H$992,$B19,DATA!$I$2:$I$992,$C19,DATA!$E$2:$E$992,"&gt;="&amp;DATE(2026,5,1),DATA!$E$2:$E$992,"&lt;="&amp;EOMONTH(DATE(2026,5,1),0))</f>
        <v>8</v>
      </c>
      <c r="I19" s="288">
        <f>COUNTIFS(DATA!$G$2:$G$992,$A19,DATA!$H$2:$H$992,$B19,DATA!$I$2:$I$992,$C19,DATA!$E$2:$E$992,"&gt;="&amp;DATE(2026,6,1),DATA!$E$2:$E$992,"&lt;="&amp;EOMONTH(DATE(2026,6,1),0))</f>
        <v>0</v>
      </c>
      <c r="J19" s="288">
        <f>COUNTIFS(DATA!$G$2:$G$992,$A19,DATA!$H$2:$H$992,$B19,DATA!$I$2:$I$992,$C19,DATA!$E$2:$E$992,"&gt;="&amp;DATE(2026,7,1),DATA!$E$2:$E$992,"&lt;="&amp;EOMONTH(DATE(2026,7,1),0))</f>
        <v>0</v>
      </c>
      <c r="K19" s="288">
        <f>COUNTIFS(DATA!$G$2:$G$992,$A19,DATA!$H$2:$H$992,$B19,DATA!$I$2:$I$992,$C19,DATA!$E$2:$E$992,"&gt;="&amp;DATE(2026,8,1),DATA!$E$2:$E$992,"&lt;="&amp;EOMONTH(DATE(2026,8,1),0))</f>
        <v>0</v>
      </c>
      <c r="L19" s="288">
        <f>COUNTIFS(DATA!$G$2:$G$992,$A19,DATA!$H$2:$H$992,$B19,DATA!$I$2:$I$992,$C19,DATA!$E$2:$E$992,"&gt;="&amp;DATE(2026,9,1),DATA!$E$2:$E$992,"&lt;="&amp;EOMONTH(DATE(2026,9,1),0))</f>
        <v>0</v>
      </c>
      <c r="M19" s="288">
        <f>COUNTIFS(DATA!$G$2:$G$992,$A19,DATA!$H$2:$H$992,$B19,DATA!$I$2:$I$992,$C19,DATA!$E$2:$E$992,"&gt;="&amp;DATE(2026,10,1),DATA!$E$2:$E$992,"&lt;="&amp;EOMONTH(DATE(2026,10,1),0))</f>
        <v>0</v>
      </c>
      <c r="N19" s="288">
        <f>COUNTIFS(DATA!$G$2:$G$992,$A19,DATA!$H$2:$H$992,$B19,DATA!$I$2:$I$992,$C19,DATA!$E$2:$E$992,"&gt;="&amp;DATE(2026,11,1),DATA!$E$2:$E$992,"&lt;="&amp;EOMONTH(DATE(2026,11,1),0))</f>
        <v>0</v>
      </c>
      <c r="O19" s="288">
        <f>COUNTIFS(DATA!$G$2:$G$992,$A19,DATA!$H$2:$H$992,$B19,DATA!$I$2:$I$992,$C19,DATA!$E$2:$E$992,"&gt;="&amp;DATE(2026,12,1),DATA!$E$2:$E$992,"&lt;="&amp;EOMONTH(DATE(2026,12,1),0))</f>
        <v>0</v>
      </c>
      <c r="P19" s="270">
        <f t="shared" si="0"/>
        <v>9</v>
      </c>
      <c r="Q19" s="271"/>
      <c r="R19" s="272">
        <f t="shared" si="1"/>
        <v>4.2857142857142858E-2</v>
      </c>
      <c r="S19" s="277">
        <f t="shared" si="2"/>
        <v>0.80476190476190479</v>
      </c>
    </row>
    <row r="20" spans="1:19" ht="21.75" customHeight="1">
      <c r="A20" s="282" t="s">
        <v>97</v>
      </c>
      <c r="B20" s="274" t="s">
        <v>102</v>
      </c>
      <c r="C20" s="13" t="s">
        <v>233</v>
      </c>
      <c r="D20" s="269">
        <f>COUNTIFS(DATA!$G$2:$G$992,$A20,DATA!$H$2:$H$992,$B20,DATA!$I$2:$I$992,$C20,DATA!$E$2:$E$992,"&gt;="&amp;DATE(2026,1,1),DATA!$E$2:$E$992,"&lt;="&amp;EOMONTH(DATE(2026,1,1),0))</f>
        <v>0</v>
      </c>
      <c r="E20" s="269">
        <f>COUNTIFS(DATA!$G$2:$G$992,$A20,DATA!$H$2:$H$992,$B20,DATA!$I$2:$I$992,$C20,DATA!$E$2:$E$992,"&gt;="&amp;DATE(2026,2,1),DATA!$E$2:$E$992,"&lt;="&amp;EOMONTH(DATE(2026,2,1),0))</f>
        <v>0</v>
      </c>
      <c r="F20" s="269">
        <f>COUNTIFS(DATA!$G$2:$G$992,$A20,DATA!$H$2:$H$992,$B20,DATA!$I$2:$I$992,$C20,DATA!$E$2:$E$992,"&gt;="&amp;DATE(2026,3,1),DATA!$E$2:$E$992,"&lt;="&amp;EOMONTH(DATE(2026,3,1),0))</f>
        <v>0</v>
      </c>
      <c r="G20" s="269">
        <f>COUNTIFS(DATA!$G$2:$G$992,$A20,DATA!$H$2:$H$992,$B20,DATA!$I$2:$I$992,$C20,DATA!$E$2:$E$992,"&gt;="&amp;DATE(2026,4,1),DATA!$E$2:$E$992,"&lt;="&amp;EOMONTH(DATE(2026,4,1),0))</f>
        <v>0</v>
      </c>
      <c r="H20" s="269">
        <f>COUNTIFS(DATA!$G$2:$G$992,$A20,DATA!$H$2:$H$992,$B20,DATA!$I$2:$I$992,$C20,DATA!$E$2:$E$992,"&gt;="&amp;DATE(2026,5,1),DATA!$E$2:$E$992,"&lt;="&amp;EOMONTH(DATE(2026,5,1),0))</f>
        <v>0</v>
      </c>
      <c r="I20" s="269">
        <f>COUNTIFS(DATA!$G$2:$G$992,$A20,DATA!$H$2:$H$992,$B20,DATA!$I$2:$I$992,$C20,DATA!$E$2:$E$992,"&gt;="&amp;DATE(2026,6,1),DATA!$E$2:$E$992,"&lt;="&amp;EOMONTH(DATE(2026,6,1),0))</f>
        <v>0</v>
      </c>
      <c r="J20" s="269">
        <f>COUNTIFS(DATA!$G$2:$G$992,$A20,DATA!$H$2:$H$992,$B20,DATA!$I$2:$I$992,$C20,DATA!$E$2:$E$992,"&gt;="&amp;DATE(2026,7,1),DATA!$E$2:$E$992,"&lt;="&amp;EOMONTH(DATE(2026,7,1),0))</f>
        <v>0</v>
      </c>
      <c r="K20" s="269">
        <f>COUNTIFS(DATA!$G$2:$G$992,$A20,DATA!$H$2:$H$992,$B20,DATA!$I$2:$I$992,$C20,DATA!$E$2:$E$992,"&gt;="&amp;DATE(2026,8,1),DATA!$E$2:$E$992,"&lt;="&amp;EOMONTH(DATE(2026,8,1),0))</f>
        <v>0</v>
      </c>
      <c r="L20" s="269">
        <f>COUNTIFS(DATA!$G$2:$G$992,$A20,DATA!$H$2:$H$992,$B20,DATA!$I$2:$I$992,$C20,DATA!$E$2:$E$992,"&gt;="&amp;DATE(2026,9,1),DATA!$E$2:$E$992,"&lt;="&amp;EOMONTH(DATE(2026,9,1),0))</f>
        <v>0</v>
      </c>
      <c r="M20" s="269">
        <f>COUNTIFS(DATA!$G$2:$G$992,$A20,DATA!$H$2:$H$992,$B20,DATA!$I$2:$I$992,$C20,DATA!$E$2:$E$992,"&gt;="&amp;DATE(2026,10,1),DATA!$E$2:$E$992,"&lt;="&amp;EOMONTH(DATE(2026,10,1),0))</f>
        <v>0</v>
      </c>
      <c r="N20" s="269">
        <f>COUNTIFS(DATA!$G$2:$G$992,$A20,DATA!$H$2:$H$992,$B20,DATA!$I$2:$I$992,$C20,DATA!$E$2:$E$992,"&gt;="&amp;DATE(2026,11,1),DATA!$E$2:$E$992,"&lt;="&amp;EOMONTH(DATE(2026,11,1),0))</f>
        <v>0</v>
      </c>
      <c r="O20" s="269">
        <f>COUNTIFS(DATA!$G$2:$G$992,$A20,DATA!$H$2:$H$992,$B20,DATA!$I$2:$I$992,$C20,DATA!$E$2:$E$992,"&gt;="&amp;DATE(2026,12,1),DATA!$E$2:$E$992,"&lt;="&amp;EOMONTH(DATE(2026,12,1),0))</f>
        <v>0</v>
      </c>
      <c r="P20" s="270">
        <f t="shared" si="0"/>
        <v>0</v>
      </c>
      <c r="Q20" s="271"/>
      <c r="R20" s="272">
        <f t="shared" si="1"/>
        <v>0</v>
      </c>
      <c r="S20" s="277">
        <f t="shared" si="2"/>
        <v>0.80476190476190479</v>
      </c>
    </row>
    <row r="21" spans="1:19" ht="21.75" customHeight="1">
      <c r="A21" s="282" t="s">
        <v>97</v>
      </c>
      <c r="B21" s="274" t="s">
        <v>102</v>
      </c>
      <c r="C21" s="15" t="s">
        <v>238</v>
      </c>
      <c r="D21" s="275">
        <f>COUNTIFS(DATA!$G$2:$G$992,$A21,DATA!$H$2:$H$992,$B21,DATA!$I$2:$I$992,$C21,DATA!$E$2:$E$992,"&gt;="&amp;DATE(2026,1,1),DATA!$E$2:$E$992,"&lt;="&amp;EOMONTH(DATE(2026,1,1),0))</f>
        <v>0</v>
      </c>
      <c r="E21" s="275">
        <f>COUNTIFS(DATA!$G$2:$G$992,$A21,DATA!$H$2:$H$992,$B21,DATA!$I$2:$I$992,$C21,DATA!$E$2:$E$992,"&gt;="&amp;DATE(2026,2,1),DATA!$E$2:$E$992,"&lt;="&amp;EOMONTH(DATE(2026,2,1),0))</f>
        <v>0</v>
      </c>
      <c r="F21" s="275">
        <f>COUNTIFS(DATA!$G$2:$G$992,$A21,DATA!$H$2:$H$992,$B21,DATA!$I$2:$I$992,$C21,DATA!$E$2:$E$992,"&gt;="&amp;DATE(2026,3,1),DATA!$E$2:$E$992,"&lt;="&amp;EOMONTH(DATE(2026,3,1),0))</f>
        <v>0</v>
      </c>
      <c r="G21" s="275">
        <f>COUNTIFS(DATA!$G$2:$G$992,$A21,DATA!$H$2:$H$992,$B21,DATA!$I$2:$I$992,$C21,DATA!$E$2:$E$992,"&gt;="&amp;DATE(2026,4,1),DATA!$E$2:$E$992,"&lt;="&amp;EOMONTH(DATE(2026,4,1),0))</f>
        <v>0</v>
      </c>
      <c r="H21" s="275">
        <f>COUNTIFS(DATA!$G$2:$G$992,$A21,DATA!$H$2:$H$992,$B21,DATA!$I$2:$I$992,$C21,DATA!$E$2:$E$992,"&gt;="&amp;DATE(2026,5,1),DATA!$E$2:$E$992,"&lt;="&amp;EOMONTH(DATE(2026,5,1),0))</f>
        <v>0</v>
      </c>
      <c r="I21" s="275">
        <f>COUNTIFS(DATA!$G$2:$G$992,$A21,DATA!$H$2:$H$992,$B21,DATA!$I$2:$I$992,$C21,DATA!$E$2:$E$992,"&gt;="&amp;DATE(2026,6,1),DATA!$E$2:$E$992,"&lt;="&amp;EOMONTH(DATE(2026,6,1),0))</f>
        <v>0</v>
      </c>
      <c r="J21" s="275">
        <f>COUNTIFS(DATA!$G$2:$G$992,$A21,DATA!$H$2:$H$992,$B21,DATA!$I$2:$I$992,$C21,DATA!$E$2:$E$992,"&gt;="&amp;DATE(2026,7,1),DATA!$E$2:$E$992,"&lt;="&amp;EOMONTH(DATE(2026,7,1),0))</f>
        <v>0</v>
      </c>
      <c r="K21" s="275">
        <f>COUNTIFS(DATA!$G$2:$G$992,$A21,DATA!$H$2:$H$992,$B21,DATA!$I$2:$I$992,$C21,DATA!$E$2:$E$992,"&gt;="&amp;DATE(2026,8,1),DATA!$E$2:$E$992,"&lt;="&amp;EOMONTH(DATE(2026,8,1),0))</f>
        <v>0</v>
      </c>
      <c r="L21" s="275">
        <f>COUNTIFS(DATA!$G$2:$G$992,$A21,DATA!$H$2:$H$992,$B21,DATA!$I$2:$I$992,$C21,DATA!$E$2:$E$992,"&gt;="&amp;DATE(2026,9,1),DATA!$E$2:$E$992,"&lt;="&amp;EOMONTH(DATE(2026,9,1),0))</f>
        <v>0</v>
      </c>
      <c r="M21" s="275">
        <f>COUNTIFS(DATA!$G$2:$G$992,$A21,DATA!$H$2:$H$992,$B21,DATA!$I$2:$I$992,$C21,DATA!$E$2:$E$992,"&gt;="&amp;DATE(2026,10,1),DATA!$E$2:$E$992,"&lt;="&amp;EOMONTH(DATE(2026,10,1),0))</f>
        <v>0</v>
      </c>
      <c r="N21" s="275">
        <f>COUNTIFS(DATA!$G$2:$G$992,$A21,DATA!$H$2:$H$992,$B21,DATA!$I$2:$I$992,$C21,DATA!$E$2:$E$992,"&gt;="&amp;DATE(2026,11,1),DATA!$E$2:$E$992,"&lt;="&amp;EOMONTH(DATE(2026,11,1),0))</f>
        <v>0</v>
      </c>
      <c r="O21" s="275">
        <f>COUNTIFS(DATA!$G$2:$G$992,$A21,DATA!$H$2:$H$992,$B21,DATA!$I$2:$I$992,$C21,DATA!$E$2:$E$992,"&gt;="&amp;DATE(2026,12,1),DATA!$E$2:$E$992,"&lt;="&amp;EOMONTH(DATE(2026,12,1),0))</f>
        <v>0</v>
      </c>
      <c r="P21" s="276">
        <f t="shared" si="0"/>
        <v>0</v>
      </c>
      <c r="Q21" s="271"/>
      <c r="R21" s="272">
        <f t="shared" si="1"/>
        <v>0</v>
      </c>
      <c r="S21" s="277">
        <f t="shared" si="2"/>
        <v>0.80476190476190479</v>
      </c>
    </row>
    <row r="22" spans="1:19" ht="21.75" customHeight="1">
      <c r="A22" s="273" t="s">
        <v>97</v>
      </c>
      <c r="B22" s="274" t="s">
        <v>102</v>
      </c>
      <c r="C22" s="15" t="s">
        <v>136</v>
      </c>
      <c r="D22" s="285">
        <f>COUNTIFS(DATA!$G$2:$G$992,$A22,DATA!$H$2:$H$992,$B22,DATA!$I$2:$I$992,$C22,DATA!$E$2:$E$992,"&gt;="&amp;DATE(2026,1,1),DATA!$E$2:$E$992,"&lt;="&amp;EOMONTH(DATE(2026,1,1),0))</f>
        <v>0</v>
      </c>
      <c r="E22" s="285">
        <f>COUNTIFS(DATA!$G$2:$G$992,$A22,DATA!$H$2:$H$992,$B22,DATA!$I$2:$I$992,$C22,DATA!$E$2:$E$992,"&gt;="&amp;DATE(2026,2,1),DATA!$E$2:$E$992,"&lt;="&amp;EOMONTH(DATE(2026,2,1),0))</f>
        <v>0</v>
      </c>
      <c r="F22" s="285">
        <f>COUNTIFS(DATA!$G$2:$G$992,$A22,DATA!$H$2:$H$992,$B22,DATA!$I$2:$I$992,$C22,DATA!$E$2:$E$992,"&gt;="&amp;DATE(2026,3,1),DATA!$E$2:$E$992,"&lt;="&amp;EOMONTH(DATE(2026,3,1),0))</f>
        <v>0</v>
      </c>
      <c r="G22" s="285">
        <f>COUNTIFS(DATA!$G$2:$G$992,$A22,DATA!$H$2:$H$992,$B22,DATA!$I$2:$I$992,$C22,DATA!$E$2:$E$992,"&gt;="&amp;DATE(2026,4,1),DATA!$E$2:$E$992,"&lt;="&amp;EOMONTH(DATE(2026,4,1),0))</f>
        <v>6</v>
      </c>
      <c r="H22" s="285">
        <f>COUNTIFS(DATA!$G$2:$G$992,$A22,DATA!$H$2:$H$992,$B22,DATA!$I$2:$I$992,$C22,DATA!$E$2:$E$992,"&gt;="&amp;DATE(2026,5,1),DATA!$E$2:$E$992,"&lt;="&amp;EOMONTH(DATE(2026,5,1),0))</f>
        <v>6</v>
      </c>
      <c r="I22" s="285">
        <f>COUNTIFS(DATA!$G$2:$G$992,$A22,DATA!$H$2:$H$992,$B22,DATA!$I$2:$I$992,$C22,DATA!$E$2:$E$992,"&gt;="&amp;DATE(2026,6,1),DATA!$E$2:$E$992,"&lt;="&amp;EOMONTH(DATE(2026,6,1),0))</f>
        <v>0</v>
      </c>
      <c r="J22" s="285">
        <f>COUNTIFS(DATA!$G$2:$G$992,$A22,DATA!$H$2:$H$992,$B22,DATA!$I$2:$I$992,$C22,DATA!$E$2:$E$992,"&gt;="&amp;DATE(2026,7,1),DATA!$E$2:$E$992,"&lt;="&amp;EOMONTH(DATE(2026,7,1),0))</f>
        <v>0</v>
      </c>
      <c r="K22" s="285">
        <f>COUNTIFS(DATA!$G$2:$G$992,$A22,DATA!$H$2:$H$992,$B22,DATA!$I$2:$I$992,$C22,DATA!$E$2:$E$992,"&gt;="&amp;DATE(2026,8,1),DATA!$E$2:$E$992,"&lt;="&amp;EOMONTH(DATE(2026,8,1),0))</f>
        <v>0</v>
      </c>
      <c r="L22" s="285">
        <f>COUNTIFS(DATA!$G$2:$G$992,$A22,DATA!$H$2:$H$992,$B22,DATA!$I$2:$I$992,$C22,DATA!$E$2:$E$992,"&gt;="&amp;DATE(2026,9,1),DATA!$E$2:$E$992,"&lt;="&amp;EOMONTH(DATE(2026,9,1),0))</f>
        <v>0</v>
      </c>
      <c r="M22" s="285">
        <f>COUNTIFS(DATA!$G$2:$G$992,$A22,DATA!$H$2:$H$992,$B22,DATA!$I$2:$I$992,$C22,DATA!$E$2:$E$992,"&gt;="&amp;DATE(2026,10,1),DATA!$E$2:$E$992,"&lt;="&amp;EOMONTH(DATE(2026,10,1),0))</f>
        <v>0</v>
      </c>
      <c r="N22" s="285">
        <f>COUNTIFS(DATA!$G$2:$G$992,$A22,DATA!$H$2:$H$992,$B22,DATA!$I$2:$I$992,$C22,DATA!$E$2:$E$992,"&gt;="&amp;DATE(2026,11,1),DATA!$E$2:$E$992,"&lt;="&amp;EOMONTH(DATE(2026,11,1),0))</f>
        <v>0</v>
      </c>
      <c r="O22" s="285">
        <f>COUNTIFS(DATA!$G$2:$G$992,$A22,DATA!$H$2:$H$992,$B22,DATA!$I$2:$I$992,$C22,DATA!$E$2:$E$992,"&gt;="&amp;DATE(2026,12,1),DATA!$E$2:$E$992,"&lt;="&amp;EOMONTH(DATE(2026,12,1),0))</f>
        <v>0</v>
      </c>
      <c r="P22" s="276">
        <f t="shared" si="0"/>
        <v>12</v>
      </c>
      <c r="Q22" s="271"/>
      <c r="R22" s="272">
        <f t="shared" si="1"/>
        <v>5.7142857142857141E-2</v>
      </c>
      <c r="S22" s="277">
        <f t="shared" si="2"/>
        <v>0.80476190476190479</v>
      </c>
    </row>
    <row r="23" spans="1:19" ht="21.75" customHeight="1">
      <c r="A23" s="273" t="s">
        <v>97</v>
      </c>
      <c r="B23" s="278" t="s">
        <v>103</v>
      </c>
      <c r="C23" s="16" t="s">
        <v>125</v>
      </c>
      <c r="D23" s="279">
        <f>COUNTIFS(DATA!$G$2:$G$992,$A23,DATA!$H$2:$H$992,$B23,DATA!$I$2:$I$992,$C23,DATA!$E$2:$E$992,"&gt;="&amp;DATE(2026,1,1),DATA!$E$2:$E$992,"&lt;="&amp;EOMONTH(DATE(2026,1,1),0))</f>
        <v>0</v>
      </c>
      <c r="E23" s="279">
        <f>COUNTIFS(DATA!$G$2:$G$992,$A23,DATA!$H$2:$H$992,$B23,DATA!$I$2:$I$992,$C23,DATA!$E$2:$E$992,"&gt;="&amp;DATE(2026,2,1),DATA!$E$2:$E$992,"&lt;="&amp;EOMONTH(DATE(2026,2,1),0))</f>
        <v>0</v>
      </c>
      <c r="F23" s="279">
        <f>COUNTIFS(DATA!$G$2:$G$992,$A23,DATA!$H$2:$H$992,$B23,DATA!$I$2:$I$992,$C23,DATA!$E$2:$E$992,"&gt;="&amp;DATE(2026,3,1),DATA!$E$2:$E$992,"&lt;="&amp;EOMONTH(DATE(2026,3,1),0))</f>
        <v>0</v>
      </c>
      <c r="G23" s="279">
        <f>COUNTIFS(DATA!$G$2:$G$992,$A23,DATA!$H$2:$H$992,$B23,DATA!$I$2:$I$992,$C23,DATA!$E$2:$E$992,"&gt;="&amp;DATE(2026,4,1),DATA!$E$2:$E$992,"&lt;="&amp;EOMONTH(DATE(2026,4,1),0))</f>
        <v>0</v>
      </c>
      <c r="H23" s="279">
        <f>COUNTIFS(DATA!$G$2:$G$992,$A23,DATA!$H$2:$H$992,$B23,DATA!$I$2:$I$992,$C23,DATA!$E$2:$E$992,"&gt;="&amp;DATE(2026,5,1),DATA!$E$2:$E$992,"&lt;="&amp;EOMONTH(DATE(2026,5,1),0))</f>
        <v>0</v>
      </c>
      <c r="I23" s="279">
        <f>COUNTIFS(DATA!$G$2:$G$992,$A23,DATA!$H$2:$H$992,$B23,DATA!$I$2:$I$992,$C23,DATA!$E$2:$E$992,"&gt;="&amp;DATE(2026,6,1),DATA!$E$2:$E$992,"&lt;="&amp;EOMONTH(DATE(2026,6,1),0))</f>
        <v>0</v>
      </c>
      <c r="J23" s="279">
        <f>COUNTIFS(DATA!$G$2:$G$992,$A23,DATA!$H$2:$H$992,$B23,DATA!$I$2:$I$992,$C23,DATA!$E$2:$E$992,"&gt;="&amp;DATE(2026,7,1),DATA!$E$2:$E$992,"&lt;="&amp;EOMONTH(DATE(2026,7,1),0))</f>
        <v>0</v>
      </c>
      <c r="K23" s="279">
        <f>COUNTIFS(DATA!$G$2:$G$992,$A23,DATA!$H$2:$H$992,$B23,DATA!$I$2:$I$992,$C23,DATA!$E$2:$E$992,"&gt;="&amp;DATE(2026,8,1),DATA!$E$2:$E$992,"&lt;="&amp;EOMONTH(DATE(2026,8,1),0))</f>
        <v>0</v>
      </c>
      <c r="L23" s="279">
        <f>COUNTIFS(DATA!$G$2:$G$992,$A23,DATA!$H$2:$H$992,$B23,DATA!$I$2:$I$992,$C23,DATA!$E$2:$E$992,"&gt;="&amp;DATE(2026,9,1),DATA!$E$2:$E$992,"&lt;="&amp;EOMONTH(DATE(2026,9,1),0))</f>
        <v>0</v>
      </c>
      <c r="M23" s="279">
        <f>COUNTIFS(DATA!$G$2:$G$992,$A23,DATA!$H$2:$H$992,$B23,DATA!$I$2:$I$992,$C23,DATA!$E$2:$E$992,"&gt;="&amp;DATE(2026,10,1),DATA!$E$2:$E$992,"&lt;="&amp;EOMONTH(DATE(2026,10,1),0))</f>
        <v>0</v>
      </c>
      <c r="N23" s="279">
        <f>COUNTIFS(DATA!$G$2:$G$992,$A23,DATA!$H$2:$H$992,$B23,DATA!$I$2:$I$992,$C23,DATA!$E$2:$E$992,"&gt;="&amp;DATE(2026,11,1),DATA!$E$2:$E$992,"&lt;="&amp;EOMONTH(DATE(2026,11,1),0))</f>
        <v>0</v>
      </c>
      <c r="O23" s="279">
        <f>COUNTIFS(DATA!$G$2:$G$992,$A23,DATA!$H$2:$H$992,$B23,DATA!$I$2:$I$992,$C23,DATA!$E$2:$E$992,"&gt;="&amp;DATE(2026,12,1),DATA!$E$2:$E$992,"&lt;="&amp;EOMONTH(DATE(2026,12,1),0))</f>
        <v>0</v>
      </c>
      <c r="P23" s="280">
        <f t="shared" si="0"/>
        <v>0</v>
      </c>
      <c r="Q23" s="271"/>
      <c r="R23" s="272">
        <f t="shared" si="1"/>
        <v>0</v>
      </c>
      <c r="S23" s="281">
        <f>IFERROR(SUM($P$23:$P$26)/$P$71,0)</f>
        <v>1.9047619047619049E-2</v>
      </c>
    </row>
    <row r="24" spans="1:19" ht="21.75" customHeight="1">
      <c r="A24" s="282" t="s">
        <v>97</v>
      </c>
      <c r="B24" s="18" t="s">
        <v>103</v>
      </c>
      <c r="C24" s="17" t="s">
        <v>143</v>
      </c>
      <c r="D24" s="283">
        <f>COUNTIFS(DATA!$G$2:$G$992,$A24,DATA!$H$2:$H$992,$B24,DATA!$I$2:$I$992,$C24,DATA!$E$2:$E$992,"&gt;="&amp;DATE(2026,1,1),DATA!$E$2:$E$992,"&lt;="&amp;EOMONTH(DATE(2026,1,1),0))</f>
        <v>0</v>
      </c>
      <c r="E24" s="283">
        <f>COUNTIFS(DATA!$G$2:$G$992,$A24,DATA!$H$2:$H$992,$B24,DATA!$I$2:$I$992,$C24,DATA!$E$2:$E$992,"&gt;="&amp;DATE(2026,2,1),DATA!$E$2:$E$992,"&lt;="&amp;EOMONTH(DATE(2026,2,1),0))</f>
        <v>0</v>
      </c>
      <c r="F24" s="283">
        <f>COUNTIFS(DATA!$G$2:$G$992,$A24,DATA!$H$2:$H$992,$B24,DATA!$I$2:$I$992,$C24,DATA!$E$2:$E$992,"&gt;="&amp;DATE(2026,3,1),DATA!$E$2:$E$992,"&lt;="&amp;EOMONTH(DATE(2026,3,1),0))</f>
        <v>0</v>
      </c>
      <c r="G24" s="283">
        <f>COUNTIFS(DATA!$G$2:$G$992,$A24,DATA!$H$2:$H$992,$B24,DATA!$I$2:$I$992,$C24,DATA!$E$2:$E$992,"&gt;="&amp;DATE(2026,4,1),DATA!$E$2:$E$992,"&lt;="&amp;EOMONTH(DATE(2026,4,1),0))</f>
        <v>0</v>
      </c>
      <c r="H24" s="283">
        <f>COUNTIFS(DATA!$G$2:$G$992,$A24,DATA!$H$2:$H$992,$B24,DATA!$I$2:$I$992,$C24,DATA!$E$2:$E$992,"&gt;="&amp;DATE(2026,5,1),DATA!$E$2:$E$992,"&lt;="&amp;EOMONTH(DATE(2026,5,1),0))</f>
        <v>0</v>
      </c>
      <c r="I24" s="283">
        <f>COUNTIFS(DATA!$G$2:$G$992,$A24,DATA!$H$2:$H$992,$B24,DATA!$I$2:$I$992,$C24,DATA!$E$2:$E$992,"&gt;="&amp;DATE(2026,6,1),DATA!$E$2:$E$992,"&lt;="&amp;EOMONTH(DATE(2026,6,1),0))</f>
        <v>0</v>
      </c>
      <c r="J24" s="283">
        <f>COUNTIFS(DATA!$G$2:$G$992,$A24,DATA!$H$2:$H$992,$B24,DATA!$I$2:$I$992,$C24,DATA!$E$2:$E$992,"&gt;="&amp;DATE(2026,7,1),DATA!$E$2:$E$992,"&lt;="&amp;EOMONTH(DATE(2026,7,1),0))</f>
        <v>0</v>
      </c>
      <c r="K24" s="283">
        <f>COUNTIFS(DATA!$G$2:$G$992,$A24,DATA!$H$2:$H$992,$B24,DATA!$I$2:$I$992,$C24,DATA!$E$2:$E$992,"&gt;="&amp;DATE(2026,8,1),DATA!$E$2:$E$992,"&lt;="&amp;EOMONTH(DATE(2026,8,1),0))</f>
        <v>0</v>
      </c>
      <c r="L24" s="283">
        <f>COUNTIFS(DATA!$G$2:$G$992,$A24,DATA!$H$2:$H$992,$B24,DATA!$I$2:$I$992,$C24,DATA!$E$2:$E$992,"&gt;="&amp;DATE(2026,9,1),DATA!$E$2:$E$992,"&lt;="&amp;EOMONTH(DATE(2026,9,1),0))</f>
        <v>0</v>
      </c>
      <c r="M24" s="283">
        <f>COUNTIFS(DATA!$G$2:$G$992,$A24,DATA!$H$2:$H$992,$B24,DATA!$I$2:$I$992,$C24,DATA!$E$2:$E$992,"&gt;="&amp;DATE(2026,10,1),DATA!$E$2:$E$992,"&lt;="&amp;EOMONTH(DATE(2026,10,1),0))</f>
        <v>0</v>
      </c>
      <c r="N24" s="283">
        <f>COUNTIFS(DATA!$G$2:$G$992,$A24,DATA!$H$2:$H$992,$B24,DATA!$I$2:$I$992,$C24,DATA!$E$2:$E$992,"&gt;="&amp;DATE(2026,11,1),DATA!$E$2:$E$992,"&lt;="&amp;EOMONTH(DATE(2026,11,1),0))</f>
        <v>0</v>
      </c>
      <c r="O24" s="283">
        <f>COUNTIFS(DATA!$G$2:$G$992,$A24,DATA!$H$2:$H$992,$B24,DATA!$I$2:$I$992,$C24,DATA!$E$2:$E$992,"&gt;="&amp;DATE(2026,12,1),DATA!$E$2:$E$992,"&lt;="&amp;EOMONTH(DATE(2026,12,1),0))</f>
        <v>0</v>
      </c>
      <c r="P24" s="284">
        <f t="shared" si="0"/>
        <v>0</v>
      </c>
      <c r="Q24" s="271"/>
      <c r="R24" s="272">
        <f t="shared" si="1"/>
        <v>0</v>
      </c>
      <c r="S24" s="19">
        <f>IFERROR(SUM($P$23:$P$26)/$P$71,0)</f>
        <v>1.9047619047619049E-2</v>
      </c>
    </row>
    <row r="25" spans="1:19" ht="21.75" customHeight="1">
      <c r="A25" s="282" t="s">
        <v>97</v>
      </c>
      <c r="B25" s="274" t="s">
        <v>103</v>
      </c>
      <c r="C25" s="15" t="s">
        <v>160</v>
      </c>
      <c r="D25" s="285">
        <f>COUNTIFS(DATA!$G$2:$G$992,$A25,DATA!$H$2:$H$992,$B25,DATA!$I$2:$I$992,$C25,DATA!$E$2:$E$992,"&gt;="&amp;DATE(2026,1,1),DATA!$E$2:$E$992,"&lt;="&amp;EOMONTH(DATE(2026,1,1),0))</f>
        <v>0</v>
      </c>
      <c r="E25" s="285">
        <f>COUNTIFS(DATA!$G$2:$G$992,$A25,DATA!$H$2:$H$992,$B25,DATA!$I$2:$I$992,$C25,DATA!$E$2:$E$992,"&gt;="&amp;DATE(2026,2,1),DATA!$E$2:$E$992,"&lt;="&amp;EOMONTH(DATE(2026,2,1),0))</f>
        <v>0</v>
      </c>
      <c r="F25" s="285">
        <f>COUNTIFS(DATA!$G$2:$G$992,$A25,DATA!$H$2:$H$992,$B25,DATA!$I$2:$I$992,$C25,DATA!$E$2:$E$992,"&gt;="&amp;DATE(2026,3,1),DATA!$E$2:$E$992,"&lt;="&amp;EOMONTH(DATE(2026,3,1),0))</f>
        <v>0</v>
      </c>
      <c r="G25" s="285">
        <f>COUNTIFS(DATA!$G$2:$G$992,$A25,DATA!$H$2:$H$992,$B25,DATA!$I$2:$I$992,$C25,DATA!$E$2:$E$992,"&gt;="&amp;DATE(2026,4,1),DATA!$E$2:$E$992,"&lt;="&amp;EOMONTH(DATE(2026,4,1),0))</f>
        <v>0</v>
      </c>
      <c r="H25" s="285">
        <f>COUNTIFS(DATA!$G$2:$G$992,$A25,DATA!$H$2:$H$992,$B25,DATA!$I$2:$I$992,$C25,DATA!$E$2:$E$992,"&gt;="&amp;DATE(2026,5,1),DATA!$E$2:$E$992,"&lt;="&amp;EOMONTH(DATE(2026,5,1),0))</f>
        <v>3</v>
      </c>
      <c r="I25" s="285">
        <f>COUNTIFS(DATA!$G$2:$G$992,$A25,DATA!$H$2:$H$992,$B25,DATA!$I$2:$I$992,$C25,DATA!$E$2:$E$992,"&gt;="&amp;DATE(2026,6,1),DATA!$E$2:$E$992,"&lt;="&amp;EOMONTH(DATE(2026,6,1),0))</f>
        <v>1</v>
      </c>
      <c r="J25" s="285">
        <f>COUNTIFS(DATA!$G$2:$G$992,$A25,DATA!$H$2:$H$992,$B25,DATA!$I$2:$I$992,$C25,DATA!$E$2:$E$992,"&gt;="&amp;DATE(2026,7,1),DATA!$E$2:$E$992,"&lt;="&amp;EOMONTH(DATE(2026,7,1),0))</f>
        <v>0</v>
      </c>
      <c r="K25" s="285">
        <f>COUNTIFS(DATA!$G$2:$G$992,$A25,DATA!$H$2:$H$992,$B25,DATA!$I$2:$I$992,$C25,DATA!$E$2:$E$992,"&gt;="&amp;DATE(2026,8,1),DATA!$E$2:$E$992,"&lt;="&amp;EOMONTH(DATE(2026,8,1),0))</f>
        <v>0</v>
      </c>
      <c r="L25" s="285">
        <f>COUNTIFS(DATA!$G$2:$G$992,$A25,DATA!$H$2:$H$992,$B25,DATA!$I$2:$I$992,$C25,DATA!$E$2:$E$992,"&gt;="&amp;DATE(2026,9,1),DATA!$E$2:$E$992,"&lt;="&amp;EOMONTH(DATE(2026,9,1),0))</f>
        <v>0</v>
      </c>
      <c r="M25" s="285">
        <f>COUNTIFS(DATA!$G$2:$G$992,$A25,DATA!$H$2:$H$992,$B25,DATA!$I$2:$I$992,$C25,DATA!$E$2:$E$992,"&gt;="&amp;DATE(2026,10,1),DATA!$E$2:$E$992,"&lt;="&amp;EOMONTH(DATE(2026,10,1),0))</f>
        <v>0</v>
      </c>
      <c r="N25" s="285">
        <f>COUNTIFS(DATA!$G$2:$G$992,$A25,DATA!$H$2:$H$992,$B25,DATA!$I$2:$I$992,$C25,DATA!$E$2:$E$992,"&gt;="&amp;DATE(2026,11,1),DATA!$E$2:$E$992,"&lt;="&amp;EOMONTH(DATE(2026,11,1),0))</f>
        <v>0</v>
      </c>
      <c r="O25" s="285">
        <f>COUNTIFS(DATA!$G$2:$G$992,$A25,DATA!$H$2:$H$992,$B25,DATA!$I$2:$I$992,$C25,DATA!$E$2:$E$992,"&gt;="&amp;DATE(2026,12,1),DATA!$E$2:$E$992,"&lt;="&amp;EOMONTH(DATE(2026,12,1),0))</f>
        <v>0</v>
      </c>
      <c r="P25" s="276">
        <f t="shared" si="0"/>
        <v>4</v>
      </c>
      <c r="Q25" s="271"/>
      <c r="R25" s="272">
        <f t="shared" si="1"/>
        <v>1.9047619047619049E-2</v>
      </c>
      <c r="S25" s="277">
        <f>IFERROR(SUM($P$23:$P$26)/$P$71,0)</f>
        <v>1.9047619047619049E-2</v>
      </c>
    </row>
    <row r="26" spans="1:19" ht="21.75" customHeight="1">
      <c r="A26" s="273" t="s">
        <v>97</v>
      </c>
      <c r="B26" s="274" t="s">
        <v>103</v>
      </c>
      <c r="C26" s="15" t="s">
        <v>176</v>
      </c>
      <c r="D26" s="275">
        <f>COUNTIFS(DATA!$G$2:$G$992,$A26,DATA!$H$2:$H$992,$B26,DATA!$I$2:$I$992,$C26,DATA!$E$2:$E$992,"&gt;="&amp;DATE(2026,1,1),DATA!$E$2:$E$992,"&lt;="&amp;EOMONTH(DATE(2026,1,1),0))</f>
        <v>0</v>
      </c>
      <c r="E26" s="275">
        <f>COUNTIFS(DATA!$G$2:$G$992,$A26,DATA!$H$2:$H$992,$B26,DATA!$I$2:$I$992,$C26,DATA!$E$2:$E$992,"&gt;="&amp;DATE(2026,2,1),DATA!$E$2:$E$992,"&lt;="&amp;EOMONTH(DATE(2026,2,1),0))</f>
        <v>0</v>
      </c>
      <c r="F26" s="275">
        <f>COUNTIFS(DATA!$G$2:$G$992,$A26,DATA!$H$2:$H$992,$B26,DATA!$I$2:$I$992,$C26,DATA!$E$2:$E$992,"&gt;="&amp;DATE(2026,3,1),DATA!$E$2:$E$992,"&lt;="&amp;EOMONTH(DATE(2026,3,1),0))</f>
        <v>0</v>
      </c>
      <c r="G26" s="275">
        <f>COUNTIFS(DATA!$G$2:$G$992,$A26,DATA!$H$2:$H$992,$B26,DATA!$I$2:$I$992,$C26,DATA!$E$2:$E$992,"&gt;="&amp;DATE(2026,4,1),DATA!$E$2:$E$992,"&lt;="&amp;EOMONTH(DATE(2026,4,1),0))</f>
        <v>0</v>
      </c>
      <c r="H26" s="275">
        <f>COUNTIFS(DATA!$G$2:$G$992,$A26,DATA!$H$2:$H$992,$B26,DATA!$I$2:$I$992,$C26,DATA!$E$2:$E$992,"&gt;="&amp;DATE(2026,5,1),DATA!$E$2:$E$992,"&lt;="&amp;EOMONTH(DATE(2026,5,1),0))</f>
        <v>0</v>
      </c>
      <c r="I26" s="275">
        <f>COUNTIFS(DATA!$G$2:$G$992,$A26,DATA!$H$2:$H$992,$B26,DATA!$I$2:$I$992,$C26,DATA!$E$2:$E$992,"&gt;="&amp;DATE(2026,6,1),DATA!$E$2:$E$992,"&lt;="&amp;EOMONTH(DATE(2026,6,1),0))</f>
        <v>0</v>
      </c>
      <c r="J26" s="275">
        <f>COUNTIFS(DATA!$G$2:$G$992,$A26,DATA!$H$2:$H$992,$B26,DATA!$I$2:$I$992,$C26,DATA!$E$2:$E$992,"&gt;="&amp;DATE(2026,7,1),DATA!$E$2:$E$992,"&lt;="&amp;EOMONTH(DATE(2026,7,1),0))</f>
        <v>0</v>
      </c>
      <c r="K26" s="275">
        <f>COUNTIFS(DATA!$G$2:$G$992,$A26,DATA!$H$2:$H$992,$B26,DATA!$I$2:$I$992,$C26,DATA!$E$2:$E$992,"&gt;="&amp;DATE(2026,8,1),DATA!$E$2:$E$992,"&lt;="&amp;EOMONTH(DATE(2026,8,1),0))</f>
        <v>0</v>
      </c>
      <c r="L26" s="275">
        <f>COUNTIFS(DATA!$G$2:$G$992,$A26,DATA!$H$2:$H$992,$B26,DATA!$I$2:$I$992,$C26,DATA!$E$2:$E$992,"&gt;="&amp;DATE(2026,9,1),DATA!$E$2:$E$992,"&lt;="&amp;EOMONTH(DATE(2026,9,1),0))</f>
        <v>0</v>
      </c>
      <c r="M26" s="275">
        <f>COUNTIFS(DATA!$G$2:$G$992,$A26,DATA!$H$2:$H$992,$B26,DATA!$I$2:$I$992,$C26,DATA!$E$2:$E$992,"&gt;="&amp;DATE(2026,10,1),DATA!$E$2:$E$992,"&lt;="&amp;EOMONTH(DATE(2026,10,1),0))</f>
        <v>0</v>
      </c>
      <c r="N26" s="275">
        <f>COUNTIFS(DATA!$G$2:$G$992,$A26,DATA!$H$2:$H$992,$B26,DATA!$I$2:$I$992,$C26,DATA!$E$2:$E$992,"&gt;="&amp;DATE(2026,11,1),DATA!$E$2:$E$992,"&lt;="&amp;EOMONTH(DATE(2026,11,1),0))</f>
        <v>0</v>
      </c>
      <c r="O26" s="275">
        <f>COUNTIFS(DATA!$G$2:$G$992,$A26,DATA!$H$2:$H$992,$B26,DATA!$I$2:$I$992,$C26,DATA!$E$2:$E$992,"&gt;="&amp;DATE(2026,12,1),DATA!$E$2:$E$992,"&lt;="&amp;EOMONTH(DATE(2026,12,1),0))</f>
        <v>0</v>
      </c>
      <c r="P26" s="276">
        <f t="shared" si="0"/>
        <v>0</v>
      </c>
      <c r="Q26" s="271"/>
      <c r="R26" s="272">
        <f t="shared" si="1"/>
        <v>0</v>
      </c>
      <c r="S26" s="277">
        <f>IFERROR(SUM($P$23:$P$26)/$P$71,0)</f>
        <v>1.9047619047619049E-2</v>
      </c>
    </row>
    <row r="27" spans="1:19" ht="21.75" customHeight="1">
      <c r="A27" s="273" t="s">
        <v>97</v>
      </c>
      <c r="B27" s="278" t="s">
        <v>104</v>
      </c>
      <c r="C27" s="16" t="s">
        <v>203</v>
      </c>
      <c r="D27" s="279">
        <f>COUNTIFS(DATA!$G$2:$G$992,$A27,DATA!$H$2:$H$992,$B27,DATA!$I$2:$I$992,$C27,DATA!$E$2:$E$992,"&gt;="&amp;DATE(2026,1,1),DATA!$E$2:$E$992,"&lt;="&amp;EOMONTH(DATE(2026,1,1),0))</f>
        <v>0</v>
      </c>
      <c r="E27" s="279">
        <f>COUNTIFS(DATA!$G$2:$G$992,$A27,DATA!$H$2:$H$992,$B27,DATA!$I$2:$I$992,$C27,DATA!$E$2:$E$992,"&gt;="&amp;DATE(2026,2,1),DATA!$E$2:$E$992,"&lt;="&amp;EOMONTH(DATE(2026,2,1),0))</f>
        <v>0</v>
      </c>
      <c r="F27" s="279">
        <f>COUNTIFS(DATA!$G$2:$G$992,$A27,DATA!$H$2:$H$992,$B27,DATA!$I$2:$I$992,$C27,DATA!$E$2:$E$992,"&gt;="&amp;DATE(2026,3,1),DATA!$E$2:$E$992,"&lt;="&amp;EOMONTH(DATE(2026,3,1),0))</f>
        <v>0</v>
      </c>
      <c r="G27" s="279">
        <f>COUNTIFS(DATA!$G$2:$G$992,$A27,DATA!$H$2:$H$992,$B27,DATA!$I$2:$I$992,$C27,DATA!$E$2:$E$992,"&gt;="&amp;DATE(2026,4,1),DATA!$E$2:$E$992,"&lt;="&amp;EOMONTH(DATE(2026,4,1),0))</f>
        <v>0</v>
      </c>
      <c r="H27" s="279">
        <f>COUNTIFS(DATA!$G$2:$G$992,$A27,DATA!$H$2:$H$992,$B27,DATA!$I$2:$I$992,$C27,DATA!$E$2:$E$992,"&gt;="&amp;DATE(2026,5,1),DATA!$E$2:$E$992,"&lt;="&amp;EOMONTH(DATE(2026,5,1),0))</f>
        <v>0</v>
      </c>
      <c r="I27" s="279">
        <f>COUNTIFS(DATA!$G$2:$G$992,$A27,DATA!$H$2:$H$992,$B27,DATA!$I$2:$I$992,$C27,DATA!$E$2:$E$992,"&gt;="&amp;DATE(2026,6,1),DATA!$E$2:$E$992,"&lt;="&amp;EOMONTH(DATE(2026,6,1),0))</f>
        <v>1</v>
      </c>
      <c r="J27" s="279">
        <f>COUNTIFS(DATA!$G$2:$G$992,$A27,DATA!$H$2:$H$992,$B27,DATA!$I$2:$I$992,$C27,DATA!$E$2:$E$992,"&gt;="&amp;DATE(2026,7,1),DATA!$E$2:$E$992,"&lt;="&amp;EOMONTH(DATE(2026,7,1),0))</f>
        <v>0</v>
      </c>
      <c r="K27" s="279">
        <f>COUNTIFS(DATA!$G$2:$G$992,$A27,DATA!$H$2:$H$992,$B27,DATA!$I$2:$I$992,$C27,DATA!$E$2:$E$992,"&gt;="&amp;DATE(2026,8,1),DATA!$E$2:$E$992,"&lt;="&amp;EOMONTH(DATE(2026,8,1),0))</f>
        <v>0</v>
      </c>
      <c r="L27" s="279">
        <f>COUNTIFS(DATA!$G$2:$G$992,$A27,DATA!$H$2:$H$992,$B27,DATA!$I$2:$I$992,$C27,DATA!$E$2:$E$992,"&gt;="&amp;DATE(2026,9,1),DATA!$E$2:$E$992,"&lt;="&amp;EOMONTH(DATE(2026,9,1),0))</f>
        <v>0</v>
      </c>
      <c r="M27" s="279">
        <f>COUNTIFS(DATA!$G$2:$G$992,$A27,DATA!$H$2:$H$992,$B27,DATA!$I$2:$I$992,$C27,DATA!$E$2:$E$992,"&gt;="&amp;DATE(2026,10,1),DATA!$E$2:$E$992,"&lt;="&amp;EOMONTH(DATE(2026,10,1),0))</f>
        <v>0</v>
      </c>
      <c r="N27" s="279">
        <f>COUNTIFS(DATA!$G$2:$G$992,$A27,DATA!$H$2:$H$992,$B27,DATA!$I$2:$I$992,$C27,DATA!$E$2:$E$992,"&gt;="&amp;DATE(2026,11,1),DATA!$E$2:$E$992,"&lt;="&amp;EOMONTH(DATE(2026,11,1),0))</f>
        <v>0</v>
      </c>
      <c r="O27" s="279">
        <f>COUNTIFS(DATA!$G$2:$G$992,$A27,DATA!$H$2:$H$992,$B27,DATA!$I$2:$I$992,$C27,DATA!$E$2:$E$992,"&gt;="&amp;DATE(2026,12,1),DATA!$E$2:$E$992,"&lt;="&amp;EOMONTH(DATE(2026,12,1),0))</f>
        <v>0</v>
      </c>
      <c r="P27" s="280">
        <f t="shared" si="0"/>
        <v>1</v>
      </c>
      <c r="Q27" s="271"/>
      <c r="R27" s="272">
        <f t="shared" si="1"/>
        <v>4.7619047619047623E-3</v>
      </c>
      <c r="S27" s="281">
        <f t="shared" ref="S27:S33" si="3">IFERROR(SUM($P$27:$P$33)/$P$71,0)</f>
        <v>7.6190476190476197E-2</v>
      </c>
    </row>
    <row r="28" spans="1:19" ht="21.75" customHeight="1">
      <c r="A28" s="282" t="s">
        <v>97</v>
      </c>
      <c r="B28" s="274" t="s">
        <v>104</v>
      </c>
      <c r="C28" s="17" t="s">
        <v>212</v>
      </c>
      <c r="D28" s="283">
        <f>COUNTIFS(DATA!$G$2:$G$992,$A28,DATA!$H$2:$H$992,$B28,DATA!$I$2:$I$992,$C28,DATA!$E$2:$E$992,"&gt;="&amp;DATE(2026,1,1),DATA!$E$2:$E$992,"&lt;="&amp;EOMONTH(DATE(2026,1,1),0))</f>
        <v>0</v>
      </c>
      <c r="E28" s="283">
        <f>COUNTIFS(DATA!$G$2:$G$992,$A28,DATA!$H$2:$H$992,$B28,DATA!$I$2:$I$992,$C28,DATA!$E$2:$E$992,"&gt;="&amp;DATE(2026,2,1),DATA!$E$2:$E$992,"&lt;="&amp;EOMONTH(DATE(2026,2,1),0))</f>
        <v>0</v>
      </c>
      <c r="F28" s="283">
        <f>COUNTIFS(DATA!$G$2:$G$992,$A28,DATA!$H$2:$H$992,$B28,DATA!$I$2:$I$992,$C28,DATA!$E$2:$E$992,"&gt;="&amp;DATE(2026,3,1),DATA!$E$2:$E$992,"&lt;="&amp;EOMONTH(DATE(2026,3,1),0))</f>
        <v>0</v>
      </c>
      <c r="G28" s="283">
        <f>COUNTIFS(DATA!$G$2:$G$992,$A28,DATA!$H$2:$H$992,$B28,DATA!$I$2:$I$992,$C28,DATA!$E$2:$E$992,"&gt;="&amp;DATE(2026,4,1),DATA!$E$2:$E$992,"&lt;="&amp;EOMONTH(DATE(2026,4,1),0))</f>
        <v>0</v>
      </c>
      <c r="H28" s="283">
        <f>COUNTIFS(DATA!$G$2:$G$992,$A28,DATA!$H$2:$H$992,$B28,DATA!$I$2:$I$992,$C28,DATA!$E$2:$E$992,"&gt;="&amp;DATE(2026,5,1),DATA!$E$2:$E$992,"&lt;="&amp;EOMONTH(DATE(2026,5,1),0))</f>
        <v>0</v>
      </c>
      <c r="I28" s="283">
        <f>COUNTIFS(DATA!$G$2:$G$992,$A28,DATA!$H$2:$H$992,$B28,DATA!$I$2:$I$992,$C28,DATA!$E$2:$E$992,"&gt;="&amp;DATE(2026,6,1),DATA!$E$2:$E$992,"&lt;="&amp;EOMONTH(DATE(2026,6,1),0))</f>
        <v>0</v>
      </c>
      <c r="J28" s="283">
        <f>COUNTIFS(DATA!$G$2:$G$992,$A28,DATA!$H$2:$H$992,$B28,DATA!$I$2:$I$992,$C28,DATA!$E$2:$E$992,"&gt;="&amp;DATE(2026,7,1),DATA!$E$2:$E$992,"&lt;="&amp;EOMONTH(DATE(2026,7,1),0))</f>
        <v>0</v>
      </c>
      <c r="K28" s="283">
        <f>COUNTIFS(DATA!$G$2:$G$992,$A28,DATA!$H$2:$H$992,$B28,DATA!$I$2:$I$992,$C28,DATA!$E$2:$E$992,"&gt;="&amp;DATE(2026,8,1),DATA!$E$2:$E$992,"&lt;="&amp;EOMONTH(DATE(2026,8,1),0))</f>
        <v>0</v>
      </c>
      <c r="L28" s="283">
        <f>COUNTIFS(DATA!$G$2:$G$992,$A28,DATA!$H$2:$H$992,$B28,DATA!$I$2:$I$992,$C28,DATA!$E$2:$E$992,"&gt;="&amp;DATE(2026,9,1),DATA!$E$2:$E$992,"&lt;="&amp;EOMONTH(DATE(2026,9,1),0))</f>
        <v>0</v>
      </c>
      <c r="M28" s="283">
        <f>COUNTIFS(DATA!$G$2:$G$992,$A28,DATA!$H$2:$H$992,$B28,DATA!$I$2:$I$992,$C28,DATA!$E$2:$E$992,"&gt;="&amp;DATE(2026,10,1),DATA!$E$2:$E$992,"&lt;="&amp;EOMONTH(DATE(2026,10,1),0))</f>
        <v>0</v>
      </c>
      <c r="N28" s="283">
        <f>COUNTIFS(DATA!$G$2:$G$992,$A28,DATA!$H$2:$H$992,$B28,DATA!$I$2:$I$992,$C28,DATA!$E$2:$E$992,"&gt;="&amp;DATE(2026,11,1),DATA!$E$2:$E$992,"&lt;="&amp;EOMONTH(DATE(2026,11,1),0))</f>
        <v>0</v>
      </c>
      <c r="O28" s="283">
        <f>COUNTIFS(DATA!$G$2:$G$992,$A28,DATA!$H$2:$H$992,$B28,DATA!$I$2:$I$992,$C28,DATA!$E$2:$E$992,"&gt;="&amp;DATE(2026,12,1),DATA!$E$2:$E$992,"&lt;="&amp;EOMONTH(DATE(2026,12,1),0))</f>
        <v>0</v>
      </c>
      <c r="P28" s="284">
        <f t="shared" si="0"/>
        <v>0</v>
      </c>
      <c r="Q28" s="271"/>
      <c r="R28" s="272">
        <f t="shared" si="1"/>
        <v>0</v>
      </c>
      <c r="S28" s="277">
        <f t="shared" si="3"/>
        <v>7.6190476190476197E-2</v>
      </c>
    </row>
    <row r="29" spans="1:19" ht="21.75" customHeight="1">
      <c r="A29" s="282" t="s">
        <v>97</v>
      </c>
      <c r="B29" s="18" t="s">
        <v>104</v>
      </c>
      <c r="C29" s="13" t="s">
        <v>144</v>
      </c>
      <c r="D29" s="288">
        <f>COUNTIFS(DATA!$G$2:$G$992,$A29,DATA!$H$2:$H$992,$B29,DATA!$I$2:$I$992,$C29,DATA!$E$2:$E$992,"&gt;="&amp;DATE(2026,1,1),DATA!$E$2:$E$992,"&lt;="&amp;EOMONTH(DATE(2026,1,1),0))</f>
        <v>0</v>
      </c>
      <c r="E29" s="288">
        <f>COUNTIFS(DATA!$G$2:$G$992,$A29,DATA!$H$2:$H$992,$B29,DATA!$I$2:$I$992,$C29,DATA!$E$2:$E$992,"&gt;="&amp;DATE(2026,2,1),DATA!$E$2:$E$992,"&lt;="&amp;EOMONTH(DATE(2026,2,1),0))</f>
        <v>0</v>
      </c>
      <c r="F29" s="288">
        <f>COUNTIFS(DATA!$G$2:$G$992,$A29,DATA!$H$2:$H$992,$B29,DATA!$I$2:$I$992,$C29,DATA!$E$2:$E$992,"&gt;="&amp;DATE(2026,3,1),DATA!$E$2:$E$992,"&lt;="&amp;EOMONTH(DATE(2026,3,1),0))</f>
        <v>0</v>
      </c>
      <c r="G29" s="288">
        <f>COUNTIFS(DATA!$G$2:$G$992,$A29,DATA!$H$2:$H$992,$B29,DATA!$I$2:$I$992,$C29,DATA!$E$2:$E$992,"&gt;="&amp;DATE(2026,4,1),DATA!$E$2:$E$992,"&lt;="&amp;EOMONTH(DATE(2026,4,1),0))</f>
        <v>0</v>
      </c>
      <c r="H29" s="288">
        <f>COUNTIFS(DATA!$G$2:$G$992,$A29,DATA!$H$2:$H$992,$B29,DATA!$I$2:$I$992,$C29,DATA!$E$2:$E$992,"&gt;="&amp;DATE(2026,5,1),DATA!$E$2:$E$992,"&lt;="&amp;EOMONTH(DATE(2026,5,1),0))</f>
        <v>0</v>
      </c>
      <c r="I29" s="288">
        <f>COUNTIFS(DATA!$G$2:$G$992,$A29,DATA!$H$2:$H$992,$B29,DATA!$I$2:$I$992,$C29,DATA!$E$2:$E$992,"&gt;="&amp;DATE(2026,6,1),DATA!$E$2:$E$992,"&lt;="&amp;EOMONTH(DATE(2026,6,1),0))</f>
        <v>0</v>
      </c>
      <c r="J29" s="288">
        <f>COUNTIFS(DATA!$G$2:$G$992,$A29,DATA!$H$2:$H$992,$B29,DATA!$I$2:$I$992,$C29,DATA!$E$2:$E$992,"&gt;="&amp;DATE(2026,7,1),DATA!$E$2:$E$992,"&lt;="&amp;EOMONTH(DATE(2026,7,1),0))</f>
        <v>0</v>
      </c>
      <c r="K29" s="288">
        <f>COUNTIFS(DATA!$G$2:$G$992,$A29,DATA!$H$2:$H$992,$B29,DATA!$I$2:$I$992,$C29,DATA!$E$2:$E$992,"&gt;="&amp;DATE(2026,8,1),DATA!$E$2:$E$992,"&lt;="&amp;EOMONTH(DATE(2026,8,1),0))</f>
        <v>0</v>
      </c>
      <c r="L29" s="288">
        <f>COUNTIFS(DATA!$G$2:$G$992,$A29,DATA!$H$2:$H$992,$B29,DATA!$I$2:$I$992,$C29,DATA!$E$2:$E$992,"&gt;="&amp;DATE(2026,9,1),DATA!$E$2:$E$992,"&lt;="&amp;EOMONTH(DATE(2026,9,1),0))</f>
        <v>0</v>
      </c>
      <c r="M29" s="288">
        <f>COUNTIFS(DATA!$G$2:$G$992,$A29,DATA!$H$2:$H$992,$B29,DATA!$I$2:$I$992,$C29,DATA!$E$2:$E$992,"&gt;="&amp;DATE(2026,10,1),DATA!$E$2:$E$992,"&lt;="&amp;EOMONTH(DATE(2026,10,1),0))</f>
        <v>0</v>
      </c>
      <c r="N29" s="288">
        <f>COUNTIFS(DATA!$G$2:$G$992,$A29,DATA!$H$2:$H$992,$B29,DATA!$I$2:$I$992,$C29,DATA!$E$2:$E$992,"&gt;="&amp;DATE(2026,11,1),DATA!$E$2:$E$992,"&lt;="&amp;EOMONTH(DATE(2026,11,1),0))</f>
        <v>0</v>
      </c>
      <c r="O29" s="288">
        <f>COUNTIFS(DATA!$G$2:$G$992,$A29,DATA!$H$2:$H$992,$B29,DATA!$I$2:$I$992,$C29,DATA!$E$2:$E$992,"&gt;="&amp;DATE(2026,12,1),DATA!$E$2:$E$992,"&lt;="&amp;EOMONTH(DATE(2026,12,1),0))</f>
        <v>0</v>
      </c>
      <c r="P29" s="270">
        <f t="shared" si="0"/>
        <v>0</v>
      </c>
      <c r="Q29" s="271"/>
      <c r="R29" s="272">
        <f t="shared" si="1"/>
        <v>0</v>
      </c>
      <c r="S29" s="19">
        <f t="shared" si="3"/>
        <v>7.6190476190476197E-2</v>
      </c>
    </row>
    <row r="30" spans="1:19" ht="21.75" customHeight="1">
      <c r="A30" s="282" t="s">
        <v>97</v>
      </c>
      <c r="B30" s="18" t="s">
        <v>104</v>
      </c>
      <c r="C30" s="17" t="s">
        <v>141</v>
      </c>
      <c r="D30" s="283">
        <f>COUNTIFS(DATA!$G$2:$G$992,$A30,DATA!$H$2:$H$992,$B30,DATA!$I$2:$I$992,$C30,DATA!$E$2:$E$992,"&gt;="&amp;DATE(2026,1,1),DATA!$E$2:$E$992,"&lt;="&amp;EOMONTH(DATE(2026,1,1),0))</f>
        <v>0</v>
      </c>
      <c r="E30" s="283">
        <f>COUNTIFS(DATA!$G$2:$G$992,$A30,DATA!$H$2:$H$992,$B30,DATA!$I$2:$I$992,$C30,DATA!$E$2:$E$992,"&gt;="&amp;DATE(2026,2,1),DATA!$E$2:$E$992,"&lt;="&amp;EOMONTH(DATE(2026,2,1),0))</f>
        <v>0</v>
      </c>
      <c r="F30" s="283">
        <f>COUNTIFS(DATA!$G$2:$G$992,$A30,DATA!$H$2:$H$992,$B30,DATA!$I$2:$I$992,$C30,DATA!$E$2:$E$992,"&gt;="&amp;DATE(2026,3,1),DATA!$E$2:$E$992,"&lt;="&amp;EOMONTH(DATE(2026,3,1),0))</f>
        <v>0</v>
      </c>
      <c r="G30" s="283">
        <f>COUNTIFS(DATA!$G$2:$G$992,$A30,DATA!$H$2:$H$992,$B30,DATA!$I$2:$I$992,$C30,DATA!$E$2:$E$992,"&gt;="&amp;DATE(2026,4,1),DATA!$E$2:$E$992,"&lt;="&amp;EOMONTH(DATE(2026,4,1),0))</f>
        <v>0</v>
      </c>
      <c r="H30" s="283">
        <f>COUNTIFS(DATA!$G$2:$G$992,$A30,DATA!$H$2:$H$992,$B30,DATA!$I$2:$I$992,$C30,DATA!$E$2:$E$992,"&gt;="&amp;DATE(2026,5,1),DATA!$E$2:$E$992,"&lt;="&amp;EOMONTH(DATE(2026,5,1),0))</f>
        <v>0</v>
      </c>
      <c r="I30" s="283">
        <f>COUNTIFS(DATA!$G$2:$G$992,$A30,DATA!$H$2:$H$992,$B30,DATA!$I$2:$I$992,$C30,DATA!$E$2:$E$992,"&gt;="&amp;DATE(2026,6,1),DATA!$E$2:$E$992,"&lt;="&amp;EOMONTH(DATE(2026,6,1),0))</f>
        <v>0</v>
      </c>
      <c r="J30" s="283">
        <f>COUNTIFS(DATA!$G$2:$G$992,$A30,DATA!$H$2:$H$992,$B30,DATA!$I$2:$I$992,$C30,DATA!$E$2:$E$992,"&gt;="&amp;DATE(2026,7,1),DATA!$E$2:$E$992,"&lt;="&amp;EOMONTH(DATE(2026,7,1),0))</f>
        <v>0</v>
      </c>
      <c r="K30" s="283">
        <f>COUNTIFS(DATA!$G$2:$G$992,$A30,DATA!$H$2:$H$992,$B30,DATA!$I$2:$I$992,$C30,DATA!$E$2:$E$992,"&gt;="&amp;DATE(2026,8,1),DATA!$E$2:$E$992,"&lt;="&amp;EOMONTH(DATE(2026,8,1),0))</f>
        <v>0</v>
      </c>
      <c r="L30" s="283">
        <f>COUNTIFS(DATA!$G$2:$G$992,$A30,DATA!$H$2:$H$992,$B30,DATA!$I$2:$I$992,$C30,DATA!$E$2:$E$992,"&gt;="&amp;DATE(2026,9,1),DATA!$E$2:$E$992,"&lt;="&amp;EOMONTH(DATE(2026,9,1),0))</f>
        <v>0</v>
      </c>
      <c r="M30" s="283">
        <f>COUNTIFS(DATA!$G$2:$G$992,$A30,DATA!$H$2:$H$992,$B30,DATA!$I$2:$I$992,$C30,DATA!$E$2:$E$992,"&gt;="&amp;DATE(2026,10,1),DATA!$E$2:$E$992,"&lt;="&amp;EOMONTH(DATE(2026,10,1),0))</f>
        <v>0</v>
      </c>
      <c r="N30" s="283">
        <f>COUNTIFS(DATA!$G$2:$G$992,$A30,DATA!$H$2:$H$992,$B30,DATA!$I$2:$I$992,$C30,DATA!$E$2:$E$992,"&gt;="&amp;DATE(2026,11,1),DATA!$E$2:$E$992,"&lt;="&amp;EOMONTH(DATE(2026,11,1),0))</f>
        <v>0</v>
      </c>
      <c r="O30" s="283">
        <f>COUNTIFS(DATA!$G$2:$G$992,$A30,DATA!$H$2:$H$992,$B30,DATA!$I$2:$I$992,$C30,DATA!$E$2:$E$992,"&gt;="&amp;DATE(2026,12,1),DATA!$E$2:$E$992,"&lt;="&amp;EOMONTH(DATE(2026,12,1),0))</f>
        <v>0</v>
      </c>
      <c r="P30" s="284">
        <f t="shared" si="0"/>
        <v>0</v>
      </c>
      <c r="Q30" s="271"/>
      <c r="R30" s="272">
        <f t="shared" si="1"/>
        <v>0</v>
      </c>
      <c r="S30" s="277">
        <f t="shared" si="3"/>
        <v>7.6190476190476197E-2</v>
      </c>
    </row>
    <row r="31" spans="1:19" ht="21.75" customHeight="1">
      <c r="A31" s="282" t="s">
        <v>97</v>
      </c>
      <c r="B31" s="274" t="s">
        <v>104</v>
      </c>
      <c r="C31" s="13" t="s">
        <v>161</v>
      </c>
      <c r="D31" s="269">
        <f>COUNTIFS(DATA!$G$2:$G$992,$A31,DATA!$H$2:$H$992,$B31,DATA!$I$2:$I$992,$C31,DATA!$E$2:$E$992,"&gt;="&amp;DATE(2026,1,1),DATA!$E$2:$E$992,"&lt;="&amp;EOMONTH(DATE(2026,1,1),0))</f>
        <v>0</v>
      </c>
      <c r="E31" s="269">
        <f>COUNTIFS(DATA!$G$2:$G$992,$A31,DATA!$H$2:$H$992,$B31,DATA!$I$2:$I$992,$C31,DATA!$E$2:$E$992,"&gt;="&amp;DATE(2026,2,1),DATA!$E$2:$E$992,"&lt;="&amp;EOMONTH(DATE(2026,2,1),0))</f>
        <v>0</v>
      </c>
      <c r="F31" s="269">
        <f>COUNTIFS(DATA!$G$2:$G$992,$A31,DATA!$H$2:$H$992,$B31,DATA!$I$2:$I$992,$C31,DATA!$E$2:$E$992,"&gt;="&amp;DATE(2026,3,1),DATA!$E$2:$E$992,"&lt;="&amp;EOMONTH(DATE(2026,3,1),0))</f>
        <v>0</v>
      </c>
      <c r="G31" s="269">
        <f>COUNTIFS(DATA!$G$2:$G$992,$A31,DATA!$H$2:$H$992,$B31,DATA!$I$2:$I$992,$C31,DATA!$E$2:$E$992,"&gt;="&amp;DATE(2026,4,1),DATA!$E$2:$E$992,"&lt;="&amp;EOMONTH(DATE(2026,4,1),0))</f>
        <v>0</v>
      </c>
      <c r="H31" s="269">
        <f>COUNTIFS(DATA!$G$2:$G$992,$A31,DATA!$H$2:$H$992,$B31,DATA!$I$2:$I$992,$C31,DATA!$E$2:$E$992,"&gt;="&amp;DATE(2026,5,1),DATA!$E$2:$E$992,"&lt;="&amp;EOMONTH(DATE(2026,5,1),0))</f>
        <v>0</v>
      </c>
      <c r="I31" s="269">
        <f>COUNTIFS(DATA!$G$2:$G$992,$A31,DATA!$H$2:$H$992,$B31,DATA!$I$2:$I$992,$C31,DATA!$E$2:$E$992,"&gt;="&amp;DATE(2026,6,1),DATA!$E$2:$E$992,"&lt;="&amp;EOMONTH(DATE(2026,6,1),0))</f>
        <v>0</v>
      </c>
      <c r="J31" s="269">
        <f>COUNTIFS(DATA!$G$2:$G$992,$A31,DATA!$H$2:$H$992,$B31,DATA!$I$2:$I$992,$C31,DATA!$E$2:$E$992,"&gt;="&amp;DATE(2026,7,1),DATA!$E$2:$E$992,"&lt;="&amp;EOMONTH(DATE(2026,7,1),0))</f>
        <v>0</v>
      </c>
      <c r="K31" s="269">
        <f>COUNTIFS(DATA!$G$2:$G$992,$A31,DATA!$H$2:$H$992,$B31,DATA!$I$2:$I$992,$C31,DATA!$E$2:$E$992,"&gt;="&amp;DATE(2026,8,1),DATA!$E$2:$E$992,"&lt;="&amp;EOMONTH(DATE(2026,8,1),0))</f>
        <v>0</v>
      </c>
      <c r="L31" s="269">
        <f>COUNTIFS(DATA!$G$2:$G$992,$A31,DATA!$H$2:$H$992,$B31,DATA!$I$2:$I$992,$C31,DATA!$E$2:$E$992,"&gt;="&amp;DATE(2026,9,1),DATA!$E$2:$E$992,"&lt;="&amp;EOMONTH(DATE(2026,9,1),0))</f>
        <v>0</v>
      </c>
      <c r="M31" s="269">
        <f>COUNTIFS(DATA!$G$2:$G$992,$A31,DATA!$H$2:$H$992,$B31,DATA!$I$2:$I$992,$C31,DATA!$E$2:$E$992,"&gt;="&amp;DATE(2026,10,1),DATA!$E$2:$E$992,"&lt;="&amp;EOMONTH(DATE(2026,10,1),0))</f>
        <v>0</v>
      </c>
      <c r="N31" s="269">
        <f>COUNTIFS(DATA!$G$2:$G$992,$A31,DATA!$H$2:$H$992,$B31,DATA!$I$2:$I$992,$C31,DATA!$E$2:$E$992,"&gt;="&amp;DATE(2026,11,1),DATA!$E$2:$E$992,"&lt;="&amp;EOMONTH(DATE(2026,11,1),0))</f>
        <v>0</v>
      </c>
      <c r="O31" s="269">
        <f>COUNTIFS(DATA!$G$2:$G$992,$A31,DATA!$H$2:$H$992,$B31,DATA!$I$2:$I$992,$C31,DATA!$E$2:$E$992,"&gt;="&amp;DATE(2026,12,1),DATA!$E$2:$E$992,"&lt;="&amp;EOMONTH(DATE(2026,12,1),0))</f>
        <v>0</v>
      </c>
      <c r="P31" s="270">
        <f t="shared" si="0"/>
        <v>0</v>
      </c>
      <c r="Q31" s="271"/>
      <c r="R31" s="272">
        <f t="shared" si="1"/>
        <v>0</v>
      </c>
      <c r="S31" s="277">
        <f t="shared" si="3"/>
        <v>7.6190476190476197E-2</v>
      </c>
    </row>
    <row r="32" spans="1:19" ht="21.75" customHeight="1">
      <c r="A32" s="282" t="s">
        <v>97</v>
      </c>
      <c r="B32" s="274" t="s">
        <v>104</v>
      </c>
      <c r="C32" s="15" t="s">
        <v>177</v>
      </c>
      <c r="D32" s="275">
        <f>COUNTIFS(DATA!$G$2:$G$992,$A32,DATA!$H$2:$H$992,$B32,DATA!$I$2:$I$992,$C32,DATA!$E$2:$E$992,"&gt;="&amp;DATE(2026,1,1),DATA!$E$2:$E$992,"&lt;="&amp;EOMONTH(DATE(2026,1,1),0))</f>
        <v>0</v>
      </c>
      <c r="E32" s="275">
        <f>COUNTIFS(DATA!$G$2:$G$992,$A32,DATA!$H$2:$H$992,$B32,DATA!$I$2:$I$992,$C32,DATA!$E$2:$E$992,"&gt;="&amp;DATE(2026,2,1),DATA!$E$2:$E$992,"&lt;="&amp;EOMONTH(DATE(2026,2,1),0))</f>
        <v>0</v>
      </c>
      <c r="F32" s="275">
        <f>COUNTIFS(DATA!$G$2:$G$992,$A32,DATA!$H$2:$H$992,$B32,DATA!$I$2:$I$992,$C32,DATA!$E$2:$E$992,"&gt;="&amp;DATE(2026,3,1),DATA!$E$2:$E$992,"&lt;="&amp;EOMONTH(DATE(2026,3,1),0))</f>
        <v>0</v>
      </c>
      <c r="G32" s="275">
        <f>COUNTIFS(DATA!$G$2:$G$992,$A32,DATA!$H$2:$H$992,$B32,DATA!$I$2:$I$992,$C32,DATA!$E$2:$E$992,"&gt;="&amp;DATE(2026,4,1),DATA!$E$2:$E$992,"&lt;="&amp;EOMONTH(DATE(2026,4,1),0))</f>
        <v>2</v>
      </c>
      <c r="H32" s="275">
        <f>COUNTIFS(DATA!$G$2:$G$992,$A32,DATA!$H$2:$H$992,$B32,DATA!$I$2:$I$992,$C32,DATA!$E$2:$E$992,"&gt;="&amp;DATE(2026,5,1),DATA!$E$2:$E$992,"&lt;="&amp;EOMONTH(DATE(2026,5,1),0))</f>
        <v>5</v>
      </c>
      <c r="I32" s="275">
        <f>COUNTIFS(DATA!$G$2:$G$992,$A32,DATA!$H$2:$H$992,$B32,DATA!$I$2:$I$992,$C32,DATA!$E$2:$E$992,"&gt;="&amp;DATE(2026,6,1),DATA!$E$2:$E$992,"&lt;="&amp;EOMONTH(DATE(2026,6,1),0))</f>
        <v>1</v>
      </c>
      <c r="J32" s="275">
        <f>COUNTIFS(DATA!$G$2:$G$992,$A32,DATA!$H$2:$H$992,$B32,DATA!$I$2:$I$992,$C32,DATA!$E$2:$E$992,"&gt;="&amp;DATE(2026,7,1),DATA!$E$2:$E$992,"&lt;="&amp;EOMONTH(DATE(2026,7,1),0))</f>
        <v>0</v>
      </c>
      <c r="K32" s="275">
        <f>COUNTIFS(DATA!$G$2:$G$992,$A32,DATA!$H$2:$H$992,$B32,DATA!$I$2:$I$992,$C32,DATA!$E$2:$E$992,"&gt;="&amp;DATE(2026,8,1),DATA!$E$2:$E$992,"&lt;="&amp;EOMONTH(DATE(2026,8,1),0))</f>
        <v>0</v>
      </c>
      <c r="L32" s="275">
        <f>COUNTIFS(DATA!$G$2:$G$992,$A32,DATA!$H$2:$H$992,$B32,DATA!$I$2:$I$992,$C32,DATA!$E$2:$E$992,"&gt;="&amp;DATE(2026,9,1),DATA!$E$2:$E$992,"&lt;="&amp;EOMONTH(DATE(2026,9,1),0))</f>
        <v>0</v>
      </c>
      <c r="M32" s="275">
        <f>COUNTIFS(DATA!$G$2:$G$992,$A32,DATA!$H$2:$H$992,$B32,DATA!$I$2:$I$992,$C32,DATA!$E$2:$E$992,"&gt;="&amp;DATE(2026,10,1),DATA!$E$2:$E$992,"&lt;="&amp;EOMONTH(DATE(2026,10,1),0))</f>
        <v>0</v>
      </c>
      <c r="N32" s="275">
        <f>COUNTIFS(DATA!$G$2:$G$992,$A32,DATA!$H$2:$H$992,$B32,DATA!$I$2:$I$992,$C32,DATA!$E$2:$E$992,"&gt;="&amp;DATE(2026,11,1),DATA!$E$2:$E$992,"&lt;="&amp;EOMONTH(DATE(2026,11,1),0))</f>
        <v>0</v>
      </c>
      <c r="O32" s="275">
        <f>COUNTIFS(DATA!$G$2:$G$992,$A32,DATA!$H$2:$H$992,$B32,DATA!$I$2:$I$992,$C32,DATA!$E$2:$E$992,"&gt;="&amp;DATE(2026,12,1),DATA!$E$2:$E$992,"&lt;="&amp;EOMONTH(DATE(2026,12,1),0))</f>
        <v>0</v>
      </c>
      <c r="P32" s="276">
        <f t="shared" si="0"/>
        <v>8</v>
      </c>
      <c r="Q32" s="271"/>
      <c r="R32" s="272">
        <f t="shared" si="1"/>
        <v>3.8095238095238099E-2</v>
      </c>
      <c r="S32" s="277">
        <f t="shared" si="3"/>
        <v>7.6190476190476197E-2</v>
      </c>
    </row>
    <row r="33" spans="1:19" ht="21.75" customHeight="1">
      <c r="A33" s="273" t="s">
        <v>97</v>
      </c>
      <c r="B33" s="274" t="s">
        <v>104</v>
      </c>
      <c r="C33" s="15" t="s">
        <v>192</v>
      </c>
      <c r="D33" s="285">
        <f>COUNTIFS(DATA!$G$2:$G$992,$A33,DATA!$H$2:$H$992,$B33,DATA!$I$2:$I$992,$C33,DATA!$E$2:$E$992,"&gt;="&amp;DATE(2026,1,1),DATA!$E$2:$E$992,"&lt;="&amp;EOMONTH(DATE(2026,1,1),0))</f>
        <v>0</v>
      </c>
      <c r="E33" s="285">
        <f>COUNTIFS(DATA!$G$2:$G$992,$A33,DATA!$H$2:$H$992,$B33,DATA!$I$2:$I$992,$C33,DATA!$E$2:$E$992,"&gt;="&amp;DATE(2026,2,1),DATA!$E$2:$E$992,"&lt;="&amp;EOMONTH(DATE(2026,2,1),0))</f>
        <v>0</v>
      </c>
      <c r="F33" s="285">
        <f>COUNTIFS(DATA!$G$2:$G$992,$A33,DATA!$H$2:$H$992,$B33,DATA!$I$2:$I$992,$C33,DATA!$E$2:$E$992,"&gt;="&amp;DATE(2026,3,1),DATA!$E$2:$E$992,"&lt;="&amp;EOMONTH(DATE(2026,3,1),0))</f>
        <v>0</v>
      </c>
      <c r="G33" s="285">
        <f>COUNTIFS(DATA!$G$2:$G$992,$A33,DATA!$H$2:$H$992,$B33,DATA!$I$2:$I$992,$C33,DATA!$E$2:$E$992,"&gt;="&amp;DATE(2026,4,1),DATA!$E$2:$E$992,"&lt;="&amp;EOMONTH(DATE(2026,4,1),0))</f>
        <v>5</v>
      </c>
      <c r="H33" s="285">
        <f>COUNTIFS(DATA!$G$2:$G$992,$A33,DATA!$H$2:$H$992,$B33,DATA!$I$2:$I$992,$C33,DATA!$E$2:$E$992,"&gt;="&amp;DATE(2026,5,1),DATA!$E$2:$E$992,"&lt;="&amp;EOMONTH(DATE(2026,5,1),0))</f>
        <v>2</v>
      </c>
      <c r="I33" s="285">
        <f>COUNTIFS(DATA!$G$2:$G$992,$A33,DATA!$H$2:$H$992,$B33,DATA!$I$2:$I$992,$C33,DATA!$E$2:$E$992,"&gt;="&amp;DATE(2026,6,1),DATA!$E$2:$E$992,"&lt;="&amp;EOMONTH(DATE(2026,6,1),0))</f>
        <v>0</v>
      </c>
      <c r="J33" s="285">
        <f>COUNTIFS(DATA!$G$2:$G$992,$A33,DATA!$H$2:$H$992,$B33,DATA!$I$2:$I$992,$C33,DATA!$E$2:$E$992,"&gt;="&amp;DATE(2026,7,1),DATA!$E$2:$E$992,"&lt;="&amp;EOMONTH(DATE(2026,7,1),0))</f>
        <v>0</v>
      </c>
      <c r="K33" s="285">
        <f>COUNTIFS(DATA!$G$2:$G$992,$A33,DATA!$H$2:$H$992,$B33,DATA!$I$2:$I$992,$C33,DATA!$E$2:$E$992,"&gt;="&amp;DATE(2026,8,1),DATA!$E$2:$E$992,"&lt;="&amp;EOMONTH(DATE(2026,8,1),0))</f>
        <v>0</v>
      </c>
      <c r="L33" s="285">
        <f>COUNTIFS(DATA!$G$2:$G$992,$A33,DATA!$H$2:$H$992,$B33,DATA!$I$2:$I$992,$C33,DATA!$E$2:$E$992,"&gt;="&amp;DATE(2026,9,1),DATA!$E$2:$E$992,"&lt;="&amp;EOMONTH(DATE(2026,9,1),0))</f>
        <v>0</v>
      </c>
      <c r="M33" s="285">
        <f>COUNTIFS(DATA!$G$2:$G$992,$A33,DATA!$H$2:$H$992,$B33,DATA!$I$2:$I$992,$C33,DATA!$E$2:$E$992,"&gt;="&amp;DATE(2026,10,1),DATA!$E$2:$E$992,"&lt;="&amp;EOMONTH(DATE(2026,10,1),0))</f>
        <v>0</v>
      </c>
      <c r="N33" s="285">
        <f>COUNTIFS(DATA!$G$2:$G$992,$A33,DATA!$H$2:$H$992,$B33,DATA!$I$2:$I$992,$C33,DATA!$E$2:$E$992,"&gt;="&amp;DATE(2026,11,1),DATA!$E$2:$E$992,"&lt;="&amp;EOMONTH(DATE(2026,11,1),0))</f>
        <v>0</v>
      </c>
      <c r="O33" s="285">
        <f>COUNTIFS(DATA!$G$2:$G$992,$A33,DATA!$H$2:$H$992,$B33,DATA!$I$2:$I$992,$C33,DATA!$E$2:$E$992,"&gt;="&amp;DATE(2026,12,1),DATA!$E$2:$E$992,"&lt;="&amp;EOMONTH(DATE(2026,12,1),0))</f>
        <v>0</v>
      </c>
      <c r="P33" s="276">
        <f t="shared" si="0"/>
        <v>7</v>
      </c>
      <c r="Q33" s="271"/>
      <c r="R33" s="272">
        <f t="shared" si="1"/>
        <v>3.3333333333333333E-2</v>
      </c>
      <c r="S33" s="277">
        <f t="shared" si="3"/>
        <v>7.6190476190476197E-2</v>
      </c>
    </row>
    <row r="34" spans="1:19" ht="21.75" customHeight="1">
      <c r="A34" s="289" t="s">
        <v>98</v>
      </c>
      <c r="B34" s="290" t="s">
        <v>105</v>
      </c>
      <c r="C34" s="24" t="s">
        <v>127</v>
      </c>
      <c r="D34" s="291">
        <f>COUNTIFS(DATA!$G$2:$G$992,$A34,DATA!$H$2:$H$992,$B34,DATA!$I$2:$I$992,$C34,DATA!$E$2:$E$992,"&gt;="&amp;DATE(2026,1,1),DATA!$E$2:$E$992,"&lt;="&amp;EOMONTH(DATE(2026,1,1),0))</f>
        <v>0</v>
      </c>
      <c r="E34" s="291">
        <f>COUNTIFS(DATA!$G$2:$G$992,$A34,DATA!$H$2:$H$992,$B34,DATA!$I$2:$I$992,$C34,DATA!$E$2:$E$992,"&gt;="&amp;DATE(2026,2,1),DATA!$E$2:$E$992,"&lt;="&amp;EOMONTH(DATE(2026,2,1),0))</f>
        <v>0</v>
      </c>
      <c r="F34" s="291">
        <f>COUNTIFS(DATA!$G$2:$G$992,$A34,DATA!$H$2:$H$992,$B34,DATA!$I$2:$I$992,$C34,DATA!$E$2:$E$992,"&gt;="&amp;DATE(2026,3,1),DATA!$E$2:$E$992,"&lt;="&amp;EOMONTH(DATE(2026,3,1),0))</f>
        <v>0</v>
      </c>
      <c r="G34" s="291">
        <f>COUNTIFS(DATA!$G$2:$G$992,$A34,DATA!$H$2:$H$992,$B34,DATA!$I$2:$I$992,$C34,DATA!$E$2:$E$992,"&gt;="&amp;DATE(2026,4,1),DATA!$E$2:$E$992,"&lt;="&amp;EOMONTH(DATE(2026,4,1),0))</f>
        <v>0</v>
      </c>
      <c r="H34" s="291">
        <f>COUNTIFS(DATA!$G$2:$G$992,$A34,DATA!$H$2:$H$992,$B34,DATA!$I$2:$I$992,$C34,DATA!$E$2:$E$992,"&gt;="&amp;DATE(2026,5,1),DATA!$E$2:$E$992,"&lt;="&amp;EOMONTH(DATE(2026,5,1),0))</f>
        <v>0</v>
      </c>
      <c r="I34" s="291">
        <f>COUNTIFS(DATA!$G$2:$G$992,$A34,DATA!$H$2:$H$992,$B34,DATA!$I$2:$I$992,$C34,DATA!$E$2:$E$992,"&gt;="&amp;DATE(2026,6,1),DATA!$E$2:$E$992,"&lt;="&amp;EOMONTH(DATE(2026,6,1),0))</f>
        <v>0</v>
      </c>
      <c r="J34" s="291">
        <f>COUNTIFS(DATA!$G$2:$G$992,$A34,DATA!$H$2:$H$992,$B34,DATA!$I$2:$I$992,$C34,DATA!$E$2:$E$992,"&gt;="&amp;DATE(2026,7,1),DATA!$E$2:$E$992,"&lt;="&amp;EOMONTH(DATE(2026,7,1),0))</f>
        <v>0</v>
      </c>
      <c r="K34" s="291">
        <f>COUNTIFS(DATA!$G$2:$G$992,$A34,DATA!$H$2:$H$992,$B34,DATA!$I$2:$I$992,$C34,DATA!$E$2:$E$992,"&gt;="&amp;DATE(2026,8,1),DATA!$E$2:$E$992,"&lt;="&amp;EOMONTH(DATE(2026,8,1),0))</f>
        <v>0</v>
      </c>
      <c r="L34" s="291">
        <f>COUNTIFS(DATA!$G$2:$G$992,$A34,DATA!$H$2:$H$992,$B34,DATA!$I$2:$I$992,$C34,DATA!$E$2:$E$992,"&gt;="&amp;DATE(2026,9,1),DATA!$E$2:$E$992,"&lt;="&amp;EOMONTH(DATE(2026,9,1),0))</f>
        <v>0</v>
      </c>
      <c r="M34" s="291">
        <f>COUNTIFS(DATA!$G$2:$G$992,$A34,DATA!$H$2:$H$992,$B34,DATA!$I$2:$I$992,$C34,DATA!$E$2:$E$992,"&gt;="&amp;DATE(2026,10,1),DATA!$E$2:$E$992,"&lt;="&amp;EOMONTH(DATE(2026,10,1),0))</f>
        <v>0</v>
      </c>
      <c r="N34" s="291">
        <f>COUNTIFS(DATA!$G$2:$G$992,$A34,DATA!$H$2:$H$992,$B34,DATA!$I$2:$I$992,$C34,DATA!$E$2:$E$992,"&gt;="&amp;DATE(2026,11,1),DATA!$E$2:$E$992,"&lt;="&amp;EOMONTH(DATE(2026,11,1),0))</f>
        <v>0</v>
      </c>
      <c r="O34" s="291">
        <f>COUNTIFS(DATA!$G$2:$G$992,$A34,DATA!$H$2:$H$992,$B34,DATA!$I$2:$I$992,$C34,DATA!$E$2:$E$992,"&gt;="&amp;DATE(2026,12,1),DATA!$E$2:$E$992,"&lt;="&amp;EOMONTH(DATE(2026,12,1),0))</f>
        <v>0</v>
      </c>
      <c r="P34" s="292">
        <f t="shared" ref="P34:P65" si="4">SUM(D34:O34)</f>
        <v>0</v>
      </c>
      <c r="Q34" s="271"/>
      <c r="R34" s="272">
        <f t="shared" ref="R34:R70" si="5">IFERROR(P34/$P$71,0)</f>
        <v>0</v>
      </c>
      <c r="S34" s="293">
        <f t="shared" ref="S34:S51" si="6">IFERROR(SUM($P$34:$P$51)/$P$71,0)</f>
        <v>0</v>
      </c>
    </row>
    <row r="35" spans="1:19" ht="21.75" customHeight="1">
      <c r="A35" s="294" t="s">
        <v>98</v>
      </c>
      <c r="B35" s="274" t="s">
        <v>105</v>
      </c>
      <c r="C35" s="17" t="s">
        <v>145</v>
      </c>
      <c r="D35" s="295">
        <f>COUNTIFS(DATA!$G$2:$G$992,$A35,DATA!$H$2:$H$992,$B35,DATA!$I$2:$I$992,$C35,DATA!$E$2:$E$992,"&gt;="&amp;DATE(2026,1,1),DATA!$E$2:$E$992,"&lt;="&amp;EOMONTH(DATE(2026,1,1),0))</f>
        <v>0</v>
      </c>
      <c r="E35" s="295">
        <f>COUNTIFS(DATA!$G$2:$G$992,$A35,DATA!$H$2:$H$992,$B35,DATA!$I$2:$I$992,$C35,DATA!$E$2:$E$992,"&gt;="&amp;DATE(2026,2,1),DATA!$E$2:$E$992,"&lt;="&amp;EOMONTH(DATE(2026,2,1),0))</f>
        <v>0</v>
      </c>
      <c r="F35" s="295">
        <f>COUNTIFS(DATA!$G$2:$G$992,$A35,DATA!$H$2:$H$992,$B35,DATA!$I$2:$I$992,$C35,DATA!$E$2:$E$992,"&gt;="&amp;DATE(2026,3,1),DATA!$E$2:$E$992,"&lt;="&amp;EOMONTH(DATE(2026,3,1),0))</f>
        <v>0</v>
      </c>
      <c r="G35" s="295">
        <f>COUNTIFS(DATA!$G$2:$G$992,$A35,DATA!$H$2:$H$992,$B35,DATA!$I$2:$I$992,$C35,DATA!$E$2:$E$992,"&gt;="&amp;DATE(2026,4,1),DATA!$E$2:$E$992,"&lt;="&amp;EOMONTH(DATE(2026,4,1),0))</f>
        <v>0</v>
      </c>
      <c r="H35" s="295">
        <f>COUNTIFS(DATA!$G$2:$G$992,$A35,DATA!$H$2:$H$992,$B35,DATA!$I$2:$I$992,$C35,DATA!$E$2:$E$992,"&gt;="&amp;DATE(2026,5,1),DATA!$E$2:$E$992,"&lt;="&amp;EOMONTH(DATE(2026,5,1),0))</f>
        <v>0</v>
      </c>
      <c r="I35" s="295">
        <f>COUNTIFS(DATA!$G$2:$G$992,$A35,DATA!$H$2:$H$992,$B35,DATA!$I$2:$I$992,$C35,DATA!$E$2:$E$992,"&gt;="&amp;DATE(2026,6,1),DATA!$E$2:$E$992,"&lt;="&amp;EOMONTH(DATE(2026,6,1),0))</f>
        <v>0</v>
      </c>
      <c r="J35" s="295">
        <f>COUNTIFS(DATA!$G$2:$G$992,$A35,DATA!$H$2:$H$992,$B35,DATA!$I$2:$I$992,$C35,DATA!$E$2:$E$992,"&gt;="&amp;DATE(2026,7,1),DATA!$E$2:$E$992,"&lt;="&amp;EOMONTH(DATE(2026,7,1),0))</f>
        <v>0</v>
      </c>
      <c r="K35" s="295">
        <f>COUNTIFS(DATA!$G$2:$G$992,$A35,DATA!$H$2:$H$992,$B35,DATA!$I$2:$I$992,$C35,DATA!$E$2:$E$992,"&gt;="&amp;DATE(2026,8,1),DATA!$E$2:$E$992,"&lt;="&amp;EOMONTH(DATE(2026,8,1),0))</f>
        <v>0</v>
      </c>
      <c r="L35" s="295">
        <f>COUNTIFS(DATA!$G$2:$G$992,$A35,DATA!$H$2:$H$992,$B35,DATA!$I$2:$I$992,$C35,DATA!$E$2:$E$992,"&gt;="&amp;DATE(2026,9,1),DATA!$E$2:$E$992,"&lt;="&amp;EOMONTH(DATE(2026,9,1),0))</f>
        <v>0</v>
      </c>
      <c r="M35" s="295">
        <f>COUNTIFS(DATA!$G$2:$G$992,$A35,DATA!$H$2:$H$992,$B35,DATA!$I$2:$I$992,$C35,DATA!$E$2:$E$992,"&gt;="&amp;DATE(2026,10,1),DATA!$E$2:$E$992,"&lt;="&amp;EOMONTH(DATE(2026,10,1),0))</f>
        <v>0</v>
      </c>
      <c r="N35" s="295">
        <f>COUNTIFS(DATA!$G$2:$G$992,$A35,DATA!$H$2:$H$992,$B35,DATA!$I$2:$I$992,$C35,DATA!$E$2:$E$992,"&gt;="&amp;DATE(2026,11,1),DATA!$E$2:$E$992,"&lt;="&amp;EOMONTH(DATE(2026,11,1),0))</f>
        <v>0</v>
      </c>
      <c r="O35" s="295">
        <f>COUNTIFS(DATA!$G$2:$G$992,$A35,DATA!$H$2:$H$992,$B35,DATA!$I$2:$I$992,$C35,DATA!$E$2:$E$992,"&gt;="&amp;DATE(2026,12,1),DATA!$E$2:$E$992,"&lt;="&amp;EOMONTH(DATE(2026,12,1),0))</f>
        <v>0</v>
      </c>
      <c r="P35" s="284">
        <f t="shared" si="4"/>
        <v>0</v>
      </c>
      <c r="Q35" s="271"/>
      <c r="R35" s="272">
        <f t="shared" si="5"/>
        <v>0</v>
      </c>
      <c r="S35" s="277">
        <f t="shared" si="6"/>
        <v>0</v>
      </c>
    </row>
    <row r="36" spans="1:19" ht="21.75" customHeight="1">
      <c r="A36" s="294" t="s">
        <v>98</v>
      </c>
      <c r="B36" s="274" t="s">
        <v>105</v>
      </c>
      <c r="C36" s="13" t="s">
        <v>162</v>
      </c>
      <c r="D36" s="288">
        <f>COUNTIFS(DATA!$G$2:$G$992,$A36,DATA!$H$2:$H$992,$B36,DATA!$I$2:$I$992,$C36,DATA!$E$2:$E$992,"&gt;="&amp;DATE(2026,1,1),DATA!$E$2:$E$992,"&lt;="&amp;EOMONTH(DATE(2026,1,1),0))</f>
        <v>0</v>
      </c>
      <c r="E36" s="288">
        <f>COUNTIFS(DATA!$G$2:$G$992,$A36,DATA!$H$2:$H$992,$B36,DATA!$I$2:$I$992,$C36,DATA!$E$2:$E$992,"&gt;="&amp;DATE(2026,2,1),DATA!$E$2:$E$992,"&lt;="&amp;EOMONTH(DATE(2026,2,1),0))</f>
        <v>0</v>
      </c>
      <c r="F36" s="288">
        <f>COUNTIFS(DATA!$G$2:$G$992,$A36,DATA!$H$2:$H$992,$B36,DATA!$I$2:$I$992,$C36,DATA!$E$2:$E$992,"&gt;="&amp;DATE(2026,3,1),DATA!$E$2:$E$992,"&lt;="&amp;EOMONTH(DATE(2026,3,1),0))</f>
        <v>0</v>
      </c>
      <c r="G36" s="288">
        <f>COUNTIFS(DATA!$G$2:$G$992,$A36,DATA!$H$2:$H$992,$B36,DATA!$I$2:$I$992,$C36,DATA!$E$2:$E$992,"&gt;="&amp;DATE(2026,4,1),DATA!$E$2:$E$992,"&lt;="&amp;EOMONTH(DATE(2026,4,1),0))</f>
        <v>0</v>
      </c>
      <c r="H36" s="288">
        <f>COUNTIFS(DATA!$G$2:$G$992,$A36,DATA!$H$2:$H$992,$B36,DATA!$I$2:$I$992,$C36,DATA!$E$2:$E$992,"&gt;="&amp;DATE(2026,5,1),DATA!$E$2:$E$992,"&lt;="&amp;EOMONTH(DATE(2026,5,1),0))</f>
        <v>0</v>
      </c>
      <c r="I36" s="288">
        <f>COUNTIFS(DATA!$G$2:$G$992,$A36,DATA!$H$2:$H$992,$B36,DATA!$I$2:$I$992,$C36,DATA!$E$2:$E$992,"&gt;="&amp;DATE(2026,6,1),DATA!$E$2:$E$992,"&lt;="&amp;EOMONTH(DATE(2026,6,1),0))</f>
        <v>0</v>
      </c>
      <c r="J36" s="288">
        <f>COUNTIFS(DATA!$G$2:$G$992,$A36,DATA!$H$2:$H$992,$B36,DATA!$I$2:$I$992,$C36,DATA!$E$2:$E$992,"&gt;="&amp;DATE(2026,7,1),DATA!$E$2:$E$992,"&lt;="&amp;EOMONTH(DATE(2026,7,1),0))</f>
        <v>0</v>
      </c>
      <c r="K36" s="288">
        <f>COUNTIFS(DATA!$G$2:$G$992,$A36,DATA!$H$2:$H$992,$B36,DATA!$I$2:$I$992,$C36,DATA!$E$2:$E$992,"&gt;="&amp;DATE(2026,8,1),DATA!$E$2:$E$992,"&lt;="&amp;EOMONTH(DATE(2026,8,1),0))</f>
        <v>0</v>
      </c>
      <c r="L36" s="288">
        <f>COUNTIFS(DATA!$G$2:$G$992,$A36,DATA!$H$2:$H$992,$B36,DATA!$I$2:$I$992,$C36,DATA!$E$2:$E$992,"&gt;="&amp;DATE(2026,9,1),DATA!$E$2:$E$992,"&lt;="&amp;EOMONTH(DATE(2026,9,1),0))</f>
        <v>0</v>
      </c>
      <c r="M36" s="288">
        <f>COUNTIFS(DATA!$G$2:$G$992,$A36,DATA!$H$2:$H$992,$B36,DATA!$I$2:$I$992,$C36,DATA!$E$2:$E$992,"&gt;="&amp;DATE(2026,10,1),DATA!$E$2:$E$992,"&lt;="&amp;EOMONTH(DATE(2026,10,1),0))</f>
        <v>0</v>
      </c>
      <c r="N36" s="288">
        <f>COUNTIFS(DATA!$G$2:$G$992,$A36,DATA!$H$2:$H$992,$B36,DATA!$I$2:$I$992,$C36,DATA!$E$2:$E$992,"&gt;="&amp;DATE(2026,11,1),DATA!$E$2:$E$992,"&lt;="&amp;EOMONTH(DATE(2026,11,1),0))</f>
        <v>0</v>
      </c>
      <c r="O36" s="288">
        <f>COUNTIFS(DATA!$G$2:$G$992,$A36,DATA!$H$2:$H$992,$B36,DATA!$I$2:$I$992,$C36,DATA!$E$2:$E$992,"&gt;="&amp;DATE(2026,12,1),DATA!$E$2:$E$992,"&lt;="&amp;EOMONTH(DATE(2026,12,1),0))</f>
        <v>0</v>
      </c>
      <c r="P36" s="270">
        <f t="shared" si="4"/>
        <v>0</v>
      </c>
      <c r="Q36" s="271"/>
      <c r="R36" s="272">
        <f t="shared" si="5"/>
        <v>0</v>
      </c>
      <c r="S36" s="277">
        <f t="shared" si="6"/>
        <v>0</v>
      </c>
    </row>
    <row r="37" spans="1:19" ht="21.75" customHeight="1">
      <c r="A37" s="294" t="s">
        <v>98</v>
      </c>
      <c r="B37" s="274" t="s">
        <v>105</v>
      </c>
      <c r="C37" s="13" t="s">
        <v>178</v>
      </c>
      <c r="D37" s="269">
        <f>COUNTIFS(DATA!$G$2:$G$992,$A37,DATA!$H$2:$H$992,$B37,DATA!$I$2:$I$992,$C37,DATA!$E$2:$E$992,"&gt;="&amp;DATE(2026,1,1),DATA!$E$2:$E$992,"&lt;="&amp;EOMONTH(DATE(2026,1,1),0))</f>
        <v>0</v>
      </c>
      <c r="E37" s="269">
        <f>COUNTIFS(DATA!$G$2:$G$992,$A37,DATA!$H$2:$H$992,$B37,DATA!$I$2:$I$992,$C37,DATA!$E$2:$E$992,"&gt;="&amp;DATE(2026,2,1),DATA!$E$2:$E$992,"&lt;="&amp;EOMONTH(DATE(2026,2,1),0))</f>
        <v>0</v>
      </c>
      <c r="F37" s="269">
        <f>COUNTIFS(DATA!$G$2:$G$992,$A37,DATA!$H$2:$H$992,$B37,DATA!$I$2:$I$992,$C37,DATA!$E$2:$E$992,"&gt;="&amp;DATE(2026,3,1),DATA!$E$2:$E$992,"&lt;="&amp;EOMONTH(DATE(2026,3,1),0))</f>
        <v>0</v>
      </c>
      <c r="G37" s="269">
        <f>COUNTIFS(DATA!$G$2:$G$992,$A37,DATA!$H$2:$H$992,$B37,DATA!$I$2:$I$992,$C37,DATA!$E$2:$E$992,"&gt;="&amp;DATE(2026,4,1),DATA!$E$2:$E$992,"&lt;="&amp;EOMONTH(DATE(2026,4,1),0))</f>
        <v>0</v>
      </c>
      <c r="H37" s="269">
        <f>COUNTIFS(DATA!$G$2:$G$992,$A37,DATA!$H$2:$H$992,$B37,DATA!$I$2:$I$992,$C37,DATA!$E$2:$E$992,"&gt;="&amp;DATE(2026,5,1),DATA!$E$2:$E$992,"&lt;="&amp;EOMONTH(DATE(2026,5,1),0))</f>
        <v>0</v>
      </c>
      <c r="I37" s="269">
        <f>COUNTIFS(DATA!$G$2:$G$992,$A37,DATA!$H$2:$H$992,$B37,DATA!$I$2:$I$992,$C37,DATA!$E$2:$E$992,"&gt;="&amp;DATE(2026,6,1),DATA!$E$2:$E$992,"&lt;="&amp;EOMONTH(DATE(2026,6,1),0))</f>
        <v>0</v>
      </c>
      <c r="J37" s="269">
        <f>COUNTIFS(DATA!$G$2:$G$992,$A37,DATA!$H$2:$H$992,$B37,DATA!$I$2:$I$992,$C37,DATA!$E$2:$E$992,"&gt;="&amp;DATE(2026,7,1),DATA!$E$2:$E$992,"&lt;="&amp;EOMONTH(DATE(2026,7,1),0))</f>
        <v>0</v>
      </c>
      <c r="K37" s="269">
        <f>COUNTIFS(DATA!$G$2:$G$992,$A37,DATA!$H$2:$H$992,$B37,DATA!$I$2:$I$992,$C37,DATA!$E$2:$E$992,"&gt;="&amp;DATE(2026,8,1),DATA!$E$2:$E$992,"&lt;="&amp;EOMONTH(DATE(2026,8,1),0))</f>
        <v>0</v>
      </c>
      <c r="L37" s="269">
        <f>COUNTIFS(DATA!$G$2:$G$992,$A37,DATA!$H$2:$H$992,$B37,DATA!$I$2:$I$992,$C37,DATA!$E$2:$E$992,"&gt;="&amp;DATE(2026,9,1),DATA!$E$2:$E$992,"&lt;="&amp;EOMONTH(DATE(2026,9,1),0))</f>
        <v>0</v>
      </c>
      <c r="M37" s="269">
        <f>COUNTIFS(DATA!$G$2:$G$992,$A37,DATA!$H$2:$H$992,$B37,DATA!$I$2:$I$992,$C37,DATA!$E$2:$E$992,"&gt;="&amp;DATE(2026,10,1),DATA!$E$2:$E$992,"&lt;="&amp;EOMONTH(DATE(2026,10,1),0))</f>
        <v>0</v>
      </c>
      <c r="N37" s="269">
        <f>COUNTIFS(DATA!$G$2:$G$992,$A37,DATA!$H$2:$H$992,$B37,DATA!$I$2:$I$992,$C37,DATA!$E$2:$E$992,"&gt;="&amp;DATE(2026,11,1),DATA!$E$2:$E$992,"&lt;="&amp;EOMONTH(DATE(2026,11,1),0))</f>
        <v>0</v>
      </c>
      <c r="O37" s="269">
        <f>COUNTIFS(DATA!$G$2:$G$992,$A37,DATA!$H$2:$H$992,$B37,DATA!$I$2:$I$992,$C37,DATA!$E$2:$E$992,"&gt;="&amp;DATE(2026,12,1),DATA!$E$2:$E$992,"&lt;="&amp;EOMONTH(DATE(2026,12,1),0))</f>
        <v>0</v>
      </c>
      <c r="P37" s="270">
        <f t="shared" si="4"/>
        <v>0</v>
      </c>
      <c r="Q37" s="271"/>
      <c r="R37" s="272">
        <f t="shared" si="5"/>
        <v>0</v>
      </c>
      <c r="S37" s="277">
        <f t="shared" si="6"/>
        <v>0</v>
      </c>
    </row>
    <row r="38" spans="1:19" ht="21.75" customHeight="1">
      <c r="A38" s="294" t="s">
        <v>98</v>
      </c>
      <c r="B38" s="274" t="s">
        <v>105</v>
      </c>
      <c r="C38" s="13" t="s">
        <v>193</v>
      </c>
      <c r="D38" s="288">
        <f>COUNTIFS(DATA!$G$2:$G$992,$A38,DATA!$H$2:$H$992,$B38,DATA!$I$2:$I$992,$C38,DATA!$E$2:$E$992,"&gt;="&amp;DATE(2026,1,1),DATA!$E$2:$E$992,"&lt;="&amp;EOMONTH(DATE(2026,1,1),0))</f>
        <v>0</v>
      </c>
      <c r="E38" s="288">
        <f>COUNTIFS(DATA!$G$2:$G$992,$A38,DATA!$H$2:$H$992,$B38,DATA!$I$2:$I$992,$C38,DATA!$E$2:$E$992,"&gt;="&amp;DATE(2026,2,1),DATA!$E$2:$E$992,"&lt;="&amp;EOMONTH(DATE(2026,2,1),0))</f>
        <v>0</v>
      </c>
      <c r="F38" s="288">
        <f>COUNTIFS(DATA!$G$2:$G$992,$A38,DATA!$H$2:$H$992,$B38,DATA!$I$2:$I$992,$C38,DATA!$E$2:$E$992,"&gt;="&amp;DATE(2026,3,1),DATA!$E$2:$E$992,"&lt;="&amp;EOMONTH(DATE(2026,3,1),0))</f>
        <v>0</v>
      </c>
      <c r="G38" s="288">
        <f>COUNTIFS(DATA!$G$2:$G$992,$A38,DATA!$H$2:$H$992,$B38,DATA!$I$2:$I$992,$C38,DATA!$E$2:$E$992,"&gt;="&amp;DATE(2026,4,1),DATA!$E$2:$E$992,"&lt;="&amp;EOMONTH(DATE(2026,4,1),0))</f>
        <v>0</v>
      </c>
      <c r="H38" s="288">
        <f>COUNTIFS(DATA!$G$2:$G$992,$A38,DATA!$H$2:$H$992,$B38,DATA!$I$2:$I$992,$C38,DATA!$E$2:$E$992,"&gt;="&amp;DATE(2026,5,1),DATA!$E$2:$E$992,"&lt;="&amp;EOMONTH(DATE(2026,5,1),0))</f>
        <v>0</v>
      </c>
      <c r="I38" s="288">
        <f>COUNTIFS(DATA!$G$2:$G$992,$A38,DATA!$H$2:$H$992,$B38,DATA!$I$2:$I$992,$C38,DATA!$E$2:$E$992,"&gt;="&amp;DATE(2026,6,1),DATA!$E$2:$E$992,"&lt;="&amp;EOMONTH(DATE(2026,6,1),0))</f>
        <v>0</v>
      </c>
      <c r="J38" s="288">
        <f>COUNTIFS(DATA!$G$2:$G$992,$A38,DATA!$H$2:$H$992,$B38,DATA!$I$2:$I$992,$C38,DATA!$E$2:$E$992,"&gt;="&amp;DATE(2026,7,1),DATA!$E$2:$E$992,"&lt;="&amp;EOMONTH(DATE(2026,7,1),0))</f>
        <v>0</v>
      </c>
      <c r="K38" s="288">
        <f>COUNTIFS(DATA!$G$2:$G$992,$A38,DATA!$H$2:$H$992,$B38,DATA!$I$2:$I$992,$C38,DATA!$E$2:$E$992,"&gt;="&amp;DATE(2026,8,1),DATA!$E$2:$E$992,"&lt;="&amp;EOMONTH(DATE(2026,8,1),0))</f>
        <v>0</v>
      </c>
      <c r="L38" s="288">
        <f>COUNTIFS(DATA!$G$2:$G$992,$A38,DATA!$H$2:$H$992,$B38,DATA!$I$2:$I$992,$C38,DATA!$E$2:$E$992,"&gt;="&amp;DATE(2026,9,1),DATA!$E$2:$E$992,"&lt;="&amp;EOMONTH(DATE(2026,9,1),0))</f>
        <v>0</v>
      </c>
      <c r="M38" s="288">
        <f>COUNTIFS(DATA!$G$2:$G$992,$A38,DATA!$H$2:$H$992,$B38,DATA!$I$2:$I$992,$C38,DATA!$E$2:$E$992,"&gt;="&amp;DATE(2026,10,1),DATA!$E$2:$E$992,"&lt;="&amp;EOMONTH(DATE(2026,10,1),0))</f>
        <v>0</v>
      </c>
      <c r="N38" s="288">
        <f>COUNTIFS(DATA!$G$2:$G$992,$A38,DATA!$H$2:$H$992,$B38,DATA!$I$2:$I$992,$C38,DATA!$E$2:$E$992,"&gt;="&amp;DATE(2026,11,1),DATA!$E$2:$E$992,"&lt;="&amp;EOMONTH(DATE(2026,11,1),0))</f>
        <v>0</v>
      </c>
      <c r="O38" s="288">
        <f>COUNTIFS(DATA!$G$2:$G$992,$A38,DATA!$H$2:$H$992,$B38,DATA!$I$2:$I$992,$C38,DATA!$E$2:$E$992,"&gt;="&amp;DATE(2026,12,1),DATA!$E$2:$E$992,"&lt;="&amp;EOMONTH(DATE(2026,12,1),0))</f>
        <v>0</v>
      </c>
      <c r="P38" s="270">
        <f t="shared" si="4"/>
        <v>0</v>
      </c>
      <c r="Q38" s="271"/>
      <c r="R38" s="272">
        <f t="shared" si="5"/>
        <v>0</v>
      </c>
      <c r="S38" s="277">
        <f t="shared" si="6"/>
        <v>0</v>
      </c>
    </row>
    <row r="39" spans="1:19" ht="21.75" customHeight="1">
      <c r="A39" s="294" t="s">
        <v>98</v>
      </c>
      <c r="B39" s="274" t="s">
        <v>105</v>
      </c>
      <c r="C39" s="13" t="s">
        <v>129</v>
      </c>
      <c r="D39" s="269">
        <f>COUNTIFS(DATA!$G$2:$G$992,$A39,DATA!$H$2:$H$992,$B39,DATA!$I$2:$I$992,$C39,DATA!$E$2:$E$992,"&gt;="&amp;DATE(2026,1,1),DATA!$E$2:$E$992,"&lt;="&amp;EOMONTH(DATE(2026,1,1),0))</f>
        <v>0</v>
      </c>
      <c r="E39" s="269">
        <f>COUNTIFS(DATA!$G$2:$G$992,$A39,DATA!$H$2:$H$992,$B39,DATA!$I$2:$I$992,$C39,DATA!$E$2:$E$992,"&gt;="&amp;DATE(2026,2,1),DATA!$E$2:$E$992,"&lt;="&amp;EOMONTH(DATE(2026,2,1),0))</f>
        <v>0</v>
      </c>
      <c r="F39" s="269">
        <f>COUNTIFS(DATA!$G$2:$G$992,$A39,DATA!$H$2:$H$992,$B39,DATA!$I$2:$I$992,$C39,DATA!$E$2:$E$992,"&gt;="&amp;DATE(2026,3,1),DATA!$E$2:$E$992,"&lt;="&amp;EOMONTH(DATE(2026,3,1),0))</f>
        <v>0</v>
      </c>
      <c r="G39" s="269">
        <f>COUNTIFS(DATA!$G$2:$G$992,$A39,DATA!$H$2:$H$992,$B39,DATA!$I$2:$I$992,$C39,DATA!$E$2:$E$992,"&gt;="&amp;DATE(2026,4,1),DATA!$E$2:$E$992,"&lt;="&amp;EOMONTH(DATE(2026,4,1),0))</f>
        <v>0</v>
      </c>
      <c r="H39" s="269">
        <f>COUNTIFS(DATA!$G$2:$G$992,$A39,DATA!$H$2:$H$992,$B39,DATA!$I$2:$I$992,$C39,DATA!$E$2:$E$992,"&gt;="&amp;DATE(2026,5,1),DATA!$E$2:$E$992,"&lt;="&amp;EOMONTH(DATE(2026,5,1),0))</f>
        <v>0</v>
      </c>
      <c r="I39" s="269">
        <f>COUNTIFS(DATA!$G$2:$G$992,$A39,DATA!$H$2:$H$992,$B39,DATA!$I$2:$I$992,$C39,DATA!$E$2:$E$992,"&gt;="&amp;DATE(2026,6,1),DATA!$E$2:$E$992,"&lt;="&amp;EOMONTH(DATE(2026,6,1),0))</f>
        <v>0</v>
      </c>
      <c r="J39" s="269">
        <f>COUNTIFS(DATA!$G$2:$G$992,$A39,DATA!$H$2:$H$992,$B39,DATA!$I$2:$I$992,$C39,DATA!$E$2:$E$992,"&gt;="&amp;DATE(2026,7,1),DATA!$E$2:$E$992,"&lt;="&amp;EOMONTH(DATE(2026,7,1),0))</f>
        <v>0</v>
      </c>
      <c r="K39" s="269">
        <f>COUNTIFS(DATA!$G$2:$G$992,$A39,DATA!$H$2:$H$992,$B39,DATA!$I$2:$I$992,$C39,DATA!$E$2:$E$992,"&gt;="&amp;DATE(2026,8,1),DATA!$E$2:$E$992,"&lt;="&amp;EOMONTH(DATE(2026,8,1),0))</f>
        <v>0</v>
      </c>
      <c r="L39" s="269">
        <f>COUNTIFS(DATA!$G$2:$G$992,$A39,DATA!$H$2:$H$992,$B39,DATA!$I$2:$I$992,$C39,DATA!$E$2:$E$992,"&gt;="&amp;DATE(2026,9,1),DATA!$E$2:$E$992,"&lt;="&amp;EOMONTH(DATE(2026,9,1),0))</f>
        <v>0</v>
      </c>
      <c r="M39" s="269">
        <f>COUNTIFS(DATA!$G$2:$G$992,$A39,DATA!$H$2:$H$992,$B39,DATA!$I$2:$I$992,$C39,DATA!$E$2:$E$992,"&gt;="&amp;DATE(2026,10,1),DATA!$E$2:$E$992,"&lt;="&amp;EOMONTH(DATE(2026,10,1),0))</f>
        <v>0</v>
      </c>
      <c r="N39" s="269">
        <f>COUNTIFS(DATA!$G$2:$G$992,$A39,DATA!$H$2:$H$992,$B39,DATA!$I$2:$I$992,$C39,DATA!$E$2:$E$992,"&gt;="&amp;DATE(2026,11,1),DATA!$E$2:$E$992,"&lt;="&amp;EOMONTH(DATE(2026,11,1),0))</f>
        <v>0</v>
      </c>
      <c r="O39" s="269">
        <f>COUNTIFS(DATA!$G$2:$G$992,$A39,DATA!$H$2:$H$992,$B39,DATA!$I$2:$I$992,$C39,DATA!$E$2:$E$992,"&gt;="&amp;DATE(2026,12,1),DATA!$E$2:$E$992,"&lt;="&amp;EOMONTH(DATE(2026,12,1),0))</f>
        <v>0</v>
      </c>
      <c r="P39" s="270">
        <f t="shared" si="4"/>
        <v>0</v>
      </c>
      <c r="Q39" s="271"/>
      <c r="R39" s="272">
        <f t="shared" si="5"/>
        <v>0</v>
      </c>
      <c r="S39" s="277">
        <f t="shared" si="6"/>
        <v>0</v>
      </c>
    </row>
    <row r="40" spans="1:19" ht="21.75" customHeight="1">
      <c r="A40" s="294" t="s">
        <v>98</v>
      </c>
      <c r="B40" s="274" t="s">
        <v>105</v>
      </c>
      <c r="C40" s="13" t="s">
        <v>213</v>
      </c>
      <c r="D40" s="288">
        <f>COUNTIFS(DATA!$G$2:$G$992,$A40,DATA!$H$2:$H$992,$B40,DATA!$I$2:$I$992,$C40,DATA!$E$2:$E$992,"&gt;="&amp;DATE(2026,1,1),DATA!$E$2:$E$992,"&lt;="&amp;EOMONTH(DATE(2026,1,1),0))</f>
        <v>0</v>
      </c>
      <c r="E40" s="288">
        <f>COUNTIFS(DATA!$G$2:$G$992,$A40,DATA!$H$2:$H$992,$B40,DATA!$I$2:$I$992,$C40,DATA!$E$2:$E$992,"&gt;="&amp;DATE(2026,2,1),DATA!$E$2:$E$992,"&lt;="&amp;EOMONTH(DATE(2026,2,1),0))</f>
        <v>0</v>
      </c>
      <c r="F40" s="288">
        <f>COUNTIFS(DATA!$G$2:$G$992,$A40,DATA!$H$2:$H$992,$B40,DATA!$I$2:$I$992,$C40,DATA!$E$2:$E$992,"&gt;="&amp;DATE(2026,3,1),DATA!$E$2:$E$992,"&lt;="&amp;EOMONTH(DATE(2026,3,1),0))</f>
        <v>0</v>
      </c>
      <c r="G40" s="288">
        <f>COUNTIFS(DATA!$G$2:$G$992,$A40,DATA!$H$2:$H$992,$B40,DATA!$I$2:$I$992,$C40,DATA!$E$2:$E$992,"&gt;="&amp;DATE(2026,4,1),DATA!$E$2:$E$992,"&lt;="&amp;EOMONTH(DATE(2026,4,1),0))</f>
        <v>0</v>
      </c>
      <c r="H40" s="288">
        <f>COUNTIFS(DATA!$G$2:$G$992,$A40,DATA!$H$2:$H$992,$B40,DATA!$I$2:$I$992,$C40,DATA!$E$2:$E$992,"&gt;="&amp;DATE(2026,5,1),DATA!$E$2:$E$992,"&lt;="&amp;EOMONTH(DATE(2026,5,1),0))</f>
        <v>0</v>
      </c>
      <c r="I40" s="288">
        <f>COUNTIFS(DATA!$G$2:$G$992,$A40,DATA!$H$2:$H$992,$B40,DATA!$I$2:$I$992,$C40,DATA!$E$2:$E$992,"&gt;="&amp;DATE(2026,6,1),DATA!$E$2:$E$992,"&lt;="&amp;EOMONTH(DATE(2026,6,1),0))</f>
        <v>0</v>
      </c>
      <c r="J40" s="288">
        <f>COUNTIFS(DATA!$G$2:$G$992,$A40,DATA!$H$2:$H$992,$B40,DATA!$I$2:$I$992,$C40,DATA!$E$2:$E$992,"&gt;="&amp;DATE(2026,7,1),DATA!$E$2:$E$992,"&lt;="&amp;EOMONTH(DATE(2026,7,1),0))</f>
        <v>0</v>
      </c>
      <c r="K40" s="288">
        <f>COUNTIFS(DATA!$G$2:$G$992,$A40,DATA!$H$2:$H$992,$B40,DATA!$I$2:$I$992,$C40,DATA!$E$2:$E$992,"&gt;="&amp;DATE(2026,8,1),DATA!$E$2:$E$992,"&lt;="&amp;EOMONTH(DATE(2026,8,1),0))</f>
        <v>0</v>
      </c>
      <c r="L40" s="288">
        <f>COUNTIFS(DATA!$G$2:$G$992,$A40,DATA!$H$2:$H$992,$B40,DATA!$I$2:$I$992,$C40,DATA!$E$2:$E$992,"&gt;="&amp;DATE(2026,9,1),DATA!$E$2:$E$992,"&lt;="&amp;EOMONTH(DATE(2026,9,1),0))</f>
        <v>0</v>
      </c>
      <c r="M40" s="288">
        <f>COUNTIFS(DATA!$G$2:$G$992,$A40,DATA!$H$2:$H$992,$B40,DATA!$I$2:$I$992,$C40,DATA!$E$2:$E$992,"&gt;="&amp;DATE(2026,10,1),DATA!$E$2:$E$992,"&lt;="&amp;EOMONTH(DATE(2026,10,1),0))</f>
        <v>0</v>
      </c>
      <c r="N40" s="288">
        <f>COUNTIFS(DATA!$G$2:$G$992,$A40,DATA!$H$2:$H$992,$B40,DATA!$I$2:$I$992,$C40,DATA!$E$2:$E$992,"&gt;="&amp;DATE(2026,11,1),DATA!$E$2:$E$992,"&lt;="&amp;EOMONTH(DATE(2026,11,1),0))</f>
        <v>0</v>
      </c>
      <c r="O40" s="288">
        <f>COUNTIFS(DATA!$G$2:$G$992,$A40,DATA!$H$2:$H$992,$B40,DATA!$I$2:$I$992,$C40,DATA!$E$2:$E$992,"&gt;="&amp;DATE(2026,12,1),DATA!$E$2:$E$992,"&lt;="&amp;EOMONTH(DATE(2026,12,1),0))</f>
        <v>0</v>
      </c>
      <c r="P40" s="270">
        <f t="shared" si="4"/>
        <v>0</v>
      </c>
      <c r="Q40" s="271"/>
      <c r="R40" s="272">
        <f t="shared" si="5"/>
        <v>0</v>
      </c>
      <c r="S40" s="277">
        <f t="shared" si="6"/>
        <v>0</v>
      </c>
    </row>
    <row r="41" spans="1:19" ht="21.75" customHeight="1">
      <c r="A41" s="294" t="s">
        <v>98</v>
      </c>
      <c r="B41" s="274" t="s">
        <v>105</v>
      </c>
      <c r="C41" s="13" t="s">
        <v>147</v>
      </c>
      <c r="D41" s="269">
        <f>COUNTIFS(DATA!$G$2:$G$992,$A41,DATA!$H$2:$H$992,$B41,DATA!$I$2:$I$992,$C41,DATA!$E$2:$E$992,"&gt;="&amp;DATE(2026,1,1),DATA!$E$2:$E$992,"&lt;="&amp;EOMONTH(DATE(2026,1,1),0))</f>
        <v>0</v>
      </c>
      <c r="E41" s="269">
        <f>COUNTIFS(DATA!$G$2:$G$992,$A41,DATA!$H$2:$H$992,$B41,DATA!$I$2:$I$992,$C41,DATA!$E$2:$E$992,"&gt;="&amp;DATE(2026,2,1),DATA!$E$2:$E$992,"&lt;="&amp;EOMONTH(DATE(2026,2,1),0))</f>
        <v>0</v>
      </c>
      <c r="F41" s="269">
        <f>COUNTIFS(DATA!$G$2:$G$992,$A41,DATA!$H$2:$H$992,$B41,DATA!$I$2:$I$992,$C41,DATA!$E$2:$E$992,"&gt;="&amp;DATE(2026,3,1),DATA!$E$2:$E$992,"&lt;="&amp;EOMONTH(DATE(2026,3,1),0))</f>
        <v>0</v>
      </c>
      <c r="G41" s="269">
        <f>COUNTIFS(DATA!$G$2:$G$992,$A41,DATA!$H$2:$H$992,$B41,DATA!$I$2:$I$992,$C41,DATA!$E$2:$E$992,"&gt;="&amp;DATE(2026,4,1),DATA!$E$2:$E$992,"&lt;="&amp;EOMONTH(DATE(2026,4,1),0))</f>
        <v>0</v>
      </c>
      <c r="H41" s="269">
        <f>COUNTIFS(DATA!$G$2:$G$992,$A41,DATA!$H$2:$H$992,$B41,DATA!$I$2:$I$992,$C41,DATA!$E$2:$E$992,"&gt;="&amp;DATE(2026,5,1),DATA!$E$2:$E$992,"&lt;="&amp;EOMONTH(DATE(2026,5,1),0))</f>
        <v>0</v>
      </c>
      <c r="I41" s="269">
        <f>COUNTIFS(DATA!$G$2:$G$992,$A41,DATA!$H$2:$H$992,$B41,DATA!$I$2:$I$992,$C41,DATA!$E$2:$E$992,"&gt;="&amp;DATE(2026,6,1),DATA!$E$2:$E$992,"&lt;="&amp;EOMONTH(DATE(2026,6,1),0))</f>
        <v>0</v>
      </c>
      <c r="J41" s="269">
        <f>COUNTIFS(DATA!$G$2:$G$992,$A41,DATA!$H$2:$H$992,$B41,DATA!$I$2:$I$992,$C41,DATA!$E$2:$E$992,"&gt;="&amp;DATE(2026,7,1),DATA!$E$2:$E$992,"&lt;="&amp;EOMONTH(DATE(2026,7,1),0))</f>
        <v>0</v>
      </c>
      <c r="K41" s="269">
        <f>COUNTIFS(DATA!$G$2:$G$992,$A41,DATA!$H$2:$H$992,$B41,DATA!$I$2:$I$992,$C41,DATA!$E$2:$E$992,"&gt;="&amp;DATE(2026,8,1),DATA!$E$2:$E$992,"&lt;="&amp;EOMONTH(DATE(2026,8,1),0))</f>
        <v>0</v>
      </c>
      <c r="L41" s="269">
        <f>COUNTIFS(DATA!$G$2:$G$992,$A41,DATA!$H$2:$H$992,$B41,DATA!$I$2:$I$992,$C41,DATA!$E$2:$E$992,"&gt;="&amp;DATE(2026,9,1),DATA!$E$2:$E$992,"&lt;="&amp;EOMONTH(DATE(2026,9,1),0))</f>
        <v>0</v>
      </c>
      <c r="M41" s="269">
        <f>COUNTIFS(DATA!$G$2:$G$992,$A41,DATA!$H$2:$H$992,$B41,DATA!$I$2:$I$992,$C41,DATA!$E$2:$E$992,"&gt;="&amp;DATE(2026,10,1),DATA!$E$2:$E$992,"&lt;="&amp;EOMONTH(DATE(2026,10,1),0))</f>
        <v>0</v>
      </c>
      <c r="N41" s="269">
        <f>COUNTIFS(DATA!$G$2:$G$992,$A41,DATA!$H$2:$H$992,$B41,DATA!$I$2:$I$992,$C41,DATA!$E$2:$E$992,"&gt;="&amp;DATE(2026,11,1),DATA!$E$2:$E$992,"&lt;="&amp;EOMONTH(DATE(2026,11,1),0))</f>
        <v>0</v>
      </c>
      <c r="O41" s="269">
        <f>COUNTIFS(DATA!$G$2:$G$992,$A41,DATA!$H$2:$H$992,$B41,DATA!$I$2:$I$992,$C41,DATA!$E$2:$E$992,"&gt;="&amp;DATE(2026,12,1),DATA!$E$2:$E$992,"&lt;="&amp;EOMONTH(DATE(2026,12,1),0))</f>
        <v>0</v>
      </c>
      <c r="P41" s="270">
        <f t="shared" si="4"/>
        <v>0</v>
      </c>
      <c r="Q41" s="271"/>
      <c r="R41" s="272">
        <f t="shared" si="5"/>
        <v>0</v>
      </c>
      <c r="S41" s="277">
        <f t="shared" si="6"/>
        <v>0</v>
      </c>
    </row>
    <row r="42" spans="1:19" ht="21.75" customHeight="1">
      <c r="A42" s="294" t="s">
        <v>98</v>
      </c>
      <c r="B42" s="18" t="s">
        <v>105</v>
      </c>
      <c r="C42" s="13" t="s">
        <v>164</v>
      </c>
      <c r="D42" s="288">
        <f>COUNTIFS(DATA!$G$2:$G$992,$A42,DATA!$H$2:$H$992,$B42,DATA!$I$2:$I$992,$C42,DATA!$E$2:$E$992,"&gt;="&amp;DATE(2026,1,1),DATA!$E$2:$E$992,"&lt;="&amp;EOMONTH(DATE(2026,1,1),0))</f>
        <v>0</v>
      </c>
      <c r="E42" s="288">
        <f>COUNTIFS(DATA!$G$2:$G$992,$A42,DATA!$H$2:$H$992,$B42,DATA!$I$2:$I$992,$C42,DATA!$E$2:$E$992,"&gt;="&amp;DATE(2026,2,1),DATA!$E$2:$E$992,"&lt;="&amp;EOMONTH(DATE(2026,2,1),0))</f>
        <v>0</v>
      </c>
      <c r="F42" s="288">
        <f>COUNTIFS(DATA!$G$2:$G$992,$A42,DATA!$H$2:$H$992,$B42,DATA!$I$2:$I$992,$C42,DATA!$E$2:$E$992,"&gt;="&amp;DATE(2026,3,1),DATA!$E$2:$E$992,"&lt;="&amp;EOMONTH(DATE(2026,3,1),0))</f>
        <v>0</v>
      </c>
      <c r="G42" s="288">
        <f>COUNTIFS(DATA!$G$2:$G$992,$A42,DATA!$H$2:$H$992,$B42,DATA!$I$2:$I$992,$C42,DATA!$E$2:$E$992,"&gt;="&amp;DATE(2026,4,1),DATA!$E$2:$E$992,"&lt;="&amp;EOMONTH(DATE(2026,4,1),0))</f>
        <v>0</v>
      </c>
      <c r="H42" s="288">
        <f>COUNTIFS(DATA!$G$2:$G$992,$A42,DATA!$H$2:$H$992,$B42,DATA!$I$2:$I$992,$C42,DATA!$E$2:$E$992,"&gt;="&amp;DATE(2026,5,1),DATA!$E$2:$E$992,"&lt;="&amp;EOMONTH(DATE(2026,5,1),0))</f>
        <v>0</v>
      </c>
      <c r="I42" s="288">
        <f>COUNTIFS(DATA!$G$2:$G$992,$A42,DATA!$H$2:$H$992,$B42,DATA!$I$2:$I$992,$C42,DATA!$E$2:$E$992,"&gt;="&amp;DATE(2026,6,1),DATA!$E$2:$E$992,"&lt;="&amp;EOMONTH(DATE(2026,6,1),0))</f>
        <v>0</v>
      </c>
      <c r="J42" s="288">
        <f>COUNTIFS(DATA!$G$2:$G$992,$A42,DATA!$H$2:$H$992,$B42,DATA!$I$2:$I$992,$C42,DATA!$E$2:$E$992,"&gt;="&amp;DATE(2026,7,1),DATA!$E$2:$E$992,"&lt;="&amp;EOMONTH(DATE(2026,7,1),0))</f>
        <v>0</v>
      </c>
      <c r="K42" s="288">
        <f>COUNTIFS(DATA!$G$2:$G$992,$A42,DATA!$H$2:$H$992,$B42,DATA!$I$2:$I$992,$C42,DATA!$E$2:$E$992,"&gt;="&amp;DATE(2026,8,1),DATA!$E$2:$E$992,"&lt;="&amp;EOMONTH(DATE(2026,8,1),0))</f>
        <v>0</v>
      </c>
      <c r="L42" s="288">
        <f>COUNTIFS(DATA!$G$2:$G$992,$A42,DATA!$H$2:$H$992,$B42,DATA!$I$2:$I$992,$C42,DATA!$E$2:$E$992,"&gt;="&amp;DATE(2026,9,1),DATA!$E$2:$E$992,"&lt;="&amp;EOMONTH(DATE(2026,9,1),0))</f>
        <v>0</v>
      </c>
      <c r="M42" s="288">
        <f>COUNTIFS(DATA!$G$2:$G$992,$A42,DATA!$H$2:$H$992,$B42,DATA!$I$2:$I$992,$C42,DATA!$E$2:$E$992,"&gt;="&amp;DATE(2026,10,1),DATA!$E$2:$E$992,"&lt;="&amp;EOMONTH(DATE(2026,10,1),0))</f>
        <v>0</v>
      </c>
      <c r="N42" s="288">
        <f>COUNTIFS(DATA!$G$2:$G$992,$A42,DATA!$H$2:$H$992,$B42,DATA!$I$2:$I$992,$C42,DATA!$E$2:$E$992,"&gt;="&amp;DATE(2026,11,1),DATA!$E$2:$E$992,"&lt;="&amp;EOMONTH(DATE(2026,11,1),0))</f>
        <v>0</v>
      </c>
      <c r="O42" s="288">
        <f>COUNTIFS(DATA!$G$2:$G$992,$A42,DATA!$H$2:$H$992,$B42,DATA!$I$2:$I$992,$C42,DATA!$E$2:$E$992,"&gt;="&amp;DATE(2026,12,1),DATA!$E$2:$E$992,"&lt;="&amp;EOMONTH(DATE(2026,12,1),0))</f>
        <v>0</v>
      </c>
      <c r="P42" s="270">
        <f t="shared" si="4"/>
        <v>0</v>
      </c>
      <c r="Q42" s="271"/>
      <c r="R42" s="272">
        <f t="shared" si="5"/>
        <v>0</v>
      </c>
      <c r="S42" s="19">
        <f t="shared" si="6"/>
        <v>0</v>
      </c>
    </row>
    <row r="43" spans="1:19" ht="21.75" customHeight="1">
      <c r="A43" s="294" t="s">
        <v>98</v>
      </c>
      <c r="B43" s="274" t="s">
        <v>105</v>
      </c>
      <c r="C43" s="13" t="s">
        <v>195</v>
      </c>
      <c r="D43" s="269">
        <f>COUNTIFS(DATA!$G$2:$G$992,$A43,DATA!$H$2:$H$992,$B43,DATA!$I$2:$I$992,$C43,DATA!$E$2:$E$992,"&gt;="&amp;DATE(2026,1,1),DATA!$E$2:$E$992,"&lt;="&amp;EOMONTH(DATE(2026,1,1),0))</f>
        <v>0</v>
      </c>
      <c r="E43" s="269">
        <f>COUNTIFS(DATA!$G$2:$G$992,$A43,DATA!$H$2:$H$992,$B43,DATA!$I$2:$I$992,$C43,DATA!$E$2:$E$992,"&gt;="&amp;DATE(2026,2,1),DATA!$E$2:$E$992,"&lt;="&amp;EOMONTH(DATE(2026,2,1),0))</f>
        <v>0</v>
      </c>
      <c r="F43" s="269">
        <f>COUNTIFS(DATA!$G$2:$G$992,$A43,DATA!$H$2:$H$992,$B43,DATA!$I$2:$I$992,$C43,DATA!$E$2:$E$992,"&gt;="&amp;DATE(2026,3,1),DATA!$E$2:$E$992,"&lt;="&amp;EOMONTH(DATE(2026,3,1),0))</f>
        <v>0</v>
      </c>
      <c r="G43" s="269">
        <f>COUNTIFS(DATA!$G$2:$G$992,$A43,DATA!$H$2:$H$992,$B43,DATA!$I$2:$I$992,$C43,DATA!$E$2:$E$992,"&gt;="&amp;DATE(2026,4,1),DATA!$E$2:$E$992,"&lt;="&amp;EOMONTH(DATE(2026,4,1),0))</f>
        <v>0</v>
      </c>
      <c r="H43" s="269">
        <f>COUNTIFS(DATA!$G$2:$G$992,$A43,DATA!$H$2:$H$992,$B43,DATA!$I$2:$I$992,$C43,DATA!$E$2:$E$992,"&gt;="&amp;DATE(2026,5,1),DATA!$E$2:$E$992,"&lt;="&amp;EOMONTH(DATE(2026,5,1),0))</f>
        <v>0</v>
      </c>
      <c r="I43" s="269">
        <f>COUNTIFS(DATA!$G$2:$G$992,$A43,DATA!$H$2:$H$992,$B43,DATA!$I$2:$I$992,$C43,DATA!$E$2:$E$992,"&gt;="&amp;DATE(2026,6,1),DATA!$E$2:$E$992,"&lt;="&amp;EOMONTH(DATE(2026,6,1),0))</f>
        <v>0</v>
      </c>
      <c r="J43" s="269">
        <f>COUNTIFS(DATA!$G$2:$G$992,$A43,DATA!$H$2:$H$992,$B43,DATA!$I$2:$I$992,$C43,DATA!$E$2:$E$992,"&gt;="&amp;DATE(2026,7,1),DATA!$E$2:$E$992,"&lt;="&amp;EOMONTH(DATE(2026,7,1),0))</f>
        <v>0</v>
      </c>
      <c r="K43" s="269">
        <f>COUNTIFS(DATA!$G$2:$G$992,$A43,DATA!$H$2:$H$992,$B43,DATA!$I$2:$I$992,$C43,DATA!$E$2:$E$992,"&gt;="&amp;DATE(2026,8,1),DATA!$E$2:$E$992,"&lt;="&amp;EOMONTH(DATE(2026,8,1),0))</f>
        <v>0</v>
      </c>
      <c r="L43" s="269">
        <f>COUNTIFS(DATA!$G$2:$G$992,$A43,DATA!$H$2:$H$992,$B43,DATA!$I$2:$I$992,$C43,DATA!$E$2:$E$992,"&gt;="&amp;DATE(2026,9,1),DATA!$E$2:$E$992,"&lt;="&amp;EOMONTH(DATE(2026,9,1),0))</f>
        <v>0</v>
      </c>
      <c r="M43" s="269">
        <f>COUNTIFS(DATA!$G$2:$G$992,$A43,DATA!$H$2:$H$992,$B43,DATA!$I$2:$I$992,$C43,DATA!$E$2:$E$992,"&gt;="&amp;DATE(2026,10,1),DATA!$E$2:$E$992,"&lt;="&amp;EOMONTH(DATE(2026,10,1),0))</f>
        <v>0</v>
      </c>
      <c r="N43" s="269">
        <f>COUNTIFS(DATA!$G$2:$G$992,$A43,DATA!$H$2:$H$992,$B43,DATA!$I$2:$I$992,$C43,DATA!$E$2:$E$992,"&gt;="&amp;DATE(2026,11,1),DATA!$E$2:$E$992,"&lt;="&amp;EOMONTH(DATE(2026,11,1),0))</f>
        <v>0</v>
      </c>
      <c r="O43" s="269">
        <f>COUNTIFS(DATA!$G$2:$G$992,$A43,DATA!$H$2:$H$992,$B43,DATA!$I$2:$I$992,$C43,DATA!$E$2:$E$992,"&gt;="&amp;DATE(2026,12,1),DATA!$E$2:$E$992,"&lt;="&amp;EOMONTH(DATE(2026,12,1),0))</f>
        <v>0</v>
      </c>
      <c r="P43" s="270">
        <f t="shared" si="4"/>
        <v>0</v>
      </c>
      <c r="Q43" s="271"/>
      <c r="R43" s="272">
        <f t="shared" si="5"/>
        <v>0</v>
      </c>
      <c r="S43" s="277">
        <f t="shared" si="6"/>
        <v>0</v>
      </c>
    </row>
    <row r="44" spans="1:19" ht="21.75" customHeight="1">
      <c r="A44" s="294" t="s">
        <v>98</v>
      </c>
      <c r="B44" s="274" t="s">
        <v>105</v>
      </c>
      <c r="C44" s="13" t="s">
        <v>205</v>
      </c>
      <c r="D44" s="288">
        <f>COUNTIFS(DATA!$G$2:$G$992,$A44,DATA!$H$2:$H$992,$B44,DATA!$I$2:$I$992,$C44,DATA!$E$2:$E$992,"&gt;="&amp;DATE(2026,1,1),DATA!$E$2:$E$992,"&lt;="&amp;EOMONTH(DATE(2026,1,1),0))</f>
        <v>0</v>
      </c>
      <c r="E44" s="288">
        <f>COUNTIFS(DATA!$G$2:$G$992,$A44,DATA!$H$2:$H$992,$B44,DATA!$I$2:$I$992,$C44,DATA!$E$2:$E$992,"&gt;="&amp;DATE(2026,2,1),DATA!$E$2:$E$992,"&lt;="&amp;EOMONTH(DATE(2026,2,1),0))</f>
        <v>0</v>
      </c>
      <c r="F44" s="288">
        <f>COUNTIFS(DATA!$G$2:$G$992,$A44,DATA!$H$2:$H$992,$B44,DATA!$I$2:$I$992,$C44,DATA!$E$2:$E$992,"&gt;="&amp;DATE(2026,3,1),DATA!$E$2:$E$992,"&lt;="&amp;EOMONTH(DATE(2026,3,1),0))</f>
        <v>0</v>
      </c>
      <c r="G44" s="288">
        <f>COUNTIFS(DATA!$G$2:$G$992,$A44,DATA!$H$2:$H$992,$B44,DATA!$I$2:$I$992,$C44,DATA!$E$2:$E$992,"&gt;="&amp;DATE(2026,4,1),DATA!$E$2:$E$992,"&lt;="&amp;EOMONTH(DATE(2026,4,1),0))</f>
        <v>0</v>
      </c>
      <c r="H44" s="288">
        <f>COUNTIFS(DATA!$G$2:$G$992,$A44,DATA!$H$2:$H$992,$B44,DATA!$I$2:$I$992,$C44,DATA!$E$2:$E$992,"&gt;="&amp;DATE(2026,5,1),DATA!$E$2:$E$992,"&lt;="&amp;EOMONTH(DATE(2026,5,1),0))</f>
        <v>0</v>
      </c>
      <c r="I44" s="288">
        <f>COUNTIFS(DATA!$G$2:$G$992,$A44,DATA!$H$2:$H$992,$B44,DATA!$I$2:$I$992,$C44,DATA!$E$2:$E$992,"&gt;="&amp;DATE(2026,6,1),DATA!$E$2:$E$992,"&lt;="&amp;EOMONTH(DATE(2026,6,1),0))</f>
        <v>0</v>
      </c>
      <c r="J44" s="288">
        <f>COUNTIFS(DATA!$G$2:$G$992,$A44,DATA!$H$2:$H$992,$B44,DATA!$I$2:$I$992,$C44,DATA!$E$2:$E$992,"&gt;="&amp;DATE(2026,7,1),DATA!$E$2:$E$992,"&lt;="&amp;EOMONTH(DATE(2026,7,1),0))</f>
        <v>0</v>
      </c>
      <c r="K44" s="288">
        <f>COUNTIFS(DATA!$G$2:$G$992,$A44,DATA!$H$2:$H$992,$B44,DATA!$I$2:$I$992,$C44,DATA!$E$2:$E$992,"&gt;="&amp;DATE(2026,8,1),DATA!$E$2:$E$992,"&lt;="&amp;EOMONTH(DATE(2026,8,1),0))</f>
        <v>0</v>
      </c>
      <c r="L44" s="288">
        <f>COUNTIFS(DATA!$G$2:$G$992,$A44,DATA!$H$2:$H$992,$B44,DATA!$I$2:$I$992,$C44,DATA!$E$2:$E$992,"&gt;="&amp;DATE(2026,9,1),DATA!$E$2:$E$992,"&lt;="&amp;EOMONTH(DATE(2026,9,1),0))</f>
        <v>0</v>
      </c>
      <c r="M44" s="288">
        <f>COUNTIFS(DATA!$G$2:$G$992,$A44,DATA!$H$2:$H$992,$B44,DATA!$I$2:$I$992,$C44,DATA!$E$2:$E$992,"&gt;="&amp;DATE(2026,10,1),DATA!$E$2:$E$992,"&lt;="&amp;EOMONTH(DATE(2026,10,1),0))</f>
        <v>0</v>
      </c>
      <c r="N44" s="288">
        <f>COUNTIFS(DATA!$G$2:$G$992,$A44,DATA!$H$2:$H$992,$B44,DATA!$I$2:$I$992,$C44,DATA!$E$2:$E$992,"&gt;="&amp;DATE(2026,11,1),DATA!$E$2:$E$992,"&lt;="&amp;EOMONTH(DATE(2026,11,1),0))</f>
        <v>0</v>
      </c>
      <c r="O44" s="288">
        <f>COUNTIFS(DATA!$G$2:$G$992,$A44,DATA!$H$2:$H$992,$B44,DATA!$I$2:$I$992,$C44,DATA!$E$2:$E$992,"&gt;="&amp;DATE(2026,12,1),DATA!$E$2:$E$992,"&lt;="&amp;EOMONTH(DATE(2026,12,1),0))</f>
        <v>0</v>
      </c>
      <c r="P44" s="270">
        <f t="shared" si="4"/>
        <v>0</v>
      </c>
      <c r="Q44" s="271"/>
      <c r="R44" s="272">
        <f t="shared" si="5"/>
        <v>0</v>
      </c>
      <c r="S44" s="277">
        <f t="shared" si="6"/>
        <v>0</v>
      </c>
    </row>
    <row r="45" spans="1:19" ht="21.75" customHeight="1">
      <c r="A45" s="294" t="s">
        <v>98</v>
      </c>
      <c r="B45" s="274" t="s">
        <v>105</v>
      </c>
      <c r="C45" s="13" t="s">
        <v>243</v>
      </c>
      <c r="D45" s="269">
        <f>COUNTIFS(DATA!$G$2:$G$992,$A45,DATA!$H$2:$H$992,$B45,DATA!$I$2:$I$992,$C45,DATA!$E$2:$E$992,"&gt;="&amp;DATE(2026,1,1),DATA!$E$2:$E$992,"&lt;="&amp;EOMONTH(DATE(2026,1,1),0))</f>
        <v>0</v>
      </c>
      <c r="E45" s="269">
        <f>COUNTIFS(DATA!$G$2:$G$992,$A45,DATA!$H$2:$H$992,$B45,DATA!$I$2:$I$992,$C45,DATA!$E$2:$E$992,"&gt;="&amp;DATE(2026,2,1),DATA!$E$2:$E$992,"&lt;="&amp;EOMONTH(DATE(2026,2,1),0))</f>
        <v>0</v>
      </c>
      <c r="F45" s="269">
        <f>COUNTIFS(DATA!$G$2:$G$992,$A45,DATA!$H$2:$H$992,$B45,DATA!$I$2:$I$992,$C45,DATA!$E$2:$E$992,"&gt;="&amp;DATE(2026,3,1),DATA!$E$2:$E$992,"&lt;="&amp;EOMONTH(DATE(2026,3,1),0))</f>
        <v>0</v>
      </c>
      <c r="G45" s="269">
        <f>COUNTIFS(DATA!$G$2:$G$992,$A45,DATA!$H$2:$H$992,$B45,DATA!$I$2:$I$992,$C45,DATA!$E$2:$E$992,"&gt;="&amp;DATE(2026,4,1),DATA!$E$2:$E$992,"&lt;="&amp;EOMONTH(DATE(2026,4,1),0))</f>
        <v>0</v>
      </c>
      <c r="H45" s="269">
        <f>COUNTIFS(DATA!$G$2:$G$992,$A45,DATA!$H$2:$H$992,$B45,DATA!$I$2:$I$992,$C45,DATA!$E$2:$E$992,"&gt;="&amp;DATE(2026,5,1),DATA!$E$2:$E$992,"&lt;="&amp;EOMONTH(DATE(2026,5,1),0))</f>
        <v>0</v>
      </c>
      <c r="I45" s="269">
        <f>COUNTIFS(DATA!$G$2:$G$992,$A45,DATA!$H$2:$H$992,$B45,DATA!$I$2:$I$992,$C45,DATA!$E$2:$E$992,"&gt;="&amp;DATE(2026,6,1),DATA!$E$2:$E$992,"&lt;="&amp;EOMONTH(DATE(2026,6,1),0))</f>
        <v>0</v>
      </c>
      <c r="J45" s="269">
        <f>COUNTIFS(DATA!$G$2:$G$992,$A45,DATA!$H$2:$H$992,$B45,DATA!$I$2:$I$992,$C45,DATA!$E$2:$E$992,"&gt;="&amp;DATE(2026,7,1),DATA!$E$2:$E$992,"&lt;="&amp;EOMONTH(DATE(2026,7,1),0))</f>
        <v>0</v>
      </c>
      <c r="K45" s="269">
        <f>COUNTIFS(DATA!$G$2:$G$992,$A45,DATA!$H$2:$H$992,$B45,DATA!$I$2:$I$992,$C45,DATA!$E$2:$E$992,"&gt;="&amp;DATE(2026,8,1),DATA!$E$2:$E$992,"&lt;="&amp;EOMONTH(DATE(2026,8,1),0))</f>
        <v>0</v>
      </c>
      <c r="L45" s="269">
        <f>COUNTIFS(DATA!$G$2:$G$992,$A45,DATA!$H$2:$H$992,$B45,DATA!$I$2:$I$992,$C45,DATA!$E$2:$E$992,"&gt;="&amp;DATE(2026,9,1),DATA!$E$2:$E$992,"&lt;="&amp;EOMONTH(DATE(2026,9,1),0))</f>
        <v>0</v>
      </c>
      <c r="M45" s="269">
        <f>COUNTIFS(DATA!$G$2:$G$992,$A45,DATA!$H$2:$H$992,$B45,DATA!$I$2:$I$992,$C45,DATA!$E$2:$E$992,"&gt;="&amp;DATE(2026,10,1),DATA!$E$2:$E$992,"&lt;="&amp;EOMONTH(DATE(2026,10,1),0))</f>
        <v>0</v>
      </c>
      <c r="N45" s="269">
        <f>COUNTIFS(DATA!$G$2:$G$992,$A45,DATA!$H$2:$H$992,$B45,DATA!$I$2:$I$992,$C45,DATA!$E$2:$E$992,"&gt;="&amp;DATE(2026,11,1),DATA!$E$2:$E$992,"&lt;="&amp;EOMONTH(DATE(2026,11,1),0))</f>
        <v>0</v>
      </c>
      <c r="O45" s="269">
        <f>COUNTIFS(DATA!$G$2:$G$992,$A45,DATA!$H$2:$H$992,$B45,DATA!$I$2:$I$992,$C45,DATA!$E$2:$E$992,"&gt;="&amp;DATE(2026,12,1),DATA!$E$2:$E$992,"&lt;="&amp;EOMONTH(DATE(2026,12,1),0))</f>
        <v>0</v>
      </c>
      <c r="P45" s="270">
        <f t="shared" si="4"/>
        <v>0</v>
      </c>
      <c r="Q45" s="271"/>
      <c r="R45" s="272">
        <f t="shared" si="5"/>
        <v>0</v>
      </c>
      <c r="S45" s="277">
        <f t="shared" si="6"/>
        <v>0</v>
      </c>
    </row>
    <row r="46" spans="1:19" ht="21.75" customHeight="1">
      <c r="A46" s="294" t="s">
        <v>98</v>
      </c>
      <c r="B46" s="274" t="s">
        <v>105</v>
      </c>
      <c r="C46" s="13" t="s">
        <v>248</v>
      </c>
      <c r="D46" s="288">
        <f>COUNTIFS(DATA!$G$2:$G$992,$A46,DATA!$H$2:$H$992,$B46,DATA!$I$2:$I$992,$C46,DATA!$E$2:$E$992,"&gt;="&amp;DATE(2026,1,1),DATA!$E$2:$E$992,"&lt;="&amp;EOMONTH(DATE(2026,1,1),0))</f>
        <v>0</v>
      </c>
      <c r="E46" s="288">
        <f>COUNTIFS(DATA!$G$2:$G$992,$A46,DATA!$H$2:$H$992,$B46,DATA!$I$2:$I$992,$C46,DATA!$E$2:$E$992,"&gt;="&amp;DATE(2026,2,1),DATA!$E$2:$E$992,"&lt;="&amp;EOMONTH(DATE(2026,2,1),0))</f>
        <v>0</v>
      </c>
      <c r="F46" s="288">
        <f>COUNTIFS(DATA!$G$2:$G$992,$A46,DATA!$H$2:$H$992,$B46,DATA!$I$2:$I$992,$C46,DATA!$E$2:$E$992,"&gt;="&amp;DATE(2026,3,1),DATA!$E$2:$E$992,"&lt;="&amp;EOMONTH(DATE(2026,3,1),0))</f>
        <v>0</v>
      </c>
      <c r="G46" s="288">
        <f>COUNTIFS(DATA!$G$2:$G$992,$A46,DATA!$H$2:$H$992,$B46,DATA!$I$2:$I$992,$C46,DATA!$E$2:$E$992,"&gt;="&amp;DATE(2026,4,1),DATA!$E$2:$E$992,"&lt;="&amp;EOMONTH(DATE(2026,4,1),0))</f>
        <v>0</v>
      </c>
      <c r="H46" s="288">
        <f>COUNTIFS(DATA!$G$2:$G$992,$A46,DATA!$H$2:$H$992,$B46,DATA!$I$2:$I$992,$C46,DATA!$E$2:$E$992,"&gt;="&amp;DATE(2026,5,1),DATA!$E$2:$E$992,"&lt;="&amp;EOMONTH(DATE(2026,5,1),0))</f>
        <v>0</v>
      </c>
      <c r="I46" s="288">
        <f>COUNTIFS(DATA!$G$2:$G$992,$A46,DATA!$H$2:$H$992,$B46,DATA!$I$2:$I$992,$C46,DATA!$E$2:$E$992,"&gt;="&amp;DATE(2026,6,1),DATA!$E$2:$E$992,"&lt;="&amp;EOMONTH(DATE(2026,6,1),0))</f>
        <v>0</v>
      </c>
      <c r="J46" s="288">
        <f>COUNTIFS(DATA!$G$2:$G$992,$A46,DATA!$H$2:$H$992,$B46,DATA!$I$2:$I$992,$C46,DATA!$E$2:$E$992,"&gt;="&amp;DATE(2026,7,1),DATA!$E$2:$E$992,"&lt;="&amp;EOMONTH(DATE(2026,7,1),0))</f>
        <v>0</v>
      </c>
      <c r="K46" s="288">
        <f>COUNTIFS(DATA!$G$2:$G$992,$A46,DATA!$H$2:$H$992,$B46,DATA!$I$2:$I$992,$C46,DATA!$E$2:$E$992,"&gt;="&amp;DATE(2026,8,1),DATA!$E$2:$E$992,"&lt;="&amp;EOMONTH(DATE(2026,8,1),0))</f>
        <v>0</v>
      </c>
      <c r="L46" s="288">
        <f>COUNTIFS(DATA!$G$2:$G$992,$A46,DATA!$H$2:$H$992,$B46,DATA!$I$2:$I$992,$C46,DATA!$E$2:$E$992,"&gt;="&amp;DATE(2026,9,1),DATA!$E$2:$E$992,"&lt;="&amp;EOMONTH(DATE(2026,9,1),0))</f>
        <v>0</v>
      </c>
      <c r="M46" s="288">
        <f>COUNTIFS(DATA!$G$2:$G$992,$A46,DATA!$H$2:$H$992,$B46,DATA!$I$2:$I$992,$C46,DATA!$E$2:$E$992,"&gt;="&amp;DATE(2026,10,1),DATA!$E$2:$E$992,"&lt;="&amp;EOMONTH(DATE(2026,10,1),0))</f>
        <v>0</v>
      </c>
      <c r="N46" s="288">
        <f>COUNTIFS(DATA!$G$2:$G$992,$A46,DATA!$H$2:$H$992,$B46,DATA!$I$2:$I$992,$C46,DATA!$E$2:$E$992,"&gt;="&amp;DATE(2026,11,1),DATA!$E$2:$E$992,"&lt;="&amp;EOMONTH(DATE(2026,11,1),0))</f>
        <v>0</v>
      </c>
      <c r="O46" s="288">
        <f>COUNTIFS(DATA!$G$2:$G$992,$A46,DATA!$H$2:$H$992,$B46,DATA!$I$2:$I$992,$C46,DATA!$E$2:$E$992,"&gt;="&amp;DATE(2026,12,1),DATA!$E$2:$E$992,"&lt;="&amp;EOMONTH(DATE(2026,12,1),0))</f>
        <v>0</v>
      </c>
      <c r="P46" s="270">
        <f t="shared" si="4"/>
        <v>0</v>
      </c>
      <c r="Q46" s="271"/>
      <c r="R46" s="272">
        <f t="shared" si="5"/>
        <v>0</v>
      </c>
      <c r="S46" s="277">
        <f t="shared" si="6"/>
        <v>0</v>
      </c>
    </row>
    <row r="47" spans="1:19" ht="21.75" customHeight="1">
      <c r="A47" s="294" t="s">
        <v>98</v>
      </c>
      <c r="B47" s="274" t="s">
        <v>105</v>
      </c>
      <c r="C47" s="13" t="s">
        <v>228</v>
      </c>
      <c r="D47" s="269">
        <f>COUNTIFS(DATA!$G$2:$G$992,$A47,DATA!$H$2:$H$992,$B47,DATA!$I$2:$I$992,$C47,DATA!$E$2:$E$992,"&gt;="&amp;DATE(2026,1,1),DATA!$E$2:$E$992,"&lt;="&amp;EOMONTH(DATE(2026,1,1),0))</f>
        <v>0</v>
      </c>
      <c r="E47" s="269">
        <f>COUNTIFS(DATA!$G$2:$G$992,$A47,DATA!$H$2:$H$992,$B47,DATA!$I$2:$I$992,$C47,DATA!$E$2:$E$992,"&gt;="&amp;DATE(2026,2,1),DATA!$E$2:$E$992,"&lt;="&amp;EOMONTH(DATE(2026,2,1),0))</f>
        <v>0</v>
      </c>
      <c r="F47" s="269">
        <f>COUNTIFS(DATA!$G$2:$G$992,$A47,DATA!$H$2:$H$992,$B47,DATA!$I$2:$I$992,$C47,DATA!$E$2:$E$992,"&gt;="&amp;DATE(2026,3,1),DATA!$E$2:$E$992,"&lt;="&amp;EOMONTH(DATE(2026,3,1),0))</f>
        <v>0</v>
      </c>
      <c r="G47" s="269">
        <f>COUNTIFS(DATA!$G$2:$G$992,$A47,DATA!$H$2:$H$992,$B47,DATA!$I$2:$I$992,$C47,DATA!$E$2:$E$992,"&gt;="&amp;DATE(2026,4,1),DATA!$E$2:$E$992,"&lt;="&amp;EOMONTH(DATE(2026,4,1),0))</f>
        <v>0</v>
      </c>
      <c r="H47" s="269">
        <f>COUNTIFS(DATA!$G$2:$G$992,$A47,DATA!$H$2:$H$992,$B47,DATA!$I$2:$I$992,$C47,DATA!$E$2:$E$992,"&gt;="&amp;DATE(2026,5,1),DATA!$E$2:$E$992,"&lt;="&amp;EOMONTH(DATE(2026,5,1),0))</f>
        <v>0</v>
      </c>
      <c r="I47" s="269">
        <f>COUNTIFS(DATA!$G$2:$G$992,$A47,DATA!$H$2:$H$992,$B47,DATA!$I$2:$I$992,$C47,DATA!$E$2:$E$992,"&gt;="&amp;DATE(2026,6,1),DATA!$E$2:$E$992,"&lt;="&amp;EOMONTH(DATE(2026,6,1),0))</f>
        <v>0</v>
      </c>
      <c r="J47" s="269">
        <f>COUNTIFS(DATA!$G$2:$G$992,$A47,DATA!$H$2:$H$992,$B47,DATA!$I$2:$I$992,$C47,DATA!$E$2:$E$992,"&gt;="&amp;DATE(2026,7,1),DATA!$E$2:$E$992,"&lt;="&amp;EOMONTH(DATE(2026,7,1),0))</f>
        <v>0</v>
      </c>
      <c r="K47" s="269">
        <f>COUNTIFS(DATA!$G$2:$G$992,$A47,DATA!$H$2:$H$992,$B47,DATA!$I$2:$I$992,$C47,DATA!$E$2:$E$992,"&gt;="&amp;DATE(2026,8,1),DATA!$E$2:$E$992,"&lt;="&amp;EOMONTH(DATE(2026,8,1),0))</f>
        <v>0</v>
      </c>
      <c r="L47" s="269">
        <f>COUNTIFS(DATA!$G$2:$G$992,$A47,DATA!$H$2:$H$992,$B47,DATA!$I$2:$I$992,$C47,DATA!$E$2:$E$992,"&gt;="&amp;DATE(2026,9,1),DATA!$E$2:$E$992,"&lt;="&amp;EOMONTH(DATE(2026,9,1),0))</f>
        <v>0</v>
      </c>
      <c r="M47" s="269">
        <f>COUNTIFS(DATA!$G$2:$G$992,$A47,DATA!$H$2:$H$992,$B47,DATA!$I$2:$I$992,$C47,DATA!$E$2:$E$992,"&gt;="&amp;DATE(2026,10,1),DATA!$E$2:$E$992,"&lt;="&amp;EOMONTH(DATE(2026,10,1),0))</f>
        <v>0</v>
      </c>
      <c r="N47" s="269">
        <f>COUNTIFS(DATA!$G$2:$G$992,$A47,DATA!$H$2:$H$992,$B47,DATA!$I$2:$I$992,$C47,DATA!$E$2:$E$992,"&gt;="&amp;DATE(2026,11,1),DATA!$E$2:$E$992,"&lt;="&amp;EOMONTH(DATE(2026,11,1),0))</f>
        <v>0</v>
      </c>
      <c r="O47" s="269">
        <f>COUNTIFS(DATA!$G$2:$G$992,$A47,DATA!$H$2:$H$992,$B47,DATA!$I$2:$I$992,$C47,DATA!$E$2:$E$992,"&gt;="&amp;DATE(2026,12,1),DATA!$E$2:$E$992,"&lt;="&amp;EOMONTH(DATE(2026,12,1),0))</f>
        <v>0</v>
      </c>
      <c r="P47" s="270">
        <f t="shared" si="4"/>
        <v>0</v>
      </c>
      <c r="Q47" s="271"/>
      <c r="R47" s="272">
        <f t="shared" si="5"/>
        <v>0</v>
      </c>
      <c r="S47" s="277">
        <f t="shared" si="6"/>
        <v>0</v>
      </c>
    </row>
    <row r="48" spans="1:19" ht="21.75" customHeight="1">
      <c r="A48" s="294" t="s">
        <v>98</v>
      </c>
      <c r="B48" s="274" t="s">
        <v>105</v>
      </c>
      <c r="C48" s="13" t="s">
        <v>257</v>
      </c>
      <c r="D48" s="288">
        <f>COUNTIFS(DATA!$G$2:$G$992,$A48,DATA!$H$2:$H$992,$B48,DATA!$I$2:$I$992,$C48,DATA!$E$2:$E$992,"&gt;="&amp;DATE(2026,1,1),DATA!$E$2:$E$992,"&lt;="&amp;EOMONTH(DATE(2026,1,1),0))</f>
        <v>0</v>
      </c>
      <c r="E48" s="288">
        <f>COUNTIFS(DATA!$G$2:$G$992,$A48,DATA!$H$2:$H$992,$B48,DATA!$I$2:$I$992,$C48,DATA!$E$2:$E$992,"&gt;="&amp;DATE(2026,2,1),DATA!$E$2:$E$992,"&lt;="&amp;EOMONTH(DATE(2026,2,1),0))</f>
        <v>0</v>
      </c>
      <c r="F48" s="288">
        <f>COUNTIFS(DATA!$G$2:$G$992,$A48,DATA!$H$2:$H$992,$B48,DATA!$I$2:$I$992,$C48,DATA!$E$2:$E$992,"&gt;="&amp;DATE(2026,3,1),DATA!$E$2:$E$992,"&lt;="&amp;EOMONTH(DATE(2026,3,1),0))</f>
        <v>0</v>
      </c>
      <c r="G48" s="288">
        <f>COUNTIFS(DATA!$G$2:$G$992,$A48,DATA!$H$2:$H$992,$B48,DATA!$I$2:$I$992,$C48,DATA!$E$2:$E$992,"&gt;="&amp;DATE(2026,4,1),DATA!$E$2:$E$992,"&lt;="&amp;EOMONTH(DATE(2026,4,1),0))</f>
        <v>0</v>
      </c>
      <c r="H48" s="288">
        <f>COUNTIFS(DATA!$G$2:$G$992,$A48,DATA!$H$2:$H$992,$B48,DATA!$I$2:$I$992,$C48,DATA!$E$2:$E$992,"&gt;="&amp;DATE(2026,5,1),DATA!$E$2:$E$992,"&lt;="&amp;EOMONTH(DATE(2026,5,1),0))</f>
        <v>0</v>
      </c>
      <c r="I48" s="288">
        <f>COUNTIFS(DATA!$G$2:$G$992,$A48,DATA!$H$2:$H$992,$B48,DATA!$I$2:$I$992,$C48,DATA!$E$2:$E$992,"&gt;="&amp;DATE(2026,6,1),DATA!$E$2:$E$992,"&lt;="&amp;EOMONTH(DATE(2026,6,1),0))</f>
        <v>0</v>
      </c>
      <c r="J48" s="288">
        <f>COUNTIFS(DATA!$G$2:$G$992,$A48,DATA!$H$2:$H$992,$B48,DATA!$I$2:$I$992,$C48,DATA!$E$2:$E$992,"&gt;="&amp;DATE(2026,7,1),DATA!$E$2:$E$992,"&lt;="&amp;EOMONTH(DATE(2026,7,1),0))</f>
        <v>0</v>
      </c>
      <c r="K48" s="288">
        <f>COUNTIFS(DATA!$G$2:$G$992,$A48,DATA!$H$2:$H$992,$B48,DATA!$I$2:$I$992,$C48,DATA!$E$2:$E$992,"&gt;="&amp;DATE(2026,8,1),DATA!$E$2:$E$992,"&lt;="&amp;EOMONTH(DATE(2026,8,1),0))</f>
        <v>0</v>
      </c>
      <c r="L48" s="288">
        <f>COUNTIFS(DATA!$G$2:$G$992,$A48,DATA!$H$2:$H$992,$B48,DATA!$I$2:$I$992,$C48,DATA!$E$2:$E$992,"&gt;="&amp;DATE(2026,9,1),DATA!$E$2:$E$992,"&lt;="&amp;EOMONTH(DATE(2026,9,1),0))</f>
        <v>0</v>
      </c>
      <c r="M48" s="288">
        <f>COUNTIFS(DATA!$G$2:$G$992,$A48,DATA!$H$2:$H$992,$B48,DATA!$I$2:$I$992,$C48,DATA!$E$2:$E$992,"&gt;="&amp;DATE(2026,10,1),DATA!$E$2:$E$992,"&lt;="&amp;EOMONTH(DATE(2026,10,1),0))</f>
        <v>0</v>
      </c>
      <c r="N48" s="288">
        <f>COUNTIFS(DATA!$G$2:$G$992,$A48,DATA!$H$2:$H$992,$B48,DATA!$I$2:$I$992,$C48,DATA!$E$2:$E$992,"&gt;="&amp;DATE(2026,11,1),DATA!$E$2:$E$992,"&lt;="&amp;EOMONTH(DATE(2026,11,1),0))</f>
        <v>0</v>
      </c>
      <c r="O48" s="288">
        <f>COUNTIFS(DATA!$G$2:$G$992,$A48,DATA!$H$2:$H$992,$B48,DATA!$I$2:$I$992,$C48,DATA!$E$2:$E$992,"&gt;="&amp;DATE(2026,12,1),DATA!$E$2:$E$992,"&lt;="&amp;EOMONTH(DATE(2026,12,1),0))</f>
        <v>0</v>
      </c>
      <c r="P48" s="270">
        <f t="shared" si="4"/>
        <v>0</v>
      </c>
      <c r="Q48" s="271"/>
      <c r="R48" s="272">
        <f t="shared" si="5"/>
        <v>0</v>
      </c>
      <c r="S48" s="277">
        <f t="shared" si="6"/>
        <v>0</v>
      </c>
    </row>
    <row r="49" spans="1:19" ht="21.75" customHeight="1">
      <c r="A49" s="294" t="s">
        <v>98</v>
      </c>
      <c r="B49" s="274" t="s">
        <v>105</v>
      </c>
      <c r="C49" s="13" t="s">
        <v>234</v>
      </c>
      <c r="D49" s="269">
        <f>COUNTIFS(DATA!$G$2:$G$992,$A49,DATA!$H$2:$H$992,$B49,DATA!$I$2:$I$992,$C49,DATA!$E$2:$E$992,"&gt;="&amp;DATE(2026,1,1),DATA!$E$2:$E$992,"&lt;="&amp;EOMONTH(DATE(2026,1,1),0))</f>
        <v>0</v>
      </c>
      <c r="E49" s="269">
        <f>COUNTIFS(DATA!$G$2:$G$992,$A49,DATA!$H$2:$H$992,$B49,DATA!$I$2:$I$992,$C49,DATA!$E$2:$E$992,"&gt;="&amp;DATE(2026,2,1),DATA!$E$2:$E$992,"&lt;="&amp;EOMONTH(DATE(2026,2,1),0))</f>
        <v>0</v>
      </c>
      <c r="F49" s="269">
        <f>COUNTIFS(DATA!$G$2:$G$992,$A49,DATA!$H$2:$H$992,$B49,DATA!$I$2:$I$992,$C49,DATA!$E$2:$E$992,"&gt;="&amp;DATE(2026,3,1),DATA!$E$2:$E$992,"&lt;="&amp;EOMONTH(DATE(2026,3,1),0))</f>
        <v>0</v>
      </c>
      <c r="G49" s="269">
        <f>COUNTIFS(DATA!$G$2:$G$992,$A49,DATA!$H$2:$H$992,$B49,DATA!$I$2:$I$992,$C49,DATA!$E$2:$E$992,"&gt;="&amp;DATE(2026,4,1),DATA!$E$2:$E$992,"&lt;="&amp;EOMONTH(DATE(2026,4,1),0))</f>
        <v>0</v>
      </c>
      <c r="H49" s="269">
        <f>COUNTIFS(DATA!$G$2:$G$992,$A49,DATA!$H$2:$H$992,$B49,DATA!$I$2:$I$992,$C49,DATA!$E$2:$E$992,"&gt;="&amp;DATE(2026,5,1),DATA!$E$2:$E$992,"&lt;="&amp;EOMONTH(DATE(2026,5,1),0))</f>
        <v>0</v>
      </c>
      <c r="I49" s="269">
        <f>COUNTIFS(DATA!$G$2:$G$992,$A49,DATA!$H$2:$H$992,$B49,DATA!$I$2:$I$992,$C49,DATA!$E$2:$E$992,"&gt;="&amp;DATE(2026,6,1),DATA!$E$2:$E$992,"&lt;="&amp;EOMONTH(DATE(2026,6,1),0))</f>
        <v>0</v>
      </c>
      <c r="J49" s="269">
        <f>COUNTIFS(DATA!$G$2:$G$992,$A49,DATA!$H$2:$H$992,$B49,DATA!$I$2:$I$992,$C49,DATA!$E$2:$E$992,"&gt;="&amp;DATE(2026,7,1),DATA!$E$2:$E$992,"&lt;="&amp;EOMONTH(DATE(2026,7,1),0))</f>
        <v>0</v>
      </c>
      <c r="K49" s="269">
        <f>COUNTIFS(DATA!$G$2:$G$992,$A49,DATA!$H$2:$H$992,$B49,DATA!$I$2:$I$992,$C49,DATA!$E$2:$E$992,"&gt;="&amp;DATE(2026,8,1),DATA!$E$2:$E$992,"&lt;="&amp;EOMONTH(DATE(2026,8,1),0))</f>
        <v>0</v>
      </c>
      <c r="L49" s="269">
        <f>COUNTIFS(DATA!$G$2:$G$992,$A49,DATA!$H$2:$H$992,$B49,DATA!$I$2:$I$992,$C49,DATA!$E$2:$E$992,"&gt;="&amp;DATE(2026,9,1),DATA!$E$2:$E$992,"&lt;="&amp;EOMONTH(DATE(2026,9,1),0))</f>
        <v>0</v>
      </c>
      <c r="M49" s="269">
        <f>COUNTIFS(DATA!$G$2:$G$992,$A49,DATA!$H$2:$H$992,$B49,DATA!$I$2:$I$992,$C49,DATA!$E$2:$E$992,"&gt;="&amp;DATE(2026,10,1),DATA!$E$2:$E$992,"&lt;="&amp;EOMONTH(DATE(2026,10,1),0))</f>
        <v>0</v>
      </c>
      <c r="N49" s="269">
        <f>COUNTIFS(DATA!$G$2:$G$992,$A49,DATA!$H$2:$H$992,$B49,DATA!$I$2:$I$992,$C49,DATA!$E$2:$E$992,"&gt;="&amp;DATE(2026,11,1),DATA!$E$2:$E$992,"&lt;="&amp;EOMONTH(DATE(2026,11,1),0))</f>
        <v>0</v>
      </c>
      <c r="O49" s="269">
        <f>COUNTIFS(DATA!$G$2:$G$992,$A49,DATA!$H$2:$H$992,$B49,DATA!$I$2:$I$992,$C49,DATA!$E$2:$E$992,"&gt;="&amp;DATE(2026,12,1),DATA!$E$2:$E$992,"&lt;="&amp;EOMONTH(DATE(2026,12,1),0))</f>
        <v>0</v>
      </c>
      <c r="P49" s="270">
        <f t="shared" si="4"/>
        <v>0</v>
      </c>
      <c r="Q49" s="271"/>
      <c r="R49" s="272">
        <f t="shared" si="5"/>
        <v>0</v>
      </c>
      <c r="S49" s="277">
        <f t="shared" si="6"/>
        <v>0</v>
      </c>
    </row>
    <row r="50" spans="1:19" ht="21.75" customHeight="1">
      <c r="A50" s="294" t="s">
        <v>98</v>
      </c>
      <c r="B50" s="274" t="s">
        <v>105</v>
      </c>
      <c r="C50" s="15" t="s">
        <v>239</v>
      </c>
      <c r="D50" s="275">
        <f>COUNTIFS(DATA!$G$2:$G$992,$A50,DATA!$H$2:$H$992,$B50,DATA!$I$2:$I$992,$C50,DATA!$E$2:$E$992,"&gt;="&amp;DATE(2026,1,1),DATA!$E$2:$E$992,"&lt;="&amp;EOMONTH(DATE(2026,1,1),0))</f>
        <v>0</v>
      </c>
      <c r="E50" s="275">
        <f>COUNTIFS(DATA!$G$2:$G$992,$A50,DATA!$H$2:$H$992,$B50,DATA!$I$2:$I$992,$C50,DATA!$E$2:$E$992,"&gt;="&amp;DATE(2026,2,1),DATA!$E$2:$E$992,"&lt;="&amp;EOMONTH(DATE(2026,2,1),0))</f>
        <v>0</v>
      </c>
      <c r="F50" s="275">
        <f>COUNTIFS(DATA!$G$2:$G$992,$A50,DATA!$H$2:$H$992,$B50,DATA!$I$2:$I$992,$C50,DATA!$E$2:$E$992,"&gt;="&amp;DATE(2026,3,1),DATA!$E$2:$E$992,"&lt;="&amp;EOMONTH(DATE(2026,3,1),0))</f>
        <v>0</v>
      </c>
      <c r="G50" s="275">
        <f>COUNTIFS(DATA!$G$2:$G$992,$A50,DATA!$H$2:$H$992,$B50,DATA!$I$2:$I$992,$C50,DATA!$E$2:$E$992,"&gt;="&amp;DATE(2026,4,1),DATA!$E$2:$E$992,"&lt;="&amp;EOMONTH(DATE(2026,4,1),0))</f>
        <v>0</v>
      </c>
      <c r="H50" s="275">
        <f>COUNTIFS(DATA!$G$2:$G$992,$A50,DATA!$H$2:$H$992,$B50,DATA!$I$2:$I$992,$C50,DATA!$E$2:$E$992,"&gt;="&amp;DATE(2026,5,1),DATA!$E$2:$E$992,"&lt;="&amp;EOMONTH(DATE(2026,5,1),0))</f>
        <v>0</v>
      </c>
      <c r="I50" s="275">
        <f>COUNTIFS(DATA!$G$2:$G$992,$A50,DATA!$H$2:$H$992,$B50,DATA!$I$2:$I$992,$C50,DATA!$E$2:$E$992,"&gt;="&amp;DATE(2026,6,1),DATA!$E$2:$E$992,"&lt;="&amp;EOMONTH(DATE(2026,6,1),0))</f>
        <v>0</v>
      </c>
      <c r="J50" s="275">
        <f>COUNTIFS(DATA!$G$2:$G$992,$A50,DATA!$H$2:$H$992,$B50,DATA!$I$2:$I$992,$C50,DATA!$E$2:$E$992,"&gt;="&amp;DATE(2026,7,1),DATA!$E$2:$E$992,"&lt;="&amp;EOMONTH(DATE(2026,7,1),0))</f>
        <v>0</v>
      </c>
      <c r="K50" s="275">
        <f>COUNTIFS(DATA!$G$2:$G$992,$A50,DATA!$H$2:$H$992,$B50,DATA!$I$2:$I$992,$C50,DATA!$E$2:$E$992,"&gt;="&amp;DATE(2026,8,1),DATA!$E$2:$E$992,"&lt;="&amp;EOMONTH(DATE(2026,8,1),0))</f>
        <v>0</v>
      </c>
      <c r="L50" s="275">
        <f>COUNTIFS(DATA!$G$2:$G$992,$A50,DATA!$H$2:$H$992,$B50,DATA!$I$2:$I$992,$C50,DATA!$E$2:$E$992,"&gt;="&amp;DATE(2026,9,1),DATA!$E$2:$E$992,"&lt;="&amp;EOMONTH(DATE(2026,9,1),0))</f>
        <v>0</v>
      </c>
      <c r="M50" s="275">
        <f>COUNTIFS(DATA!$G$2:$G$992,$A50,DATA!$H$2:$H$992,$B50,DATA!$I$2:$I$992,$C50,DATA!$E$2:$E$992,"&gt;="&amp;DATE(2026,10,1),DATA!$E$2:$E$992,"&lt;="&amp;EOMONTH(DATE(2026,10,1),0))</f>
        <v>0</v>
      </c>
      <c r="N50" s="275">
        <f>COUNTIFS(DATA!$G$2:$G$992,$A50,DATA!$H$2:$H$992,$B50,DATA!$I$2:$I$992,$C50,DATA!$E$2:$E$992,"&gt;="&amp;DATE(2026,11,1),DATA!$E$2:$E$992,"&lt;="&amp;EOMONTH(DATE(2026,11,1),0))</f>
        <v>0</v>
      </c>
      <c r="O50" s="275">
        <f>COUNTIFS(DATA!$G$2:$G$992,$A50,DATA!$H$2:$H$992,$B50,DATA!$I$2:$I$992,$C50,DATA!$E$2:$E$992,"&gt;="&amp;DATE(2026,12,1),DATA!$E$2:$E$992,"&lt;="&amp;EOMONTH(DATE(2026,12,1),0))</f>
        <v>0</v>
      </c>
      <c r="P50" s="276">
        <f t="shared" si="4"/>
        <v>0</v>
      </c>
      <c r="Q50" s="271"/>
      <c r="R50" s="272">
        <f t="shared" si="5"/>
        <v>0</v>
      </c>
      <c r="S50" s="277">
        <f t="shared" si="6"/>
        <v>0</v>
      </c>
    </row>
    <row r="51" spans="1:19" ht="21.75" customHeight="1">
      <c r="A51" s="296" t="s">
        <v>98</v>
      </c>
      <c r="B51" s="274" t="s">
        <v>105</v>
      </c>
      <c r="C51" s="15" t="s">
        <v>244</v>
      </c>
      <c r="D51" s="285">
        <f>COUNTIFS(DATA!$G$2:$G$992,$A51,DATA!$H$2:$H$992,$B51,DATA!$I$2:$I$992,$C51,DATA!$E$2:$E$992,"&gt;="&amp;DATE(2026,1,1),DATA!$E$2:$E$992,"&lt;="&amp;EOMONTH(DATE(2026,1,1),0))</f>
        <v>0</v>
      </c>
      <c r="E51" s="285">
        <f>COUNTIFS(DATA!$G$2:$G$992,$A51,DATA!$H$2:$H$992,$B51,DATA!$I$2:$I$992,$C51,DATA!$E$2:$E$992,"&gt;="&amp;DATE(2026,2,1),DATA!$E$2:$E$992,"&lt;="&amp;EOMONTH(DATE(2026,2,1),0))</f>
        <v>0</v>
      </c>
      <c r="F51" s="285">
        <f>COUNTIFS(DATA!$G$2:$G$992,$A51,DATA!$H$2:$H$992,$B51,DATA!$I$2:$I$992,$C51,DATA!$E$2:$E$992,"&gt;="&amp;DATE(2026,3,1),DATA!$E$2:$E$992,"&lt;="&amp;EOMONTH(DATE(2026,3,1),0))</f>
        <v>0</v>
      </c>
      <c r="G51" s="285">
        <f>COUNTIFS(DATA!$G$2:$G$992,$A51,DATA!$H$2:$H$992,$B51,DATA!$I$2:$I$992,$C51,DATA!$E$2:$E$992,"&gt;="&amp;DATE(2026,4,1),DATA!$E$2:$E$992,"&lt;="&amp;EOMONTH(DATE(2026,4,1),0))</f>
        <v>0</v>
      </c>
      <c r="H51" s="285">
        <f>COUNTIFS(DATA!$G$2:$G$992,$A51,DATA!$H$2:$H$992,$B51,DATA!$I$2:$I$992,$C51,DATA!$E$2:$E$992,"&gt;="&amp;DATE(2026,5,1),DATA!$E$2:$E$992,"&lt;="&amp;EOMONTH(DATE(2026,5,1),0))</f>
        <v>0</v>
      </c>
      <c r="I51" s="285">
        <f>COUNTIFS(DATA!$G$2:$G$992,$A51,DATA!$H$2:$H$992,$B51,DATA!$I$2:$I$992,$C51,DATA!$E$2:$E$992,"&gt;="&amp;DATE(2026,6,1),DATA!$E$2:$E$992,"&lt;="&amp;EOMONTH(DATE(2026,6,1),0))</f>
        <v>0</v>
      </c>
      <c r="J51" s="285">
        <f>COUNTIFS(DATA!$G$2:$G$992,$A51,DATA!$H$2:$H$992,$B51,DATA!$I$2:$I$992,$C51,DATA!$E$2:$E$992,"&gt;="&amp;DATE(2026,7,1),DATA!$E$2:$E$992,"&lt;="&amp;EOMONTH(DATE(2026,7,1),0))</f>
        <v>0</v>
      </c>
      <c r="K51" s="285">
        <f>COUNTIFS(DATA!$G$2:$G$992,$A51,DATA!$H$2:$H$992,$B51,DATA!$I$2:$I$992,$C51,DATA!$E$2:$E$992,"&gt;="&amp;DATE(2026,8,1),DATA!$E$2:$E$992,"&lt;="&amp;EOMONTH(DATE(2026,8,1),0))</f>
        <v>0</v>
      </c>
      <c r="L51" s="285">
        <f>COUNTIFS(DATA!$G$2:$G$992,$A51,DATA!$H$2:$H$992,$B51,DATA!$I$2:$I$992,$C51,DATA!$E$2:$E$992,"&gt;="&amp;DATE(2026,9,1),DATA!$E$2:$E$992,"&lt;="&amp;EOMONTH(DATE(2026,9,1),0))</f>
        <v>0</v>
      </c>
      <c r="M51" s="285">
        <f>COUNTIFS(DATA!$G$2:$G$992,$A51,DATA!$H$2:$H$992,$B51,DATA!$I$2:$I$992,$C51,DATA!$E$2:$E$992,"&gt;="&amp;DATE(2026,10,1),DATA!$E$2:$E$992,"&lt;="&amp;EOMONTH(DATE(2026,10,1),0))</f>
        <v>0</v>
      </c>
      <c r="N51" s="285">
        <f>COUNTIFS(DATA!$G$2:$G$992,$A51,DATA!$H$2:$H$992,$B51,DATA!$I$2:$I$992,$C51,DATA!$E$2:$E$992,"&gt;="&amp;DATE(2026,11,1),DATA!$E$2:$E$992,"&lt;="&amp;EOMONTH(DATE(2026,11,1),0))</f>
        <v>0</v>
      </c>
      <c r="O51" s="285">
        <f>COUNTIFS(DATA!$G$2:$G$992,$A51,DATA!$H$2:$H$992,$B51,DATA!$I$2:$I$992,$C51,DATA!$E$2:$E$992,"&gt;="&amp;DATE(2026,12,1),DATA!$E$2:$E$992,"&lt;="&amp;EOMONTH(DATE(2026,12,1),0))</f>
        <v>0</v>
      </c>
      <c r="P51" s="276">
        <f t="shared" si="4"/>
        <v>0</v>
      </c>
      <c r="Q51" s="271"/>
      <c r="R51" s="272">
        <f t="shared" si="5"/>
        <v>0</v>
      </c>
      <c r="S51" s="277">
        <f t="shared" si="6"/>
        <v>0</v>
      </c>
    </row>
    <row r="52" spans="1:19" ht="21.75" customHeight="1">
      <c r="A52" s="25" t="s">
        <v>98</v>
      </c>
      <c r="B52" s="278" t="s">
        <v>106</v>
      </c>
      <c r="C52" s="16" t="s">
        <v>128</v>
      </c>
      <c r="D52" s="297">
        <f>COUNTIFS(DATA!$G$2:$G$992,$A52,DATA!$H$2:$H$992,$B52,DATA!$I$2:$I$992,$C52,DATA!$E$2:$E$992,"&gt;="&amp;DATE(2026,1,1),DATA!$E$2:$E$992,"&lt;="&amp;EOMONTH(DATE(2026,1,1),0))</f>
        <v>0</v>
      </c>
      <c r="E52" s="297">
        <f>COUNTIFS(DATA!$G$2:$G$992,$A52,DATA!$H$2:$H$992,$B52,DATA!$I$2:$I$992,$C52,DATA!$E$2:$E$992,"&gt;="&amp;DATE(2026,2,1),DATA!$E$2:$E$992,"&lt;="&amp;EOMONTH(DATE(2026,2,1),0))</f>
        <v>0</v>
      </c>
      <c r="F52" s="297">
        <f>COUNTIFS(DATA!$G$2:$G$992,$A52,DATA!$H$2:$H$992,$B52,DATA!$I$2:$I$992,$C52,DATA!$E$2:$E$992,"&gt;="&amp;DATE(2026,3,1),DATA!$E$2:$E$992,"&lt;="&amp;EOMONTH(DATE(2026,3,1),0))</f>
        <v>0</v>
      </c>
      <c r="G52" s="297">
        <f>COUNTIFS(DATA!$G$2:$G$992,$A52,DATA!$H$2:$H$992,$B52,DATA!$I$2:$I$992,$C52,DATA!$E$2:$E$992,"&gt;="&amp;DATE(2026,4,1),DATA!$E$2:$E$992,"&lt;="&amp;EOMONTH(DATE(2026,4,1),0))</f>
        <v>0</v>
      </c>
      <c r="H52" s="297">
        <f>COUNTIFS(DATA!$G$2:$G$992,$A52,DATA!$H$2:$H$992,$B52,DATA!$I$2:$I$992,$C52,DATA!$E$2:$E$992,"&gt;="&amp;DATE(2026,5,1),DATA!$E$2:$E$992,"&lt;="&amp;EOMONTH(DATE(2026,5,1),0))</f>
        <v>0</v>
      </c>
      <c r="I52" s="297">
        <f>COUNTIFS(DATA!$G$2:$G$992,$A52,DATA!$H$2:$H$992,$B52,DATA!$I$2:$I$992,$C52,DATA!$E$2:$E$992,"&gt;="&amp;DATE(2026,6,1),DATA!$E$2:$E$992,"&lt;="&amp;EOMONTH(DATE(2026,6,1),0))</f>
        <v>0</v>
      </c>
      <c r="J52" s="297">
        <f>COUNTIFS(DATA!$G$2:$G$992,$A52,DATA!$H$2:$H$992,$B52,DATA!$I$2:$I$992,$C52,DATA!$E$2:$E$992,"&gt;="&amp;DATE(2026,7,1),DATA!$E$2:$E$992,"&lt;="&amp;EOMONTH(DATE(2026,7,1),0))</f>
        <v>0</v>
      </c>
      <c r="K52" s="297">
        <f>COUNTIFS(DATA!$G$2:$G$992,$A52,DATA!$H$2:$H$992,$B52,DATA!$I$2:$I$992,$C52,DATA!$E$2:$E$992,"&gt;="&amp;DATE(2026,8,1),DATA!$E$2:$E$992,"&lt;="&amp;EOMONTH(DATE(2026,8,1),0))</f>
        <v>0</v>
      </c>
      <c r="L52" s="297">
        <f>COUNTIFS(DATA!$G$2:$G$992,$A52,DATA!$H$2:$H$992,$B52,DATA!$I$2:$I$992,$C52,DATA!$E$2:$E$992,"&gt;="&amp;DATE(2026,9,1),DATA!$E$2:$E$992,"&lt;="&amp;EOMONTH(DATE(2026,9,1),0))</f>
        <v>0</v>
      </c>
      <c r="M52" s="297">
        <f>COUNTIFS(DATA!$G$2:$G$992,$A52,DATA!$H$2:$H$992,$B52,DATA!$I$2:$I$992,$C52,DATA!$E$2:$E$992,"&gt;="&amp;DATE(2026,10,1),DATA!$E$2:$E$992,"&lt;="&amp;EOMONTH(DATE(2026,10,1),0))</f>
        <v>0</v>
      </c>
      <c r="N52" s="297">
        <f>COUNTIFS(DATA!$G$2:$G$992,$A52,DATA!$H$2:$H$992,$B52,DATA!$I$2:$I$992,$C52,DATA!$E$2:$E$992,"&gt;="&amp;DATE(2026,11,1),DATA!$E$2:$E$992,"&lt;="&amp;EOMONTH(DATE(2026,11,1),0))</f>
        <v>0</v>
      </c>
      <c r="O52" s="297">
        <f>COUNTIFS(DATA!$G$2:$G$992,$A52,DATA!$H$2:$H$992,$B52,DATA!$I$2:$I$992,$C52,DATA!$E$2:$E$992,"&gt;="&amp;DATE(2026,12,1),DATA!$E$2:$E$992,"&lt;="&amp;EOMONTH(DATE(2026,12,1),0))</f>
        <v>0</v>
      </c>
      <c r="P52" s="280">
        <f t="shared" si="4"/>
        <v>0</v>
      </c>
      <c r="Q52" s="271"/>
      <c r="R52" s="272">
        <f t="shared" si="5"/>
        <v>0</v>
      </c>
      <c r="S52" s="281">
        <f t="shared" ref="S52:S57" si="7">IFERROR(SUM($P$52:$P$57)/$P$71,0)</f>
        <v>4.7619047619047623E-3</v>
      </c>
    </row>
    <row r="53" spans="1:19" ht="21.75" customHeight="1">
      <c r="A53" s="294" t="s">
        <v>98</v>
      </c>
      <c r="B53" s="274" t="s">
        <v>106</v>
      </c>
      <c r="C53" s="17" t="s">
        <v>146</v>
      </c>
      <c r="D53" s="295">
        <f>COUNTIFS(DATA!$G$2:$G$992,$A53,DATA!$H$2:$H$992,$B53,DATA!$I$2:$I$992,$C53,DATA!$E$2:$E$992,"&gt;="&amp;DATE(2026,1,1),DATA!$E$2:$E$992,"&lt;="&amp;EOMONTH(DATE(2026,1,1),0))</f>
        <v>0</v>
      </c>
      <c r="E53" s="295">
        <f>COUNTIFS(DATA!$G$2:$G$992,$A53,DATA!$H$2:$H$992,$B53,DATA!$I$2:$I$992,$C53,DATA!$E$2:$E$992,"&gt;="&amp;DATE(2026,2,1),DATA!$E$2:$E$992,"&lt;="&amp;EOMONTH(DATE(2026,2,1),0))</f>
        <v>0</v>
      </c>
      <c r="F53" s="295">
        <f>COUNTIFS(DATA!$G$2:$G$992,$A53,DATA!$H$2:$H$992,$B53,DATA!$I$2:$I$992,$C53,DATA!$E$2:$E$992,"&gt;="&amp;DATE(2026,3,1),DATA!$E$2:$E$992,"&lt;="&amp;EOMONTH(DATE(2026,3,1),0))</f>
        <v>0</v>
      </c>
      <c r="G53" s="295">
        <f>COUNTIFS(DATA!$G$2:$G$992,$A53,DATA!$H$2:$H$992,$B53,DATA!$I$2:$I$992,$C53,DATA!$E$2:$E$992,"&gt;="&amp;DATE(2026,4,1),DATA!$E$2:$E$992,"&lt;="&amp;EOMONTH(DATE(2026,4,1),0))</f>
        <v>0</v>
      </c>
      <c r="H53" s="295">
        <f>COUNTIFS(DATA!$G$2:$G$992,$A53,DATA!$H$2:$H$992,$B53,DATA!$I$2:$I$992,$C53,DATA!$E$2:$E$992,"&gt;="&amp;DATE(2026,5,1),DATA!$E$2:$E$992,"&lt;="&amp;EOMONTH(DATE(2026,5,1),0))</f>
        <v>0</v>
      </c>
      <c r="I53" s="295">
        <f>COUNTIFS(DATA!$G$2:$G$992,$A53,DATA!$H$2:$H$992,$B53,DATA!$I$2:$I$992,$C53,DATA!$E$2:$E$992,"&gt;="&amp;DATE(2026,6,1),DATA!$E$2:$E$992,"&lt;="&amp;EOMONTH(DATE(2026,6,1),0))</f>
        <v>0</v>
      </c>
      <c r="J53" s="295">
        <f>COUNTIFS(DATA!$G$2:$G$992,$A53,DATA!$H$2:$H$992,$B53,DATA!$I$2:$I$992,$C53,DATA!$E$2:$E$992,"&gt;="&amp;DATE(2026,7,1),DATA!$E$2:$E$992,"&lt;="&amp;EOMONTH(DATE(2026,7,1),0))</f>
        <v>0</v>
      </c>
      <c r="K53" s="295">
        <f>COUNTIFS(DATA!$G$2:$G$992,$A53,DATA!$H$2:$H$992,$B53,DATA!$I$2:$I$992,$C53,DATA!$E$2:$E$992,"&gt;="&amp;DATE(2026,8,1),DATA!$E$2:$E$992,"&lt;="&amp;EOMONTH(DATE(2026,8,1),0))</f>
        <v>0</v>
      </c>
      <c r="L53" s="295">
        <f>COUNTIFS(DATA!$G$2:$G$992,$A53,DATA!$H$2:$H$992,$B53,DATA!$I$2:$I$992,$C53,DATA!$E$2:$E$992,"&gt;="&amp;DATE(2026,9,1),DATA!$E$2:$E$992,"&lt;="&amp;EOMONTH(DATE(2026,9,1),0))</f>
        <v>0</v>
      </c>
      <c r="M53" s="295">
        <f>COUNTIFS(DATA!$G$2:$G$992,$A53,DATA!$H$2:$H$992,$B53,DATA!$I$2:$I$992,$C53,DATA!$E$2:$E$992,"&gt;="&amp;DATE(2026,10,1),DATA!$E$2:$E$992,"&lt;="&amp;EOMONTH(DATE(2026,10,1),0))</f>
        <v>0</v>
      </c>
      <c r="N53" s="295">
        <f>COUNTIFS(DATA!$G$2:$G$992,$A53,DATA!$H$2:$H$992,$B53,DATA!$I$2:$I$992,$C53,DATA!$E$2:$E$992,"&gt;="&amp;DATE(2026,11,1),DATA!$E$2:$E$992,"&lt;="&amp;EOMONTH(DATE(2026,11,1),0))</f>
        <v>0</v>
      </c>
      <c r="O53" s="295">
        <f>COUNTIFS(DATA!$G$2:$G$992,$A53,DATA!$H$2:$H$992,$B53,DATA!$I$2:$I$992,$C53,DATA!$E$2:$E$992,"&gt;="&amp;DATE(2026,12,1),DATA!$E$2:$E$992,"&lt;="&amp;EOMONTH(DATE(2026,12,1),0))</f>
        <v>0</v>
      </c>
      <c r="P53" s="284">
        <f t="shared" si="4"/>
        <v>0</v>
      </c>
      <c r="Q53" s="271"/>
      <c r="R53" s="272">
        <f t="shared" si="5"/>
        <v>0</v>
      </c>
      <c r="S53" s="277">
        <f t="shared" si="7"/>
        <v>4.7619047619047623E-3</v>
      </c>
    </row>
    <row r="54" spans="1:19" ht="21.75" customHeight="1">
      <c r="A54" s="294" t="s">
        <v>98</v>
      </c>
      <c r="B54" s="18" t="s">
        <v>106</v>
      </c>
      <c r="C54" s="13" t="s">
        <v>163</v>
      </c>
      <c r="D54" s="288">
        <f>COUNTIFS(DATA!$G$2:$G$992,$A54,DATA!$H$2:$H$992,$B54,DATA!$I$2:$I$992,$C54,DATA!$E$2:$E$992,"&gt;="&amp;DATE(2026,1,1),DATA!$E$2:$E$992,"&lt;="&amp;EOMONTH(DATE(2026,1,1),0))</f>
        <v>0</v>
      </c>
      <c r="E54" s="288">
        <f>COUNTIFS(DATA!$G$2:$G$992,$A54,DATA!$H$2:$H$992,$B54,DATA!$I$2:$I$992,$C54,DATA!$E$2:$E$992,"&gt;="&amp;DATE(2026,2,1),DATA!$E$2:$E$992,"&lt;="&amp;EOMONTH(DATE(2026,2,1),0))</f>
        <v>0</v>
      </c>
      <c r="F54" s="288">
        <f>COUNTIFS(DATA!$G$2:$G$992,$A54,DATA!$H$2:$H$992,$B54,DATA!$I$2:$I$992,$C54,DATA!$E$2:$E$992,"&gt;="&amp;DATE(2026,3,1),DATA!$E$2:$E$992,"&lt;="&amp;EOMONTH(DATE(2026,3,1),0))</f>
        <v>0</v>
      </c>
      <c r="G54" s="288">
        <f>COUNTIFS(DATA!$G$2:$G$992,$A54,DATA!$H$2:$H$992,$B54,DATA!$I$2:$I$992,$C54,DATA!$E$2:$E$992,"&gt;="&amp;DATE(2026,4,1),DATA!$E$2:$E$992,"&lt;="&amp;EOMONTH(DATE(2026,4,1),0))</f>
        <v>0</v>
      </c>
      <c r="H54" s="288">
        <f>COUNTIFS(DATA!$G$2:$G$992,$A54,DATA!$H$2:$H$992,$B54,DATA!$I$2:$I$992,$C54,DATA!$E$2:$E$992,"&gt;="&amp;DATE(2026,5,1),DATA!$E$2:$E$992,"&lt;="&amp;EOMONTH(DATE(2026,5,1),0))</f>
        <v>0</v>
      </c>
      <c r="I54" s="288">
        <f>COUNTIFS(DATA!$G$2:$G$992,$A54,DATA!$H$2:$H$992,$B54,DATA!$I$2:$I$992,$C54,DATA!$E$2:$E$992,"&gt;="&amp;DATE(2026,6,1),DATA!$E$2:$E$992,"&lt;="&amp;EOMONTH(DATE(2026,6,1),0))</f>
        <v>0</v>
      </c>
      <c r="J54" s="288">
        <f>COUNTIFS(DATA!$G$2:$G$992,$A54,DATA!$H$2:$H$992,$B54,DATA!$I$2:$I$992,$C54,DATA!$E$2:$E$992,"&gt;="&amp;DATE(2026,7,1),DATA!$E$2:$E$992,"&lt;="&amp;EOMONTH(DATE(2026,7,1),0))</f>
        <v>0</v>
      </c>
      <c r="K54" s="288">
        <f>COUNTIFS(DATA!$G$2:$G$992,$A54,DATA!$H$2:$H$992,$B54,DATA!$I$2:$I$992,$C54,DATA!$E$2:$E$992,"&gt;="&amp;DATE(2026,8,1),DATA!$E$2:$E$992,"&lt;="&amp;EOMONTH(DATE(2026,8,1),0))</f>
        <v>0</v>
      </c>
      <c r="L54" s="288">
        <f>COUNTIFS(DATA!$G$2:$G$992,$A54,DATA!$H$2:$H$992,$B54,DATA!$I$2:$I$992,$C54,DATA!$E$2:$E$992,"&gt;="&amp;DATE(2026,9,1),DATA!$E$2:$E$992,"&lt;="&amp;EOMONTH(DATE(2026,9,1),0))</f>
        <v>0</v>
      </c>
      <c r="M54" s="288">
        <f>COUNTIFS(DATA!$G$2:$G$992,$A54,DATA!$H$2:$H$992,$B54,DATA!$I$2:$I$992,$C54,DATA!$E$2:$E$992,"&gt;="&amp;DATE(2026,10,1),DATA!$E$2:$E$992,"&lt;="&amp;EOMONTH(DATE(2026,10,1),0))</f>
        <v>0</v>
      </c>
      <c r="N54" s="288">
        <f>COUNTIFS(DATA!$G$2:$G$992,$A54,DATA!$H$2:$H$992,$B54,DATA!$I$2:$I$992,$C54,DATA!$E$2:$E$992,"&gt;="&amp;DATE(2026,11,1),DATA!$E$2:$E$992,"&lt;="&amp;EOMONTH(DATE(2026,11,1),0))</f>
        <v>0</v>
      </c>
      <c r="O54" s="288">
        <f>COUNTIFS(DATA!$G$2:$G$992,$A54,DATA!$H$2:$H$992,$B54,DATA!$I$2:$I$992,$C54,DATA!$E$2:$E$992,"&gt;="&amp;DATE(2026,12,1),DATA!$E$2:$E$992,"&lt;="&amp;EOMONTH(DATE(2026,12,1),0))</f>
        <v>0</v>
      </c>
      <c r="P54" s="270">
        <f t="shared" si="4"/>
        <v>0</v>
      </c>
      <c r="Q54" s="271"/>
      <c r="R54" s="272">
        <f t="shared" si="5"/>
        <v>0</v>
      </c>
      <c r="S54" s="19">
        <f t="shared" si="7"/>
        <v>4.7619047619047623E-3</v>
      </c>
    </row>
    <row r="55" spans="1:19" ht="21.75" customHeight="1">
      <c r="A55" s="294" t="s">
        <v>98</v>
      </c>
      <c r="B55" s="274" t="s">
        <v>106</v>
      </c>
      <c r="C55" s="13" t="s">
        <v>179</v>
      </c>
      <c r="D55" s="269">
        <f>COUNTIFS(DATA!$G$2:$G$992,$A55,DATA!$H$2:$H$992,$B55,DATA!$I$2:$I$992,$C55,DATA!$E$2:$E$992,"&gt;="&amp;DATE(2026,1,1),DATA!$E$2:$E$992,"&lt;="&amp;EOMONTH(DATE(2026,1,1),0))</f>
        <v>0</v>
      </c>
      <c r="E55" s="269">
        <f>COUNTIFS(DATA!$G$2:$G$992,$A55,DATA!$H$2:$H$992,$B55,DATA!$I$2:$I$992,$C55,DATA!$E$2:$E$992,"&gt;="&amp;DATE(2026,2,1),DATA!$E$2:$E$992,"&lt;="&amp;EOMONTH(DATE(2026,2,1),0))</f>
        <v>0</v>
      </c>
      <c r="F55" s="269">
        <f>COUNTIFS(DATA!$G$2:$G$992,$A55,DATA!$H$2:$H$992,$B55,DATA!$I$2:$I$992,$C55,DATA!$E$2:$E$992,"&gt;="&amp;DATE(2026,3,1),DATA!$E$2:$E$992,"&lt;="&amp;EOMONTH(DATE(2026,3,1),0))</f>
        <v>0</v>
      </c>
      <c r="G55" s="269">
        <f>COUNTIFS(DATA!$G$2:$G$992,$A55,DATA!$H$2:$H$992,$B55,DATA!$I$2:$I$992,$C55,DATA!$E$2:$E$992,"&gt;="&amp;DATE(2026,4,1),DATA!$E$2:$E$992,"&lt;="&amp;EOMONTH(DATE(2026,4,1),0))</f>
        <v>0</v>
      </c>
      <c r="H55" s="269">
        <f>COUNTIFS(DATA!$G$2:$G$992,$A55,DATA!$H$2:$H$992,$B55,DATA!$I$2:$I$992,$C55,DATA!$E$2:$E$992,"&gt;="&amp;DATE(2026,5,1),DATA!$E$2:$E$992,"&lt;="&amp;EOMONTH(DATE(2026,5,1),0))</f>
        <v>0</v>
      </c>
      <c r="I55" s="269">
        <f>COUNTIFS(DATA!$G$2:$G$992,$A55,DATA!$H$2:$H$992,$B55,DATA!$I$2:$I$992,$C55,DATA!$E$2:$E$992,"&gt;="&amp;DATE(2026,6,1),DATA!$E$2:$E$992,"&lt;="&amp;EOMONTH(DATE(2026,6,1),0))</f>
        <v>0</v>
      </c>
      <c r="J55" s="269">
        <f>COUNTIFS(DATA!$G$2:$G$992,$A55,DATA!$H$2:$H$992,$B55,DATA!$I$2:$I$992,$C55,DATA!$E$2:$E$992,"&gt;="&amp;DATE(2026,7,1),DATA!$E$2:$E$992,"&lt;="&amp;EOMONTH(DATE(2026,7,1),0))</f>
        <v>0</v>
      </c>
      <c r="K55" s="269">
        <f>COUNTIFS(DATA!$G$2:$G$992,$A55,DATA!$H$2:$H$992,$B55,DATA!$I$2:$I$992,$C55,DATA!$E$2:$E$992,"&gt;="&amp;DATE(2026,8,1),DATA!$E$2:$E$992,"&lt;="&amp;EOMONTH(DATE(2026,8,1),0))</f>
        <v>0</v>
      </c>
      <c r="L55" s="269">
        <f>COUNTIFS(DATA!$G$2:$G$992,$A55,DATA!$H$2:$H$992,$B55,DATA!$I$2:$I$992,$C55,DATA!$E$2:$E$992,"&gt;="&amp;DATE(2026,9,1),DATA!$E$2:$E$992,"&lt;="&amp;EOMONTH(DATE(2026,9,1),0))</f>
        <v>0</v>
      </c>
      <c r="M55" s="269">
        <f>COUNTIFS(DATA!$G$2:$G$992,$A55,DATA!$H$2:$H$992,$B55,DATA!$I$2:$I$992,$C55,DATA!$E$2:$E$992,"&gt;="&amp;DATE(2026,10,1),DATA!$E$2:$E$992,"&lt;="&amp;EOMONTH(DATE(2026,10,1),0))</f>
        <v>0</v>
      </c>
      <c r="N55" s="269">
        <f>COUNTIFS(DATA!$G$2:$G$992,$A55,DATA!$H$2:$H$992,$B55,DATA!$I$2:$I$992,$C55,DATA!$E$2:$E$992,"&gt;="&amp;DATE(2026,11,1),DATA!$E$2:$E$992,"&lt;="&amp;EOMONTH(DATE(2026,11,1),0))</f>
        <v>0</v>
      </c>
      <c r="O55" s="269">
        <f>COUNTIFS(DATA!$G$2:$G$992,$A55,DATA!$H$2:$H$992,$B55,DATA!$I$2:$I$992,$C55,DATA!$E$2:$E$992,"&gt;="&amp;DATE(2026,12,1),DATA!$E$2:$E$992,"&lt;="&amp;EOMONTH(DATE(2026,12,1),0))</f>
        <v>0</v>
      </c>
      <c r="P55" s="270">
        <f t="shared" si="4"/>
        <v>0</v>
      </c>
      <c r="Q55" s="271"/>
      <c r="R55" s="272">
        <f t="shared" si="5"/>
        <v>0</v>
      </c>
      <c r="S55" s="277">
        <f t="shared" si="7"/>
        <v>4.7619047619047623E-3</v>
      </c>
    </row>
    <row r="56" spans="1:19" ht="21.75" customHeight="1">
      <c r="A56" s="294" t="s">
        <v>98</v>
      </c>
      <c r="B56" s="274" t="s">
        <v>106</v>
      </c>
      <c r="C56" s="13" t="s">
        <v>194</v>
      </c>
      <c r="D56" s="288">
        <f>COUNTIFS(DATA!$G$2:$G$992,$A56,DATA!$H$2:$H$992,$B56,DATA!$I$2:$I$992,$C56,DATA!$E$2:$E$992,"&gt;="&amp;DATE(2026,1,1),DATA!$E$2:$E$992,"&lt;="&amp;EOMONTH(DATE(2026,1,1),0))</f>
        <v>0</v>
      </c>
      <c r="E56" s="288">
        <f>COUNTIFS(DATA!$G$2:$G$992,$A56,DATA!$H$2:$H$992,$B56,DATA!$I$2:$I$992,$C56,DATA!$E$2:$E$992,"&gt;="&amp;DATE(2026,2,1),DATA!$E$2:$E$992,"&lt;="&amp;EOMONTH(DATE(2026,2,1),0))</f>
        <v>0</v>
      </c>
      <c r="F56" s="288">
        <f>COUNTIFS(DATA!$G$2:$G$992,$A56,DATA!$H$2:$H$992,$B56,DATA!$I$2:$I$992,$C56,DATA!$E$2:$E$992,"&gt;="&amp;DATE(2026,3,1),DATA!$E$2:$E$992,"&lt;="&amp;EOMONTH(DATE(2026,3,1),0))</f>
        <v>0</v>
      </c>
      <c r="G56" s="288">
        <f>COUNTIFS(DATA!$G$2:$G$992,$A56,DATA!$H$2:$H$992,$B56,DATA!$I$2:$I$992,$C56,DATA!$E$2:$E$992,"&gt;="&amp;DATE(2026,4,1),DATA!$E$2:$E$992,"&lt;="&amp;EOMONTH(DATE(2026,4,1),0))</f>
        <v>0</v>
      </c>
      <c r="H56" s="288">
        <f>COUNTIFS(DATA!$G$2:$G$992,$A56,DATA!$H$2:$H$992,$B56,DATA!$I$2:$I$992,$C56,DATA!$E$2:$E$992,"&gt;="&amp;DATE(2026,5,1),DATA!$E$2:$E$992,"&lt;="&amp;EOMONTH(DATE(2026,5,1),0))</f>
        <v>0</v>
      </c>
      <c r="I56" s="288">
        <f>COUNTIFS(DATA!$G$2:$G$992,$A56,DATA!$H$2:$H$992,$B56,DATA!$I$2:$I$992,$C56,DATA!$E$2:$E$992,"&gt;="&amp;DATE(2026,6,1),DATA!$E$2:$E$992,"&lt;="&amp;EOMONTH(DATE(2026,6,1),0))</f>
        <v>0</v>
      </c>
      <c r="J56" s="288">
        <f>COUNTIFS(DATA!$G$2:$G$992,$A56,DATA!$H$2:$H$992,$B56,DATA!$I$2:$I$992,$C56,DATA!$E$2:$E$992,"&gt;="&amp;DATE(2026,7,1),DATA!$E$2:$E$992,"&lt;="&amp;EOMONTH(DATE(2026,7,1),0))</f>
        <v>0</v>
      </c>
      <c r="K56" s="288">
        <f>COUNTIFS(DATA!$G$2:$G$992,$A56,DATA!$H$2:$H$992,$B56,DATA!$I$2:$I$992,$C56,DATA!$E$2:$E$992,"&gt;="&amp;DATE(2026,8,1),DATA!$E$2:$E$992,"&lt;="&amp;EOMONTH(DATE(2026,8,1),0))</f>
        <v>0</v>
      </c>
      <c r="L56" s="288">
        <f>COUNTIFS(DATA!$G$2:$G$992,$A56,DATA!$H$2:$H$992,$B56,DATA!$I$2:$I$992,$C56,DATA!$E$2:$E$992,"&gt;="&amp;DATE(2026,9,1),DATA!$E$2:$E$992,"&lt;="&amp;EOMONTH(DATE(2026,9,1),0))</f>
        <v>0</v>
      </c>
      <c r="M56" s="288">
        <f>COUNTIFS(DATA!$G$2:$G$992,$A56,DATA!$H$2:$H$992,$B56,DATA!$I$2:$I$992,$C56,DATA!$E$2:$E$992,"&gt;="&amp;DATE(2026,10,1),DATA!$E$2:$E$992,"&lt;="&amp;EOMONTH(DATE(2026,10,1),0))</f>
        <v>0</v>
      </c>
      <c r="N56" s="288">
        <f>COUNTIFS(DATA!$G$2:$G$992,$A56,DATA!$H$2:$H$992,$B56,DATA!$I$2:$I$992,$C56,DATA!$E$2:$E$992,"&gt;="&amp;DATE(2026,11,1),DATA!$E$2:$E$992,"&lt;="&amp;EOMONTH(DATE(2026,11,1),0))</f>
        <v>0</v>
      </c>
      <c r="O56" s="288">
        <f>COUNTIFS(DATA!$G$2:$G$992,$A56,DATA!$H$2:$H$992,$B56,DATA!$I$2:$I$992,$C56,DATA!$E$2:$E$992,"&gt;="&amp;DATE(2026,12,1),DATA!$E$2:$E$992,"&lt;="&amp;EOMONTH(DATE(2026,12,1),0))</f>
        <v>0</v>
      </c>
      <c r="P56" s="270">
        <f t="shared" si="4"/>
        <v>0</v>
      </c>
      <c r="Q56" s="271"/>
      <c r="R56" s="272">
        <f t="shared" si="5"/>
        <v>0</v>
      </c>
      <c r="S56" s="277">
        <f t="shared" si="7"/>
        <v>4.7619047619047623E-3</v>
      </c>
    </row>
    <row r="57" spans="1:19" ht="21.75" customHeight="1">
      <c r="A57" s="294" t="s">
        <v>98</v>
      </c>
      <c r="B57" s="298" t="s">
        <v>106</v>
      </c>
      <c r="C57" s="26" t="s">
        <v>204</v>
      </c>
      <c r="D57" s="299">
        <f>COUNTIFS(DATA!$G$2:$G$992,$A57,DATA!$H$2:$H$992,$B57,DATA!$I$2:$I$992,$C57,DATA!$E$2:$E$992,"&gt;="&amp;DATE(2026,1,1),DATA!$E$2:$E$992,"&lt;="&amp;EOMONTH(DATE(2026,1,1),0))</f>
        <v>0</v>
      </c>
      <c r="E57" s="299">
        <f>COUNTIFS(DATA!$G$2:$G$992,$A57,DATA!$H$2:$H$992,$B57,DATA!$I$2:$I$992,$C57,DATA!$E$2:$E$992,"&gt;="&amp;DATE(2026,2,1),DATA!$E$2:$E$992,"&lt;="&amp;EOMONTH(DATE(2026,2,1),0))</f>
        <v>0</v>
      </c>
      <c r="F57" s="299">
        <f>COUNTIFS(DATA!$G$2:$G$992,$A57,DATA!$H$2:$H$992,$B57,DATA!$I$2:$I$992,$C57,DATA!$E$2:$E$992,"&gt;="&amp;DATE(2026,3,1),DATA!$E$2:$E$992,"&lt;="&amp;EOMONTH(DATE(2026,3,1),0))</f>
        <v>0</v>
      </c>
      <c r="G57" s="299">
        <f>COUNTIFS(DATA!$G$2:$G$992,$A57,DATA!$H$2:$H$992,$B57,DATA!$I$2:$I$992,$C57,DATA!$E$2:$E$992,"&gt;="&amp;DATE(2026,4,1),DATA!$E$2:$E$992,"&lt;="&amp;EOMONTH(DATE(2026,4,1),0))</f>
        <v>1</v>
      </c>
      <c r="H57" s="299">
        <f>COUNTIFS(DATA!$G$2:$G$992,$A57,DATA!$H$2:$H$992,$B57,DATA!$I$2:$I$992,$C57,DATA!$E$2:$E$992,"&gt;="&amp;DATE(2026,5,1),DATA!$E$2:$E$992,"&lt;="&amp;EOMONTH(DATE(2026,5,1),0))</f>
        <v>0</v>
      </c>
      <c r="I57" s="299">
        <f>COUNTIFS(DATA!$G$2:$G$992,$A57,DATA!$H$2:$H$992,$B57,DATA!$I$2:$I$992,$C57,DATA!$E$2:$E$992,"&gt;="&amp;DATE(2026,6,1),DATA!$E$2:$E$992,"&lt;="&amp;EOMONTH(DATE(2026,6,1),0))</f>
        <v>0</v>
      </c>
      <c r="J57" s="299">
        <f>COUNTIFS(DATA!$G$2:$G$992,$A57,DATA!$H$2:$H$992,$B57,DATA!$I$2:$I$992,$C57,DATA!$E$2:$E$992,"&gt;="&amp;DATE(2026,7,1),DATA!$E$2:$E$992,"&lt;="&amp;EOMONTH(DATE(2026,7,1),0))</f>
        <v>0</v>
      </c>
      <c r="K57" s="299">
        <f>COUNTIFS(DATA!$G$2:$G$992,$A57,DATA!$H$2:$H$992,$B57,DATA!$I$2:$I$992,$C57,DATA!$E$2:$E$992,"&gt;="&amp;DATE(2026,8,1),DATA!$E$2:$E$992,"&lt;="&amp;EOMONTH(DATE(2026,8,1),0))</f>
        <v>0</v>
      </c>
      <c r="L57" s="299">
        <f>COUNTIFS(DATA!$G$2:$G$992,$A57,DATA!$H$2:$H$992,$B57,DATA!$I$2:$I$992,$C57,DATA!$E$2:$E$992,"&gt;="&amp;DATE(2026,9,1),DATA!$E$2:$E$992,"&lt;="&amp;EOMONTH(DATE(2026,9,1),0))</f>
        <v>0</v>
      </c>
      <c r="M57" s="299">
        <f>COUNTIFS(DATA!$G$2:$G$992,$A57,DATA!$H$2:$H$992,$B57,DATA!$I$2:$I$992,$C57,DATA!$E$2:$E$992,"&gt;="&amp;DATE(2026,10,1),DATA!$E$2:$E$992,"&lt;="&amp;EOMONTH(DATE(2026,10,1),0))</f>
        <v>0</v>
      </c>
      <c r="N57" s="299">
        <f>COUNTIFS(DATA!$G$2:$G$992,$A57,DATA!$H$2:$H$992,$B57,DATA!$I$2:$I$992,$C57,DATA!$E$2:$E$992,"&gt;="&amp;DATE(2026,11,1),DATA!$E$2:$E$992,"&lt;="&amp;EOMONTH(DATE(2026,11,1),0))</f>
        <v>0</v>
      </c>
      <c r="O57" s="299">
        <f>COUNTIFS(DATA!$G$2:$G$992,$A57,DATA!$H$2:$H$992,$B57,DATA!$I$2:$I$992,$C57,DATA!$E$2:$E$992,"&gt;="&amp;DATE(2026,12,1),DATA!$E$2:$E$992,"&lt;="&amp;EOMONTH(DATE(2026,12,1),0))</f>
        <v>0</v>
      </c>
      <c r="P57" s="300">
        <f t="shared" si="4"/>
        <v>1</v>
      </c>
      <c r="Q57" s="271"/>
      <c r="R57" s="272">
        <f t="shared" si="5"/>
        <v>4.7619047619047623E-3</v>
      </c>
      <c r="S57" s="301">
        <f t="shared" si="7"/>
        <v>4.7619047619047623E-3</v>
      </c>
    </row>
    <row r="58" spans="1:19" ht="21.75" customHeight="1">
      <c r="A58" s="294" t="s">
        <v>98</v>
      </c>
      <c r="B58" s="274" t="s">
        <v>107</v>
      </c>
      <c r="C58" s="13" t="s">
        <v>129</v>
      </c>
      <c r="D58" s="288">
        <f>COUNTIFS(DATA!$G$2:$G$992,$A58,DATA!$H$2:$H$992,$B58,DATA!$I$2:$I$992,$C58,DATA!$E$2:$E$992,"&gt;="&amp;DATE(2026,1,1),DATA!$E$2:$E$992,"&lt;="&amp;EOMONTH(DATE(2026,1,1),0))</f>
        <v>0</v>
      </c>
      <c r="E58" s="288">
        <f>COUNTIFS(DATA!$G$2:$G$992,$A58,DATA!$H$2:$H$992,$B58,DATA!$I$2:$I$992,$C58,DATA!$E$2:$E$992,"&gt;="&amp;DATE(2026,2,1),DATA!$E$2:$E$992,"&lt;="&amp;EOMONTH(DATE(2026,2,1),0))</f>
        <v>0</v>
      </c>
      <c r="F58" s="288">
        <f>COUNTIFS(DATA!$G$2:$G$992,$A58,DATA!$H$2:$H$992,$B58,DATA!$I$2:$I$992,$C58,DATA!$E$2:$E$992,"&gt;="&amp;DATE(2026,3,1),DATA!$E$2:$E$992,"&lt;="&amp;EOMONTH(DATE(2026,3,1),0))</f>
        <v>0</v>
      </c>
      <c r="G58" s="288">
        <f>COUNTIFS(DATA!$G$2:$G$992,$A58,DATA!$H$2:$H$992,$B58,DATA!$I$2:$I$992,$C58,DATA!$E$2:$E$992,"&gt;="&amp;DATE(2026,4,1),DATA!$E$2:$E$992,"&lt;="&amp;EOMONTH(DATE(2026,4,1),0))</f>
        <v>0</v>
      </c>
      <c r="H58" s="288">
        <f>COUNTIFS(DATA!$G$2:$G$992,$A58,DATA!$H$2:$H$992,$B58,DATA!$I$2:$I$992,$C58,DATA!$E$2:$E$992,"&gt;="&amp;DATE(2026,5,1),DATA!$E$2:$E$992,"&lt;="&amp;EOMONTH(DATE(2026,5,1),0))</f>
        <v>0</v>
      </c>
      <c r="I58" s="288">
        <f>COUNTIFS(DATA!$G$2:$G$992,$A58,DATA!$H$2:$H$992,$B58,DATA!$I$2:$I$992,$C58,DATA!$E$2:$E$992,"&gt;="&amp;DATE(2026,6,1),DATA!$E$2:$E$992,"&lt;="&amp;EOMONTH(DATE(2026,6,1),0))</f>
        <v>0</v>
      </c>
      <c r="J58" s="288">
        <f>COUNTIFS(DATA!$G$2:$G$992,$A58,DATA!$H$2:$H$992,$B58,DATA!$I$2:$I$992,$C58,DATA!$E$2:$E$992,"&gt;="&amp;DATE(2026,7,1),DATA!$E$2:$E$992,"&lt;="&amp;EOMONTH(DATE(2026,7,1),0))</f>
        <v>0</v>
      </c>
      <c r="K58" s="288">
        <f>COUNTIFS(DATA!$G$2:$G$992,$A58,DATA!$H$2:$H$992,$B58,DATA!$I$2:$I$992,$C58,DATA!$E$2:$E$992,"&gt;="&amp;DATE(2026,8,1),DATA!$E$2:$E$992,"&lt;="&amp;EOMONTH(DATE(2026,8,1),0))</f>
        <v>0</v>
      </c>
      <c r="L58" s="288">
        <f>COUNTIFS(DATA!$G$2:$G$992,$A58,DATA!$H$2:$H$992,$B58,DATA!$I$2:$I$992,$C58,DATA!$E$2:$E$992,"&gt;="&amp;DATE(2026,9,1),DATA!$E$2:$E$992,"&lt;="&amp;EOMONTH(DATE(2026,9,1),0))</f>
        <v>0</v>
      </c>
      <c r="M58" s="288">
        <f>COUNTIFS(DATA!$G$2:$G$992,$A58,DATA!$H$2:$H$992,$B58,DATA!$I$2:$I$992,$C58,DATA!$E$2:$E$992,"&gt;="&amp;DATE(2026,10,1),DATA!$E$2:$E$992,"&lt;="&amp;EOMONTH(DATE(2026,10,1),0))</f>
        <v>0</v>
      </c>
      <c r="N58" s="288">
        <f>COUNTIFS(DATA!$G$2:$G$992,$A58,DATA!$H$2:$H$992,$B58,DATA!$I$2:$I$992,$C58,DATA!$E$2:$E$992,"&gt;="&amp;DATE(2026,11,1),DATA!$E$2:$E$992,"&lt;="&amp;EOMONTH(DATE(2026,11,1),0))</f>
        <v>0</v>
      </c>
      <c r="O58" s="288">
        <f>COUNTIFS(DATA!$G$2:$G$992,$A58,DATA!$H$2:$H$992,$B58,DATA!$I$2:$I$992,$C58,DATA!$E$2:$E$992,"&gt;="&amp;DATE(2026,12,1),DATA!$E$2:$E$992,"&lt;="&amp;EOMONTH(DATE(2026,12,1),0))</f>
        <v>0</v>
      </c>
      <c r="P58" s="270">
        <f t="shared" si="4"/>
        <v>0</v>
      </c>
      <c r="Q58" s="271"/>
      <c r="R58" s="272">
        <f t="shared" si="5"/>
        <v>0</v>
      </c>
      <c r="S58" s="277">
        <f t="shared" ref="S58:S70" si="8">IFERROR(SUM($P$58:$P$70)/$P$71,0)</f>
        <v>0</v>
      </c>
    </row>
    <row r="59" spans="1:19" ht="21.75" customHeight="1">
      <c r="A59" s="294" t="s">
        <v>98</v>
      </c>
      <c r="B59" s="274" t="s">
        <v>107</v>
      </c>
      <c r="C59" s="13" t="s">
        <v>147</v>
      </c>
      <c r="D59" s="269">
        <f>COUNTIFS(DATA!$G$2:$G$992,$A59,DATA!$H$2:$H$992,$B59,DATA!$I$2:$I$992,$C59,DATA!$E$2:$E$992,"&gt;="&amp;DATE(2026,1,1),DATA!$E$2:$E$992,"&lt;="&amp;EOMONTH(DATE(2026,1,1),0))</f>
        <v>0</v>
      </c>
      <c r="E59" s="269">
        <f>COUNTIFS(DATA!$G$2:$G$992,$A59,DATA!$H$2:$H$992,$B59,DATA!$I$2:$I$992,$C59,DATA!$E$2:$E$992,"&gt;="&amp;DATE(2026,2,1),DATA!$E$2:$E$992,"&lt;="&amp;EOMONTH(DATE(2026,2,1),0))</f>
        <v>0</v>
      </c>
      <c r="F59" s="269">
        <f>COUNTIFS(DATA!$G$2:$G$992,$A59,DATA!$H$2:$H$992,$B59,DATA!$I$2:$I$992,$C59,DATA!$E$2:$E$992,"&gt;="&amp;DATE(2026,3,1),DATA!$E$2:$E$992,"&lt;="&amp;EOMONTH(DATE(2026,3,1),0))</f>
        <v>0</v>
      </c>
      <c r="G59" s="269">
        <f>COUNTIFS(DATA!$G$2:$G$992,$A59,DATA!$H$2:$H$992,$B59,DATA!$I$2:$I$992,$C59,DATA!$E$2:$E$992,"&gt;="&amp;DATE(2026,4,1),DATA!$E$2:$E$992,"&lt;="&amp;EOMONTH(DATE(2026,4,1),0))</f>
        <v>0</v>
      </c>
      <c r="H59" s="269">
        <f>COUNTIFS(DATA!$G$2:$G$992,$A59,DATA!$H$2:$H$992,$B59,DATA!$I$2:$I$992,$C59,DATA!$E$2:$E$992,"&gt;="&amp;DATE(2026,5,1),DATA!$E$2:$E$992,"&lt;="&amp;EOMONTH(DATE(2026,5,1),0))</f>
        <v>0</v>
      </c>
      <c r="I59" s="269">
        <f>COUNTIFS(DATA!$G$2:$G$992,$A59,DATA!$H$2:$H$992,$B59,DATA!$I$2:$I$992,$C59,DATA!$E$2:$E$992,"&gt;="&amp;DATE(2026,6,1),DATA!$E$2:$E$992,"&lt;="&amp;EOMONTH(DATE(2026,6,1),0))</f>
        <v>0</v>
      </c>
      <c r="J59" s="269">
        <f>COUNTIFS(DATA!$G$2:$G$992,$A59,DATA!$H$2:$H$992,$B59,DATA!$I$2:$I$992,$C59,DATA!$E$2:$E$992,"&gt;="&amp;DATE(2026,7,1),DATA!$E$2:$E$992,"&lt;="&amp;EOMONTH(DATE(2026,7,1),0))</f>
        <v>0</v>
      </c>
      <c r="K59" s="269">
        <f>COUNTIFS(DATA!$G$2:$G$992,$A59,DATA!$H$2:$H$992,$B59,DATA!$I$2:$I$992,$C59,DATA!$E$2:$E$992,"&gt;="&amp;DATE(2026,8,1),DATA!$E$2:$E$992,"&lt;="&amp;EOMONTH(DATE(2026,8,1),0))</f>
        <v>0</v>
      </c>
      <c r="L59" s="269">
        <f>COUNTIFS(DATA!$G$2:$G$992,$A59,DATA!$H$2:$H$992,$B59,DATA!$I$2:$I$992,$C59,DATA!$E$2:$E$992,"&gt;="&amp;DATE(2026,9,1),DATA!$E$2:$E$992,"&lt;="&amp;EOMONTH(DATE(2026,9,1),0))</f>
        <v>0</v>
      </c>
      <c r="M59" s="269">
        <f>COUNTIFS(DATA!$G$2:$G$992,$A59,DATA!$H$2:$H$992,$B59,DATA!$I$2:$I$992,$C59,DATA!$E$2:$E$992,"&gt;="&amp;DATE(2026,10,1),DATA!$E$2:$E$992,"&lt;="&amp;EOMONTH(DATE(2026,10,1),0))</f>
        <v>0</v>
      </c>
      <c r="N59" s="269">
        <f>COUNTIFS(DATA!$G$2:$G$992,$A59,DATA!$H$2:$H$992,$B59,DATA!$I$2:$I$992,$C59,DATA!$E$2:$E$992,"&gt;="&amp;DATE(2026,11,1),DATA!$E$2:$E$992,"&lt;="&amp;EOMONTH(DATE(2026,11,1),0))</f>
        <v>0</v>
      </c>
      <c r="O59" s="269">
        <f>COUNTIFS(DATA!$G$2:$G$992,$A59,DATA!$H$2:$H$992,$B59,DATA!$I$2:$I$992,$C59,DATA!$E$2:$E$992,"&gt;="&amp;DATE(2026,12,1),DATA!$E$2:$E$992,"&lt;="&amp;EOMONTH(DATE(2026,12,1),0))</f>
        <v>0</v>
      </c>
      <c r="P59" s="270">
        <f t="shared" si="4"/>
        <v>0</v>
      </c>
      <c r="Q59" s="271"/>
      <c r="R59" s="272">
        <f t="shared" si="5"/>
        <v>0</v>
      </c>
      <c r="S59" s="277">
        <f t="shared" si="8"/>
        <v>0</v>
      </c>
    </row>
    <row r="60" spans="1:19" ht="21.75" customHeight="1">
      <c r="A60" s="294" t="s">
        <v>98</v>
      </c>
      <c r="B60" s="274" t="s">
        <v>107</v>
      </c>
      <c r="C60" s="13" t="s">
        <v>164</v>
      </c>
      <c r="D60" s="288">
        <f>COUNTIFS(DATA!$G$2:$G$992,$A60,DATA!$H$2:$H$992,$B60,DATA!$I$2:$I$992,$C60,DATA!$E$2:$E$992,"&gt;="&amp;DATE(2026,1,1),DATA!$E$2:$E$992,"&lt;="&amp;EOMONTH(DATE(2026,1,1),0))</f>
        <v>0</v>
      </c>
      <c r="E60" s="288">
        <f>COUNTIFS(DATA!$G$2:$G$992,$A60,DATA!$H$2:$H$992,$B60,DATA!$I$2:$I$992,$C60,DATA!$E$2:$E$992,"&gt;="&amp;DATE(2026,2,1),DATA!$E$2:$E$992,"&lt;="&amp;EOMONTH(DATE(2026,2,1),0))</f>
        <v>0</v>
      </c>
      <c r="F60" s="288">
        <f>COUNTIFS(DATA!$G$2:$G$992,$A60,DATA!$H$2:$H$992,$B60,DATA!$I$2:$I$992,$C60,DATA!$E$2:$E$992,"&gt;="&amp;DATE(2026,3,1),DATA!$E$2:$E$992,"&lt;="&amp;EOMONTH(DATE(2026,3,1),0))</f>
        <v>0</v>
      </c>
      <c r="G60" s="288">
        <f>COUNTIFS(DATA!$G$2:$G$992,$A60,DATA!$H$2:$H$992,$B60,DATA!$I$2:$I$992,$C60,DATA!$E$2:$E$992,"&gt;="&amp;DATE(2026,4,1),DATA!$E$2:$E$992,"&lt;="&amp;EOMONTH(DATE(2026,4,1),0))</f>
        <v>0</v>
      </c>
      <c r="H60" s="288">
        <f>COUNTIFS(DATA!$G$2:$G$992,$A60,DATA!$H$2:$H$992,$B60,DATA!$I$2:$I$992,$C60,DATA!$E$2:$E$992,"&gt;="&amp;DATE(2026,5,1),DATA!$E$2:$E$992,"&lt;="&amp;EOMONTH(DATE(2026,5,1),0))</f>
        <v>0</v>
      </c>
      <c r="I60" s="288">
        <f>COUNTIFS(DATA!$G$2:$G$992,$A60,DATA!$H$2:$H$992,$B60,DATA!$I$2:$I$992,$C60,DATA!$E$2:$E$992,"&gt;="&amp;DATE(2026,6,1),DATA!$E$2:$E$992,"&lt;="&amp;EOMONTH(DATE(2026,6,1),0))</f>
        <v>0</v>
      </c>
      <c r="J60" s="288">
        <f>COUNTIFS(DATA!$G$2:$G$992,$A60,DATA!$H$2:$H$992,$B60,DATA!$I$2:$I$992,$C60,DATA!$E$2:$E$992,"&gt;="&amp;DATE(2026,7,1),DATA!$E$2:$E$992,"&lt;="&amp;EOMONTH(DATE(2026,7,1),0))</f>
        <v>0</v>
      </c>
      <c r="K60" s="288">
        <f>COUNTIFS(DATA!$G$2:$G$992,$A60,DATA!$H$2:$H$992,$B60,DATA!$I$2:$I$992,$C60,DATA!$E$2:$E$992,"&gt;="&amp;DATE(2026,8,1),DATA!$E$2:$E$992,"&lt;="&amp;EOMONTH(DATE(2026,8,1),0))</f>
        <v>0</v>
      </c>
      <c r="L60" s="288">
        <f>COUNTIFS(DATA!$G$2:$G$992,$A60,DATA!$H$2:$H$992,$B60,DATA!$I$2:$I$992,$C60,DATA!$E$2:$E$992,"&gt;="&amp;DATE(2026,9,1),DATA!$E$2:$E$992,"&lt;="&amp;EOMONTH(DATE(2026,9,1),0))</f>
        <v>0</v>
      </c>
      <c r="M60" s="288">
        <f>COUNTIFS(DATA!$G$2:$G$992,$A60,DATA!$H$2:$H$992,$B60,DATA!$I$2:$I$992,$C60,DATA!$E$2:$E$992,"&gt;="&amp;DATE(2026,10,1),DATA!$E$2:$E$992,"&lt;="&amp;EOMONTH(DATE(2026,10,1),0))</f>
        <v>0</v>
      </c>
      <c r="N60" s="288">
        <f>COUNTIFS(DATA!$G$2:$G$992,$A60,DATA!$H$2:$H$992,$B60,DATA!$I$2:$I$992,$C60,DATA!$E$2:$E$992,"&gt;="&amp;DATE(2026,11,1),DATA!$E$2:$E$992,"&lt;="&amp;EOMONTH(DATE(2026,11,1),0))</f>
        <v>0</v>
      </c>
      <c r="O60" s="288">
        <f>COUNTIFS(DATA!$G$2:$G$992,$A60,DATA!$H$2:$H$992,$B60,DATA!$I$2:$I$992,$C60,DATA!$E$2:$E$992,"&gt;="&amp;DATE(2026,12,1),DATA!$E$2:$E$992,"&lt;="&amp;EOMONTH(DATE(2026,12,1),0))</f>
        <v>0</v>
      </c>
      <c r="P60" s="270">
        <f t="shared" si="4"/>
        <v>0</v>
      </c>
      <c r="Q60" s="271"/>
      <c r="R60" s="272">
        <f t="shared" si="5"/>
        <v>0</v>
      </c>
      <c r="S60" s="277">
        <f t="shared" si="8"/>
        <v>0</v>
      </c>
    </row>
    <row r="61" spans="1:19" ht="21.75" customHeight="1">
      <c r="A61" s="294" t="s">
        <v>98</v>
      </c>
      <c r="B61" s="274" t="s">
        <v>107</v>
      </c>
      <c r="C61" s="13" t="s">
        <v>180</v>
      </c>
      <c r="D61" s="269">
        <f>COUNTIFS(DATA!$G$2:$G$992,$A61,DATA!$H$2:$H$992,$B61,DATA!$I$2:$I$992,$C61,DATA!$E$2:$E$992,"&gt;="&amp;DATE(2026,1,1),DATA!$E$2:$E$992,"&lt;="&amp;EOMONTH(DATE(2026,1,1),0))</f>
        <v>0</v>
      </c>
      <c r="E61" s="269">
        <f>COUNTIFS(DATA!$G$2:$G$992,$A61,DATA!$H$2:$H$992,$B61,DATA!$I$2:$I$992,$C61,DATA!$E$2:$E$992,"&gt;="&amp;DATE(2026,2,1),DATA!$E$2:$E$992,"&lt;="&amp;EOMONTH(DATE(2026,2,1),0))</f>
        <v>0</v>
      </c>
      <c r="F61" s="269">
        <f>COUNTIFS(DATA!$G$2:$G$992,$A61,DATA!$H$2:$H$992,$B61,DATA!$I$2:$I$992,$C61,DATA!$E$2:$E$992,"&gt;="&amp;DATE(2026,3,1),DATA!$E$2:$E$992,"&lt;="&amp;EOMONTH(DATE(2026,3,1),0))</f>
        <v>0</v>
      </c>
      <c r="G61" s="269">
        <f>COUNTIFS(DATA!$G$2:$G$992,$A61,DATA!$H$2:$H$992,$B61,DATA!$I$2:$I$992,$C61,DATA!$E$2:$E$992,"&gt;="&amp;DATE(2026,4,1),DATA!$E$2:$E$992,"&lt;="&amp;EOMONTH(DATE(2026,4,1),0))</f>
        <v>0</v>
      </c>
      <c r="H61" s="269">
        <f>COUNTIFS(DATA!$G$2:$G$992,$A61,DATA!$H$2:$H$992,$B61,DATA!$I$2:$I$992,$C61,DATA!$E$2:$E$992,"&gt;="&amp;DATE(2026,5,1),DATA!$E$2:$E$992,"&lt;="&amp;EOMONTH(DATE(2026,5,1),0))</f>
        <v>0</v>
      </c>
      <c r="I61" s="269">
        <f>COUNTIFS(DATA!$G$2:$G$992,$A61,DATA!$H$2:$H$992,$B61,DATA!$I$2:$I$992,$C61,DATA!$E$2:$E$992,"&gt;="&amp;DATE(2026,6,1),DATA!$E$2:$E$992,"&lt;="&amp;EOMONTH(DATE(2026,6,1),0))</f>
        <v>0</v>
      </c>
      <c r="J61" s="269">
        <f>COUNTIFS(DATA!$G$2:$G$992,$A61,DATA!$H$2:$H$992,$B61,DATA!$I$2:$I$992,$C61,DATA!$E$2:$E$992,"&gt;="&amp;DATE(2026,7,1),DATA!$E$2:$E$992,"&lt;="&amp;EOMONTH(DATE(2026,7,1),0))</f>
        <v>0</v>
      </c>
      <c r="K61" s="269">
        <f>COUNTIFS(DATA!$G$2:$G$992,$A61,DATA!$H$2:$H$992,$B61,DATA!$I$2:$I$992,$C61,DATA!$E$2:$E$992,"&gt;="&amp;DATE(2026,8,1),DATA!$E$2:$E$992,"&lt;="&amp;EOMONTH(DATE(2026,8,1),0))</f>
        <v>0</v>
      </c>
      <c r="L61" s="269">
        <f>COUNTIFS(DATA!$G$2:$G$992,$A61,DATA!$H$2:$H$992,$B61,DATA!$I$2:$I$992,$C61,DATA!$E$2:$E$992,"&gt;="&amp;DATE(2026,9,1),DATA!$E$2:$E$992,"&lt;="&amp;EOMONTH(DATE(2026,9,1),0))</f>
        <v>0</v>
      </c>
      <c r="M61" s="269">
        <f>COUNTIFS(DATA!$G$2:$G$992,$A61,DATA!$H$2:$H$992,$B61,DATA!$I$2:$I$992,$C61,DATA!$E$2:$E$992,"&gt;="&amp;DATE(2026,10,1),DATA!$E$2:$E$992,"&lt;="&amp;EOMONTH(DATE(2026,10,1),0))</f>
        <v>0</v>
      </c>
      <c r="N61" s="269">
        <f>COUNTIFS(DATA!$G$2:$G$992,$A61,DATA!$H$2:$H$992,$B61,DATA!$I$2:$I$992,$C61,DATA!$E$2:$E$992,"&gt;="&amp;DATE(2026,11,1),DATA!$E$2:$E$992,"&lt;="&amp;EOMONTH(DATE(2026,11,1),0))</f>
        <v>0</v>
      </c>
      <c r="O61" s="269">
        <f>COUNTIFS(DATA!$G$2:$G$992,$A61,DATA!$H$2:$H$992,$B61,DATA!$I$2:$I$992,$C61,DATA!$E$2:$E$992,"&gt;="&amp;DATE(2026,12,1),DATA!$E$2:$E$992,"&lt;="&amp;EOMONTH(DATE(2026,12,1),0))</f>
        <v>0</v>
      </c>
      <c r="P61" s="270">
        <f t="shared" si="4"/>
        <v>0</v>
      </c>
      <c r="Q61" s="271"/>
      <c r="R61" s="272">
        <f t="shared" si="5"/>
        <v>0</v>
      </c>
      <c r="S61" s="277">
        <f t="shared" si="8"/>
        <v>0</v>
      </c>
    </row>
    <row r="62" spans="1:19" ht="21.75" customHeight="1">
      <c r="A62" s="294" t="s">
        <v>98</v>
      </c>
      <c r="B62" s="274" t="s">
        <v>107</v>
      </c>
      <c r="C62" s="13" t="s">
        <v>195</v>
      </c>
      <c r="D62" s="288">
        <f>COUNTIFS(DATA!$G$2:$G$992,$A62,DATA!$H$2:$H$992,$B62,DATA!$I$2:$I$992,$C62,DATA!$E$2:$E$992,"&gt;="&amp;DATE(2026,1,1),DATA!$E$2:$E$992,"&lt;="&amp;EOMONTH(DATE(2026,1,1),0))</f>
        <v>0</v>
      </c>
      <c r="E62" s="288">
        <f>COUNTIFS(DATA!$G$2:$G$992,$A62,DATA!$H$2:$H$992,$B62,DATA!$I$2:$I$992,$C62,DATA!$E$2:$E$992,"&gt;="&amp;DATE(2026,2,1),DATA!$E$2:$E$992,"&lt;="&amp;EOMONTH(DATE(2026,2,1),0))</f>
        <v>0</v>
      </c>
      <c r="F62" s="288">
        <f>COUNTIFS(DATA!$G$2:$G$992,$A62,DATA!$H$2:$H$992,$B62,DATA!$I$2:$I$992,$C62,DATA!$E$2:$E$992,"&gt;="&amp;DATE(2026,3,1),DATA!$E$2:$E$992,"&lt;="&amp;EOMONTH(DATE(2026,3,1),0))</f>
        <v>0</v>
      </c>
      <c r="G62" s="288">
        <f>COUNTIFS(DATA!$G$2:$G$992,$A62,DATA!$H$2:$H$992,$B62,DATA!$I$2:$I$992,$C62,DATA!$E$2:$E$992,"&gt;="&amp;DATE(2026,4,1),DATA!$E$2:$E$992,"&lt;="&amp;EOMONTH(DATE(2026,4,1),0))</f>
        <v>0</v>
      </c>
      <c r="H62" s="288">
        <f>COUNTIFS(DATA!$G$2:$G$992,$A62,DATA!$H$2:$H$992,$B62,DATA!$I$2:$I$992,$C62,DATA!$E$2:$E$992,"&gt;="&amp;DATE(2026,5,1),DATA!$E$2:$E$992,"&lt;="&amp;EOMONTH(DATE(2026,5,1),0))</f>
        <v>0</v>
      </c>
      <c r="I62" s="288">
        <f>COUNTIFS(DATA!$G$2:$G$992,$A62,DATA!$H$2:$H$992,$B62,DATA!$I$2:$I$992,$C62,DATA!$E$2:$E$992,"&gt;="&amp;DATE(2026,6,1),DATA!$E$2:$E$992,"&lt;="&amp;EOMONTH(DATE(2026,6,1),0))</f>
        <v>0</v>
      </c>
      <c r="J62" s="288">
        <f>COUNTIFS(DATA!$G$2:$G$992,$A62,DATA!$H$2:$H$992,$B62,DATA!$I$2:$I$992,$C62,DATA!$E$2:$E$992,"&gt;="&amp;DATE(2026,7,1),DATA!$E$2:$E$992,"&lt;="&amp;EOMONTH(DATE(2026,7,1),0))</f>
        <v>0</v>
      </c>
      <c r="K62" s="288">
        <f>COUNTIFS(DATA!$G$2:$G$992,$A62,DATA!$H$2:$H$992,$B62,DATA!$I$2:$I$992,$C62,DATA!$E$2:$E$992,"&gt;="&amp;DATE(2026,8,1),DATA!$E$2:$E$992,"&lt;="&amp;EOMONTH(DATE(2026,8,1),0))</f>
        <v>0</v>
      </c>
      <c r="L62" s="288">
        <f>COUNTIFS(DATA!$G$2:$G$992,$A62,DATA!$H$2:$H$992,$B62,DATA!$I$2:$I$992,$C62,DATA!$E$2:$E$992,"&gt;="&amp;DATE(2026,9,1),DATA!$E$2:$E$992,"&lt;="&amp;EOMONTH(DATE(2026,9,1),0))</f>
        <v>0</v>
      </c>
      <c r="M62" s="288">
        <f>COUNTIFS(DATA!$G$2:$G$992,$A62,DATA!$H$2:$H$992,$B62,DATA!$I$2:$I$992,$C62,DATA!$E$2:$E$992,"&gt;="&amp;DATE(2026,10,1),DATA!$E$2:$E$992,"&lt;="&amp;EOMONTH(DATE(2026,10,1),0))</f>
        <v>0</v>
      </c>
      <c r="N62" s="288">
        <f>COUNTIFS(DATA!$G$2:$G$992,$A62,DATA!$H$2:$H$992,$B62,DATA!$I$2:$I$992,$C62,DATA!$E$2:$E$992,"&gt;="&amp;DATE(2026,11,1),DATA!$E$2:$E$992,"&lt;="&amp;EOMONTH(DATE(2026,11,1),0))</f>
        <v>0</v>
      </c>
      <c r="O62" s="288">
        <f>COUNTIFS(DATA!$G$2:$G$992,$A62,DATA!$H$2:$H$992,$B62,DATA!$I$2:$I$992,$C62,DATA!$E$2:$E$992,"&gt;="&amp;DATE(2026,12,1),DATA!$E$2:$E$992,"&lt;="&amp;EOMONTH(DATE(2026,12,1),0))</f>
        <v>0</v>
      </c>
      <c r="P62" s="270">
        <f t="shared" si="4"/>
        <v>0</v>
      </c>
      <c r="Q62" s="271"/>
      <c r="R62" s="272">
        <f t="shared" si="5"/>
        <v>0</v>
      </c>
      <c r="S62" s="277">
        <f t="shared" si="8"/>
        <v>0</v>
      </c>
    </row>
    <row r="63" spans="1:19" ht="21.75" customHeight="1">
      <c r="A63" s="294" t="s">
        <v>98</v>
      </c>
      <c r="B63" s="274" t="s">
        <v>107</v>
      </c>
      <c r="C63" s="13" t="s">
        <v>205</v>
      </c>
      <c r="D63" s="269">
        <f>COUNTIFS(DATA!$G$2:$G$992,$A63,DATA!$H$2:$H$992,$B63,DATA!$I$2:$I$992,$C63,DATA!$E$2:$E$992,"&gt;="&amp;DATE(2026,1,1),DATA!$E$2:$E$992,"&lt;="&amp;EOMONTH(DATE(2026,1,1),0))</f>
        <v>0</v>
      </c>
      <c r="E63" s="269">
        <f>COUNTIFS(DATA!$G$2:$G$992,$A63,DATA!$H$2:$H$992,$B63,DATA!$I$2:$I$992,$C63,DATA!$E$2:$E$992,"&gt;="&amp;DATE(2026,2,1),DATA!$E$2:$E$992,"&lt;="&amp;EOMONTH(DATE(2026,2,1),0))</f>
        <v>0</v>
      </c>
      <c r="F63" s="269">
        <f>COUNTIFS(DATA!$G$2:$G$992,$A63,DATA!$H$2:$H$992,$B63,DATA!$I$2:$I$992,$C63,DATA!$E$2:$E$992,"&gt;="&amp;DATE(2026,3,1),DATA!$E$2:$E$992,"&lt;="&amp;EOMONTH(DATE(2026,3,1),0))</f>
        <v>0</v>
      </c>
      <c r="G63" s="269">
        <f>COUNTIFS(DATA!$G$2:$G$992,$A63,DATA!$H$2:$H$992,$B63,DATA!$I$2:$I$992,$C63,DATA!$E$2:$E$992,"&gt;="&amp;DATE(2026,4,1),DATA!$E$2:$E$992,"&lt;="&amp;EOMONTH(DATE(2026,4,1),0))</f>
        <v>0</v>
      </c>
      <c r="H63" s="269">
        <f>COUNTIFS(DATA!$G$2:$G$992,$A63,DATA!$H$2:$H$992,$B63,DATA!$I$2:$I$992,$C63,DATA!$E$2:$E$992,"&gt;="&amp;DATE(2026,5,1),DATA!$E$2:$E$992,"&lt;="&amp;EOMONTH(DATE(2026,5,1),0))</f>
        <v>0</v>
      </c>
      <c r="I63" s="269">
        <f>COUNTIFS(DATA!$G$2:$G$992,$A63,DATA!$H$2:$H$992,$B63,DATA!$I$2:$I$992,$C63,DATA!$E$2:$E$992,"&gt;="&amp;DATE(2026,6,1),DATA!$E$2:$E$992,"&lt;="&amp;EOMONTH(DATE(2026,6,1),0))</f>
        <v>0</v>
      </c>
      <c r="J63" s="269">
        <f>COUNTIFS(DATA!$G$2:$G$992,$A63,DATA!$H$2:$H$992,$B63,DATA!$I$2:$I$992,$C63,DATA!$E$2:$E$992,"&gt;="&amp;DATE(2026,7,1),DATA!$E$2:$E$992,"&lt;="&amp;EOMONTH(DATE(2026,7,1),0))</f>
        <v>0</v>
      </c>
      <c r="K63" s="269">
        <f>COUNTIFS(DATA!$G$2:$G$992,$A63,DATA!$H$2:$H$992,$B63,DATA!$I$2:$I$992,$C63,DATA!$E$2:$E$992,"&gt;="&amp;DATE(2026,8,1),DATA!$E$2:$E$992,"&lt;="&amp;EOMONTH(DATE(2026,8,1),0))</f>
        <v>0</v>
      </c>
      <c r="L63" s="269">
        <f>COUNTIFS(DATA!$G$2:$G$992,$A63,DATA!$H$2:$H$992,$B63,DATA!$I$2:$I$992,$C63,DATA!$E$2:$E$992,"&gt;="&amp;DATE(2026,9,1),DATA!$E$2:$E$992,"&lt;="&amp;EOMONTH(DATE(2026,9,1),0))</f>
        <v>0</v>
      </c>
      <c r="M63" s="269">
        <f>COUNTIFS(DATA!$G$2:$G$992,$A63,DATA!$H$2:$H$992,$B63,DATA!$I$2:$I$992,$C63,DATA!$E$2:$E$992,"&gt;="&amp;DATE(2026,10,1),DATA!$E$2:$E$992,"&lt;="&amp;EOMONTH(DATE(2026,10,1),0))</f>
        <v>0</v>
      </c>
      <c r="N63" s="269">
        <f>COUNTIFS(DATA!$G$2:$G$992,$A63,DATA!$H$2:$H$992,$B63,DATA!$I$2:$I$992,$C63,DATA!$E$2:$E$992,"&gt;="&amp;DATE(2026,11,1),DATA!$E$2:$E$992,"&lt;="&amp;EOMONTH(DATE(2026,11,1),0))</f>
        <v>0</v>
      </c>
      <c r="O63" s="269">
        <f>COUNTIFS(DATA!$G$2:$G$992,$A63,DATA!$H$2:$H$992,$B63,DATA!$I$2:$I$992,$C63,DATA!$E$2:$E$992,"&gt;="&amp;DATE(2026,12,1),DATA!$E$2:$E$992,"&lt;="&amp;EOMONTH(DATE(2026,12,1),0))</f>
        <v>0</v>
      </c>
      <c r="P63" s="270">
        <f t="shared" si="4"/>
        <v>0</v>
      </c>
      <c r="Q63" s="271"/>
      <c r="R63" s="272">
        <f t="shared" si="5"/>
        <v>0</v>
      </c>
      <c r="S63" s="277">
        <f t="shared" si="8"/>
        <v>0</v>
      </c>
    </row>
    <row r="64" spans="1:19" ht="21.75" customHeight="1">
      <c r="A64" s="294" t="s">
        <v>98</v>
      </c>
      <c r="B64" s="18" t="s">
        <v>107</v>
      </c>
      <c r="C64" s="13" t="s">
        <v>214</v>
      </c>
      <c r="D64" s="288">
        <f>COUNTIFS(DATA!$G$2:$G$992,$A64,DATA!$H$2:$H$992,$B64,DATA!$I$2:$I$992,$C64,DATA!$E$2:$E$992,"&gt;="&amp;DATE(2026,1,1),DATA!$E$2:$E$992,"&lt;="&amp;EOMONTH(DATE(2026,1,1),0))</f>
        <v>0</v>
      </c>
      <c r="E64" s="288">
        <f>COUNTIFS(DATA!$G$2:$G$992,$A64,DATA!$H$2:$H$992,$B64,DATA!$I$2:$I$992,$C64,DATA!$E$2:$E$992,"&gt;="&amp;DATE(2026,2,1),DATA!$E$2:$E$992,"&lt;="&amp;EOMONTH(DATE(2026,2,1),0))</f>
        <v>0</v>
      </c>
      <c r="F64" s="288">
        <f>COUNTIFS(DATA!$G$2:$G$992,$A64,DATA!$H$2:$H$992,$B64,DATA!$I$2:$I$992,$C64,DATA!$E$2:$E$992,"&gt;="&amp;DATE(2026,3,1),DATA!$E$2:$E$992,"&lt;="&amp;EOMONTH(DATE(2026,3,1),0))</f>
        <v>0</v>
      </c>
      <c r="G64" s="288">
        <f>COUNTIFS(DATA!$G$2:$G$992,$A64,DATA!$H$2:$H$992,$B64,DATA!$I$2:$I$992,$C64,DATA!$E$2:$E$992,"&gt;="&amp;DATE(2026,4,1),DATA!$E$2:$E$992,"&lt;="&amp;EOMONTH(DATE(2026,4,1),0))</f>
        <v>0</v>
      </c>
      <c r="H64" s="288">
        <f>COUNTIFS(DATA!$G$2:$G$992,$A64,DATA!$H$2:$H$992,$B64,DATA!$I$2:$I$992,$C64,DATA!$E$2:$E$992,"&gt;="&amp;DATE(2026,5,1),DATA!$E$2:$E$992,"&lt;="&amp;EOMONTH(DATE(2026,5,1),0))</f>
        <v>0</v>
      </c>
      <c r="I64" s="288">
        <f>COUNTIFS(DATA!$G$2:$G$992,$A64,DATA!$H$2:$H$992,$B64,DATA!$I$2:$I$992,$C64,DATA!$E$2:$E$992,"&gt;="&amp;DATE(2026,6,1),DATA!$E$2:$E$992,"&lt;="&amp;EOMONTH(DATE(2026,6,1),0))</f>
        <v>0</v>
      </c>
      <c r="J64" s="288">
        <f>COUNTIFS(DATA!$G$2:$G$992,$A64,DATA!$H$2:$H$992,$B64,DATA!$I$2:$I$992,$C64,DATA!$E$2:$E$992,"&gt;="&amp;DATE(2026,7,1),DATA!$E$2:$E$992,"&lt;="&amp;EOMONTH(DATE(2026,7,1),0))</f>
        <v>0</v>
      </c>
      <c r="K64" s="288">
        <f>COUNTIFS(DATA!$G$2:$G$992,$A64,DATA!$H$2:$H$992,$B64,DATA!$I$2:$I$992,$C64,DATA!$E$2:$E$992,"&gt;="&amp;DATE(2026,8,1),DATA!$E$2:$E$992,"&lt;="&amp;EOMONTH(DATE(2026,8,1),0))</f>
        <v>0</v>
      </c>
      <c r="L64" s="288">
        <f>COUNTIFS(DATA!$G$2:$G$992,$A64,DATA!$H$2:$H$992,$B64,DATA!$I$2:$I$992,$C64,DATA!$E$2:$E$992,"&gt;="&amp;DATE(2026,9,1),DATA!$E$2:$E$992,"&lt;="&amp;EOMONTH(DATE(2026,9,1),0))</f>
        <v>0</v>
      </c>
      <c r="M64" s="288">
        <f>COUNTIFS(DATA!$G$2:$G$992,$A64,DATA!$H$2:$H$992,$B64,DATA!$I$2:$I$992,$C64,DATA!$E$2:$E$992,"&gt;="&amp;DATE(2026,10,1),DATA!$E$2:$E$992,"&lt;="&amp;EOMONTH(DATE(2026,10,1),0))</f>
        <v>0</v>
      </c>
      <c r="N64" s="288">
        <f>COUNTIFS(DATA!$G$2:$G$992,$A64,DATA!$H$2:$H$992,$B64,DATA!$I$2:$I$992,$C64,DATA!$E$2:$E$992,"&gt;="&amp;DATE(2026,11,1),DATA!$E$2:$E$992,"&lt;="&amp;EOMONTH(DATE(2026,11,1),0))</f>
        <v>0</v>
      </c>
      <c r="O64" s="288">
        <f>COUNTIFS(DATA!$G$2:$G$992,$A64,DATA!$H$2:$H$992,$B64,DATA!$I$2:$I$992,$C64,DATA!$E$2:$E$992,"&gt;="&amp;DATE(2026,12,1),DATA!$E$2:$E$992,"&lt;="&amp;EOMONTH(DATE(2026,12,1),0))</f>
        <v>0</v>
      </c>
      <c r="P64" s="270">
        <f t="shared" si="4"/>
        <v>0</v>
      </c>
      <c r="Q64" s="271"/>
      <c r="R64" s="272">
        <f t="shared" si="5"/>
        <v>0</v>
      </c>
      <c r="S64" s="19">
        <f t="shared" si="8"/>
        <v>0</v>
      </c>
    </row>
    <row r="65" spans="1:19" ht="21.75" customHeight="1">
      <c r="A65" s="294" t="s">
        <v>98</v>
      </c>
      <c r="B65" s="274" t="s">
        <v>107</v>
      </c>
      <c r="C65" s="13" t="s">
        <v>221</v>
      </c>
      <c r="D65" s="269">
        <f>COUNTIFS(DATA!$G$2:$G$992,$A65,DATA!$H$2:$H$992,$B65,DATA!$I$2:$I$992,$C65,DATA!$E$2:$E$992,"&gt;="&amp;DATE(2026,1,1),DATA!$E$2:$E$992,"&lt;="&amp;EOMONTH(DATE(2026,1,1),0))</f>
        <v>0</v>
      </c>
      <c r="E65" s="269">
        <f>COUNTIFS(DATA!$G$2:$G$992,$A65,DATA!$H$2:$H$992,$B65,DATA!$I$2:$I$992,$C65,DATA!$E$2:$E$992,"&gt;="&amp;DATE(2026,2,1),DATA!$E$2:$E$992,"&lt;="&amp;EOMONTH(DATE(2026,2,1),0))</f>
        <v>0</v>
      </c>
      <c r="F65" s="269">
        <f>COUNTIFS(DATA!$G$2:$G$992,$A65,DATA!$H$2:$H$992,$B65,DATA!$I$2:$I$992,$C65,DATA!$E$2:$E$992,"&gt;="&amp;DATE(2026,3,1),DATA!$E$2:$E$992,"&lt;="&amp;EOMONTH(DATE(2026,3,1),0))</f>
        <v>0</v>
      </c>
      <c r="G65" s="269">
        <f>COUNTIFS(DATA!$G$2:$G$992,$A65,DATA!$H$2:$H$992,$B65,DATA!$I$2:$I$992,$C65,DATA!$E$2:$E$992,"&gt;="&amp;DATE(2026,4,1),DATA!$E$2:$E$992,"&lt;="&amp;EOMONTH(DATE(2026,4,1),0))</f>
        <v>0</v>
      </c>
      <c r="H65" s="269">
        <f>COUNTIFS(DATA!$G$2:$G$992,$A65,DATA!$H$2:$H$992,$B65,DATA!$I$2:$I$992,$C65,DATA!$E$2:$E$992,"&gt;="&amp;DATE(2026,5,1),DATA!$E$2:$E$992,"&lt;="&amp;EOMONTH(DATE(2026,5,1),0))</f>
        <v>0</v>
      </c>
      <c r="I65" s="269">
        <f>COUNTIFS(DATA!$G$2:$G$992,$A65,DATA!$H$2:$H$992,$B65,DATA!$I$2:$I$992,$C65,DATA!$E$2:$E$992,"&gt;="&amp;DATE(2026,6,1),DATA!$E$2:$E$992,"&lt;="&amp;EOMONTH(DATE(2026,6,1),0))</f>
        <v>0</v>
      </c>
      <c r="J65" s="269">
        <f>COUNTIFS(DATA!$G$2:$G$992,$A65,DATA!$H$2:$H$992,$B65,DATA!$I$2:$I$992,$C65,DATA!$E$2:$E$992,"&gt;="&amp;DATE(2026,7,1),DATA!$E$2:$E$992,"&lt;="&amp;EOMONTH(DATE(2026,7,1),0))</f>
        <v>0</v>
      </c>
      <c r="K65" s="269">
        <f>COUNTIFS(DATA!$G$2:$G$992,$A65,DATA!$H$2:$H$992,$B65,DATA!$I$2:$I$992,$C65,DATA!$E$2:$E$992,"&gt;="&amp;DATE(2026,8,1),DATA!$E$2:$E$992,"&lt;="&amp;EOMONTH(DATE(2026,8,1),0))</f>
        <v>0</v>
      </c>
      <c r="L65" s="269">
        <f>COUNTIFS(DATA!$G$2:$G$992,$A65,DATA!$H$2:$H$992,$B65,DATA!$I$2:$I$992,$C65,DATA!$E$2:$E$992,"&gt;="&amp;DATE(2026,9,1),DATA!$E$2:$E$992,"&lt;="&amp;EOMONTH(DATE(2026,9,1),0))</f>
        <v>0</v>
      </c>
      <c r="M65" s="269">
        <f>COUNTIFS(DATA!$G$2:$G$992,$A65,DATA!$H$2:$H$992,$B65,DATA!$I$2:$I$992,$C65,DATA!$E$2:$E$992,"&gt;="&amp;DATE(2026,10,1),DATA!$E$2:$E$992,"&lt;="&amp;EOMONTH(DATE(2026,10,1),0))</f>
        <v>0</v>
      </c>
      <c r="N65" s="269">
        <f>COUNTIFS(DATA!$G$2:$G$992,$A65,DATA!$H$2:$H$992,$B65,DATA!$I$2:$I$992,$C65,DATA!$E$2:$E$992,"&gt;="&amp;DATE(2026,11,1),DATA!$E$2:$E$992,"&lt;="&amp;EOMONTH(DATE(2026,11,1),0))</f>
        <v>0</v>
      </c>
      <c r="O65" s="269">
        <f>COUNTIFS(DATA!$G$2:$G$992,$A65,DATA!$H$2:$H$992,$B65,DATA!$I$2:$I$992,$C65,DATA!$E$2:$E$992,"&gt;="&amp;DATE(2026,12,1),DATA!$E$2:$E$992,"&lt;="&amp;EOMONTH(DATE(2026,12,1),0))</f>
        <v>0</v>
      </c>
      <c r="P65" s="270">
        <f t="shared" si="4"/>
        <v>0</v>
      </c>
      <c r="Q65" s="271"/>
      <c r="R65" s="272">
        <f t="shared" si="5"/>
        <v>0</v>
      </c>
      <c r="S65" s="277">
        <f t="shared" si="8"/>
        <v>0</v>
      </c>
    </row>
    <row r="66" spans="1:19" ht="21.75" customHeight="1">
      <c r="A66" s="294" t="s">
        <v>98</v>
      </c>
      <c r="B66" s="274" t="s">
        <v>107</v>
      </c>
      <c r="C66" s="13" t="s">
        <v>228</v>
      </c>
      <c r="D66" s="288">
        <f>COUNTIFS(DATA!$G$2:$G$992,$A66,DATA!$H$2:$H$992,$B66,DATA!$I$2:$I$992,$C66,DATA!$E$2:$E$992,"&gt;="&amp;DATE(2026,1,1),DATA!$E$2:$E$992,"&lt;="&amp;EOMONTH(DATE(2026,1,1),0))</f>
        <v>0</v>
      </c>
      <c r="E66" s="288">
        <f>COUNTIFS(DATA!$G$2:$G$992,$A66,DATA!$H$2:$H$992,$B66,DATA!$I$2:$I$992,$C66,DATA!$E$2:$E$992,"&gt;="&amp;DATE(2026,2,1),DATA!$E$2:$E$992,"&lt;="&amp;EOMONTH(DATE(2026,2,1),0))</f>
        <v>0</v>
      </c>
      <c r="F66" s="288">
        <f>COUNTIFS(DATA!$G$2:$G$992,$A66,DATA!$H$2:$H$992,$B66,DATA!$I$2:$I$992,$C66,DATA!$E$2:$E$992,"&gt;="&amp;DATE(2026,3,1),DATA!$E$2:$E$992,"&lt;="&amp;EOMONTH(DATE(2026,3,1),0))</f>
        <v>0</v>
      </c>
      <c r="G66" s="288">
        <f>COUNTIFS(DATA!$G$2:$G$992,$A66,DATA!$H$2:$H$992,$B66,DATA!$I$2:$I$992,$C66,DATA!$E$2:$E$992,"&gt;="&amp;DATE(2026,4,1),DATA!$E$2:$E$992,"&lt;="&amp;EOMONTH(DATE(2026,4,1),0))</f>
        <v>0</v>
      </c>
      <c r="H66" s="288">
        <f>COUNTIFS(DATA!$G$2:$G$992,$A66,DATA!$H$2:$H$992,$B66,DATA!$I$2:$I$992,$C66,DATA!$E$2:$E$992,"&gt;="&amp;DATE(2026,5,1),DATA!$E$2:$E$992,"&lt;="&amp;EOMONTH(DATE(2026,5,1),0))</f>
        <v>0</v>
      </c>
      <c r="I66" s="288">
        <f>COUNTIFS(DATA!$G$2:$G$992,$A66,DATA!$H$2:$H$992,$B66,DATA!$I$2:$I$992,$C66,DATA!$E$2:$E$992,"&gt;="&amp;DATE(2026,6,1),DATA!$E$2:$E$992,"&lt;="&amp;EOMONTH(DATE(2026,6,1),0))</f>
        <v>0</v>
      </c>
      <c r="J66" s="288">
        <f>COUNTIFS(DATA!$G$2:$G$992,$A66,DATA!$H$2:$H$992,$B66,DATA!$I$2:$I$992,$C66,DATA!$E$2:$E$992,"&gt;="&amp;DATE(2026,7,1),DATA!$E$2:$E$992,"&lt;="&amp;EOMONTH(DATE(2026,7,1),0))</f>
        <v>0</v>
      </c>
      <c r="K66" s="288">
        <f>COUNTIFS(DATA!$G$2:$G$992,$A66,DATA!$H$2:$H$992,$B66,DATA!$I$2:$I$992,$C66,DATA!$E$2:$E$992,"&gt;="&amp;DATE(2026,8,1),DATA!$E$2:$E$992,"&lt;="&amp;EOMONTH(DATE(2026,8,1),0))</f>
        <v>0</v>
      </c>
      <c r="L66" s="288">
        <f>COUNTIFS(DATA!$G$2:$G$992,$A66,DATA!$H$2:$H$992,$B66,DATA!$I$2:$I$992,$C66,DATA!$E$2:$E$992,"&gt;="&amp;DATE(2026,9,1),DATA!$E$2:$E$992,"&lt;="&amp;EOMONTH(DATE(2026,9,1),0))</f>
        <v>0</v>
      </c>
      <c r="M66" s="288">
        <f>COUNTIFS(DATA!$G$2:$G$992,$A66,DATA!$H$2:$H$992,$B66,DATA!$I$2:$I$992,$C66,DATA!$E$2:$E$992,"&gt;="&amp;DATE(2026,10,1),DATA!$E$2:$E$992,"&lt;="&amp;EOMONTH(DATE(2026,10,1),0))</f>
        <v>0</v>
      </c>
      <c r="N66" s="288">
        <f>COUNTIFS(DATA!$G$2:$G$992,$A66,DATA!$H$2:$H$992,$B66,DATA!$I$2:$I$992,$C66,DATA!$E$2:$E$992,"&gt;="&amp;DATE(2026,11,1),DATA!$E$2:$E$992,"&lt;="&amp;EOMONTH(DATE(2026,11,1),0))</f>
        <v>0</v>
      </c>
      <c r="O66" s="288">
        <f>COUNTIFS(DATA!$G$2:$G$992,$A66,DATA!$H$2:$H$992,$B66,DATA!$I$2:$I$992,$C66,DATA!$E$2:$E$992,"&gt;="&amp;DATE(2026,12,1),DATA!$E$2:$E$992,"&lt;="&amp;EOMONTH(DATE(2026,12,1),0))</f>
        <v>0</v>
      </c>
      <c r="P66" s="270">
        <f t="shared" ref="P66:P72" si="9">SUM(D66:O66)</f>
        <v>0</v>
      </c>
      <c r="Q66" s="271"/>
      <c r="R66" s="272">
        <f t="shared" si="5"/>
        <v>0</v>
      </c>
      <c r="S66" s="277">
        <f t="shared" si="8"/>
        <v>0</v>
      </c>
    </row>
    <row r="67" spans="1:19" ht="21.75" customHeight="1">
      <c r="A67" s="294" t="s">
        <v>98</v>
      </c>
      <c r="B67" s="274" t="s">
        <v>107</v>
      </c>
      <c r="C67" s="13" t="s">
        <v>234</v>
      </c>
      <c r="D67" s="269">
        <f>COUNTIFS(DATA!$G$2:$G$992,$A67,DATA!$H$2:$H$992,$B67,DATA!$I$2:$I$992,$C67,DATA!$E$2:$E$992,"&gt;="&amp;DATE(2026,1,1),DATA!$E$2:$E$992,"&lt;="&amp;EOMONTH(DATE(2026,1,1),0))</f>
        <v>0</v>
      </c>
      <c r="E67" s="269">
        <f>COUNTIFS(DATA!$G$2:$G$992,$A67,DATA!$H$2:$H$992,$B67,DATA!$I$2:$I$992,$C67,DATA!$E$2:$E$992,"&gt;="&amp;DATE(2026,2,1),DATA!$E$2:$E$992,"&lt;="&amp;EOMONTH(DATE(2026,2,1),0))</f>
        <v>0</v>
      </c>
      <c r="F67" s="269">
        <f>COUNTIFS(DATA!$G$2:$G$992,$A67,DATA!$H$2:$H$992,$B67,DATA!$I$2:$I$992,$C67,DATA!$E$2:$E$992,"&gt;="&amp;DATE(2026,3,1),DATA!$E$2:$E$992,"&lt;="&amp;EOMONTH(DATE(2026,3,1),0))</f>
        <v>0</v>
      </c>
      <c r="G67" s="269">
        <f>COUNTIFS(DATA!$G$2:$G$992,$A67,DATA!$H$2:$H$992,$B67,DATA!$I$2:$I$992,$C67,DATA!$E$2:$E$992,"&gt;="&amp;DATE(2026,4,1),DATA!$E$2:$E$992,"&lt;="&amp;EOMONTH(DATE(2026,4,1),0))</f>
        <v>0</v>
      </c>
      <c r="H67" s="269">
        <f>COUNTIFS(DATA!$G$2:$G$992,$A67,DATA!$H$2:$H$992,$B67,DATA!$I$2:$I$992,$C67,DATA!$E$2:$E$992,"&gt;="&amp;DATE(2026,5,1),DATA!$E$2:$E$992,"&lt;="&amp;EOMONTH(DATE(2026,5,1),0))</f>
        <v>0</v>
      </c>
      <c r="I67" s="269">
        <f>COUNTIFS(DATA!$G$2:$G$992,$A67,DATA!$H$2:$H$992,$B67,DATA!$I$2:$I$992,$C67,DATA!$E$2:$E$992,"&gt;="&amp;DATE(2026,6,1),DATA!$E$2:$E$992,"&lt;="&amp;EOMONTH(DATE(2026,6,1),0))</f>
        <v>0</v>
      </c>
      <c r="J67" s="269">
        <f>COUNTIFS(DATA!$G$2:$G$992,$A67,DATA!$H$2:$H$992,$B67,DATA!$I$2:$I$992,$C67,DATA!$E$2:$E$992,"&gt;="&amp;DATE(2026,7,1),DATA!$E$2:$E$992,"&lt;="&amp;EOMONTH(DATE(2026,7,1),0))</f>
        <v>0</v>
      </c>
      <c r="K67" s="269">
        <f>COUNTIFS(DATA!$G$2:$G$992,$A67,DATA!$H$2:$H$992,$B67,DATA!$I$2:$I$992,$C67,DATA!$E$2:$E$992,"&gt;="&amp;DATE(2026,8,1),DATA!$E$2:$E$992,"&lt;="&amp;EOMONTH(DATE(2026,8,1),0))</f>
        <v>0</v>
      </c>
      <c r="L67" s="269">
        <f>COUNTIFS(DATA!$G$2:$G$992,$A67,DATA!$H$2:$H$992,$B67,DATA!$I$2:$I$992,$C67,DATA!$E$2:$E$992,"&gt;="&amp;DATE(2026,9,1),DATA!$E$2:$E$992,"&lt;="&amp;EOMONTH(DATE(2026,9,1),0))</f>
        <v>0</v>
      </c>
      <c r="M67" s="269">
        <f>COUNTIFS(DATA!$G$2:$G$992,$A67,DATA!$H$2:$H$992,$B67,DATA!$I$2:$I$992,$C67,DATA!$E$2:$E$992,"&gt;="&amp;DATE(2026,10,1),DATA!$E$2:$E$992,"&lt;="&amp;EOMONTH(DATE(2026,10,1),0))</f>
        <v>0</v>
      </c>
      <c r="N67" s="269">
        <f>COUNTIFS(DATA!$G$2:$G$992,$A67,DATA!$H$2:$H$992,$B67,DATA!$I$2:$I$992,$C67,DATA!$E$2:$E$992,"&gt;="&amp;DATE(2026,11,1),DATA!$E$2:$E$992,"&lt;="&amp;EOMONTH(DATE(2026,11,1),0))</f>
        <v>0</v>
      </c>
      <c r="O67" s="269">
        <f>COUNTIFS(DATA!$G$2:$G$992,$A67,DATA!$H$2:$H$992,$B67,DATA!$I$2:$I$992,$C67,DATA!$E$2:$E$992,"&gt;="&amp;DATE(2026,12,1),DATA!$E$2:$E$992,"&lt;="&amp;EOMONTH(DATE(2026,12,1),0))</f>
        <v>0</v>
      </c>
      <c r="P67" s="270">
        <f t="shared" si="9"/>
        <v>0</v>
      </c>
      <c r="Q67" s="271"/>
      <c r="R67" s="272">
        <f t="shared" si="5"/>
        <v>0</v>
      </c>
      <c r="S67" s="277">
        <f t="shared" si="8"/>
        <v>0</v>
      </c>
    </row>
    <row r="68" spans="1:19" ht="21.75" customHeight="1">
      <c r="A68" s="294" t="s">
        <v>98</v>
      </c>
      <c r="B68" s="274" t="s">
        <v>107</v>
      </c>
      <c r="C68" s="13" t="s">
        <v>239</v>
      </c>
      <c r="D68" s="288">
        <f>COUNTIFS(DATA!$G$2:$G$992,$A68,DATA!$H$2:$H$992,$B68,DATA!$I$2:$I$992,$C68,DATA!$E$2:$E$992,"&gt;="&amp;DATE(2026,1,1),DATA!$E$2:$E$992,"&lt;="&amp;EOMONTH(DATE(2026,1,1),0))</f>
        <v>0</v>
      </c>
      <c r="E68" s="288">
        <f>COUNTIFS(DATA!$G$2:$G$992,$A68,DATA!$H$2:$H$992,$B68,DATA!$I$2:$I$992,$C68,DATA!$E$2:$E$992,"&gt;="&amp;DATE(2026,2,1),DATA!$E$2:$E$992,"&lt;="&amp;EOMONTH(DATE(2026,2,1),0))</f>
        <v>0</v>
      </c>
      <c r="F68" s="288">
        <f>COUNTIFS(DATA!$G$2:$G$992,$A68,DATA!$H$2:$H$992,$B68,DATA!$I$2:$I$992,$C68,DATA!$E$2:$E$992,"&gt;="&amp;DATE(2026,3,1),DATA!$E$2:$E$992,"&lt;="&amp;EOMONTH(DATE(2026,3,1),0))</f>
        <v>0</v>
      </c>
      <c r="G68" s="288">
        <f>COUNTIFS(DATA!$G$2:$G$992,$A68,DATA!$H$2:$H$992,$B68,DATA!$I$2:$I$992,$C68,DATA!$E$2:$E$992,"&gt;="&amp;DATE(2026,4,1),DATA!$E$2:$E$992,"&lt;="&amp;EOMONTH(DATE(2026,4,1),0))</f>
        <v>0</v>
      </c>
      <c r="H68" s="288">
        <f>COUNTIFS(DATA!$G$2:$G$992,$A68,DATA!$H$2:$H$992,$B68,DATA!$I$2:$I$992,$C68,DATA!$E$2:$E$992,"&gt;="&amp;DATE(2026,5,1),DATA!$E$2:$E$992,"&lt;="&amp;EOMONTH(DATE(2026,5,1),0))</f>
        <v>0</v>
      </c>
      <c r="I68" s="288">
        <f>COUNTIFS(DATA!$G$2:$G$992,$A68,DATA!$H$2:$H$992,$B68,DATA!$I$2:$I$992,$C68,DATA!$E$2:$E$992,"&gt;="&amp;DATE(2026,6,1),DATA!$E$2:$E$992,"&lt;="&amp;EOMONTH(DATE(2026,6,1),0))</f>
        <v>0</v>
      </c>
      <c r="J68" s="288">
        <f>COUNTIFS(DATA!$G$2:$G$992,$A68,DATA!$H$2:$H$992,$B68,DATA!$I$2:$I$992,$C68,DATA!$E$2:$E$992,"&gt;="&amp;DATE(2026,7,1),DATA!$E$2:$E$992,"&lt;="&amp;EOMONTH(DATE(2026,7,1),0))</f>
        <v>0</v>
      </c>
      <c r="K68" s="288">
        <f>COUNTIFS(DATA!$G$2:$G$992,$A68,DATA!$H$2:$H$992,$B68,DATA!$I$2:$I$992,$C68,DATA!$E$2:$E$992,"&gt;="&amp;DATE(2026,8,1),DATA!$E$2:$E$992,"&lt;="&amp;EOMONTH(DATE(2026,8,1),0))</f>
        <v>0</v>
      </c>
      <c r="L68" s="288">
        <f>COUNTIFS(DATA!$G$2:$G$992,$A68,DATA!$H$2:$H$992,$B68,DATA!$I$2:$I$992,$C68,DATA!$E$2:$E$992,"&gt;="&amp;DATE(2026,9,1),DATA!$E$2:$E$992,"&lt;="&amp;EOMONTH(DATE(2026,9,1),0))</f>
        <v>0</v>
      </c>
      <c r="M68" s="288">
        <f>COUNTIFS(DATA!$G$2:$G$992,$A68,DATA!$H$2:$H$992,$B68,DATA!$I$2:$I$992,$C68,DATA!$E$2:$E$992,"&gt;="&amp;DATE(2026,10,1),DATA!$E$2:$E$992,"&lt;="&amp;EOMONTH(DATE(2026,10,1),0))</f>
        <v>0</v>
      </c>
      <c r="N68" s="288">
        <f>COUNTIFS(DATA!$G$2:$G$992,$A68,DATA!$H$2:$H$992,$B68,DATA!$I$2:$I$992,$C68,DATA!$E$2:$E$992,"&gt;="&amp;DATE(2026,11,1),DATA!$E$2:$E$992,"&lt;="&amp;EOMONTH(DATE(2026,11,1),0))</f>
        <v>0</v>
      </c>
      <c r="O68" s="288">
        <f>COUNTIFS(DATA!$G$2:$G$992,$A68,DATA!$H$2:$H$992,$B68,DATA!$I$2:$I$992,$C68,DATA!$E$2:$E$992,"&gt;="&amp;DATE(2026,12,1),DATA!$E$2:$E$992,"&lt;="&amp;EOMONTH(DATE(2026,12,1),0))</f>
        <v>0</v>
      </c>
      <c r="P68" s="270">
        <f t="shared" si="9"/>
        <v>0</v>
      </c>
      <c r="Q68" s="271"/>
      <c r="R68" s="272">
        <f t="shared" si="5"/>
        <v>0</v>
      </c>
      <c r="S68" s="277">
        <f t="shared" si="8"/>
        <v>0</v>
      </c>
    </row>
    <row r="69" spans="1:19" ht="21.75" customHeight="1">
      <c r="A69" s="294" t="s">
        <v>98</v>
      </c>
      <c r="B69" s="274" t="s">
        <v>107</v>
      </c>
      <c r="C69" s="13" t="s">
        <v>244</v>
      </c>
      <c r="D69" s="269">
        <f>COUNTIFS(DATA!$G$2:$G$992,$A69,DATA!$H$2:$H$992,$B69,DATA!$I$2:$I$992,$C69,DATA!$E$2:$E$992,"&gt;="&amp;DATE(2026,1,1),DATA!$E$2:$E$992,"&lt;="&amp;EOMONTH(DATE(2026,1,1),0))</f>
        <v>0</v>
      </c>
      <c r="E69" s="269">
        <f>COUNTIFS(DATA!$G$2:$G$992,$A69,DATA!$H$2:$H$992,$B69,DATA!$I$2:$I$992,$C69,DATA!$E$2:$E$992,"&gt;="&amp;DATE(2026,2,1),DATA!$E$2:$E$992,"&lt;="&amp;EOMONTH(DATE(2026,2,1),0))</f>
        <v>0</v>
      </c>
      <c r="F69" s="269">
        <f>COUNTIFS(DATA!$G$2:$G$992,$A69,DATA!$H$2:$H$992,$B69,DATA!$I$2:$I$992,$C69,DATA!$E$2:$E$992,"&gt;="&amp;DATE(2026,3,1),DATA!$E$2:$E$992,"&lt;="&amp;EOMONTH(DATE(2026,3,1),0))</f>
        <v>0</v>
      </c>
      <c r="G69" s="269">
        <f>COUNTIFS(DATA!$G$2:$G$992,$A69,DATA!$H$2:$H$992,$B69,DATA!$I$2:$I$992,$C69,DATA!$E$2:$E$992,"&gt;="&amp;DATE(2026,4,1),DATA!$E$2:$E$992,"&lt;="&amp;EOMONTH(DATE(2026,4,1),0))</f>
        <v>0</v>
      </c>
      <c r="H69" s="269">
        <f>COUNTIFS(DATA!$G$2:$G$992,$A69,DATA!$H$2:$H$992,$B69,DATA!$I$2:$I$992,$C69,DATA!$E$2:$E$992,"&gt;="&amp;DATE(2026,5,1),DATA!$E$2:$E$992,"&lt;="&amp;EOMONTH(DATE(2026,5,1),0))</f>
        <v>0</v>
      </c>
      <c r="I69" s="269">
        <f>COUNTIFS(DATA!$G$2:$G$992,$A69,DATA!$H$2:$H$992,$B69,DATA!$I$2:$I$992,$C69,DATA!$E$2:$E$992,"&gt;="&amp;DATE(2026,6,1),DATA!$E$2:$E$992,"&lt;="&amp;EOMONTH(DATE(2026,6,1),0))</f>
        <v>0</v>
      </c>
      <c r="J69" s="269">
        <f>COUNTIFS(DATA!$G$2:$G$992,$A69,DATA!$H$2:$H$992,$B69,DATA!$I$2:$I$992,$C69,DATA!$E$2:$E$992,"&gt;="&amp;DATE(2026,7,1),DATA!$E$2:$E$992,"&lt;="&amp;EOMONTH(DATE(2026,7,1),0))</f>
        <v>0</v>
      </c>
      <c r="K69" s="269">
        <f>COUNTIFS(DATA!$G$2:$G$992,$A69,DATA!$H$2:$H$992,$B69,DATA!$I$2:$I$992,$C69,DATA!$E$2:$E$992,"&gt;="&amp;DATE(2026,8,1),DATA!$E$2:$E$992,"&lt;="&amp;EOMONTH(DATE(2026,8,1),0))</f>
        <v>0</v>
      </c>
      <c r="L69" s="269">
        <f>COUNTIFS(DATA!$G$2:$G$992,$A69,DATA!$H$2:$H$992,$B69,DATA!$I$2:$I$992,$C69,DATA!$E$2:$E$992,"&gt;="&amp;DATE(2026,9,1),DATA!$E$2:$E$992,"&lt;="&amp;EOMONTH(DATE(2026,9,1),0))</f>
        <v>0</v>
      </c>
      <c r="M69" s="269">
        <f>COUNTIFS(DATA!$G$2:$G$992,$A69,DATA!$H$2:$H$992,$B69,DATA!$I$2:$I$992,$C69,DATA!$E$2:$E$992,"&gt;="&amp;DATE(2026,10,1),DATA!$E$2:$E$992,"&lt;="&amp;EOMONTH(DATE(2026,10,1),0))</f>
        <v>0</v>
      </c>
      <c r="N69" s="269">
        <f>COUNTIFS(DATA!$G$2:$G$992,$A69,DATA!$H$2:$H$992,$B69,DATA!$I$2:$I$992,$C69,DATA!$E$2:$E$992,"&gt;="&amp;DATE(2026,11,1),DATA!$E$2:$E$992,"&lt;="&amp;EOMONTH(DATE(2026,11,1),0))</f>
        <v>0</v>
      </c>
      <c r="O69" s="269">
        <f>COUNTIFS(DATA!$G$2:$G$992,$A69,DATA!$H$2:$H$992,$B69,DATA!$I$2:$I$992,$C69,DATA!$E$2:$E$992,"&gt;="&amp;DATE(2026,12,1),DATA!$E$2:$E$992,"&lt;="&amp;EOMONTH(DATE(2026,12,1),0))</f>
        <v>0</v>
      </c>
      <c r="P69" s="270">
        <f t="shared" si="9"/>
        <v>0</v>
      </c>
      <c r="Q69" s="271"/>
      <c r="R69" s="272">
        <f t="shared" si="5"/>
        <v>0</v>
      </c>
      <c r="S69" s="277">
        <f t="shared" si="8"/>
        <v>0</v>
      </c>
    </row>
    <row r="70" spans="1:19" ht="21.75" customHeight="1">
      <c r="A70" s="294" t="s">
        <v>98</v>
      </c>
      <c r="B70" s="274" t="s">
        <v>107</v>
      </c>
      <c r="C70" s="13" t="s">
        <v>164</v>
      </c>
      <c r="D70" s="269">
        <f>COUNTIFS(DATA!$G$2:$G$992,$A70,DATA!$H$2:$H$992,$B70,DATA!$I$2:$I$992,$C70,DATA!$E$2:$E$992,"&gt;="&amp;DATE(2026,1,1),DATA!$E$2:$E$992,"&lt;="&amp;EOMONTH(DATE(2026,1,1),0))</f>
        <v>0</v>
      </c>
      <c r="E70" s="269">
        <f>COUNTIFS(DATA!$G$2:$G$992,$A70,DATA!$H$2:$H$992,$B70,DATA!$I$2:$I$992,$C70,DATA!$E$2:$E$992,"&gt;="&amp;DATE(2026,2,1),DATA!$E$2:$E$992,"&lt;="&amp;EOMONTH(DATE(2026,2,1),0))</f>
        <v>0</v>
      </c>
      <c r="F70" s="269">
        <f>COUNTIFS(DATA!$G$2:$G$992,$A70,DATA!$H$2:$H$992,$B70,DATA!$I$2:$I$992,$C70,DATA!$E$2:$E$992,"&gt;="&amp;DATE(2026,3,1),DATA!$E$2:$E$992,"&lt;="&amp;EOMONTH(DATE(2026,3,1),0))</f>
        <v>0</v>
      </c>
      <c r="G70" s="269">
        <f>COUNTIFS(DATA!$G$2:$G$992,$A70,DATA!$H$2:$H$992,$B70,DATA!$I$2:$I$992,$C70,DATA!$E$2:$E$992,"&gt;="&amp;DATE(2026,4,1),DATA!$E$2:$E$992,"&lt;="&amp;EOMONTH(DATE(2026,4,1),0))</f>
        <v>0</v>
      </c>
      <c r="H70" s="269">
        <f>COUNTIFS(DATA!$G$2:$G$992,$A70,DATA!$H$2:$H$992,$B70,DATA!$I$2:$I$992,$C70,DATA!$E$2:$E$992,"&gt;="&amp;DATE(2026,5,1),DATA!$E$2:$E$992,"&lt;="&amp;EOMONTH(DATE(2026,5,1),0))</f>
        <v>0</v>
      </c>
      <c r="I70" s="269">
        <f>COUNTIFS(DATA!$G$2:$G$992,$A70,DATA!$H$2:$H$992,$B70,DATA!$I$2:$I$992,$C70,DATA!$E$2:$E$992,"&gt;="&amp;DATE(2026,6,1),DATA!$E$2:$E$992,"&lt;="&amp;EOMONTH(DATE(2026,6,1),0))</f>
        <v>0</v>
      </c>
      <c r="J70" s="269">
        <f>COUNTIFS(DATA!$G$2:$G$992,$A70,DATA!$H$2:$H$992,$B70,DATA!$I$2:$I$992,$C70,DATA!$E$2:$E$992,"&gt;="&amp;DATE(2026,7,1),DATA!$E$2:$E$992,"&lt;="&amp;EOMONTH(DATE(2026,7,1),0))</f>
        <v>0</v>
      </c>
      <c r="K70" s="269">
        <f>COUNTIFS(DATA!$G$2:$G$992,$A70,DATA!$H$2:$H$992,$B70,DATA!$I$2:$I$992,$C70,DATA!$E$2:$E$992,"&gt;="&amp;DATE(2026,8,1),DATA!$E$2:$E$992,"&lt;="&amp;EOMONTH(DATE(2026,8,1),0))</f>
        <v>0</v>
      </c>
      <c r="L70" s="269">
        <f>COUNTIFS(DATA!$G$2:$G$992,$A70,DATA!$H$2:$H$992,$B70,DATA!$I$2:$I$992,$C70,DATA!$E$2:$E$992,"&gt;="&amp;DATE(2026,9,1),DATA!$E$2:$E$992,"&lt;="&amp;EOMONTH(DATE(2026,9,1),0))</f>
        <v>0</v>
      </c>
      <c r="M70" s="269">
        <f>COUNTIFS(DATA!$G$2:$G$992,$A70,DATA!$H$2:$H$992,$B70,DATA!$I$2:$I$992,$C70,DATA!$E$2:$E$992,"&gt;="&amp;DATE(2026,10,1),DATA!$E$2:$E$992,"&lt;="&amp;EOMONTH(DATE(2026,10,1),0))</f>
        <v>0</v>
      </c>
      <c r="N70" s="269">
        <f>COUNTIFS(DATA!$G$2:$G$992,$A70,DATA!$H$2:$H$992,$B70,DATA!$I$2:$I$992,$C70,DATA!$E$2:$E$992,"&gt;="&amp;DATE(2026,11,1),DATA!$E$2:$E$992,"&lt;="&amp;EOMONTH(DATE(2026,11,1),0))</f>
        <v>0</v>
      </c>
      <c r="O70" s="269">
        <f>COUNTIFS(DATA!$G$2:$G$992,$A70,DATA!$H$2:$H$992,$B70,DATA!$I$2:$I$992,$C70,DATA!$E$2:$E$992,"&gt;="&amp;DATE(2026,12,1),DATA!$E$2:$E$992,"&lt;="&amp;EOMONTH(DATE(2026,12,1),0))</f>
        <v>0</v>
      </c>
      <c r="P70" s="270">
        <f t="shared" si="9"/>
        <v>0</v>
      </c>
      <c r="Q70" s="271"/>
      <c r="R70" s="272">
        <f t="shared" si="5"/>
        <v>0</v>
      </c>
      <c r="S70" s="277">
        <f t="shared" si="8"/>
        <v>0</v>
      </c>
    </row>
    <row r="71" spans="1:19" ht="30" customHeight="1">
      <c r="A71" s="27"/>
      <c r="B71" s="28" t="s">
        <v>1206</v>
      </c>
      <c r="C71" s="29"/>
      <c r="D71" s="302">
        <f t="shared" ref="D71:O71" si="10">SUM(D2:D70)</f>
        <v>0</v>
      </c>
      <c r="E71" s="302">
        <f t="shared" si="10"/>
        <v>0</v>
      </c>
      <c r="F71" s="302">
        <f t="shared" si="10"/>
        <v>0</v>
      </c>
      <c r="G71" s="302">
        <f t="shared" si="10"/>
        <v>70</v>
      </c>
      <c r="H71" s="302">
        <f t="shared" si="10"/>
        <v>123</v>
      </c>
      <c r="I71" s="302">
        <f t="shared" si="10"/>
        <v>17</v>
      </c>
      <c r="J71" s="302">
        <f t="shared" si="10"/>
        <v>0</v>
      </c>
      <c r="K71" s="302">
        <f t="shared" si="10"/>
        <v>0</v>
      </c>
      <c r="L71" s="302">
        <f t="shared" si="10"/>
        <v>0</v>
      </c>
      <c r="M71" s="302">
        <f t="shared" si="10"/>
        <v>0</v>
      </c>
      <c r="N71" s="302">
        <f t="shared" si="10"/>
        <v>0</v>
      </c>
      <c r="O71" s="302">
        <f t="shared" si="10"/>
        <v>0</v>
      </c>
      <c r="P71" s="303">
        <f t="shared" si="9"/>
        <v>210</v>
      </c>
      <c r="Q71" s="304"/>
      <c r="S71" s="30"/>
    </row>
    <row r="72" spans="1:19" ht="25.5" customHeight="1">
      <c r="A72" s="31"/>
      <c r="B72" s="32" t="s">
        <v>1207</v>
      </c>
      <c r="C72" s="33"/>
      <c r="D72" s="305">
        <f>D71-COUNTIFS(DATA!$E$2:$E$992,"&gt;="&amp;DATE(2026,1,1),DATA!$E$2:$E$992,"&lt;="&amp;EOMONTH(DATE(2026,1,1),0))</f>
        <v>0</v>
      </c>
      <c r="E72" s="305">
        <f>E71-COUNTIFS(DATA!$E$2:$E$992,"&gt;="&amp;DATE(2026,2,1),DATA!$E$2:$E$992,"&lt;="&amp;EOMONTH(DATE(2026,2,1),0))</f>
        <v>0</v>
      </c>
      <c r="F72" s="305">
        <f>F71-COUNTIFS(DATA!$E$2:$E$992,"&gt;="&amp;DATE(2026,3,1),DATA!$E$2:$E$992,"&lt;="&amp;EOMONTH(DATE(2026,3,1),0))</f>
        <v>0</v>
      </c>
      <c r="G72" s="305">
        <f>G71-COUNTIFS(DATA!$E$2:$E$992,"&gt;="&amp;DATE(2026,4,1),DATA!$E$2:$E$992,"&lt;="&amp;EOMONTH(DATE(2026,4,1),0))</f>
        <v>-9</v>
      </c>
      <c r="H72" s="305">
        <f>H71-COUNTIFS(DATA!$E$2:$E$992,"&gt;="&amp;DATE(2026,5,1),DATA!$E$2:$E$992,"&lt;="&amp;EOMONTH(DATE(2026,5,1),0))</f>
        <v>0</v>
      </c>
      <c r="I72" s="305">
        <f>I71-COUNTIFS(DATA!$E$2:$E$992,"&gt;="&amp;DATE(2026,6,1),DATA!$E$2:$E$992,"&lt;="&amp;EOMONTH(DATE(2026,6,1),0))</f>
        <v>0</v>
      </c>
      <c r="J72" s="305">
        <f>J71-COUNTIFS(DATA!$E$2:$E$992,"&gt;="&amp;DATE(2026,7,1),DATA!$E$2:$E$992,"&lt;="&amp;EOMONTH(DATE(2026,7,1),0))</f>
        <v>0</v>
      </c>
      <c r="K72" s="305">
        <f>K71-COUNTIFS(DATA!$E$2:$E$992,"&gt;="&amp;DATE(2026,8,1),DATA!$E$2:$E$992,"&lt;="&amp;EOMONTH(DATE(2026,8,1),0))</f>
        <v>0</v>
      </c>
      <c r="L72" s="305">
        <f>L71-COUNTIFS(DATA!$E$2:$E$992,"&gt;="&amp;DATE(2026,9,1),DATA!$E$2:$E$992,"&lt;="&amp;EOMONTH(DATE(2026,9,1),0))</f>
        <v>0</v>
      </c>
      <c r="M72" s="305">
        <f>M71-COUNTIFS(DATA!$E$2:$E$992,"&gt;="&amp;DATE(2026,10,1),DATA!$E$2:$E$992,"&lt;="&amp;EOMONTH(DATE(2026,10,1),0))</f>
        <v>0</v>
      </c>
      <c r="N72" s="305">
        <f>N71-COUNTIFS(DATA!$E$2:$E$992,"&gt;="&amp;DATE(2026,11,1),DATA!$E$2:$E$992,"&lt;="&amp;EOMONTH(DATE(2026,11,1),0))</f>
        <v>0</v>
      </c>
      <c r="O72" s="305">
        <f>O71-COUNTIFS(DATA!$E$2:$E$992,"&gt;="&amp;DATE(2026,12,1),DATA!$E$2:$E$992,"&lt;="&amp;EOMONTH(DATE(2026,12,1),0))</f>
        <v>0</v>
      </c>
      <c r="P72" s="306">
        <f t="shared" si="9"/>
        <v>-9</v>
      </c>
      <c r="Q72" s="307"/>
      <c r="S72" s="34"/>
    </row>
    <row r="73" spans="1:19" ht="24" customHeight="1"/>
    <row r="74" spans="1:19" ht="24" customHeight="1"/>
    <row r="75" spans="1:19" ht="24" customHeight="1"/>
    <row r="76" spans="1:19" ht="24" customHeight="1"/>
    <row r="77" spans="1:19" ht="30" customHeight="1"/>
  </sheetData>
  <autoFilter ref="A1:P1" xr:uid="{00000000-0009-0000-0000-000006000000}"/>
  <conditionalFormatting sqref="D2:O70">
    <cfRule type="colorScale" priority="39">
      <colorScale>
        <cfvo type="min"/>
        <cfvo type="percentile" val="50"/>
        <cfvo type="max"/>
        <color rgb="FFFFFFFF"/>
        <color rgb="FFA9D18E"/>
        <color rgb="FF385723"/>
      </colorScale>
    </cfRule>
  </conditionalFormatting>
  <conditionalFormatting sqref="D72:O72">
    <cfRule type="cellIs" dxfId="3" priority="2" operator="notEqual">
      <formula>0</formula>
    </cfRule>
  </conditionalFormatting>
  <conditionalFormatting sqref="P2:Q70">
    <cfRule type="dataBar" priority="41">
      <dataBar>
        <cfvo type="min"/>
        <cfvo type="max"/>
        <color rgb="FFFFD966"/>
      </dataBar>
    </cfRule>
  </conditionalFormatting>
  <pageMargins left="0.7" right="0.7" top="0.75" bottom="0.75" header="0.511811023622047" footer="0.511811023622047"/>
  <pageSetup paperSize="9" scale="27" fitToHeight="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00"/>
  <sheetViews>
    <sheetView showGridLines="0" rightToLeft="1" zoomScaleNormal="100" workbookViewId="0">
      <selection activeCell="C5" sqref="C5"/>
    </sheetView>
  </sheetViews>
  <sheetFormatPr defaultColWidth="8.7109375" defaultRowHeight="19.5"/>
  <cols>
    <col min="1" max="1" width="28.5703125" style="1" customWidth="1"/>
    <col min="2" max="2" width="14.28515625" style="2" customWidth="1"/>
    <col min="3" max="12" width="14.28515625" customWidth="1"/>
    <col min="13" max="13" width="18.140625" customWidth="1"/>
    <col min="14" max="14" width="17.140625" customWidth="1"/>
    <col min="15" max="15" width="22.42578125" customWidth="1"/>
    <col min="16" max="16" width="5.42578125" customWidth="1"/>
    <col min="18" max="18" width="13.42578125" style="3" customWidth="1"/>
    <col min="19" max="19" width="22.85546875" customWidth="1"/>
    <col min="20" max="20" width="31.42578125" customWidth="1"/>
    <col min="21" max="32" width="14.85546875" customWidth="1"/>
    <col min="33" max="33" width="20" customWidth="1"/>
  </cols>
  <sheetData>
    <row r="1" spans="1:13" ht="24" customHeight="1">
      <c r="A1" s="513" t="s">
        <v>1208</v>
      </c>
      <c r="B1" s="514"/>
      <c r="C1" s="514"/>
      <c r="D1" s="514"/>
      <c r="E1" s="514"/>
      <c r="F1" s="514"/>
      <c r="G1" s="514"/>
      <c r="H1" s="514"/>
      <c r="I1" s="514"/>
      <c r="J1" s="514"/>
      <c r="K1" s="514"/>
      <c r="L1" s="514"/>
      <c r="M1" s="515"/>
    </row>
    <row r="2" spans="1:13" ht="24" customHeight="1">
      <c r="A2" s="35" t="s">
        <v>93</v>
      </c>
      <c r="B2" s="36" t="s">
        <v>1190</v>
      </c>
      <c r="C2" s="36" t="s">
        <v>1191</v>
      </c>
      <c r="D2" s="36" t="s">
        <v>1192</v>
      </c>
      <c r="E2" s="36" t="s">
        <v>1193</v>
      </c>
      <c r="F2" s="36" t="s">
        <v>1194</v>
      </c>
      <c r="G2" s="36" t="s">
        <v>1195</v>
      </c>
      <c r="H2" s="36" t="s">
        <v>1196</v>
      </c>
      <c r="I2" s="36" t="s">
        <v>1197</v>
      </c>
      <c r="J2" s="36" t="s">
        <v>1198</v>
      </c>
      <c r="K2" s="36" t="s">
        <v>1199</v>
      </c>
      <c r="L2" s="36" t="s">
        <v>1200</v>
      </c>
      <c r="M2" s="37" t="s">
        <v>1202</v>
      </c>
    </row>
    <row r="3" spans="1:13" ht="24" customHeight="1">
      <c r="A3" s="38" t="s">
        <v>222</v>
      </c>
      <c r="B3" s="308">
        <f>COUNTIFS(DATA!$K$2:$K$992,$A3,DATA!$E$2:$E$992,"&gt;="&amp;DATE(2026,1,1),DATA!$E$2:$E$992,"&lt;="&amp;EOMONTH(DATE(2026,1,1),0))</f>
        <v>0</v>
      </c>
      <c r="C3" s="308">
        <f>COUNTIFS(DATA!$K$2:$K$992,$A3,DATA!$E$2:$E$992,"&gt;="&amp;DATE(2026,2,1),DATA!$E$2:$E$992,"&lt;="&amp;EOMONTH(DATE(2026,2,1),0))</f>
        <v>0</v>
      </c>
      <c r="D3" s="308">
        <f>COUNTIFS(DATA!$K$2:$K$992,$A3,DATA!$E$2:$E$992,"&gt;="&amp;DATE(2026,3,1),DATA!$E$2:$E$992,"&lt;="&amp;EOMONTH(DATE(2026,3,1),0))</f>
        <v>0</v>
      </c>
      <c r="E3" s="308">
        <f>COUNTIFS(DATA!$K$2:$K$992,$A3,DATA!$E$2:$E$992,"&gt;="&amp;DATE(2026,4,1),DATA!$E$2:$E$992,"&lt;="&amp;EOMONTH(DATE(2026,4,1),0))</f>
        <v>0</v>
      </c>
      <c r="F3" s="308">
        <f>COUNTIFS(DATA!$K$2:$K$992,$A3,DATA!$E$2:$E$992,"&gt;="&amp;DATE(2026,5,1),DATA!$E$2:$E$992,"&lt;="&amp;EOMONTH(DATE(2026,5,1),0))</f>
        <v>0</v>
      </c>
      <c r="G3" s="308">
        <f>COUNTIFS(DATA!$K$2:$K$992,$A3,DATA!$E$2:$E$992,"&gt;="&amp;DATE(2026,6,1),DATA!$E$2:$E$992,"&lt;="&amp;EOMONTH(DATE(2026,6,1),0))</f>
        <v>0</v>
      </c>
      <c r="H3" s="308">
        <f>COUNTIFS(DATA!$K$2:$K$992,$A3,DATA!$E$2:$E$992,"&gt;="&amp;DATE(2026,7,1),DATA!$E$2:$E$992,"&lt;="&amp;EOMONTH(DATE(2026,7,1),0))</f>
        <v>0</v>
      </c>
      <c r="I3" s="308">
        <f>COUNTIFS(DATA!$K$2:$K$992,$A3,DATA!$E$2:$E$992,"&gt;="&amp;DATE(2026,8,1),DATA!$E$2:$E$992,"&lt;="&amp;EOMONTH(DATE(2026,8,1),0))</f>
        <v>0</v>
      </c>
      <c r="J3" s="308">
        <f>COUNTIFS(DATA!$K$2:$K$992,$A3,DATA!$E$2:$E$992,"&gt;="&amp;DATE(2026,9,1),DATA!$E$2:$E$992,"&lt;="&amp;EOMONTH(DATE(2026,9,1),0))</f>
        <v>0</v>
      </c>
      <c r="K3" s="308">
        <f>COUNTIFS(DATA!$K$2:$K$992,$A3,DATA!$E$2:$E$992,"&gt;="&amp;DATE(2026,10,1),DATA!$E$2:$E$992,"&lt;="&amp;EOMONTH(DATE(2026,10,1),0))</f>
        <v>0</v>
      </c>
      <c r="L3" s="308">
        <f>COUNTIFS(DATA!$K$2:$K$992,$A3,DATA!$E$2:$E$992,"&gt;="&amp;DATE(2026,11,1),DATA!$E$2:$E$992,"&lt;="&amp;EOMONTH(DATE(2026,11,1),0))</f>
        <v>0</v>
      </c>
      <c r="M3" s="309">
        <f t="shared" ref="M3:M12" si="0">SUM(B3:L3)</f>
        <v>0</v>
      </c>
    </row>
    <row r="4" spans="1:13" ht="24" customHeight="1">
      <c r="A4" s="38" t="s">
        <v>229</v>
      </c>
      <c r="B4" s="308">
        <f>COUNTIFS(DATA!$K$2:$K$992,$A4,DATA!$E$2:$E$992,"&gt;="&amp;DATE(2026,1,1),DATA!$E$2:$E$992,"&lt;="&amp;EOMONTH(DATE(2026,1,1),0))</f>
        <v>0</v>
      </c>
      <c r="C4" s="308">
        <f>COUNTIFS(DATA!$K$2:$K$992,$A4,DATA!$E$2:$E$992,"&gt;="&amp;DATE(2026,2,1),DATA!$E$2:$E$992,"&lt;="&amp;EOMONTH(DATE(2026,2,1),0))</f>
        <v>0</v>
      </c>
      <c r="D4" s="308">
        <f>COUNTIFS(DATA!$K$2:$K$992,$A4,DATA!$E$2:$E$992,"&gt;="&amp;DATE(2026,3,1),DATA!$E$2:$E$992,"&lt;="&amp;EOMONTH(DATE(2026,3,1),0))</f>
        <v>0</v>
      </c>
      <c r="E4" s="308">
        <f>COUNTIFS(DATA!$K$2:$K$992,$A4,DATA!$E$2:$E$992,"&gt;="&amp;DATE(2026,4,1),DATA!$E$2:$E$992,"&lt;="&amp;EOMONTH(DATE(2026,4,1),0))</f>
        <v>0</v>
      </c>
      <c r="F4" s="308">
        <f>COUNTIFS(DATA!$K$2:$K$992,$A4,DATA!$E$2:$E$992,"&gt;="&amp;DATE(2026,5,1),DATA!$E$2:$E$992,"&lt;="&amp;EOMONTH(DATE(2026,5,1),0))</f>
        <v>0</v>
      </c>
      <c r="G4" s="308">
        <f>COUNTIFS(DATA!$K$2:$K$992,$A4,DATA!$E$2:$E$992,"&gt;="&amp;DATE(2026,6,1),DATA!$E$2:$E$992,"&lt;="&amp;EOMONTH(DATE(2026,6,1),0))</f>
        <v>0</v>
      </c>
      <c r="H4" s="308">
        <f>COUNTIFS(DATA!$K$2:$K$992,$A4,DATA!$E$2:$E$992,"&gt;="&amp;DATE(2026,7,1),DATA!$E$2:$E$992,"&lt;="&amp;EOMONTH(DATE(2026,7,1),0))</f>
        <v>0</v>
      </c>
      <c r="I4" s="308">
        <f>COUNTIFS(DATA!$K$2:$K$992,$A4,DATA!$E$2:$E$992,"&gt;="&amp;DATE(2026,8,1),DATA!$E$2:$E$992,"&lt;="&amp;EOMONTH(DATE(2026,8,1),0))</f>
        <v>0</v>
      </c>
      <c r="J4" s="308">
        <f>COUNTIFS(DATA!$K$2:$K$992,$A4,DATA!$E$2:$E$992,"&gt;="&amp;DATE(2026,9,1),DATA!$E$2:$E$992,"&lt;="&amp;EOMONTH(DATE(2026,9,1),0))</f>
        <v>0</v>
      </c>
      <c r="K4" s="308">
        <f>COUNTIFS(DATA!$K$2:$K$992,$A4,DATA!$E$2:$E$992,"&gt;="&amp;DATE(2026,10,1),DATA!$E$2:$E$992,"&lt;="&amp;EOMONTH(DATE(2026,10,1),0))</f>
        <v>0</v>
      </c>
      <c r="L4" s="308">
        <f>COUNTIFS(DATA!$K$2:$K$992,$A4,DATA!$E$2:$E$992,"&gt;="&amp;DATE(2026,11,1),DATA!$E$2:$E$992,"&lt;="&amp;EOMONTH(DATE(2026,11,1),0))</f>
        <v>0</v>
      </c>
      <c r="M4" s="309">
        <f t="shared" si="0"/>
        <v>0</v>
      </c>
    </row>
    <row r="5" spans="1:13" ht="24" customHeight="1">
      <c r="A5" s="38" t="s">
        <v>207</v>
      </c>
      <c r="B5" s="308">
        <f>COUNTIFS(DATA!$K$2:$K$992,$A5,DATA!$E$2:$E$992,"&gt;="&amp;DATE(2026,1,1),DATA!$E$2:$E$992,"&lt;="&amp;EOMONTH(DATE(2026,1,1),0))</f>
        <v>0</v>
      </c>
      <c r="C5" s="308">
        <f>COUNTIFS(DATA!$K$2:$K$992,$A5,DATA!$E$2:$E$992,"&gt;="&amp;DATE(2026,2,1),DATA!$E$2:$E$992,"&lt;="&amp;EOMONTH(DATE(2026,2,1),0))</f>
        <v>0</v>
      </c>
      <c r="D5" s="308">
        <f>COUNTIFS(DATA!$K$2:$K$992,$A5,DATA!$E$2:$E$992,"&gt;="&amp;DATE(2026,3,1),DATA!$E$2:$E$992,"&lt;="&amp;EOMONTH(DATE(2026,3,1),0))</f>
        <v>0</v>
      </c>
      <c r="E5" s="308">
        <f>COUNTIFS(DATA!$K$2:$K$992,$A5,DATA!$E$2:$E$992,"&gt;="&amp;DATE(2026,4,1),DATA!$E$2:$E$992,"&lt;="&amp;EOMONTH(DATE(2026,4,1),0))</f>
        <v>0</v>
      </c>
      <c r="F5" s="308">
        <f>COUNTIFS(DATA!$K$2:$K$992,$A5,DATA!$E$2:$E$992,"&gt;="&amp;DATE(2026,5,1),DATA!$E$2:$E$992,"&lt;="&amp;EOMONTH(DATE(2026,5,1),0))</f>
        <v>1</v>
      </c>
      <c r="G5" s="308">
        <f>COUNTIFS(DATA!$K$2:$K$992,$A5,DATA!$E$2:$E$992,"&gt;="&amp;DATE(2026,6,1),DATA!$E$2:$E$992,"&lt;="&amp;EOMONTH(DATE(2026,6,1),0))</f>
        <v>1</v>
      </c>
      <c r="H5" s="308">
        <f>COUNTIFS(DATA!$K$2:$K$992,$A5,DATA!$E$2:$E$992,"&gt;="&amp;DATE(2026,7,1),DATA!$E$2:$E$992,"&lt;="&amp;EOMONTH(DATE(2026,7,1),0))</f>
        <v>0</v>
      </c>
      <c r="I5" s="308">
        <f>COUNTIFS(DATA!$K$2:$K$992,$A5,DATA!$E$2:$E$992,"&gt;="&amp;DATE(2026,8,1),DATA!$E$2:$E$992,"&lt;="&amp;EOMONTH(DATE(2026,8,1),0))</f>
        <v>0</v>
      </c>
      <c r="J5" s="308">
        <f>COUNTIFS(DATA!$K$2:$K$992,$A5,DATA!$E$2:$E$992,"&gt;="&amp;DATE(2026,9,1),DATA!$E$2:$E$992,"&lt;="&amp;EOMONTH(DATE(2026,9,1),0))</f>
        <v>0</v>
      </c>
      <c r="K5" s="308">
        <f>COUNTIFS(DATA!$K$2:$K$992,$A5,DATA!$E$2:$E$992,"&gt;="&amp;DATE(2026,10,1),DATA!$E$2:$E$992,"&lt;="&amp;EOMONTH(DATE(2026,10,1),0))</f>
        <v>0</v>
      </c>
      <c r="L5" s="308">
        <f>COUNTIFS(DATA!$K$2:$K$992,$A5,DATA!$E$2:$E$992,"&gt;="&amp;DATE(2026,11,1),DATA!$E$2:$E$992,"&lt;="&amp;EOMONTH(DATE(2026,11,1),0))</f>
        <v>0</v>
      </c>
      <c r="M5" s="309">
        <f t="shared" si="0"/>
        <v>2</v>
      </c>
    </row>
    <row r="6" spans="1:13" ht="24" customHeight="1">
      <c r="A6" s="38" t="s">
        <v>152</v>
      </c>
      <c r="B6" s="308">
        <f>COUNTIFS(DATA!$K$2:$K$992,$A6,DATA!$E$2:$E$992,"&gt;="&amp;DATE(2026,1,1),DATA!$E$2:$E$992,"&lt;="&amp;EOMONTH(DATE(2026,1,1),0))</f>
        <v>0</v>
      </c>
      <c r="C6" s="308">
        <f>COUNTIFS(DATA!$K$2:$K$992,$A6,DATA!$E$2:$E$992,"&gt;="&amp;DATE(2026,2,1),DATA!$E$2:$E$992,"&lt;="&amp;EOMONTH(DATE(2026,2,1),0))</f>
        <v>0</v>
      </c>
      <c r="D6" s="308">
        <f>COUNTIFS(DATA!$K$2:$K$992,$A6,DATA!$E$2:$E$992,"&gt;="&amp;DATE(2026,3,1),DATA!$E$2:$E$992,"&lt;="&amp;EOMONTH(DATE(2026,3,1),0))</f>
        <v>0</v>
      </c>
      <c r="E6" s="308">
        <f>COUNTIFS(DATA!$K$2:$K$992,$A6,DATA!$E$2:$E$992,"&gt;="&amp;DATE(2026,4,1),DATA!$E$2:$E$992,"&lt;="&amp;EOMONTH(DATE(2026,4,1),0))</f>
        <v>11</v>
      </c>
      <c r="F6" s="308">
        <f>COUNTIFS(DATA!$K$2:$K$992,$A6,DATA!$E$2:$E$992,"&gt;="&amp;DATE(2026,5,1),DATA!$E$2:$E$992,"&lt;="&amp;EOMONTH(DATE(2026,5,1),0))</f>
        <v>9</v>
      </c>
      <c r="G6" s="308">
        <f>COUNTIFS(DATA!$K$2:$K$992,$A6,DATA!$E$2:$E$992,"&gt;="&amp;DATE(2026,6,1),DATA!$E$2:$E$992,"&lt;="&amp;EOMONTH(DATE(2026,6,1),0))</f>
        <v>1</v>
      </c>
      <c r="H6" s="308">
        <f>COUNTIFS(DATA!$K$2:$K$992,$A6,DATA!$E$2:$E$992,"&gt;="&amp;DATE(2026,7,1),DATA!$E$2:$E$992,"&lt;="&amp;EOMONTH(DATE(2026,7,1),0))</f>
        <v>0</v>
      </c>
      <c r="I6" s="308">
        <f>COUNTIFS(DATA!$K$2:$K$992,$A6,DATA!$E$2:$E$992,"&gt;="&amp;DATE(2026,8,1),DATA!$E$2:$E$992,"&lt;="&amp;EOMONTH(DATE(2026,8,1),0))</f>
        <v>0</v>
      </c>
      <c r="J6" s="308">
        <f>COUNTIFS(DATA!$K$2:$K$992,$A6,DATA!$E$2:$E$992,"&gt;="&amp;DATE(2026,9,1),DATA!$E$2:$E$992,"&lt;="&amp;EOMONTH(DATE(2026,9,1),0))</f>
        <v>0</v>
      </c>
      <c r="K6" s="308">
        <f>COUNTIFS(DATA!$K$2:$K$992,$A6,DATA!$E$2:$E$992,"&gt;="&amp;DATE(2026,10,1),DATA!$E$2:$E$992,"&lt;="&amp;EOMONTH(DATE(2026,10,1),0))</f>
        <v>0</v>
      </c>
      <c r="L6" s="308">
        <f>COUNTIFS(DATA!$K$2:$K$992,$A6,DATA!$E$2:$E$992,"&gt;="&amp;DATE(2026,11,1),DATA!$E$2:$E$992,"&lt;="&amp;EOMONTH(DATE(2026,11,1),0))</f>
        <v>0</v>
      </c>
      <c r="M6" s="309">
        <f t="shared" si="0"/>
        <v>21</v>
      </c>
    </row>
    <row r="7" spans="1:13" ht="24" customHeight="1">
      <c r="A7" s="38" t="s">
        <v>133</v>
      </c>
      <c r="B7" s="308">
        <f>COUNTIFS(DATA!$K$2:$K$992,$A7,DATA!$E$2:$E$992,"&gt;="&amp;DATE(2026,1,1),DATA!$E$2:$E$992,"&lt;="&amp;EOMONTH(DATE(2026,1,1),0))</f>
        <v>0</v>
      </c>
      <c r="C7" s="308">
        <f>COUNTIFS(DATA!$K$2:$K$992,$A7,DATA!$E$2:$E$992,"&gt;="&amp;DATE(2026,2,1),DATA!$E$2:$E$992,"&lt;="&amp;EOMONTH(DATE(2026,2,1),0))</f>
        <v>0</v>
      </c>
      <c r="D7" s="308">
        <f>COUNTIFS(DATA!$K$2:$K$992,$A7,DATA!$E$2:$E$992,"&gt;="&amp;DATE(2026,3,1),DATA!$E$2:$E$992,"&lt;="&amp;EOMONTH(DATE(2026,3,1),0))</f>
        <v>0</v>
      </c>
      <c r="E7" s="308">
        <f>COUNTIFS(DATA!$K$2:$K$992,$A7,DATA!$E$2:$E$992,"&gt;="&amp;DATE(2026,4,1),DATA!$E$2:$E$992,"&lt;="&amp;EOMONTH(DATE(2026,4,1),0))</f>
        <v>19</v>
      </c>
      <c r="F7" s="308">
        <f>COUNTIFS(DATA!$K$2:$K$992,$A7,DATA!$E$2:$E$992,"&gt;="&amp;DATE(2026,5,1),DATA!$E$2:$E$992,"&lt;="&amp;EOMONTH(DATE(2026,5,1),0))</f>
        <v>12</v>
      </c>
      <c r="G7" s="308">
        <f>COUNTIFS(DATA!$K$2:$K$992,$A7,DATA!$E$2:$E$992,"&gt;="&amp;DATE(2026,6,1),DATA!$E$2:$E$992,"&lt;="&amp;EOMONTH(DATE(2026,6,1),0))</f>
        <v>1</v>
      </c>
      <c r="H7" s="308">
        <f>COUNTIFS(DATA!$K$2:$K$992,$A7,DATA!$E$2:$E$992,"&gt;="&amp;DATE(2026,7,1),DATA!$E$2:$E$992,"&lt;="&amp;EOMONTH(DATE(2026,7,1),0))</f>
        <v>0</v>
      </c>
      <c r="I7" s="308">
        <f>COUNTIFS(DATA!$K$2:$K$992,$A7,DATA!$E$2:$E$992,"&gt;="&amp;DATE(2026,8,1),DATA!$E$2:$E$992,"&lt;="&amp;EOMONTH(DATE(2026,8,1),0))</f>
        <v>0</v>
      </c>
      <c r="J7" s="308">
        <f>COUNTIFS(DATA!$K$2:$K$992,$A7,DATA!$E$2:$E$992,"&gt;="&amp;DATE(2026,9,1),DATA!$E$2:$E$992,"&lt;="&amp;EOMONTH(DATE(2026,9,1),0))</f>
        <v>0</v>
      </c>
      <c r="K7" s="308">
        <f>COUNTIFS(DATA!$K$2:$K$992,$A7,DATA!$E$2:$E$992,"&gt;="&amp;DATE(2026,10,1),DATA!$E$2:$E$992,"&lt;="&amp;EOMONTH(DATE(2026,10,1),0))</f>
        <v>0</v>
      </c>
      <c r="L7" s="308">
        <f>COUNTIFS(DATA!$K$2:$K$992,$A7,DATA!$E$2:$E$992,"&gt;="&amp;DATE(2026,11,1),DATA!$E$2:$E$992,"&lt;="&amp;EOMONTH(DATE(2026,11,1),0))</f>
        <v>0</v>
      </c>
      <c r="M7" s="309">
        <f t="shared" si="0"/>
        <v>32</v>
      </c>
    </row>
    <row r="8" spans="1:13" ht="24" customHeight="1">
      <c r="A8" s="38" t="s">
        <v>806</v>
      </c>
      <c r="B8" s="308">
        <f>COUNTIFS(DATA!$K$2:$K$992,$A8,DATA!$E$2:$E$992,"&gt;="&amp;DATE(2026,1,1),DATA!$E$2:$E$992,"&lt;="&amp;EOMONTH(DATE(2026,1,1),0))</f>
        <v>0</v>
      </c>
      <c r="C8" s="308">
        <f>COUNTIFS(DATA!$K$2:$K$992,$A8,DATA!$E$2:$E$992,"&gt;="&amp;DATE(2026,2,1),DATA!$E$2:$E$992,"&lt;="&amp;EOMONTH(DATE(2026,2,1),0))</f>
        <v>0</v>
      </c>
      <c r="D8" s="308">
        <f>COUNTIFS(DATA!$K$2:$K$992,$A8,DATA!$E$2:$E$992,"&gt;="&amp;DATE(2026,3,1),DATA!$E$2:$E$992,"&lt;="&amp;EOMONTH(DATE(2026,3,1),0))</f>
        <v>0</v>
      </c>
      <c r="E8" s="308">
        <f>COUNTIFS(DATA!$K$2:$K$992,$A8,DATA!$E$2:$E$992,"&gt;="&amp;DATE(2026,4,1),DATA!$E$2:$E$992,"&lt;="&amp;EOMONTH(DATE(2026,4,1),0))</f>
        <v>1</v>
      </c>
      <c r="F8" s="308">
        <f>COUNTIFS(DATA!$K$2:$K$992,$A8,DATA!$E$2:$E$992,"&gt;="&amp;DATE(2026,5,1),DATA!$E$2:$E$992,"&lt;="&amp;EOMONTH(DATE(2026,5,1),0))</f>
        <v>0</v>
      </c>
      <c r="G8" s="308">
        <f>COUNTIFS(DATA!$K$2:$K$992,$A8,DATA!$E$2:$E$992,"&gt;="&amp;DATE(2026,6,1),DATA!$E$2:$E$992,"&lt;="&amp;EOMONTH(DATE(2026,6,1),0))</f>
        <v>2</v>
      </c>
      <c r="H8" s="308">
        <f>COUNTIFS(DATA!$K$2:$K$992,$A8,DATA!$E$2:$E$992,"&gt;="&amp;DATE(2026,7,1),DATA!$E$2:$E$992,"&lt;="&amp;EOMONTH(DATE(2026,7,1),0))</f>
        <v>0</v>
      </c>
      <c r="I8" s="308">
        <f>COUNTIFS(DATA!$K$2:$K$992,$A8,DATA!$E$2:$E$992,"&gt;="&amp;DATE(2026,8,1),DATA!$E$2:$E$992,"&lt;="&amp;EOMONTH(DATE(2026,8,1),0))</f>
        <v>0</v>
      </c>
      <c r="J8" s="308">
        <f>COUNTIFS(DATA!$K$2:$K$992,$A8,DATA!$E$2:$E$992,"&gt;="&amp;DATE(2026,9,1),DATA!$E$2:$E$992,"&lt;="&amp;EOMONTH(DATE(2026,9,1),0))</f>
        <v>0</v>
      </c>
      <c r="K8" s="308">
        <f>COUNTIFS(DATA!$K$2:$K$992,$A8,DATA!$E$2:$E$992,"&gt;="&amp;DATE(2026,10,1),DATA!$E$2:$E$992,"&lt;="&amp;EOMONTH(DATE(2026,10,1),0))</f>
        <v>0</v>
      </c>
      <c r="L8" s="308">
        <f>COUNTIFS(DATA!$K$2:$K$992,$A8,DATA!$E$2:$E$992,"&gt;="&amp;DATE(2026,11,1),DATA!$E$2:$E$992,"&lt;="&amp;EOMONTH(DATE(2026,11,1),0))</f>
        <v>0</v>
      </c>
      <c r="M8" s="309">
        <f t="shared" si="0"/>
        <v>3</v>
      </c>
    </row>
    <row r="9" spans="1:13" ht="24" customHeight="1">
      <c r="A9" s="38" t="s">
        <v>215</v>
      </c>
      <c r="B9" s="308">
        <f>COUNTIFS(DATA!$K$2:$K$992,$A9,DATA!$E$2:$E$992,"&gt;="&amp;DATE(2026,1,1),DATA!$E$2:$E$992,"&lt;="&amp;EOMONTH(DATE(2026,1,1),0))</f>
        <v>0</v>
      </c>
      <c r="C9" s="308">
        <f>COUNTIFS(DATA!$K$2:$K$992,$A9,DATA!$E$2:$E$992,"&gt;="&amp;DATE(2026,2,1),DATA!$E$2:$E$992,"&lt;="&amp;EOMONTH(DATE(2026,2,1),0))</f>
        <v>0</v>
      </c>
      <c r="D9" s="308">
        <f>COUNTIFS(DATA!$K$2:$K$992,$A9,DATA!$E$2:$E$992,"&gt;="&amp;DATE(2026,3,1),DATA!$E$2:$E$992,"&lt;="&amp;EOMONTH(DATE(2026,3,1),0))</f>
        <v>0</v>
      </c>
      <c r="E9" s="308">
        <f>COUNTIFS(DATA!$K$2:$K$992,$A9,DATA!$E$2:$E$992,"&gt;="&amp;DATE(2026,4,1),DATA!$E$2:$E$992,"&lt;="&amp;EOMONTH(DATE(2026,4,1),0))</f>
        <v>0</v>
      </c>
      <c r="F9" s="308">
        <f>COUNTIFS(DATA!$K$2:$K$992,$A9,DATA!$E$2:$E$992,"&gt;="&amp;DATE(2026,5,1),DATA!$E$2:$E$992,"&lt;="&amp;EOMONTH(DATE(2026,5,1),0))</f>
        <v>1</v>
      </c>
      <c r="G9" s="308">
        <f>COUNTIFS(DATA!$K$2:$K$992,$A9,DATA!$E$2:$E$992,"&gt;="&amp;DATE(2026,6,1),DATA!$E$2:$E$992,"&lt;="&amp;EOMONTH(DATE(2026,6,1),0))</f>
        <v>0</v>
      </c>
      <c r="H9" s="308">
        <f>COUNTIFS(DATA!$K$2:$K$992,$A9,DATA!$E$2:$E$992,"&gt;="&amp;DATE(2026,7,1),DATA!$E$2:$E$992,"&lt;="&amp;EOMONTH(DATE(2026,7,1),0))</f>
        <v>0</v>
      </c>
      <c r="I9" s="308">
        <f>COUNTIFS(DATA!$K$2:$K$992,$A9,DATA!$E$2:$E$992,"&gt;="&amp;DATE(2026,8,1),DATA!$E$2:$E$992,"&lt;="&amp;EOMONTH(DATE(2026,8,1),0))</f>
        <v>0</v>
      </c>
      <c r="J9" s="308">
        <f>COUNTIFS(DATA!$K$2:$K$992,$A9,DATA!$E$2:$E$992,"&gt;="&amp;DATE(2026,9,1),DATA!$E$2:$E$992,"&lt;="&amp;EOMONTH(DATE(2026,9,1),0))</f>
        <v>0</v>
      </c>
      <c r="K9" s="308">
        <f>COUNTIFS(DATA!$K$2:$K$992,$A9,DATA!$E$2:$E$992,"&gt;="&amp;DATE(2026,10,1),DATA!$E$2:$E$992,"&lt;="&amp;EOMONTH(DATE(2026,10,1),0))</f>
        <v>0</v>
      </c>
      <c r="L9" s="308">
        <f>COUNTIFS(DATA!$K$2:$K$992,$A9,DATA!$E$2:$E$992,"&gt;="&amp;DATE(2026,11,1),DATA!$E$2:$E$992,"&lt;="&amp;EOMONTH(DATE(2026,11,1),0))</f>
        <v>0</v>
      </c>
      <c r="M9" s="309">
        <f t="shared" si="0"/>
        <v>1</v>
      </c>
    </row>
    <row r="10" spans="1:13" ht="24" customHeight="1">
      <c r="A10" s="38" t="s">
        <v>169</v>
      </c>
      <c r="B10" s="308">
        <f>COUNTIFS(DATA!$K$2:$K$992,$A10,DATA!$E$2:$E$992,"&gt;="&amp;DATE(2026,1,1),DATA!$E$2:$E$992,"&lt;="&amp;EOMONTH(DATE(2026,1,1),0))</f>
        <v>0</v>
      </c>
      <c r="C10" s="308">
        <f>COUNTIFS(DATA!$K$2:$K$992,$A10,DATA!$E$2:$E$992,"&gt;="&amp;DATE(2026,2,1),DATA!$E$2:$E$992,"&lt;="&amp;EOMONTH(DATE(2026,2,1),0))</f>
        <v>0</v>
      </c>
      <c r="D10" s="308">
        <f>COUNTIFS(DATA!$K$2:$K$992,$A10,DATA!$E$2:$E$992,"&gt;="&amp;DATE(2026,3,1),DATA!$E$2:$E$992,"&lt;="&amp;EOMONTH(DATE(2026,3,1),0))</f>
        <v>0</v>
      </c>
      <c r="E10" s="308">
        <f>COUNTIFS(DATA!$K$2:$K$992,$A10,DATA!$E$2:$E$992,"&gt;="&amp;DATE(2026,4,1),DATA!$E$2:$E$992,"&lt;="&amp;EOMONTH(DATE(2026,4,1),0))</f>
        <v>3</v>
      </c>
      <c r="F10" s="308">
        <f>COUNTIFS(DATA!$K$2:$K$992,$A10,DATA!$E$2:$E$992,"&gt;="&amp;DATE(2026,5,1),DATA!$E$2:$E$992,"&lt;="&amp;EOMONTH(DATE(2026,5,1),0))</f>
        <v>5</v>
      </c>
      <c r="G10" s="308">
        <f>COUNTIFS(DATA!$K$2:$K$992,$A10,DATA!$E$2:$E$992,"&gt;="&amp;DATE(2026,6,1),DATA!$E$2:$E$992,"&lt;="&amp;EOMONTH(DATE(2026,6,1),0))</f>
        <v>0</v>
      </c>
      <c r="H10" s="308">
        <f>COUNTIFS(DATA!$K$2:$K$992,$A10,DATA!$E$2:$E$992,"&gt;="&amp;DATE(2026,7,1),DATA!$E$2:$E$992,"&lt;="&amp;EOMONTH(DATE(2026,7,1),0))</f>
        <v>0</v>
      </c>
      <c r="I10" s="308">
        <f>COUNTIFS(DATA!$K$2:$K$992,$A10,DATA!$E$2:$E$992,"&gt;="&amp;DATE(2026,8,1),DATA!$E$2:$E$992,"&lt;="&amp;EOMONTH(DATE(2026,8,1),0))</f>
        <v>0</v>
      </c>
      <c r="J10" s="308">
        <f>COUNTIFS(DATA!$K$2:$K$992,$A10,DATA!$E$2:$E$992,"&gt;="&amp;DATE(2026,9,1),DATA!$E$2:$E$992,"&lt;="&amp;EOMONTH(DATE(2026,9,1),0))</f>
        <v>0</v>
      </c>
      <c r="K10" s="308">
        <f>COUNTIFS(DATA!$K$2:$K$992,$A10,DATA!$E$2:$E$992,"&gt;="&amp;DATE(2026,10,1),DATA!$E$2:$E$992,"&lt;="&amp;EOMONTH(DATE(2026,10,1),0))</f>
        <v>0</v>
      </c>
      <c r="L10" s="308">
        <f>COUNTIFS(DATA!$K$2:$K$992,$A10,DATA!$E$2:$E$992,"&gt;="&amp;DATE(2026,11,1),DATA!$E$2:$E$992,"&lt;="&amp;EOMONTH(DATE(2026,11,1),0))</f>
        <v>0</v>
      </c>
      <c r="M10" s="309">
        <f t="shared" si="0"/>
        <v>8</v>
      </c>
    </row>
    <row r="11" spans="1:13" ht="24" customHeight="1">
      <c r="A11" s="38" t="s">
        <v>185</v>
      </c>
      <c r="B11" s="308">
        <f>COUNTIFS(DATA!$K$2:$K$992,$A11,DATA!$E$2:$E$992,"&gt;="&amp;DATE(2026,1,1),DATA!$E$2:$E$992,"&lt;="&amp;EOMONTH(DATE(2026,1,1),0))</f>
        <v>0</v>
      </c>
      <c r="C11" s="308">
        <f>COUNTIFS(DATA!$K$2:$K$992,$A11,DATA!$E$2:$E$992,"&gt;="&amp;DATE(2026,2,1),DATA!$E$2:$E$992,"&lt;="&amp;EOMONTH(DATE(2026,2,1),0))</f>
        <v>0</v>
      </c>
      <c r="D11" s="308">
        <f>COUNTIFS(DATA!$K$2:$K$992,$A11,DATA!$E$2:$E$992,"&gt;="&amp;DATE(2026,3,1),DATA!$E$2:$E$992,"&lt;="&amp;EOMONTH(DATE(2026,3,1),0))</f>
        <v>0</v>
      </c>
      <c r="E11" s="308">
        <f>COUNTIFS(DATA!$K$2:$K$992,$A11,DATA!$E$2:$E$992,"&gt;="&amp;DATE(2026,4,1),DATA!$E$2:$E$992,"&lt;="&amp;EOMONTH(DATE(2026,4,1),0))</f>
        <v>2</v>
      </c>
      <c r="F11" s="308">
        <f>COUNTIFS(DATA!$K$2:$K$992,$A11,DATA!$E$2:$E$992,"&gt;="&amp;DATE(2026,5,1),DATA!$E$2:$E$992,"&lt;="&amp;EOMONTH(DATE(2026,5,1),0))</f>
        <v>1</v>
      </c>
      <c r="G11" s="308">
        <f>COUNTIFS(DATA!$K$2:$K$992,$A11,DATA!$E$2:$E$992,"&gt;="&amp;DATE(2026,6,1),DATA!$E$2:$E$992,"&lt;="&amp;EOMONTH(DATE(2026,6,1),0))</f>
        <v>0</v>
      </c>
      <c r="H11" s="308">
        <f>COUNTIFS(DATA!$K$2:$K$992,$A11,DATA!$E$2:$E$992,"&gt;="&amp;DATE(2026,7,1),DATA!$E$2:$E$992,"&lt;="&amp;EOMONTH(DATE(2026,7,1),0))</f>
        <v>0</v>
      </c>
      <c r="I11" s="308">
        <f>COUNTIFS(DATA!$K$2:$K$992,$A11,DATA!$E$2:$E$992,"&gt;="&amp;DATE(2026,8,1),DATA!$E$2:$E$992,"&lt;="&amp;EOMONTH(DATE(2026,8,1),0))</f>
        <v>0</v>
      </c>
      <c r="J11" s="308">
        <f>COUNTIFS(DATA!$K$2:$K$992,$A11,DATA!$E$2:$E$992,"&gt;="&amp;DATE(2026,9,1),DATA!$E$2:$E$992,"&lt;="&amp;EOMONTH(DATE(2026,9,1),0))</f>
        <v>0</v>
      </c>
      <c r="K11" s="308">
        <f>COUNTIFS(DATA!$K$2:$K$992,$A11,DATA!$E$2:$E$992,"&gt;="&amp;DATE(2026,10,1),DATA!$E$2:$E$992,"&lt;="&amp;EOMONTH(DATE(2026,10,1),0))</f>
        <v>0</v>
      </c>
      <c r="L11" s="308">
        <f>COUNTIFS(DATA!$K$2:$K$992,$A11,DATA!$E$2:$E$992,"&gt;="&amp;DATE(2026,11,1),DATA!$E$2:$E$992,"&lt;="&amp;EOMONTH(DATE(2026,11,1),0))</f>
        <v>0</v>
      </c>
      <c r="M11" s="309">
        <f t="shared" si="0"/>
        <v>3</v>
      </c>
    </row>
    <row r="12" spans="1:13" ht="24" customHeight="1">
      <c r="A12" s="38" t="s">
        <v>116</v>
      </c>
      <c r="B12" s="308">
        <f>COUNTIFS(DATA!$K$2:$K$992,$A12,DATA!$E$2:$E$992,"&gt;="&amp;DATE(2026,1,1),DATA!$E$2:$E$992,"&lt;="&amp;EOMONTH(DATE(2026,1,1),0))</f>
        <v>0</v>
      </c>
      <c r="C12" s="308">
        <f>COUNTIFS(DATA!$K$2:$K$992,$A12,DATA!$E$2:$E$992,"&gt;="&amp;DATE(2026,2,1),DATA!$E$2:$E$992,"&lt;="&amp;EOMONTH(DATE(2026,2,1),0))</f>
        <v>0</v>
      </c>
      <c r="D12" s="308">
        <f>COUNTIFS(DATA!$K$2:$K$992,$A12,DATA!$E$2:$E$992,"&gt;="&amp;DATE(2026,3,1),DATA!$E$2:$E$992,"&lt;="&amp;EOMONTH(DATE(2026,3,1),0))</f>
        <v>0</v>
      </c>
      <c r="E12" s="308">
        <f>COUNTIFS(DATA!$K$2:$K$992,$A12,DATA!$E$2:$E$992,"&gt;="&amp;DATE(2026,4,1),DATA!$E$2:$E$992,"&lt;="&amp;EOMONTH(DATE(2026,4,1),0))</f>
        <v>42</v>
      </c>
      <c r="F12" s="308">
        <f>COUNTIFS(DATA!$K$2:$K$992,$A12,DATA!$E$2:$E$992,"&gt;="&amp;DATE(2026,5,1),DATA!$E$2:$E$992,"&lt;="&amp;EOMONTH(DATE(2026,5,1),0))</f>
        <v>93</v>
      </c>
      <c r="G12" s="308">
        <f>COUNTIFS(DATA!$K$2:$K$992,$A12,DATA!$E$2:$E$992,"&gt;="&amp;DATE(2026,6,1),DATA!$E$2:$E$992,"&lt;="&amp;EOMONTH(DATE(2026,6,1),0))</f>
        <v>11</v>
      </c>
      <c r="H12" s="308">
        <f>COUNTIFS(DATA!$K$2:$K$992,$A12,DATA!$E$2:$E$992,"&gt;="&amp;DATE(2026,7,1),DATA!$E$2:$E$992,"&lt;="&amp;EOMONTH(DATE(2026,7,1),0))</f>
        <v>0</v>
      </c>
      <c r="I12" s="308">
        <f>COUNTIFS(DATA!$K$2:$K$992,$A12,DATA!$E$2:$E$992,"&gt;="&amp;DATE(2026,8,1),DATA!$E$2:$E$992,"&lt;="&amp;EOMONTH(DATE(2026,8,1),0))</f>
        <v>0</v>
      </c>
      <c r="J12" s="308">
        <f>COUNTIFS(DATA!$K$2:$K$992,$A12,DATA!$E$2:$E$992,"&gt;="&amp;DATE(2026,9,1),DATA!$E$2:$E$992,"&lt;="&amp;EOMONTH(DATE(2026,9,1),0))</f>
        <v>0</v>
      </c>
      <c r="K12" s="308">
        <f>COUNTIFS(DATA!$K$2:$K$992,$A12,DATA!$E$2:$E$992,"&gt;="&amp;DATE(2026,10,1),DATA!$E$2:$E$992,"&lt;="&amp;EOMONTH(DATE(2026,10,1),0))</f>
        <v>0</v>
      </c>
      <c r="L12" s="308">
        <f>COUNTIFS(DATA!$K$2:$K$992,$A12,DATA!$E$2:$E$992,"&gt;="&amp;DATE(2026,11,1),DATA!$E$2:$E$992,"&lt;="&amp;EOMONTH(DATE(2026,11,1),0))</f>
        <v>0</v>
      </c>
      <c r="M12" s="309">
        <f t="shared" si="0"/>
        <v>146</v>
      </c>
    </row>
    <row r="13" spans="1:13" ht="24" customHeight="1">
      <c r="A13" s="39" t="s">
        <v>1209</v>
      </c>
      <c r="B13" s="310">
        <f t="shared" ref="B13:M13" si="1">SUM(B3:B12)</f>
        <v>0</v>
      </c>
      <c r="C13" s="310">
        <f t="shared" si="1"/>
        <v>0</v>
      </c>
      <c r="D13" s="310">
        <f t="shared" si="1"/>
        <v>0</v>
      </c>
      <c r="E13" s="310">
        <f t="shared" si="1"/>
        <v>78</v>
      </c>
      <c r="F13" s="310">
        <f t="shared" si="1"/>
        <v>122</v>
      </c>
      <c r="G13" s="310">
        <f t="shared" si="1"/>
        <v>16</v>
      </c>
      <c r="H13" s="310">
        <f t="shared" si="1"/>
        <v>0</v>
      </c>
      <c r="I13" s="310">
        <f t="shared" si="1"/>
        <v>0</v>
      </c>
      <c r="J13" s="310">
        <f t="shared" si="1"/>
        <v>0</v>
      </c>
      <c r="K13" s="310">
        <f t="shared" si="1"/>
        <v>0</v>
      </c>
      <c r="L13" s="310">
        <f t="shared" si="1"/>
        <v>0</v>
      </c>
      <c r="M13" s="311">
        <f t="shared" si="1"/>
        <v>216</v>
      </c>
    </row>
    <row r="14" spans="1:13" ht="30" customHeight="1">
      <c r="A14" s="40" t="s">
        <v>1171</v>
      </c>
      <c r="B14" s="312">
        <f>B13-COUNTIFS(DATA!$K$2:$K$992,"&lt;&gt;",DATA!$E$2:$E$992,"&gt;="&amp;DATE(2026,1,1),DATA!$E$2:$E$992,"&lt;="&amp;EOMONTH(DATE(2026,1,1),0))</f>
        <v>0</v>
      </c>
      <c r="C14" s="312">
        <f>C13-COUNTIFS(DATA!$K$2:$K$992,"&lt;&gt;",DATA!$E$2:$E$992,"&gt;="&amp;DATE(2026,2,1),DATA!$E$2:$E$992,"&lt;="&amp;EOMONTH(DATE(2026,2,1),0))</f>
        <v>0</v>
      </c>
      <c r="D14" s="312">
        <f>D13-COUNTIFS(DATA!$K$2:$K$992,"&lt;&gt;",DATA!$E$2:$E$992,"&gt;="&amp;DATE(2026,3,1),DATA!$E$2:$E$992,"&lt;="&amp;EOMONTH(DATE(2026,3,1),0))</f>
        <v>0</v>
      </c>
      <c r="E14" s="312">
        <f>E13-COUNTIFS(DATA!$K$2:$K$992,"&lt;&gt;",DATA!$E$2:$E$992,"&gt;="&amp;DATE(2026,4,1),DATA!$E$2:$E$992,"&lt;="&amp;EOMONTH(DATE(2026,4,1),0))</f>
        <v>0</v>
      </c>
      <c r="F14" s="312">
        <f>F13-COUNTIFS(DATA!$K$2:$K$992,"&lt;&gt;",DATA!$E$2:$E$992,"&gt;="&amp;DATE(2026,5,1),DATA!$E$2:$E$992,"&lt;="&amp;EOMONTH(DATE(2026,5,1),0))</f>
        <v>-1</v>
      </c>
      <c r="G14" s="312">
        <f>G13-COUNTIFS(DATA!$K$2:$K$992,"&lt;&gt;",DATA!$E$2:$E$992,"&gt;="&amp;DATE(2026,6,1),DATA!$E$2:$E$992,"&lt;="&amp;EOMONTH(DATE(2026,6,1),0))</f>
        <v>-1</v>
      </c>
      <c r="H14" s="312">
        <f>H13-COUNTIFS(DATA!$K$2:$K$992,"&lt;&gt;",DATA!$E$2:$E$992,"&gt;="&amp;DATE(2026,7,1),DATA!$E$2:$E$992,"&lt;="&amp;EOMONTH(DATE(2026,7,1),0))</f>
        <v>0</v>
      </c>
      <c r="I14" s="312">
        <f>I13-COUNTIFS(DATA!$K$2:$K$992,"&lt;&gt;",DATA!$E$2:$E$992,"&gt;="&amp;DATE(2026,8,1),DATA!$E$2:$E$992,"&lt;="&amp;EOMONTH(DATE(2026,8,1),0))</f>
        <v>0</v>
      </c>
      <c r="J14" s="312">
        <f>J13-COUNTIFS(DATA!$K$2:$K$992,"&lt;&gt;",DATA!$E$2:$E$992,"&gt;="&amp;DATE(2026,9,1),DATA!$E$2:$E$992,"&lt;="&amp;EOMONTH(DATE(2026,9,1),0))</f>
        <v>0</v>
      </c>
      <c r="K14" s="312">
        <f>K13-COUNTIFS(DATA!$K$2:$K$992,"&lt;&gt;",DATA!$E$2:$E$992,"&gt;="&amp;DATE(2026,10,1),DATA!$E$2:$E$992,"&lt;="&amp;EOMONTH(DATE(2026,10,1),0))</f>
        <v>0</v>
      </c>
      <c r="L14" s="312">
        <f>L13-COUNTIFS(DATA!$K$2:$K$992,"&lt;&gt;",DATA!$E$2:$E$992,"&gt;="&amp;DATE(2026,11,1),DATA!$E$2:$E$992,"&lt;="&amp;EOMONTH(DATE(2026,11,1),0))</f>
        <v>0</v>
      </c>
      <c r="M14" s="312">
        <f>SUM(B14:L14)</f>
        <v>-2</v>
      </c>
    </row>
    <row r="15" spans="1:13" ht="24" customHeight="1"/>
    <row r="16" spans="1:13" ht="24" customHeight="1">
      <c r="A16" s="513" t="s">
        <v>1210</v>
      </c>
      <c r="B16" s="514"/>
      <c r="C16" s="514"/>
      <c r="D16" s="514"/>
      <c r="E16" s="514"/>
      <c r="F16" s="514"/>
      <c r="G16" s="514"/>
      <c r="H16" s="514"/>
      <c r="I16" s="514"/>
      <c r="J16" s="514"/>
      <c r="K16" s="514"/>
      <c r="L16" s="514"/>
      <c r="M16" s="515"/>
    </row>
    <row r="17" spans="1:13" ht="24" customHeight="1">
      <c r="A17" s="35" t="s">
        <v>7</v>
      </c>
      <c r="B17" s="36" t="s">
        <v>1190</v>
      </c>
      <c r="C17" s="36" t="s">
        <v>1191</v>
      </c>
      <c r="D17" s="36" t="s">
        <v>1192</v>
      </c>
      <c r="E17" s="36" t="s">
        <v>1193</v>
      </c>
      <c r="F17" s="36" t="s">
        <v>1194</v>
      </c>
      <c r="G17" s="36" t="s">
        <v>1195</v>
      </c>
      <c r="H17" s="36" t="s">
        <v>1196</v>
      </c>
      <c r="I17" s="36" t="s">
        <v>1197</v>
      </c>
      <c r="J17" s="36" t="s">
        <v>1198</v>
      </c>
      <c r="K17" s="36" t="s">
        <v>1199</v>
      </c>
      <c r="L17" s="36" t="s">
        <v>1200</v>
      </c>
      <c r="M17" s="37" t="s">
        <v>1202</v>
      </c>
    </row>
    <row r="18" spans="1:13" ht="24" customHeight="1">
      <c r="A18" s="41" t="s">
        <v>118</v>
      </c>
      <c r="B18" s="308">
        <f>COUNTIFS(DATA!$L$2:$L$992,$A18,DATA!$E$2:$E$992,"&gt;="&amp;DATE(2026,1,1),DATA!$E$2:$E$992,"&lt;="&amp;EOMONTH(DATE(2026,1,1),0))</f>
        <v>0</v>
      </c>
      <c r="C18" s="308">
        <f>COUNTIFS(DATA!$L$2:$L$992,$A18,DATA!$E$2:$E$992,"&gt;="&amp;DATE(2026,2,1),DATA!$E$2:$E$992,"&lt;="&amp;EOMONTH(DATE(2026,2,1),0))</f>
        <v>0</v>
      </c>
      <c r="D18" s="308">
        <f>COUNTIFS(DATA!$L$2:$L$992,$A18,DATA!$E$2:$E$992,"&gt;="&amp;DATE(2026,3,1),DATA!$E$2:$E$992,"&lt;="&amp;EOMONTH(DATE(2026,3,1),0))</f>
        <v>0</v>
      </c>
      <c r="E18" s="308">
        <f>COUNTIFS(DATA!$L$2:$L$992,$A18,DATA!$E$2:$E$992,"&gt;="&amp;DATE(2026,4,1),DATA!$E$2:$E$992,"&lt;="&amp;EOMONTH(DATE(2026,4,1),0))</f>
        <v>26</v>
      </c>
      <c r="F18" s="308">
        <f>COUNTIFS(DATA!$L$2:$L$992,$A18,DATA!$E$2:$E$992,"&gt;="&amp;DATE(2026,5,1),DATA!$E$2:$E$992,"&lt;="&amp;EOMONTH(DATE(2026,5,1),0))</f>
        <v>29</v>
      </c>
      <c r="G18" s="308">
        <f>COUNTIFS(DATA!$L$2:$L$992,$A18,DATA!$E$2:$E$992,"&gt;="&amp;DATE(2026,6,1),DATA!$E$2:$E$992,"&lt;="&amp;EOMONTH(DATE(2026,6,1),0))</f>
        <v>1</v>
      </c>
      <c r="H18" s="308">
        <f>COUNTIFS(DATA!$L$2:$L$992,$A18,DATA!$E$2:$E$992,"&gt;="&amp;DATE(2026,7,1),DATA!$E$2:$E$992,"&lt;="&amp;EOMONTH(DATE(2026,7,1),0))</f>
        <v>0</v>
      </c>
      <c r="I18" s="308">
        <f>COUNTIFS(DATA!$L$2:$L$992,$A18,DATA!$E$2:$E$992,"&gt;="&amp;DATE(2026,8,1),DATA!$E$2:$E$992,"&lt;="&amp;EOMONTH(DATE(2026,8,1),0))</f>
        <v>0</v>
      </c>
      <c r="J18" s="308">
        <f>COUNTIFS(DATA!$L$2:$L$992,$A18,DATA!$E$2:$E$992,"&gt;="&amp;DATE(2026,9,1),DATA!$E$2:$E$992,"&lt;="&amp;EOMONTH(DATE(2026,9,1),0))</f>
        <v>0</v>
      </c>
      <c r="K18" s="308">
        <f>COUNTIFS(DATA!$L$2:$L$992,$A18,DATA!$E$2:$E$992,"&gt;="&amp;DATE(2026,10,1),DATA!$E$2:$E$992,"&lt;="&amp;EOMONTH(DATE(2026,10,1),0))</f>
        <v>0</v>
      </c>
      <c r="L18" s="308">
        <f>COUNTIFS(DATA!$L$2:$L$992,$A18,DATA!$E$2:$E$992,"&gt;="&amp;DATE(2026,11,1),DATA!$E$2:$E$992,"&lt;="&amp;EOMONTH(DATE(2026,11,1),0))</f>
        <v>0</v>
      </c>
      <c r="M18" s="309">
        <f t="shared" ref="M18:M24" si="2">SUM(B18:L18)</f>
        <v>56</v>
      </c>
    </row>
    <row r="19" spans="1:13" ht="24" customHeight="1">
      <c r="A19" s="41" t="s">
        <v>171</v>
      </c>
      <c r="B19" s="308">
        <f>COUNTIFS(DATA!$L$2:$L$992,$A19,DATA!$E$2:$E$992,"&gt;="&amp;DATE(2026,1,1),DATA!$E$2:$E$992,"&lt;="&amp;EOMONTH(DATE(2026,1,1),0))</f>
        <v>0</v>
      </c>
      <c r="C19" s="308">
        <f>COUNTIFS(DATA!$L$2:$L$992,$A19,DATA!$E$2:$E$992,"&gt;="&amp;DATE(2026,2,1),DATA!$E$2:$E$992,"&lt;="&amp;EOMONTH(DATE(2026,2,1),0))</f>
        <v>0</v>
      </c>
      <c r="D19" s="308">
        <f>COUNTIFS(DATA!$L$2:$L$992,$A19,DATA!$E$2:$E$992,"&gt;="&amp;DATE(2026,3,1),DATA!$E$2:$E$992,"&lt;="&amp;EOMONTH(DATE(2026,3,1),0))</f>
        <v>0</v>
      </c>
      <c r="E19" s="308">
        <f>COUNTIFS(DATA!$L$2:$L$992,$A19,DATA!$E$2:$E$992,"&gt;="&amp;DATE(2026,4,1),DATA!$E$2:$E$992,"&lt;="&amp;EOMONTH(DATE(2026,4,1),0))</f>
        <v>1</v>
      </c>
      <c r="F19" s="308">
        <f>COUNTIFS(DATA!$L$2:$L$992,$A19,DATA!$E$2:$E$992,"&gt;="&amp;DATE(2026,5,1),DATA!$E$2:$E$992,"&lt;="&amp;EOMONTH(DATE(2026,5,1),0))</f>
        <v>3</v>
      </c>
      <c r="G19" s="308">
        <f>COUNTIFS(DATA!$L$2:$L$992,$A19,DATA!$E$2:$E$992,"&gt;="&amp;DATE(2026,6,1),DATA!$E$2:$E$992,"&lt;="&amp;EOMONTH(DATE(2026,6,1),0))</f>
        <v>0</v>
      </c>
      <c r="H19" s="308">
        <f>COUNTIFS(DATA!$L$2:$L$992,$A19,DATA!$E$2:$E$992,"&gt;="&amp;DATE(2026,7,1),DATA!$E$2:$E$992,"&lt;="&amp;EOMONTH(DATE(2026,7,1),0))</f>
        <v>0</v>
      </c>
      <c r="I19" s="308">
        <f>COUNTIFS(DATA!$L$2:$L$992,$A19,DATA!$E$2:$E$992,"&gt;="&amp;DATE(2026,8,1),DATA!$E$2:$E$992,"&lt;="&amp;EOMONTH(DATE(2026,8,1),0))</f>
        <v>0</v>
      </c>
      <c r="J19" s="308">
        <f>COUNTIFS(DATA!$L$2:$L$992,$A19,DATA!$E$2:$E$992,"&gt;="&amp;DATE(2026,9,1),DATA!$E$2:$E$992,"&lt;="&amp;EOMONTH(DATE(2026,9,1),0))</f>
        <v>0</v>
      </c>
      <c r="K19" s="308">
        <f>COUNTIFS(DATA!$L$2:$L$992,$A19,DATA!$E$2:$E$992,"&gt;="&amp;DATE(2026,10,1),DATA!$E$2:$E$992,"&lt;="&amp;EOMONTH(DATE(2026,10,1),0))</f>
        <v>0</v>
      </c>
      <c r="L19" s="308">
        <f>COUNTIFS(DATA!$L$2:$L$992,$A19,DATA!$E$2:$E$992,"&gt;="&amp;DATE(2026,11,1),DATA!$E$2:$E$992,"&lt;="&amp;EOMONTH(DATE(2026,11,1),0))</f>
        <v>0</v>
      </c>
      <c r="M19" s="309">
        <f t="shared" si="2"/>
        <v>4</v>
      </c>
    </row>
    <row r="20" spans="1:13" ht="24" customHeight="1">
      <c r="A20" s="41" t="s">
        <v>369</v>
      </c>
      <c r="B20" s="308">
        <f>COUNTIFS(DATA!$L$2:$L$992,$A20,DATA!$E$2:$E$992,"&gt;="&amp;DATE(2026,1,1),DATA!$E$2:$E$992,"&lt;="&amp;EOMONTH(DATE(2026,1,1),0))</f>
        <v>0</v>
      </c>
      <c r="C20" s="308">
        <f>COUNTIFS(DATA!$L$2:$L$992,$A20,DATA!$E$2:$E$992,"&gt;="&amp;DATE(2026,2,1),DATA!$E$2:$E$992,"&lt;="&amp;EOMONTH(DATE(2026,2,1),0))</f>
        <v>0</v>
      </c>
      <c r="D20" s="308">
        <f>COUNTIFS(DATA!$L$2:$L$992,$A20,DATA!$E$2:$E$992,"&gt;="&amp;DATE(2026,3,1),DATA!$E$2:$E$992,"&lt;="&amp;EOMONTH(DATE(2026,3,1),0))</f>
        <v>0</v>
      </c>
      <c r="E20" s="308">
        <f>COUNTIFS(DATA!$L$2:$L$992,$A20,DATA!$E$2:$E$992,"&gt;="&amp;DATE(2026,4,1),DATA!$E$2:$E$992,"&lt;="&amp;EOMONTH(DATE(2026,4,1),0))</f>
        <v>25</v>
      </c>
      <c r="F20" s="308">
        <f>COUNTIFS(DATA!$L$2:$L$992,$A20,DATA!$E$2:$E$992,"&gt;="&amp;DATE(2026,5,1),DATA!$E$2:$E$992,"&lt;="&amp;EOMONTH(DATE(2026,5,1),0))</f>
        <v>36</v>
      </c>
      <c r="G20" s="308">
        <f>COUNTIFS(DATA!$L$2:$L$992,$A20,DATA!$E$2:$E$992,"&gt;="&amp;DATE(2026,6,1),DATA!$E$2:$E$992,"&lt;="&amp;EOMONTH(DATE(2026,6,1),0))</f>
        <v>7</v>
      </c>
      <c r="H20" s="308">
        <f>COUNTIFS(DATA!$L$2:$L$992,$A20,DATA!$E$2:$E$992,"&gt;="&amp;DATE(2026,7,1),DATA!$E$2:$E$992,"&lt;="&amp;EOMONTH(DATE(2026,7,1),0))</f>
        <v>0</v>
      </c>
      <c r="I20" s="308">
        <f>COUNTIFS(DATA!$L$2:$L$992,$A20,DATA!$E$2:$E$992,"&gt;="&amp;DATE(2026,8,1),DATA!$E$2:$E$992,"&lt;="&amp;EOMONTH(DATE(2026,8,1),0))</f>
        <v>0</v>
      </c>
      <c r="J20" s="308">
        <f>COUNTIFS(DATA!$L$2:$L$992,$A20,DATA!$E$2:$E$992,"&gt;="&amp;DATE(2026,9,1),DATA!$E$2:$E$992,"&lt;="&amp;EOMONTH(DATE(2026,9,1),0))</f>
        <v>0</v>
      </c>
      <c r="K20" s="308">
        <f>COUNTIFS(DATA!$L$2:$L$992,$A20,DATA!$E$2:$E$992,"&gt;="&amp;DATE(2026,10,1),DATA!$E$2:$E$992,"&lt;="&amp;EOMONTH(DATE(2026,10,1),0))</f>
        <v>0</v>
      </c>
      <c r="L20" s="308">
        <f>COUNTIFS(DATA!$L$2:$L$992,$A20,DATA!$E$2:$E$992,"&gt;="&amp;DATE(2026,11,1),DATA!$E$2:$E$992,"&lt;="&amp;EOMONTH(DATE(2026,11,1),0))</f>
        <v>0</v>
      </c>
      <c r="M20" s="309">
        <f t="shared" si="2"/>
        <v>68</v>
      </c>
    </row>
    <row r="21" spans="1:13" ht="24" customHeight="1">
      <c r="A21" s="41" t="s">
        <v>187</v>
      </c>
      <c r="B21" s="308">
        <f>COUNTIFS(DATA!$L$2:$L$992,$A21,DATA!$E$2:$E$992,"&gt;="&amp;DATE(2026,1,1),DATA!$E$2:$E$992,"&lt;="&amp;EOMONTH(DATE(2026,1,1),0))</f>
        <v>0</v>
      </c>
      <c r="C21" s="308">
        <f>COUNTIFS(DATA!$L$2:$L$992,$A21,DATA!$E$2:$E$992,"&gt;="&amp;DATE(2026,2,1),DATA!$E$2:$E$992,"&lt;="&amp;EOMONTH(DATE(2026,2,1),0))</f>
        <v>0</v>
      </c>
      <c r="D21" s="308">
        <f>COUNTIFS(DATA!$L$2:$L$992,$A21,DATA!$E$2:$E$992,"&gt;="&amp;DATE(2026,3,1),DATA!$E$2:$E$992,"&lt;="&amp;EOMONTH(DATE(2026,3,1),0))</f>
        <v>0</v>
      </c>
      <c r="E21" s="308">
        <f>COUNTIFS(DATA!$L$2:$L$992,$A21,DATA!$E$2:$E$992,"&gt;="&amp;DATE(2026,4,1),DATA!$E$2:$E$992,"&lt;="&amp;EOMONTH(DATE(2026,4,1),0))</f>
        <v>1</v>
      </c>
      <c r="F21" s="308">
        <f>COUNTIFS(DATA!$L$2:$L$992,$A21,DATA!$E$2:$E$992,"&gt;="&amp;DATE(2026,5,1),DATA!$E$2:$E$992,"&lt;="&amp;EOMONTH(DATE(2026,5,1),0))</f>
        <v>2</v>
      </c>
      <c r="G21" s="308">
        <f>COUNTIFS(DATA!$L$2:$L$992,$A21,DATA!$E$2:$E$992,"&gt;="&amp;DATE(2026,6,1),DATA!$E$2:$E$992,"&lt;="&amp;EOMONTH(DATE(2026,6,1),0))</f>
        <v>0</v>
      </c>
      <c r="H21" s="308">
        <f>COUNTIFS(DATA!$L$2:$L$992,$A21,DATA!$E$2:$E$992,"&gt;="&amp;DATE(2026,7,1),DATA!$E$2:$E$992,"&lt;="&amp;EOMONTH(DATE(2026,7,1),0))</f>
        <v>0</v>
      </c>
      <c r="I21" s="308">
        <f>COUNTIFS(DATA!$L$2:$L$992,$A21,DATA!$E$2:$E$992,"&gt;="&amp;DATE(2026,8,1),DATA!$E$2:$E$992,"&lt;="&amp;EOMONTH(DATE(2026,8,1),0))</f>
        <v>0</v>
      </c>
      <c r="J21" s="308">
        <f>COUNTIFS(DATA!$L$2:$L$992,$A21,DATA!$E$2:$E$992,"&gt;="&amp;DATE(2026,9,1),DATA!$E$2:$E$992,"&lt;="&amp;EOMONTH(DATE(2026,9,1),0))</f>
        <v>0</v>
      </c>
      <c r="K21" s="308">
        <f>COUNTIFS(DATA!$L$2:$L$992,$A21,DATA!$E$2:$E$992,"&gt;="&amp;DATE(2026,10,1),DATA!$E$2:$E$992,"&lt;="&amp;EOMONTH(DATE(2026,10,1),0))</f>
        <v>0</v>
      </c>
      <c r="L21" s="308">
        <f>COUNTIFS(DATA!$L$2:$L$992,$A21,DATA!$E$2:$E$992,"&gt;="&amp;DATE(2026,11,1),DATA!$E$2:$E$992,"&lt;="&amp;EOMONTH(DATE(2026,11,1),0))</f>
        <v>0</v>
      </c>
      <c r="M21" s="309">
        <f t="shared" si="2"/>
        <v>3</v>
      </c>
    </row>
    <row r="22" spans="1:13" ht="24" customHeight="1">
      <c r="A22" s="41" t="s">
        <v>199</v>
      </c>
      <c r="B22" s="308">
        <f>COUNTIFS(DATA!$L$2:$L$992,$A22,DATA!$E$2:$E$992,"&gt;="&amp;DATE(2026,1,1),DATA!$E$2:$E$992,"&lt;="&amp;EOMONTH(DATE(2026,1,1),0))</f>
        <v>0</v>
      </c>
      <c r="C22" s="308">
        <f>COUNTIFS(DATA!$L$2:$L$992,$A22,DATA!$E$2:$E$992,"&gt;="&amp;DATE(2026,2,1),DATA!$E$2:$E$992,"&lt;="&amp;EOMONTH(DATE(2026,2,1),0))</f>
        <v>0</v>
      </c>
      <c r="D22" s="308">
        <f>COUNTIFS(DATA!$L$2:$L$992,$A22,DATA!$E$2:$E$992,"&gt;="&amp;DATE(2026,3,1),DATA!$E$2:$E$992,"&lt;="&amp;EOMONTH(DATE(2026,3,1),0))</f>
        <v>0</v>
      </c>
      <c r="E22" s="308">
        <f>COUNTIFS(DATA!$L$2:$L$992,$A22,DATA!$E$2:$E$992,"&gt;="&amp;DATE(2026,4,1),DATA!$E$2:$E$992,"&lt;="&amp;EOMONTH(DATE(2026,4,1),0))</f>
        <v>1</v>
      </c>
      <c r="F22" s="308">
        <f>COUNTIFS(DATA!$L$2:$L$992,$A22,DATA!$E$2:$E$992,"&gt;="&amp;DATE(2026,5,1),DATA!$E$2:$E$992,"&lt;="&amp;EOMONTH(DATE(2026,5,1),0))</f>
        <v>1</v>
      </c>
      <c r="G22" s="308">
        <f>COUNTIFS(DATA!$L$2:$L$992,$A22,DATA!$E$2:$E$992,"&gt;="&amp;DATE(2026,6,1),DATA!$E$2:$E$992,"&lt;="&amp;EOMONTH(DATE(2026,6,1),0))</f>
        <v>1</v>
      </c>
      <c r="H22" s="308">
        <f>COUNTIFS(DATA!$L$2:$L$992,$A22,DATA!$E$2:$E$992,"&gt;="&amp;DATE(2026,7,1),DATA!$E$2:$E$992,"&lt;="&amp;EOMONTH(DATE(2026,7,1),0))</f>
        <v>0</v>
      </c>
      <c r="I22" s="308">
        <f>COUNTIFS(DATA!$L$2:$L$992,$A22,DATA!$E$2:$E$992,"&gt;="&amp;DATE(2026,8,1),DATA!$E$2:$E$992,"&lt;="&amp;EOMONTH(DATE(2026,8,1),0))</f>
        <v>0</v>
      </c>
      <c r="J22" s="308">
        <f>COUNTIFS(DATA!$L$2:$L$992,$A22,DATA!$E$2:$E$992,"&gt;="&amp;DATE(2026,9,1),DATA!$E$2:$E$992,"&lt;="&amp;EOMONTH(DATE(2026,9,1),0))</f>
        <v>0</v>
      </c>
      <c r="K22" s="308">
        <f>COUNTIFS(DATA!$L$2:$L$992,$A22,DATA!$E$2:$E$992,"&gt;="&amp;DATE(2026,10,1),DATA!$E$2:$E$992,"&lt;="&amp;EOMONTH(DATE(2026,10,1),0))</f>
        <v>0</v>
      </c>
      <c r="L22" s="308">
        <f>COUNTIFS(DATA!$L$2:$L$992,$A22,DATA!$E$2:$E$992,"&gt;="&amp;DATE(2026,11,1),DATA!$E$2:$E$992,"&lt;="&amp;EOMONTH(DATE(2026,11,1),0))</f>
        <v>0</v>
      </c>
      <c r="M22" s="309">
        <f t="shared" si="2"/>
        <v>3</v>
      </c>
    </row>
    <row r="23" spans="1:13" ht="24" customHeight="1">
      <c r="A23" s="41" t="s">
        <v>136</v>
      </c>
      <c r="B23" s="308">
        <f>COUNTIFS(DATA!$L$2:$L$992,$A23,DATA!$E$2:$E$992,"&gt;="&amp;DATE(2026,1,1),DATA!$E$2:$E$992,"&lt;="&amp;EOMONTH(DATE(2026,1,1),0))</f>
        <v>0</v>
      </c>
      <c r="C23" s="308">
        <f>COUNTIFS(DATA!$L$2:$L$992,$A23,DATA!$E$2:$E$992,"&gt;="&amp;DATE(2026,2,1),DATA!$E$2:$E$992,"&lt;="&amp;EOMONTH(DATE(2026,2,1),0))</f>
        <v>0</v>
      </c>
      <c r="D23" s="308">
        <f>COUNTIFS(DATA!$L$2:$L$992,$A23,DATA!$E$2:$E$992,"&gt;="&amp;DATE(2026,3,1),DATA!$E$2:$E$992,"&lt;="&amp;EOMONTH(DATE(2026,3,1),0))</f>
        <v>0</v>
      </c>
      <c r="E23" s="308">
        <f>COUNTIFS(DATA!$L$2:$L$992,$A23,DATA!$E$2:$E$992,"&gt;="&amp;DATE(2026,4,1),DATA!$E$2:$E$992,"&lt;="&amp;EOMONTH(DATE(2026,4,1),0))</f>
        <v>8</v>
      </c>
      <c r="F23" s="308">
        <f>COUNTIFS(DATA!$L$2:$L$992,$A23,DATA!$E$2:$E$992,"&gt;="&amp;DATE(2026,5,1),DATA!$E$2:$E$992,"&lt;="&amp;EOMONTH(DATE(2026,5,1),0))</f>
        <v>6</v>
      </c>
      <c r="G23" s="308">
        <f>COUNTIFS(DATA!$L$2:$L$992,$A23,DATA!$E$2:$E$992,"&gt;="&amp;DATE(2026,6,1),DATA!$E$2:$E$992,"&lt;="&amp;EOMONTH(DATE(2026,6,1),0))</f>
        <v>0</v>
      </c>
      <c r="H23" s="308">
        <f>COUNTIFS(DATA!$L$2:$L$992,$A23,DATA!$E$2:$E$992,"&gt;="&amp;DATE(2026,7,1),DATA!$E$2:$E$992,"&lt;="&amp;EOMONTH(DATE(2026,7,1),0))</f>
        <v>0</v>
      </c>
      <c r="I23" s="308">
        <f>COUNTIFS(DATA!$L$2:$L$992,$A23,DATA!$E$2:$E$992,"&gt;="&amp;DATE(2026,8,1),DATA!$E$2:$E$992,"&lt;="&amp;EOMONTH(DATE(2026,8,1),0))</f>
        <v>0</v>
      </c>
      <c r="J23" s="308">
        <f>COUNTIFS(DATA!$L$2:$L$992,$A23,DATA!$E$2:$E$992,"&gt;="&amp;DATE(2026,9,1),DATA!$E$2:$E$992,"&lt;="&amp;EOMONTH(DATE(2026,9,1),0))</f>
        <v>0</v>
      </c>
      <c r="K23" s="308">
        <f>COUNTIFS(DATA!$L$2:$L$992,$A23,DATA!$E$2:$E$992,"&gt;="&amp;DATE(2026,10,1),DATA!$E$2:$E$992,"&lt;="&amp;EOMONTH(DATE(2026,10,1),0))</f>
        <v>0</v>
      </c>
      <c r="L23" s="308">
        <f>COUNTIFS(DATA!$L$2:$L$992,$A23,DATA!$E$2:$E$992,"&gt;="&amp;DATE(2026,11,1),DATA!$E$2:$E$992,"&lt;="&amp;EOMONTH(DATE(2026,11,1),0))</f>
        <v>0</v>
      </c>
      <c r="M23" s="309">
        <f t="shared" si="2"/>
        <v>14</v>
      </c>
    </row>
    <row r="24" spans="1:13" ht="24" customHeight="1">
      <c r="A24" s="41" t="s">
        <v>155</v>
      </c>
      <c r="B24" s="308">
        <f>COUNTIFS(DATA!$L$2:$L$992,$A24,DATA!$E$2:$E$992,"&gt;="&amp;DATE(2026,1,1),DATA!$E$2:$E$992,"&lt;="&amp;EOMONTH(DATE(2026,1,1),0))</f>
        <v>0</v>
      </c>
      <c r="C24" s="308">
        <f>COUNTIFS(DATA!$L$2:$L$992,$A24,DATA!$E$2:$E$992,"&gt;="&amp;DATE(2026,2,1),DATA!$E$2:$E$992,"&lt;="&amp;EOMONTH(DATE(2026,2,1),0))</f>
        <v>0</v>
      </c>
      <c r="D24" s="308">
        <f>COUNTIFS(DATA!$L$2:$L$992,$A24,DATA!$E$2:$E$992,"&gt;="&amp;DATE(2026,3,1),DATA!$E$2:$E$992,"&lt;="&amp;EOMONTH(DATE(2026,3,1),0))</f>
        <v>0</v>
      </c>
      <c r="E24" s="308">
        <f>COUNTIFS(DATA!$L$2:$L$992,$A24,DATA!$E$2:$E$992,"&gt;="&amp;DATE(2026,4,1),DATA!$E$2:$E$992,"&lt;="&amp;EOMONTH(DATE(2026,4,1),0))</f>
        <v>0</v>
      </c>
      <c r="F24" s="308">
        <f>COUNTIFS(DATA!$L$2:$L$992,$A24,DATA!$E$2:$E$992,"&gt;="&amp;DATE(2026,5,1),DATA!$E$2:$E$992,"&lt;="&amp;EOMONTH(DATE(2026,5,1),0))</f>
        <v>9</v>
      </c>
      <c r="G24" s="308">
        <f>COUNTIFS(DATA!$L$2:$L$992,$A24,DATA!$E$2:$E$992,"&gt;="&amp;DATE(2026,6,1),DATA!$E$2:$E$992,"&lt;="&amp;EOMONTH(DATE(2026,6,1),0))</f>
        <v>0</v>
      </c>
      <c r="H24" s="308">
        <f>COUNTIFS(DATA!$L$2:$L$992,$A24,DATA!$E$2:$E$992,"&gt;="&amp;DATE(2026,7,1),DATA!$E$2:$E$992,"&lt;="&amp;EOMONTH(DATE(2026,7,1),0))</f>
        <v>0</v>
      </c>
      <c r="I24" s="308">
        <f>COUNTIFS(DATA!$L$2:$L$992,$A24,DATA!$E$2:$E$992,"&gt;="&amp;DATE(2026,8,1),DATA!$E$2:$E$992,"&lt;="&amp;EOMONTH(DATE(2026,8,1),0))</f>
        <v>0</v>
      </c>
      <c r="J24" s="308">
        <f>COUNTIFS(DATA!$L$2:$L$992,$A24,DATA!$E$2:$E$992,"&gt;="&amp;DATE(2026,9,1),DATA!$E$2:$E$992,"&lt;="&amp;EOMONTH(DATE(2026,9,1),0))</f>
        <v>0</v>
      </c>
      <c r="K24" s="308">
        <f>COUNTIFS(DATA!$L$2:$L$992,$A24,DATA!$E$2:$E$992,"&gt;="&amp;DATE(2026,10,1),DATA!$E$2:$E$992,"&lt;="&amp;EOMONTH(DATE(2026,10,1),0))</f>
        <v>0</v>
      </c>
      <c r="L24" s="308">
        <f>COUNTIFS(DATA!$L$2:$L$992,$A24,DATA!$E$2:$E$992,"&gt;="&amp;DATE(2026,11,1),DATA!$E$2:$E$992,"&lt;="&amp;EOMONTH(DATE(2026,11,1),0))</f>
        <v>0</v>
      </c>
      <c r="M24" s="309">
        <f t="shared" si="2"/>
        <v>9</v>
      </c>
    </row>
    <row r="25" spans="1:13" ht="24" customHeight="1">
      <c r="A25" s="39" t="s">
        <v>1209</v>
      </c>
      <c r="B25" s="310">
        <f t="shared" ref="B25:M25" si="3">SUM(B3:B24)</f>
        <v>0</v>
      </c>
      <c r="C25" s="310">
        <f t="shared" si="3"/>
        <v>0</v>
      </c>
      <c r="D25" s="310">
        <f t="shared" si="3"/>
        <v>0</v>
      </c>
      <c r="E25" s="310">
        <f t="shared" si="3"/>
        <v>218</v>
      </c>
      <c r="F25" s="310">
        <f t="shared" si="3"/>
        <v>329</v>
      </c>
      <c r="G25" s="310">
        <f t="shared" si="3"/>
        <v>40</v>
      </c>
      <c r="H25" s="310">
        <f t="shared" si="3"/>
        <v>0</v>
      </c>
      <c r="I25" s="310">
        <f t="shared" si="3"/>
        <v>0</v>
      </c>
      <c r="J25" s="310">
        <f t="shared" si="3"/>
        <v>0</v>
      </c>
      <c r="K25" s="310">
        <f t="shared" si="3"/>
        <v>0</v>
      </c>
      <c r="L25" s="310">
        <f t="shared" si="3"/>
        <v>0</v>
      </c>
      <c r="M25" s="311">
        <f t="shared" si="3"/>
        <v>587</v>
      </c>
    </row>
    <row r="26" spans="1:13" ht="30" customHeight="1">
      <c r="A26" s="40" t="s">
        <v>1171</v>
      </c>
      <c r="B26" s="312">
        <f>B25-COUNTIFS(DATA!$L$2:$L$992,"&lt;&gt;",DATA!$E$2:$E$992,"&gt;="&amp;DATE(2026,1,1),DATA!$E$2:$E$992,"&lt;="&amp;EOMONTH(DATE(2026,1,1),0))</f>
        <v>0</v>
      </c>
      <c r="C26" s="312">
        <f>C25-COUNTIFS(DATA!$L$2:$L$992,"&lt;&gt;",DATA!$E$2:$E$992,"&gt;="&amp;DATE(2026,2,1),DATA!$E$2:$E$992,"&lt;="&amp;EOMONTH(DATE(2026,2,1),0))</f>
        <v>0</v>
      </c>
      <c r="D26" s="312">
        <f>D25-COUNTIFS(DATA!$L$2:$L$992,"&lt;&gt;",DATA!$E$2:$E$992,"&gt;="&amp;DATE(2026,3,1),DATA!$E$2:$E$992,"&lt;="&amp;EOMONTH(DATE(2026,3,1),0))</f>
        <v>0</v>
      </c>
      <c r="E26" s="312">
        <f>E25-COUNTIFS(DATA!$L$2:$L$992,"&lt;&gt;",DATA!$E$2:$E$992,"&gt;="&amp;DATE(2026,4,1),DATA!$E$2:$E$992,"&lt;="&amp;EOMONTH(DATE(2026,4,1),0))</f>
        <v>147</v>
      </c>
      <c r="F26" s="312">
        <f>F25-COUNTIFS(DATA!$L$2:$L$992,"&lt;&gt;",DATA!$E$2:$E$992,"&gt;="&amp;DATE(2026,5,1),DATA!$E$2:$E$992,"&lt;="&amp;EOMONTH(DATE(2026,5,1),0))</f>
        <v>219</v>
      </c>
      <c r="G26" s="312">
        <f>G25-COUNTIFS(DATA!$L$2:$L$992,"&lt;&gt;",DATA!$E$2:$E$992,"&gt;="&amp;DATE(2026,6,1),DATA!$E$2:$E$992,"&lt;="&amp;EOMONTH(DATE(2026,6,1),0))</f>
        <v>24</v>
      </c>
      <c r="H26" s="312">
        <f>H25-COUNTIFS(DATA!$L$2:$L$992,"&lt;&gt;",DATA!$E$2:$E$992,"&gt;="&amp;DATE(2026,7,1),DATA!$E$2:$E$992,"&lt;="&amp;EOMONTH(DATE(2026,7,1),0))</f>
        <v>0</v>
      </c>
      <c r="I26" s="312">
        <f>I25-COUNTIFS(DATA!$L$2:$L$992,"&lt;&gt;",DATA!$E$2:$E$992,"&gt;="&amp;DATE(2026,8,1),DATA!$E$2:$E$992,"&lt;="&amp;EOMONTH(DATE(2026,8,1),0))</f>
        <v>0</v>
      </c>
      <c r="J26" s="312">
        <f>J25-COUNTIFS(DATA!$L$2:$L$992,"&lt;&gt;",DATA!$E$2:$E$992,"&gt;="&amp;DATE(2026,9,1),DATA!$E$2:$E$992,"&lt;="&amp;EOMONTH(DATE(2026,9,1),0))</f>
        <v>0</v>
      </c>
      <c r="K26" s="312">
        <f>K25-COUNTIFS(DATA!$L$2:$L$992,"&lt;&gt;",DATA!$E$2:$E$992,"&gt;="&amp;DATE(2026,10,1),DATA!$E$2:$E$992,"&lt;="&amp;EOMONTH(DATE(2026,10,1),0))</f>
        <v>0</v>
      </c>
      <c r="L26" s="312">
        <f>L25-COUNTIFS(DATA!$L$2:$L$992,"&lt;&gt;",DATA!$E$2:$E$992,"&gt;="&amp;DATE(2026,11,1),DATA!$E$2:$E$992,"&lt;="&amp;EOMONTH(DATE(2026,11,1),0))</f>
        <v>0</v>
      </c>
      <c r="M26" s="312">
        <f>SUM(B26:L26)</f>
        <v>390</v>
      </c>
    </row>
    <row r="27" spans="1:13" ht="21.75" customHeight="1"/>
    <row r="28" spans="1:13" ht="21.75" customHeight="1"/>
    <row r="29" spans="1:13" ht="21.75" customHeight="1"/>
    <row r="30" spans="1:13" ht="21.75" customHeight="1"/>
    <row r="31" spans="1:13" ht="21.75" customHeight="1"/>
    <row r="32" spans="1:13" ht="21.75" customHeight="1"/>
    <row r="33" ht="21.75" customHeight="1"/>
    <row r="34" ht="21.75" customHeight="1"/>
    <row r="35" ht="21.75" customHeight="1"/>
    <row r="36" ht="21.75" customHeight="1"/>
    <row r="37" ht="21.75" customHeight="1"/>
    <row r="38" ht="21.75" customHeight="1"/>
    <row r="39" ht="21.75" customHeight="1"/>
    <row r="40" ht="21.75" customHeight="1"/>
    <row r="41" ht="21.75" customHeight="1"/>
    <row r="42" ht="21.75" customHeight="1"/>
    <row r="43" ht="21.75" customHeight="1"/>
    <row r="44" ht="21.75" customHeight="1"/>
    <row r="45" ht="21.75" customHeight="1"/>
    <row r="46" ht="21.75" customHeight="1"/>
    <row r="47" ht="21.75" customHeight="1"/>
    <row r="48" ht="21.75" customHeight="1"/>
    <row r="49" ht="21.75" customHeight="1"/>
    <row r="50" ht="21.75" customHeight="1"/>
    <row r="51" ht="21.75" customHeight="1"/>
    <row r="52" ht="21.75" customHeight="1"/>
    <row r="53" ht="21.75" customHeight="1"/>
    <row r="54" ht="21.75" customHeight="1"/>
    <row r="55" ht="21.75" customHeight="1"/>
    <row r="56" ht="21.75" customHeight="1"/>
    <row r="57" ht="21.75" customHeight="1"/>
    <row r="58" ht="21.75" customHeight="1"/>
    <row r="59" ht="21.75" customHeight="1"/>
    <row r="60" ht="21.75" customHeight="1"/>
    <row r="61" ht="21.75" customHeight="1"/>
    <row r="62" ht="21.75" customHeight="1"/>
    <row r="63" ht="21.75" customHeight="1"/>
    <row r="64" ht="21.75" customHeight="1"/>
    <row r="65" ht="21.75" customHeight="1"/>
    <row r="66" ht="21.75" customHeight="1"/>
    <row r="67" ht="21.75" customHeight="1"/>
    <row r="68" ht="21.75" customHeight="1"/>
    <row r="69" ht="21.75" customHeight="1"/>
    <row r="70" ht="21.75" customHeight="1"/>
    <row r="71" ht="21.75" customHeight="1"/>
    <row r="72" ht="21.75" customHeight="1"/>
    <row r="73" ht="21.75" customHeight="1"/>
    <row r="74" ht="21.75" customHeight="1"/>
    <row r="75" ht="21.75" customHeight="1"/>
    <row r="76" ht="21.75" customHeight="1"/>
    <row r="77" ht="21.75" customHeight="1"/>
    <row r="78" ht="21.75" customHeight="1"/>
    <row r="79" ht="21.75" customHeight="1"/>
    <row r="80" ht="21.75" customHeight="1"/>
    <row r="81" ht="21.75" customHeight="1"/>
    <row r="82" ht="21.7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2">
    <mergeCell ref="A16:M16"/>
    <mergeCell ref="A1:M1"/>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4"/>
  <sheetViews>
    <sheetView showGridLines="0" rightToLeft="1" zoomScale="85" zoomScaleNormal="85" workbookViewId="0">
      <selection activeCell="J1988" sqref="J1988"/>
    </sheetView>
  </sheetViews>
  <sheetFormatPr defaultRowHeight="15"/>
  <cols>
    <col min="1" max="1" width="24.7109375" customWidth="1"/>
    <col min="2" max="3" width="14.85546875" customWidth="1"/>
    <col min="5" max="5" width="21" customWidth="1"/>
    <col min="6" max="7" width="14.85546875" customWidth="1"/>
    <col min="9" max="9" width="11.42578125" customWidth="1"/>
    <col min="10" max="11" width="14.85546875" customWidth="1"/>
  </cols>
  <sheetData>
    <row r="1" spans="1:11" ht="26.1" customHeight="1">
      <c r="A1" s="517" t="s">
        <v>1211</v>
      </c>
      <c r="B1" s="373"/>
      <c r="C1" s="373"/>
      <c r="D1" s="373"/>
      <c r="E1" s="373"/>
      <c r="F1" s="373"/>
      <c r="G1" s="373"/>
      <c r="H1" s="373"/>
      <c r="I1" s="373"/>
      <c r="J1" s="373"/>
      <c r="K1" s="373"/>
    </row>
    <row r="2" spans="1:11">
      <c r="B2" s="204" t="s">
        <v>1212</v>
      </c>
      <c r="C2" s="313">
        <f>DATE(2026,4,1)</f>
        <v>46113</v>
      </c>
      <c r="D2" s="204" t="s">
        <v>1213</v>
      </c>
      <c r="E2" s="313">
        <f>DATE(2026,6,30)</f>
        <v>46203</v>
      </c>
    </row>
    <row r="3" spans="1:11">
      <c r="A3" s="212" t="s">
        <v>1214</v>
      </c>
    </row>
    <row r="4" spans="1:11">
      <c r="A4" s="211" t="s">
        <v>1215</v>
      </c>
      <c r="E4" s="211" t="s">
        <v>1216</v>
      </c>
      <c r="I4" s="211" t="s">
        <v>1217</v>
      </c>
    </row>
    <row r="5" spans="1:11">
      <c r="A5" s="213" t="s">
        <v>1218</v>
      </c>
      <c r="B5" s="213" t="s">
        <v>1219</v>
      </c>
      <c r="C5" s="213" t="s">
        <v>1168</v>
      </c>
      <c r="E5" s="213" t="s">
        <v>46</v>
      </c>
      <c r="F5" s="213" t="s">
        <v>1219</v>
      </c>
      <c r="G5" s="213" t="s">
        <v>1168</v>
      </c>
      <c r="I5" s="213" t="s">
        <v>643</v>
      </c>
      <c r="J5" s="213" t="s">
        <v>1219</v>
      </c>
      <c r="K5" s="213" t="s">
        <v>1168</v>
      </c>
    </row>
    <row r="6" spans="1:11">
      <c r="A6" s="214" t="s">
        <v>118</v>
      </c>
      <c r="B6" s="215">
        <f>COUNTIFS(DATA!$L:$L,$A6,DATA!$E:$E,"&gt;="&amp;$C$2,DATA!$E:$E,"&lt;="&amp;$E$2)</f>
        <v>56</v>
      </c>
      <c r="C6" s="314">
        <f>IFERROR(AVERAGEIFS(DATA!$AI:$AI,DATA!$L:$L,$A6,DATA!$E:$E,"&gt;="&amp;$C$2,DATA!$E:$E,"&lt;="&amp;$E$2),"")</f>
        <v>98.026785714285708</v>
      </c>
      <c r="E6" s="214" t="s">
        <v>134</v>
      </c>
      <c r="F6" s="215">
        <f>COUNTIFS(DATA!$AD:$AD,$E6,DATA!$E:$E,"&gt;="&amp;$C$2,DATA!$E:$E,"&lt;="&amp;$E$2)</f>
        <v>32</v>
      </c>
      <c r="G6" s="314">
        <f>IFERROR(AVERAGEIFS(DATA!$AI:$AI,DATA!$AD:$AD,$E6,DATA!$E:$E,"&gt;="&amp;$C$2,DATA!$E:$E,"&lt;="&amp;$E$2),"")</f>
        <v>81.09375</v>
      </c>
      <c r="I6" s="214">
        <v>4</v>
      </c>
      <c r="J6" s="215">
        <f>COUNTIFS(DATA!$AK:$AK,$I6,DATA!$E:$E,"&gt;="&amp;$C$2,DATA!$E:$E,"&lt;="&amp;$E$2)</f>
        <v>79</v>
      </c>
      <c r="K6" s="314">
        <f>IFERROR(AVERAGEIFS(DATA!$AI:$AI,DATA!$AK:$AK,$I6,DATA!$E:$E,"&gt;="&amp;$C$2,DATA!$E:$E,"&lt;="&amp;$E$2),"")</f>
        <v>87.24683544303798</v>
      </c>
    </row>
    <row r="7" spans="1:11">
      <c r="A7" s="214" t="s">
        <v>375</v>
      </c>
      <c r="B7" s="215">
        <f>COUNTIFS(DATA!$L:$L,$A7,DATA!$E:$E,"&gt;="&amp;$C$2,DATA!$E:$E,"&lt;="&amp;$E$2)</f>
        <v>1</v>
      </c>
      <c r="C7" s="314">
        <f>IFERROR(AVERAGEIFS(DATA!$AI:$AI,DATA!$L:$L,$A7,DATA!$E:$E,"&gt;="&amp;$C$2,DATA!$E:$E,"&lt;="&amp;$E$2),"")</f>
        <v>32</v>
      </c>
      <c r="E7" s="214" t="s">
        <v>26</v>
      </c>
      <c r="F7" s="215">
        <f>COUNTIFS(DATA!$AD:$AD,$E7,DATA!$E:$E,"&gt;="&amp;$C$2,DATA!$E:$E,"&lt;="&amp;$E$2)</f>
        <v>187</v>
      </c>
      <c r="G7" s="314">
        <f>IFERROR(AVERAGEIFS(DATA!$AI:$AI,DATA!$AD:$AD,$E7,DATA!$E:$E,"&gt;="&amp;$C$2,DATA!$E:$E,"&lt;="&amp;$E$2),"")</f>
        <v>92.537433155080208</v>
      </c>
      <c r="I7" s="214">
        <v>5</v>
      </c>
      <c r="J7" s="215">
        <f>COUNTIFS(DATA!$AK:$AK,$I7,DATA!$E:$E,"&gt;="&amp;$C$2,DATA!$E:$E,"&lt;="&amp;$E$2)</f>
        <v>123</v>
      </c>
      <c r="K7" s="314">
        <f>IFERROR(AVERAGEIFS(DATA!$AI:$AI,DATA!$AK:$AK,$I7,DATA!$E:$E,"&gt;="&amp;$C$2,DATA!$E:$E,"&lt;="&amp;$E$2),"")</f>
        <v>93.239837398373979</v>
      </c>
    </row>
    <row r="8" spans="1:11">
      <c r="A8" s="214" t="s">
        <v>171</v>
      </c>
      <c r="B8" s="215">
        <f>COUNTIFS(DATA!$L:$L,$A8,DATA!$E:$E,"&gt;="&amp;$C$2,DATA!$E:$E,"&lt;="&amp;$E$2)</f>
        <v>4</v>
      </c>
      <c r="C8" s="314">
        <f>IFERROR(AVERAGEIFS(DATA!$AI:$AI,DATA!$L:$L,$A8,DATA!$E:$E,"&gt;="&amp;$C$2,DATA!$E:$E,"&lt;="&amp;$E$2),"")</f>
        <v>95</v>
      </c>
      <c r="I8" s="214">
        <v>6</v>
      </c>
      <c r="J8" s="215">
        <f>COUNTIFS(DATA!$AK:$AK,$I8,DATA!$E:$E,"&gt;="&amp;$C$2,DATA!$E:$E,"&lt;="&amp;$E$2)</f>
        <v>17</v>
      </c>
      <c r="K8" s="314">
        <f>IFERROR(AVERAGEIFS(DATA!$AI:$AI,DATA!$AK:$AK,$I8,DATA!$E:$E,"&gt;="&amp;$C$2,DATA!$E:$E,"&lt;="&amp;$E$2),"")</f>
        <v>90.5</v>
      </c>
    </row>
    <row r="9" spans="1:11">
      <c r="A9" s="214" t="s">
        <v>378</v>
      </c>
      <c r="B9" s="215">
        <f>COUNTIFS(DATA!$L:$L,$A9,DATA!$E:$E,"&gt;="&amp;$C$2,DATA!$E:$E,"&lt;="&amp;$E$2)</f>
        <v>2</v>
      </c>
      <c r="C9" s="314">
        <f>IFERROR(AVERAGEIFS(DATA!$AI:$AI,DATA!$L:$L,$A9,DATA!$E:$E,"&gt;="&amp;$C$2,DATA!$E:$E,"&lt;="&amp;$E$2),"")</f>
        <v>100</v>
      </c>
    </row>
    <row r="10" spans="1:11">
      <c r="A10" s="214" t="s">
        <v>187</v>
      </c>
      <c r="B10" s="215">
        <f>COUNTIFS(DATA!$L:$L,$A10,DATA!$E:$E,"&gt;="&amp;$C$2,DATA!$E:$E,"&lt;="&amp;$E$2)</f>
        <v>3</v>
      </c>
      <c r="C10" s="314">
        <f>IFERROR(AVERAGEIFS(DATA!$AI:$AI,DATA!$L:$L,$A10,DATA!$E:$E,"&gt;="&amp;$C$2,DATA!$E:$E,"&lt;="&amp;$E$2),"")</f>
        <v>100</v>
      </c>
    </row>
    <row r="11" spans="1:11">
      <c r="A11" s="214" t="s">
        <v>274</v>
      </c>
      <c r="B11" s="215">
        <f>COUNTIFS(DATA!$L:$L,$A11,DATA!$E:$E,"&gt;="&amp;$C$2,DATA!$E:$E,"&lt;="&amp;$E$2)</f>
        <v>1</v>
      </c>
      <c r="C11" s="314">
        <f>IFERROR(AVERAGEIFS(DATA!$AI:$AI,DATA!$L:$L,$A11,DATA!$E:$E,"&gt;="&amp;$C$2,DATA!$E:$E,"&lt;="&amp;$E$2),"")</f>
        <v>100</v>
      </c>
    </row>
    <row r="12" spans="1:11">
      <c r="A12" s="214" t="s">
        <v>292</v>
      </c>
      <c r="B12" s="215">
        <f>COUNTIFS(DATA!$L:$L,$A12,DATA!$E:$E,"&gt;="&amp;$C$2,DATA!$E:$E,"&lt;="&amp;$E$2)</f>
        <v>8</v>
      </c>
      <c r="C12" s="314">
        <f>IFERROR(AVERAGEIFS(DATA!$AI:$AI,DATA!$L:$L,$A12,DATA!$E:$E,"&gt;="&amp;$C$2,DATA!$E:$E,"&lt;="&amp;$E$2),"")</f>
        <v>76.1875</v>
      </c>
    </row>
    <row r="13" spans="1:11">
      <c r="A13" s="214" t="s">
        <v>301</v>
      </c>
      <c r="B13" s="215">
        <f>COUNTIFS(DATA!$L:$L,$A13,DATA!$E:$E,"&gt;="&amp;$C$2,DATA!$E:$E,"&lt;="&amp;$E$2)</f>
        <v>2</v>
      </c>
      <c r="C13" s="314">
        <f>IFERROR(AVERAGEIFS(DATA!$AI:$AI,DATA!$L:$L,$A13,DATA!$E:$E,"&gt;="&amp;$C$2,DATA!$E:$E,"&lt;="&amp;$E$2),"")</f>
        <v>100</v>
      </c>
    </row>
    <row r="14" spans="1:11">
      <c r="A14" s="214" t="s">
        <v>306</v>
      </c>
      <c r="B14" s="215">
        <f>COUNTIFS(DATA!$L:$L,$A14,DATA!$E:$E,"&gt;="&amp;$C$2,DATA!$E:$E,"&lt;="&amp;$E$2)</f>
        <v>1</v>
      </c>
      <c r="C14" s="314">
        <f>IFERROR(AVERAGEIFS(DATA!$AI:$AI,DATA!$L:$L,$A14,DATA!$E:$E,"&gt;="&amp;$C$2,DATA!$E:$E,"&lt;="&amp;$E$2),"")</f>
        <v>100</v>
      </c>
    </row>
    <row r="15" spans="1:11">
      <c r="A15" s="214" t="s">
        <v>309</v>
      </c>
      <c r="B15" s="215">
        <f>COUNTIFS(DATA!$L:$L,$A15,DATA!$E:$E,"&gt;="&amp;$C$2,DATA!$E:$E,"&lt;="&amp;$E$2)</f>
        <v>1</v>
      </c>
      <c r="C15" s="314">
        <f>IFERROR(AVERAGEIFS(DATA!$AI:$AI,DATA!$L:$L,$A15,DATA!$E:$E,"&gt;="&amp;$C$2,DATA!$E:$E,"&lt;="&amp;$E$2),"")</f>
        <v>82.5</v>
      </c>
    </row>
    <row r="16" spans="1:11">
      <c r="A16" s="214" t="s">
        <v>312</v>
      </c>
      <c r="B16" s="215">
        <f>COUNTIFS(DATA!$L:$L,$A16,DATA!$E:$E,"&gt;="&amp;$C$2,DATA!$E:$E,"&lt;="&amp;$E$2)</f>
        <v>3</v>
      </c>
      <c r="C16" s="314">
        <f>IFERROR(AVERAGEIFS(DATA!$AI:$AI,DATA!$L:$L,$A16,DATA!$E:$E,"&gt;="&amp;$C$2,DATA!$E:$E,"&lt;="&amp;$E$2),"")</f>
        <v>95.166666666666671</v>
      </c>
    </row>
    <row r="17" spans="1:3">
      <c r="A17" s="214" t="s">
        <v>324</v>
      </c>
      <c r="B17" s="215">
        <f>COUNTIFS(DATA!$L:$L,$A17,DATA!$E:$E,"&gt;="&amp;$C$2,DATA!$E:$E,"&lt;="&amp;$E$2)</f>
        <v>7</v>
      </c>
      <c r="C17" s="314">
        <f>IFERROR(AVERAGEIFS(DATA!$AI:$AI,DATA!$L:$L,$A17,DATA!$E:$E,"&gt;="&amp;$C$2,DATA!$E:$E,"&lt;="&amp;$E$2),"")</f>
        <v>100</v>
      </c>
    </row>
    <row r="18" spans="1:3">
      <c r="A18" s="214" t="s">
        <v>372</v>
      </c>
      <c r="B18" s="215">
        <f>COUNTIFS(DATA!$L:$L,$A18,DATA!$E:$E,"&gt;="&amp;$C$2,DATA!$E:$E,"&lt;="&amp;$E$2)</f>
        <v>1</v>
      </c>
      <c r="C18" s="314">
        <f>IFERROR(AVERAGEIFS(DATA!$AI:$AI,DATA!$L:$L,$A18,DATA!$E:$E,"&gt;="&amp;$C$2,DATA!$E:$E,"&lt;="&amp;$E$2),"")</f>
        <v>100</v>
      </c>
    </row>
    <row r="19" spans="1:3">
      <c r="A19" s="214" t="s">
        <v>155</v>
      </c>
      <c r="B19" s="215">
        <f>COUNTIFS(DATA!$L:$L,$A19,DATA!$E:$E,"&gt;="&amp;$C$2,DATA!$E:$E,"&lt;="&amp;$E$2)</f>
        <v>9</v>
      </c>
      <c r="C19" s="314">
        <f>IFERROR(AVERAGEIFS(DATA!$AI:$AI,DATA!$L:$L,$A19,DATA!$E:$E,"&gt;="&amp;$C$2,DATA!$E:$E,"&lt;="&amp;$E$2),"")</f>
        <v>96.777777777777771</v>
      </c>
    </row>
    <row r="20" spans="1:3">
      <c r="A20" s="214" t="s">
        <v>339</v>
      </c>
      <c r="B20" s="215">
        <f>COUNTIFS(DATA!$L:$L,$A20,DATA!$E:$E,"&gt;="&amp;$C$2,DATA!$E:$E,"&lt;="&amp;$E$2)</f>
        <v>2</v>
      </c>
      <c r="C20" s="314">
        <f>IFERROR(AVERAGEIFS(DATA!$AI:$AI,DATA!$L:$L,$A20,DATA!$E:$E,"&gt;="&amp;$C$2,DATA!$E:$E,"&lt;="&amp;$E$2),"")</f>
        <v>100</v>
      </c>
    </row>
    <row r="21" spans="1:3">
      <c r="A21" s="214" t="s">
        <v>381</v>
      </c>
      <c r="B21" s="215">
        <f>COUNTIFS(DATA!$L:$L,$A21,DATA!$E:$E,"&gt;="&amp;$C$2,DATA!$E:$E,"&lt;="&amp;$E$2)</f>
        <v>6</v>
      </c>
      <c r="C21" s="314">
        <f>IFERROR(AVERAGEIFS(DATA!$AI:$AI,DATA!$L:$L,$A21,DATA!$E:$E,"&gt;="&amp;$C$2,DATA!$E:$E,"&lt;="&amp;$E$2),"")</f>
        <v>100</v>
      </c>
    </row>
    <row r="22" spans="1:3">
      <c r="A22" s="214" t="s">
        <v>136</v>
      </c>
      <c r="B22" s="215">
        <f>COUNTIFS(DATA!$L:$L,$A22,DATA!$E:$E,"&gt;="&amp;$C$2,DATA!$E:$E,"&lt;="&amp;$E$2)</f>
        <v>14</v>
      </c>
      <c r="C22" s="314">
        <f>IFERROR(AVERAGEIFS(DATA!$AI:$AI,DATA!$L:$L,$A22,DATA!$E:$E,"&gt;="&amp;$C$2,DATA!$E:$E,"&lt;="&amp;$E$2),"")</f>
        <v>33.5</v>
      </c>
    </row>
    <row r="23" spans="1:3">
      <c r="A23" s="214" t="s">
        <v>342</v>
      </c>
      <c r="B23" s="215">
        <f>COUNTIFS(DATA!$L:$L,$A23,DATA!$E:$E,"&gt;="&amp;$C$2,DATA!$E:$E,"&lt;="&amp;$E$2)</f>
        <v>1</v>
      </c>
      <c r="C23" s="314">
        <f>IFERROR(AVERAGEIFS(DATA!$AI:$AI,DATA!$L:$L,$A23,DATA!$E:$E,"&gt;="&amp;$C$2,DATA!$E:$E,"&lt;="&amp;$E$2),"")</f>
        <v>100</v>
      </c>
    </row>
    <row r="24" spans="1:3">
      <c r="A24" s="214" t="s">
        <v>345</v>
      </c>
      <c r="B24" s="215">
        <f>COUNTIFS(DATA!$L:$L,$A24,DATA!$E:$E,"&gt;="&amp;$C$2,DATA!$E:$E,"&lt;="&amp;$E$2)</f>
        <v>1</v>
      </c>
      <c r="C24" s="314">
        <f>IFERROR(AVERAGEIFS(DATA!$AI:$AI,DATA!$L:$L,$A24,DATA!$E:$E,"&gt;="&amp;$C$2,DATA!$E:$E,"&lt;="&amp;$E$2),"")</f>
        <v>100</v>
      </c>
    </row>
    <row r="25" spans="1:3">
      <c r="A25" s="214" t="s">
        <v>199</v>
      </c>
      <c r="B25" s="215">
        <f>COUNTIFS(DATA!$L:$L,$A25,DATA!$E:$E,"&gt;="&amp;$C$2,DATA!$E:$E,"&lt;="&amp;$E$2)</f>
        <v>3</v>
      </c>
      <c r="C25" s="314">
        <f>IFERROR(AVERAGEIFS(DATA!$AI:$AI,DATA!$L:$L,$A25,DATA!$E:$E,"&gt;="&amp;$C$2,DATA!$E:$E,"&lt;="&amp;$E$2),"")</f>
        <v>100</v>
      </c>
    </row>
    <row r="26" spans="1:3">
      <c r="A26" s="214" t="s">
        <v>348</v>
      </c>
      <c r="B26" s="215">
        <f>COUNTIFS(DATA!$L:$L,$A26,DATA!$E:$E,"&gt;="&amp;$C$2,DATA!$E:$E,"&lt;="&amp;$E$2)</f>
        <v>1</v>
      </c>
      <c r="C26" s="314">
        <f>IFERROR(AVERAGEIFS(DATA!$AI:$AI,DATA!$L:$L,$A26,DATA!$E:$E,"&gt;="&amp;$C$2,DATA!$E:$E,"&lt;="&amp;$E$2),"")</f>
        <v>95.5</v>
      </c>
    </row>
    <row r="27" spans="1:3">
      <c r="A27" s="214" t="s">
        <v>351</v>
      </c>
      <c r="B27" s="215">
        <f>COUNTIFS(DATA!$L:$L,$A27,DATA!$E:$E,"&gt;="&amp;$C$2,DATA!$E:$E,"&lt;="&amp;$E$2)</f>
        <v>2</v>
      </c>
      <c r="C27" s="314">
        <f>IFERROR(AVERAGEIFS(DATA!$AI:$AI,DATA!$L:$L,$A27,DATA!$E:$E,"&gt;="&amp;$C$2,DATA!$E:$E,"&lt;="&amp;$E$2),"")</f>
        <v>100</v>
      </c>
    </row>
    <row r="28" spans="1:3">
      <c r="A28" s="214" t="s">
        <v>369</v>
      </c>
      <c r="B28" s="215">
        <f>COUNTIFS(DATA!$L:$L,$A28,DATA!$E:$E,"&gt;="&amp;$C$2,DATA!$E:$E,"&lt;="&amp;$E$2)</f>
        <v>68</v>
      </c>
      <c r="C28" s="314">
        <f>IFERROR(AVERAGEIFS(DATA!$AI:$AI,DATA!$L:$L,$A28,DATA!$E:$E,"&gt;="&amp;$C$2,DATA!$E:$E,"&lt;="&amp;$E$2),"")</f>
        <v>96.05147058823529</v>
      </c>
    </row>
    <row r="40" spans="1:4">
      <c r="A40" s="516" t="s">
        <v>1220</v>
      </c>
      <c r="B40" s="373"/>
      <c r="C40" s="373"/>
      <c r="D40" s="373"/>
    </row>
    <row r="41" spans="1:4">
      <c r="A41" s="213" t="s">
        <v>1221</v>
      </c>
      <c r="B41" s="213" t="s">
        <v>1222</v>
      </c>
      <c r="C41" s="213" t="s">
        <v>1223</v>
      </c>
      <c r="D41" s="213" t="s">
        <v>1224</v>
      </c>
    </row>
    <row r="42" spans="1:4">
      <c r="A42" s="216" t="s">
        <v>1225</v>
      </c>
      <c r="B42" s="217">
        <f>SUM(B6:B28)</f>
        <v>197</v>
      </c>
      <c r="C42" s="217">
        <f>COUNTIFS(DATA!$E:$E,"&gt;="&amp;$C$2,DATA!$E:$E,"&lt;="&amp;$E$2)</f>
        <v>219</v>
      </c>
      <c r="D42" s="217">
        <f>B42-C42</f>
        <v>-22</v>
      </c>
    </row>
    <row r="43" spans="1:4">
      <c r="A43" s="216" t="s">
        <v>1226</v>
      </c>
      <c r="B43" s="217">
        <f>SUM(F6:F7)</f>
        <v>219</v>
      </c>
      <c r="C43" s="217">
        <f>$C$42</f>
        <v>219</v>
      </c>
      <c r="D43" s="217">
        <f>B43-C43</f>
        <v>0</v>
      </c>
    </row>
    <row r="44" spans="1:4">
      <c r="A44" s="216" t="s">
        <v>1227</v>
      </c>
      <c r="B44" s="217">
        <f>SUM(J6:J8)</f>
        <v>219</v>
      </c>
      <c r="C44" s="217">
        <f>$C$42</f>
        <v>219</v>
      </c>
      <c r="D44" s="217">
        <f>B44-C44</f>
        <v>0</v>
      </c>
    </row>
  </sheetData>
  <mergeCells count="2">
    <mergeCell ref="A40:D40"/>
    <mergeCell ref="A1:K1"/>
  </mergeCells>
  <conditionalFormatting sqref="D42:D44">
    <cfRule type="cellIs" priority="1" operator="between"/>
    <cfRule type="cellIs" dxfId="2" priority="2" operator="equal">
      <formula>0</formula>
    </cfRule>
    <cfRule type="cellIs" dxfId="1" priority="3" operator="notEqual">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2:D16"/>
  <sheetViews>
    <sheetView showGridLines="0" rightToLeft="1" workbookViewId="0">
      <selection activeCell="J1988" sqref="J1988"/>
    </sheetView>
  </sheetViews>
  <sheetFormatPr defaultRowHeight="15"/>
  <cols>
    <col min="1" max="2" width="3.42578125" customWidth="1"/>
    <col min="3" max="3" width="33.28515625" customWidth="1"/>
    <col min="4" max="4" width="24.7109375" customWidth="1"/>
  </cols>
  <sheetData>
    <row r="2" spans="3:4" ht="27.95" customHeight="1">
      <c r="C2" s="518" t="s">
        <v>1228</v>
      </c>
      <c r="D2" s="373"/>
    </row>
    <row r="4" spans="3:4">
      <c r="C4" s="205" t="s">
        <v>1229</v>
      </c>
      <c r="D4" s="207">
        <f t="array" ref="D4">SUMPRODUCT(((DATA!$G$2:$G$992&lt;&gt;"")*1))</f>
        <v>218</v>
      </c>
    </row>
    <row r="5" spans="3:4">
      <c r="C5" s="205" t="s">
        <v>1230</v>
      </c>
      <c r="D5" s="207">
        <f>COUNTIF(DATA!$D$2:$D$992,"✓")</f>
        <v>74</v>
      </c>
    </row>
    <row r="6" spans="3:4">
      <c r="C6" s="205" t="s">
        <v>1231</v>
      </c>
      <c r="D6" s="207">
        <f>COUNTIF(DATA!$D$2:$D$992,"✗*")</f>
        <v>145</v>
      </c>
    </row>
    <row r="7" spans="3:4">
      <c r="C7" s="205" t="s">
        <v>1232</v>
      </c>
      <c r="D7" s="315">
        <f>IFERROR(D5/D4,0)</f>
        <v>0.33944954128440369</v>
      </c>
    </row>
    <row r="8" spans="3:4">
      <c r="C8" s="205"/>
      <c r="D8" s="206"/>
    </row>
    <row r="9" spans="3:4">
      <c r="C9" s="519" t="s">
        <v>1233</v>
      </c>
      <c r="D9" s="373"/>
    </row>
    <row r="10" spans="3:4">
      <c r="C10" s="205" t="s">
        <v>1234</v>
      </c>
      <c r="D10" s="207">
        <f t="array" ref="D10">SUMPRODUCT((DATA!$N$2:$N$992="")*(DATA!$G$2:$G$992&lt;&gt;""))</f>
        <v>108</v>
      </c>
    </row>
    <row r="11" spans="3:4">
      <c r="C11" s="205" t="s">
        <v>1235</v>
      </c>
      <c r="D11" s="207">
        <f t="array" ref="D11">SUMPRODUCT((DATA!$E$2:$E$992="")*(DATA!$G$2:$G$992&lt;&gt;""))</f>
        <v>0</v>
      </c>
    </row>
    <row r="12" spans="3:4">
      <c r="C12" s="205" t="s">
        <v>1236</v>
      </c>
      <c r="D12" s="207">
        <f t="array" ref="D12">SUMPRODUCT((DATA!$AD$2:$AD$992="")*(DATA!$G$2:$G$992&lt;&gt;""))</f>
        <v>0</v>
      </c>
    </row>
    <row r="13" spans="3:4">
      <c r="C13" s="205" t="s">
        <v>1237</v>
      </c>
      <c r="D13" s="207">
        <f t="array" ref="D13">SUMPRODUCT((DATA!$K$2:$K$992="")*(DATA!$G$2:$G$992&lt;&gt;""))</f>
        <v>0</v>
      </c>
    </row>
    <row r="14" spans="3:4">
      <c r="C14" s="205" t="s">
        <v>1238</v>
      </c>
      <c r="D14" s="207">
        <f t="array" ref="D14">SUMPRODUCT((DATA!$M$2:$M$992&lt;&gt;"")*(DATA!$G$2:$G$992&lt;&gt;""))</f>
        <v>18</v>
      </c>
    </row>
    <row r="15" spans="3:4">
      <c r="C15" s="205" t="s">
        <v>1167</v>
      </c>
      <c r="D15" s="207">
        <f t="array" ref="D15">IFERROR(SUMPRODUCT((DATA!$L$2:$L$992&lt;&gt;"")/COUNTIF(DATA!$L$2:$L$992,DATA!$L$2:$L$992&amp;"")),0)</f>
        <v>23.000000000000011</v>
      </c>
    </row>
    <row r="16" spans="3:4">
      <c r="C16" s="205" t="s">
        <v>1239</v>
      </c>
      <c r="D16" s="206" t="str">
        <f>IF(D4=0,"",TEXT(MIN(DATA!$E$2:$E$992),"yyyy/mm/dd")&amp;" – "&amp;TEXT(MAX(DATA!$E$2:$E$992),"yyyy/mm/dd"))</f>
        <v>2026/04/01 – 2026/06/08</v>
      </c>
    </row>
  </sheetData>
  <mergeCells count="2">
    <mergeCell ref="C2:D2"/>
    <mergeCell ref="C9:D9"/>
  </mergeCells>
  <conditionalFormatting sqref="D10:D13">
    <cfRule type="cellIs" dxfId="0" priority="1"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A6E6E"/>
    <pageSetUpPr fitToPage="1"/>
  </sheetPr>
  <dimension ref="B1:N93"/>
  <sheetViews>
    <sheetView showGridLines="0" rightToLeft="1" topLeftCell="A5" zoomScale="85" zoomScaleNormal="85" workbookViewId="0">
      <selection activeCell="B45" sqref="B45:D45"/>
    </sheetView>
  </sheetViews>
  <sheetFormatPr defaultColWidth="8.7109375" defaultRowHeight="15"/>
  <cols>
    <col min="1" max="1" width="2" customWidth="1"/>
    <col min="2" max="2" width="6" customWidth="1"/>
    <col min="3" max="3" width="20" customWidth="1"/>
    <col min="4" max="4" width="15" customWidth="1"/>
    <col min="5" max="5" width="14" customWidth="1"/>
    <col min="6" max="6" width="15" customWidth="1"/>
    <col min="7" max="7" width="18" customWidth="1"/>
    <col min="8" max="9" width="20" customWidth="1"/>
    <col min="10" max="10" width="13" customWidth="1"/>
    <col min="11" max="12" width="12" customWidth="1"/>
    <col min="13" max="13" width="13" customWidth="1"/>
    <col min="14" max="14" width="6" customWidth="1"/>
  </cols>
  <sheetData>
    <row r="1" spans="2:14" ht="4.5" customHeight="1"/>
    <row r="2" spans="2:14" ht="12" customHeight="1">
      <c r="B2" s="42"/>
      <c r="C2" s="42"/>
      <c r="D2" s="42"/>
      <c r="E2" s="42"/>
      <c r="F2" s="42"/>
      <c r="G2" s="42"/>
      <c r="H2" s="42"/>
      <c r="I2" s="42"/>
      <c r="J2" s="42"/>
      <c r="K2" s="42"/>
      <c r="L2" s="42"/>
      <c r="M2" s="42"/>
      <c r="N2" s="42"/>
    </row>
    <row r="3" spans="2:14" ht="49.5" customHeight="1">
      <c r="B3" s="42"/>
      <c r="C3" s="509" t="s">
        <v>1240</v>
      </c>
      <c r="D3" s="373"/>
      <c r="E3" s="373"/>
      <c r="F3" s="373"/>
      <c r="G3" s="373"/>
      <c r="H3" s="373"/>
      <c r="I3" s="373"/>
      <c r="J3" s="373"/>
      <c r="K3" s="373"/>
      <c r="L3" s="373"/>
      <c r="M3" s="373"/>
      <c r="N3" s="373"/>
    </row>
    <row r="4" spans="2:14" ht="13.5" customHeight="1">
      <c r="B4" s="555" t="s">
        <v>1241</v>
      </c>
      <c r="C4" s="373"/>
      <c r="D4" s="373"/>
      <c r="E4" s="373"/>
      <c r="F4" s="373"/>
      <c r="G4" s="373"/>
      <c r="H4" s="373"/>
      <c r="I4" s="373"/>
      <c r="J4" s="373"/>
      <c r="K4" s="373"/>
      <c r="L4" s="373"/>
      <c r="M4" s="373"/>
      <c r="N4" s="373"/>
    </row>
    <row r="5" spans="2:14" ht="33.75" customHeight="1">
      <c r="B5" s="53" t="s">
        <v>1242</v>
      </c>
      <c r="C5" s="54" t="s">
        <v>1243</v>
      </c>
      <c r="D5" s="55" t="s">
        <v>628</v>
      </c>
      <c r="E5" s="44"/>
      <c r="F5" s="56" t="s">
        <v>1244</v>
      </c>
      <c r="G5" s="57" t="s">
        <v>1243</v>
      </c>
      <c r="H5" s="58" t="s">
        <v>93</v>
      </c>
      <c r="I5" s="44"/>
      <c r="J5" s="232" t="s">
        <v>1245</v>
      </c>
      <c r="K5" s="59" t="s">
        <v>1243</v>
      </c>
      <c r="L5" s="60" t="s">
        <v>46</v>
      </c>
      <c r="M5" s="556" t="s">
        <v>1246</v>
      </c>
      <c r="N5" s="373"/>
    </row>
    <row r="6" spans="2:14" ht="33.75" customHeight="1">
      <c r="B6" s="61" t="s">
        <v>1247</v>
      </c>
      <c r="C6" s="62" t="s">
        <v>1248</v>
      </c>
      <c r="D6" s="254">
        <v>46143</v>
      </c>
      <c r="E6" s="62" t="s">
        <v>1148</v>
      </c>
      <c r="F6" s="254">
        <v>46172</v>
      </c>
      <c r="G6" s="551" t="str">
        <f>IFERROR("⏱ مدة: "&amp;TEXT(F6-D6+1,"0")&amp;" يوم","—")</f>
        <v>⏱ مدة: 30 يوم</v>
      </c>
      <c r="H6" s="467"/>
      <c r="I6" s="531" t="str">
        <f>IFERROR("الفلاتر: 🏢 "&amp;C5&amp;"  |  🗂 "&amp;G5&amp;"  |  👤 "&amp;K5,"—")</f>
        <v>الفلاتر: 🏢 الكل  |  🗂 الكل  |  👤 الكل</v>
      </c>
      <c r="J6" s="373"/>
      <c r="K6" s="373"/>
      <c r="L6" s="373"/>
      <c r="M6" s="373"/>
      <c r="N6" s="373"/>
    </row>
    <row r="7" spans="2:14" ht="7.5" customHeight="1"/>
    <row r="8" spans="2:14" ht="27.75" customHeight="1">
      <c r="B8" s="504" t="s">
        <v>1249</v>
      </c>
      <c r="C8" s="373"/>
      <c r="D8" s="373"/>
      <c r="E8" s="373"/>
      <c r="F8" s="373"/>
      <c r="G8" s="373"/>
      <c r="H8" s="373"/>
      <c r="I8" s="373"/>
      <c r="J8" s="373"/>
      <c r="K8" s="373"/>
      <c r="L8" s="373"/>
      <c r="M8" s="373"/>
      <c r="N8" s="373"/>
    </row>
    <row r="9" spans="2:14" ht="7.5" customHeight="1"/>
    <row r="10" spans="2:14" ht="30" customHeight="1">
      <c r="C10" s="546" t="s">
        <v>1153</v>
      </c>
      <c r="D10" s="467"/>
      <c r="E10" s="497" t="s">
        <v>1154</v>
      </c>
      <c r="F10" s="467"/>
      <c r="G10" s="45" t="s">
        <v>1155</v>
      </c>
      <c r="H10" s="46" t="s">
        <v>1156</v>
      </c>
      <c r="I10" s="47" t="s">
        <v>1157</v>
      </c>
      <c r="J10" s="227" t="s">
        <v>1158</v>
      </c>
      <c r="K10" s="535" t="s">
        <v>1159</v>
      </c>
      <c r="L10" s="467"/>
      <c r="M10" s="45" t="s">
        <v>1250</v>
      </c>
      <c r="N10" s="227" t="s">
        <v>1160</v>
      </c>
    </row>
    <row r="11" spans="2:14" ht="43.5" customHeight="1">
      <c r="C11" s="553">
        <f>IFERROR(AVERAGEIFS(DATA!AI$2:AI$976,DATA!E$2:E$976,"&gt;="&amp;D$6,DATA!E$2:E$976,"&lt;="&amp;F$6,DATA!I$2:I$976,IF(C$5="الكل","*",C$5),DATA!K$2:K$976,IF(G$5="الكل","*",G$5),DATA!AD$2:AD$976,IF(K$5="الكل","*",K$5)),"—")</f>
        <v>92.991525423728817</v>
      </c>
      <c r="D11" s="467"/>
      <c r="E11" s="503">
        <f>IFERROR(COUNTIFS(DATA!E$2:E$976,"&gt;="&amp;D$6,DATA!E$2:E$976,"&lt;="&amp;F$6,DATA!I$2:I$976,IF(C$5="الكل","*",C$5),DATA!K$2:K$976,IF(G$5="الكل","*",G$5),DATA!AD$2:AD$976,IF(K$5="الكل","*",K$5),DATA!AI$2:AI$976,"&lt;&gt;"),0)</f>
        <v>118</v>
      </c>
      <c r="F11" s="467"/>
      <c r="G11" s="48">
        <f>IFERROR(COUNTIFS(DATA!E$2:E$976,"&gt;="&amp;D$6,DATA!E$2:E$976,"&lt;="&amp;F$6,DATA!I$2:I$976,IF(C$5="الكل","*",C$5),DATA!K$2:K$976,IF(G$5="الكل","*",G$5),DATA!AD$2:AD$976,IF(K$5="الكل","*",K$5),DATA!AI$2:AI$976,"&gt;=85"),0)</f>
        <v>103</v>
      </c>
      <c r="H11" s="63">
        <f>IFERROR(COUNTIFS(DATA!E$2:E$976,"&gt;="&amp;D$6,DATA!E$2:E$976,"&lt;="&amp;F$6,DATA!I$2:I$976,IF(C$5="الكل","*",C$5),DATA!K$2:K$976,IF(G$5="الكل","*",G$5),DATA!AD$2:AD$976,IF(K$5="الكل","*",K$5),DATA!AI$2:AI$976,"&gt;=70",DATA!AI$2:AI$976,"&lt;85"),0)</f>
        <v>3</v>
      </c>
      <c r="I11" s="50">
        <f>IFERROR(COUNTIFS(DATA!E$2:E$976,"&gt;="&amp;D$6,DATA!E$2:E$976,"&lt;="&amp;F$6,DATA!I$2:I$976,IF(C$5="الكل","*",C$5),DATA!K$2:K$976,IF(G$5="الكل","*",G$5),DATA!AD$2:AD$976,IF(K$5="الكل","*",K$5),DATA!AI$2:AI$976,"&gt;=60",DATA!AI$2:AI$976,"&lt;70"),0)</f>
        <v>5</v>
      </c>
      <c r="J11" s="51">
        <f>IFERROR(COUNTIFS(DATA!E$2:E$976,"&gt;="&amp;D$6,DATA!E$2:E$976,"&lt;="&amp;F$6,DATA!I$2:I$976,IF(C$5="الكل","*",C$5),DATA!K$2:K$976,IF(G$5="الكل","*",G$5),DATA!AD$2:AD$976,IF(K$5="الكل","*",K$5),DATA!AI$2:AI$976,"&lt;60"),0)</f>
        <v>7</v>
      </c>
      <c r="K11" s="539">
        <f>IFERROR(COUNTIFS(DATA!E$2:E$976,"&gt;="&amp;D$6,DATA!E$2:E$976,"&lt;="&amp;F$6,DATA!I$2:I$976,IF(C$5="الكل","*",C$5),DATA!K$2:K$976,IF(G$5="الكل","*",G$5),DATA!AD$2:AD$976,IF(K$5="الكل","*",K$5),DATA!AI$2:AI$976,"&gt;=70")/COUNTIFS(DATA!E$2:E$976,"&gt;="&amp;D$6,DATA!E$2:E$976,"&lt;="&amp;F$6,DATA!I$2:I$976,IF(C$5="الكل","*",C$5),DATA!K$2:K$976,IF(G$5="الكل","*",G$5),DATA!AD$2:AD$976,IF(K$5="الكل","*",K$5),DATA!AI$2:AI$976,"&lt;&gt;"),"—")</f>
        <v>0.89830508474576276</v>
      </c>
      <c r="L11" s="467"/>
      <c r="M11" s="316" t="str">
        <f ca="1">IFERROR(_xludf.maxifs(DATA!AI$2:AI$976,DATA!E$2:E$976,"&gt;="&amp;D$6,DATA!E$2:E$976,"&lt;="&amp;F$6,DATA!I$2:I$976,IF(C$5="الكل","*",C$5),DATA!K$2:K$976,IF(G$5="الكل","*",G$5),DATA!AD$2:AD$976,IF(K$5="الكل","*",K$5)),"—")</f>
        <v>—</v>
      </c>
      <c r="N11" s="317" t="str">
        <f ca="1">IFERROR(_xludf.minifs(DATA!AI$2:AI$976,DATA!E$2:E$976,"&gt;="&amp;D$6,DATA!E$2:E$976,"&lt;="&amp;F$6,DATA!I$2:I$976,IF(C$5="الكل","*",C$5),DATA!K$2:K$976,IF(G$5="الكل","*",G$5),DATA!AD$2:AD$976,IF(K$5="الكل","*",K$5)),"—")</f>
        <v>—</v>
      </c>
    </row>
    <row r="12" spans="2:14" ht="7.5" customHeight="1"/>
    <row r="13" spans="2:14" ht="30" customHeight="1">
      <c r="B13" s="475" t="s">
        <v>1161</v>
      </c>
      <c r="C13" s="472"/>
      <c r="D13" s="467"/>
      <c r="E13" s="510" t="str">
        <f>IFERROR(IF(C11="—","لا بيانات",IF(C11&gt;=85,"⭐  ممتاز — مستوى رقابي متميز يستحق التقدير",IF(C11&gt;=70,"🟢  جيد — أداء رقابي فوق المتوسط",IF(C11&gt;=60,"🟡  مقبول — يحتاج متابعة وتطوير","🔴  ضعيف — يتطلب تدخلاً عاجلاً وخطة تصحيحية")))),"—")</f>
        <v>⭐  ممتاز — مستوى رقابي متميز يستحق التقدير</v>
      </c>
      <c r="F13" s="472"/>
      <c r="G13" s="472"/>
      <c r="H13" s="472"/>
      <c r="I13" s="472"/>
      <c r="J13" s="472"/>
      <c r="K13" s="472"/>
      <c r="L13" s="472"/>
      <c r="M13" s="472"/>
      <c r="N13" s="467"/>
    </row>
    <row r="14" spans="2:14" ht="7.5" customHeight="1"/>
    <row r="15" spans="2:14" ht="30" customHeight="1">
      <c r="B15" s="475" t="s">
        <v>1162</v>
      </c>
      <c r="C15" s="472"/>
      <c r="D15" s="467"/>
      <c r="E15" s="554" t="str">
        <f>IFERROR(REPT("█",ROUND(C11/10,0))&amp;REPT("░",10-ROUND(C11/10,0))&amp;"   "&amp;TEXT(C11,"0.0")&amp;" / 100  |  امتثال: "&amp;TEXT(K11,"0%")&amp;"  |  تنبيهات: "&amp;J11,"░░░░░░░░░░")</f>
        <v>█████████░   93.0 / 100  |  امتثال: 90%  |  تنبيهات: 7</v>
      </c>
      <c r="F15" s="472"/>
      <c r="G15" s="472"/>
      <c r="H15" s="472"/>
      <c r="I15" s="472"/>
      <c r="J15" s="472"/>
      <c r="K15" s="472"/>
      <c r="L15" s="472"/>
      <c r="M15" s="472"/>
      <c r="N15" s="467"/>
    </row>
    <row r="16" spans="2:14" ht="7.5" customHeight="1"/>
    <row r="17" spans="2:14" ht="30" customHeight="1">
      <c r="B17" s="475" t="s">
        <v>1251</v>
      </c>
      <c r="C17" s="472"/>
      <c r="D17" s="467"/>
      <c r="E17" s="529"/>
      <c r="F17" s="472"/>
      <c r="G17" s="472"/>
      <c r="H17" s="472"/>
      <c r="I17" s="472"/>
      <c r="J17" s="472"/>
      <c r="K17" s="472"/>
      <c r="L17" s="472"/>
      <c r="M17" s="472"/>
      <c r="N17" s="467"/>
    </row>
    <row r="18" spans="2:14" ht="7.5" customHeight="1"/>
    <row r="19" spans="2:14" ht="27.75" customHeight="1">
      <c r="B19" s="543" t="s">
        <v>1252</v>
      </c>
      <c r="C19" s="373"/>
      <c r="D19" s="373"/>
      <c r="E19" s="373"/>
      <c r="F19" s="373"/>
      <c r="G19" s="373"/>
      <c r="H19" s="373"/>
      <c r="I19" s="373"/>
      <c r="J19" s="373"/>
      <c r="K19" s="373"/>
      <c r="L19" s="373"/>
      <c r="M19" s="373"/>
      <c r="N19" s="373"/>
    </row>
    <row r="20" spans="2:14" ht="7.5" customHeight="1"/>
    <row r="21" spans="2:14" ht="27.75" customHeight="1">
      <c r="B21" s="536" t="s">
        <v>628</v>
      </c>
      <c r="C21" s="525"/>
      <c r="D21" s="526"/>
      <c r="E21" s="231" t="s">
        <v>1253</v>
      </c>
      <c r="F21" s="231" t="s">
        <v>1168</v>
      </c>
      <c r="G21" s="231" t="s">
        <v>1254</v>
      </c>
      <c r="H21" s="231" t="s">
        <v>1255</v>
      </c>
      <c r="I21" s="231" t="s">
        <v>1256</v>
      </c>
      <c r="J21" s="231" t="s">
        <v>1257</v>
      </c>
      <c r="K21" s="231" t="s">
        <v>1258</v>
      </c>
      <c r="L21" s="536" t="s">
        <v>1259</v>
      </c>
      <c r="M21" s="526"/>
      <c r="N21" s="231" t="s">
        <v>1175</v>
      </c>
    </row>
    <row r="22" spans="2:14" ht="7.5" customHeight="1"/>
    <row r="23" spans="2:14" ht="21.75" customHeight="1">
      <c r="B23" s="534" t="s">
        <v>1260</v>
      </c>
      <c r="C23" s="464"/>
      <c r="D23" s="465"/>
      <c r="E23" s="64">
        <f>IFERROR(COUNTIFS(DATA!E$2:E$976,"&gt;="&amp;D$6,DATA!E$2:E$976,"&lt;="&amp;F$6,DATA!I$2:I$976,B23,DATA!K$2:K$976,IF(G$5="الكل","*",G$5),DATA!AD$2:AD$976,IF(K$5="الكل","*",K$5),DATA!AI$2:AI$976,"&lt;&gt;"),0)</f>
        <v>0</v>
      </c>
      <c r="F23" s="318" t="str">
        <f>IFERROR(AVERAGEIFS(DATA!AI$2:AI$976,DATA!E$2:E$976,"&gt;="&amp;D$6,DATA!E$2:E$976,"&lt;="&amp;F$6,DATA!I$2:I$976,B23,DATA!K$2:K$976,IF(G$5="الكل","*",G$5),DATA!AD$2:AD$976,IF(K$5="الكل","*",K$5)),"—")</f>
        <v>—</v>
      </c>
      <c r="G23" s="319" t="str">
        <f ca="1">IFERROR(_xludf.maxifs(DATA!AI$2:AI$976,DATA!E$2:E$976,"&gt;="&amp;D$6,DATA!E$2:E$976,"&lt;="&amp;F$6,DATA!I$2:I$976,B23,DATA!K$2:K$976,IF(G$5="الكل","*",G$5),DATA!AD$2:AD$976,IF(K$5="الكل","*",K$5)),"—")</f>
        <v>—</v>
      </c>
      <c r="H23" s="320" t="str">
        <f ca="1">IFERROR(_xludf.minifs(DATA!AI$2:AI$976,DATA!E$2:E$976,"&gt;="&amp;D$6,DATA!E$2:E$976,"&lt;="&amp;F$6,DATA!I$2:I$976,B23,DATA!K$2:K$976,IF(G$5="الكل","*",G$5),DATA!AD$2:AD$976,IF(K$5="الكل","*",K$5)),"—")</f>
        <v>—</v>
      </c>
      <c r="I23" s="65">
        <f>IFERROR(COUNTIFS(DATA!E$2:E$976,"&gt;="&amp;D$6,DATA!E$2:E$976,"&lt;="&amp;F$6,DATA!I$2:I$976,B23,DATA!K$2:K$976,IF(G$5="الكل","*",G$5),DATA!AD$2:AD$976,IF(K$5="الكل","*",K$5),DATA!AI$2:AI$976,"&gt;=85"),0)</f>
        <v>0</v>
      </c>
      <c r="J23" s="66">
        <f>IFERROR(COUNTIFS(DATA!E$2:E$976,"&gt;="&amp;D$6,DATA!E$2:E$976,"&lt;="&amp;F$6,DATA!I$2:I$976,B23,DATA!K$2:K$976,IF(G$5="الكل","*",G$5),DATA!AD$2:AD$976,IF(K$5="الكل","*",K$5),DATA!AI$2:AI$976,"&lt;60"),0)</f>
        <v>0</v>
      </c>
      <c r="K23" s="67" t="str">
        <f>IFERROR(COUNTIFS(DATA!E$2:E$976,"&gt;="&amp;D$6,DATA!E$2:E$976,"&lt;="&amp;F$6,DATA!I$2:I$976,B23,DATA!K$2:K$976,IF(G$5="الكل","*",G$5),DATA!AD$2:AD$976,IF(K$5="الكل","*",K$5),DATA!AI$2:AI$976,"&gt;=70")/COUNTIFS(DATA!E$2:E$976,"&gt;="&amp;D$6,DATA!E$2:E$976,"&lt;="&amp;F$6,DATA!I$2:I$976,B23,DATA!K$2:K$976,IF(G$5="الكل","*",G$5),DATA!AD$2:AD$976,IF(K$5="الكل","*",K$5),DATA!AI$2:AI$976,"&lt;&gt;"),"—")</f>
        <v>—</v>
      </c>
      <c r="L23" s="542" t="str">
        <f t="shared" ref="L23:L32" si="0">IFERROR(IF(F23="—","—",REPT("█",ROUND(F23/10,0))&amp;REPT("░",10-ROUND(F23/10,0))),"—")</f>
        <v>—</v>
      </c>
      <c r="M23" s="465"/>
      <c r="N23" s="68" t="str">
        <f t="shared" ref="N23:N32" si="1">IFERROR(IF(F23="—","—",IF(F23&gt;=85,"⭐",IF(F23&gt;=70,"🟢",IF(F23&gt;=60,"🟡","🔴")))),"—")</f>
        <v>—</v>
      </c>
    </row>
    <row r="24" spans="2:14" ht="21.75" customHeight="1">
      <c r="B24" s="552" t="s">
        <v>1261</v>
      </c>
      <c r="C24" s="464"/>
      <c r="D24" s="465"/>
      <c r="E24" s="69">
        <f>IFERROR(COUNTIFS(DATA!E$2:E$976,"&gt;="&amp;D$6,DATA!E$2:E$976,"&lt;="&amp;F$6,DATA!I$2:I$976,B24,DATA!K$2:K$976,IF(G$5="الكل","*",G$5),DATA!AD$2:AD$976,IF(K$5="الكل","*",K$5),DATA!AI$2:AI$976,"&lt;&gt;"),0)</f>
        <v>0</v>
      </c>
      <c r="F24" s="321" t="str">
        <f>IFERROR(AVERAGEIFS(DATA!AI$2:AI$976,DATA!E$2:E$976,"&gt;="&amp;D$6,DATA!E$2:E$976,"&lt;="&amp;F$6,DATA!I$2:I$976,B24,DATA!K$2:K$976,IF(G$5="الكل","*",G$5),DATA!AD$2:AD$976,IF(K$5="الكل","*",K$5)),"—")</f>
        <v>—</v>
      </c>
      <c r="G24" s="322" t="str">
        <f ca="1">IFERROR(_xludf.maxifs(DATA!AI$2:AI$976,DATA!E$2:E$976,"&gt;="&amp;D$6,DATA!E$2:E$976,"&lt;="&amp;F$6,DATA!I$2:I$976,B24,DATA!K$2:K$976,IF(G$5="الكل","*",G$5),DATA!AD$2:AD$976,IF(K$5="الكل","*",K$5)),"—")</f>
        <v>—</v>
      </c>
      <c r="H24" s="323" t="str">
        <f ca="1">IFERROR(_xludf.minifs(DATA!AI$2:AI$976,DATA!E$2:E$976,"&gt;="&amp;D$6,DATA!E$2:E$976,"&lt;="&amp;F$6,DATA!I$2:I$976,B24,DATA!K$2:K$976,IF(G$5="الكل","*",G$5),DATA!AD$2:AD$976,IF(K$5="الكل","*",K$5)),"—")</f>
        <v>—</v>
      </c>
      <c r="I24" s="70">
        <f>IFERROR(COUNTIFS(DATA!E$2:E$976,"&gt;="&amp;D$6,DATA!E$2:E$976,"&lt;="&amp;F$6,DATA!I$2:I$976,B24,DATA!K$2:K$976,IF(G$5="الكل","*",G$5),DATA!AD$2:AD$976,IF(K$5="الكل","*",K$5),DATA!AI$2:AI$976,"&gt;=85"),0)</f>
        <v>0</v>
      </c>
      <c r="J24" s="71">
        <f>IFERROR(COUNTIFS(DATA!E$2:E$976,"&gt;="&amp;D$6,DATA!E$2:E$976,"&lt;="&amp;F$6,DATA!I$2:I$976,B24,DATA!K$2:K$976,IF(G$5="الكل","*",G$5),DATA!AD$2:AD$976,IF(K$5="الكل","*",K$5),DATA!AI$2:AI$976,"&lt;60"),0)</f>
        <v>0</v>
      </c>
      <c r="K24" s="72" t="str">
        <f>IFERROR(COUNTIFS(DATA!E$2:E$976,"&gt;="&amp;D$6,DATA!E$2:E$976,"&lt;="&amp;F$6,DATA!I$2:I$976,B24,DATA!K$2:K$976,IF(G$5="الكل","*",G$5),DATA!AD$2:AD$976,IF(K$5="الكل","*",K$5),DATA!AI$2:AI$976,"&gt;=70")/COUNTIFS(DATA!E$2:E$976,"&gt;="&amp;D$6,DATA!E$2:E$976,"&lt;="&amp;F$6,DATA!I$2:I$976,B24,DATA!K$2:K$976,IF(G$5="الكل","*",G$5),DATA!AD$2:AD$976,IF(K$5="الكل","*",K$5),DATA!AI$2:AI$976,"&lt;&gt;"),"—")</f>
        <v>—</v>
      </c>
      <c r="L24" s="541" t="str">
        <f t="shared" si="0"/>
        <v>—</v>
      </c>
      <c r="M24" s="465"/>
      <c r="N24" s="73" t="str">
        <f t="shared" si="1"/>
        <v>—</v>
      </c>
    </row>
    <row r="25" spans="2:14" ht="21.75" customHeight="1">
      <c r="B25" s="534" t="s">
        <v>1262</v>
      </c>
      <c r="C25" s="464"/>
      <c r="D25" s="465"/>
      <c r="E25" s="64">
        <f>IFERROR(COUNTIFS(DATA!E$2:E$976,"&gt;="&amp;D$6,DATA!E$2:E$976,"&lt;="&amp;F$6,DATA!I$2:I$976,B25,DATA!K$2:K$976,IF(G$5="الكل","*",G$5),DATA!AD$2:AD$976,IF(K$5="الكل","*",K$5),DATA!AI$2:AI$976,"&lt;&gt;"),0)</f>
        <v>0</v>
      </c>
      <c r="F25" s="318" t="str">
        <f>IFERROR(AVERAGEIFS(DATA!AI$2:AI$976,DATA!E$2:E$976,"&gt;="&amp;D$6,DATA!E$2:E$976,"&lt;="&amp;F$6,DATA!I$2:I$976,B25,DATA!K$2:K$976,IF(G$5="الكل","*",G$5),DATA!AD$2:AD$976,IF(K$5="الكل","*",K$5)),"—")</f>
        <v>—</v>
      </c>
      <c r="G25" s="319" t="str">
        <f ca="1">IFERROR(_xludf.maxifs(DATA!AI$2:AI$976,DATA!E$2:E$976,"&gt;="&amp;D$6,DATA!E$2:E$976,"&lt;="&amp;F$6,DATA!I$2:I$976,B25,DATA!K$2:K$976,IF(G$5="الكل","*",G$5),DATA!AD$2:AD$976,IF(K$5="الكل","*",K$5)),"—")</f>
        <v>—</v>
      </c>
      <c r="H25" s="320" t="str">
        <f ca="1">IFERROR(_xludf.minifs(DATA!AI$2:AI$976,DATA!E$2:E$976,"&gt;="&amp;D$6,DATA!E$2:E$976,"&lt;="&amp;F$6,DATA!I$2:I$976,B25,DATA!K$2:K$976,IF(G$5="الكل","*",G$5),DATA!AD$2:AD$976,IF(K$5="الكل","*",K$5)),"—")</f>
        <v>—</v>
      </c>
      <c r="I25" s="65">
        <f>IFERROR(COUNTIFS(DATA!E$2:E$976,"&gt;="&amp;D$6,DATA!E$2:E$976,"&lt;="&amp;F$6,DATA!I$2:I$976,B25,DATA!K$2:K$976,IF(G$5="الكل","*",G$5),DATA!AD$2:AD$976,IF(K$5="الكل","*",K$5),DATA!AI$2:AI$976,"&gt;=85"),0)</f>
        <v>0</v>
      </c>
      <c r="J25" s="66">
        <f>IFERROR(COUNTIFS(DATA!E$2:E$976,"&gt;="&amp;D$6,DATA!E$2:E$976,"&lt;="&amp;F$6,DATA!I$2:I$976,B25,DATA!K$2:K$976,IF(G$5="الكل","*",G$5),DATA!AD$2:AD$976,IF(K$5="الكل","*",K$5),DATA!AI$2:AI$976,"&lt;60"),0)</f>
        <v>0</v>
      </c>
      <c r="K25" s="67" t="str">
        <f>IFERROR(COUNTIFS(DATA!E$2:E$976,"&gt;="&amp;D$6,DATA!E$2:E$976,"&lt;="&amp;F$6,DATA!I$2:I$976,B25,DATA!K$2:K$976,IF(G$5="الكل","*",G$5),DATA!AD$2:AD$976,IF(K$5="الكل","*",K$5),DATA!AI$2:AI$976,"&gt;=70")/COUNTIFS(DATA!E$2:E$976,"&gt;="&amp;D$6,DATA!E$2:E$976,"&lt;="&amp;F$6,DATA!I$2:I$976,B25,DATA!K$2:K$976,IF(G$5="الكل","*",G$5),DATA!AD$2:AD$976,IF(K$5="الكل","*",K$5),DATA!AI$2:AI$976,"&lt;&gt;"),"—")</f>
        <v>—</v>
      </c>
      <c r="L25" s="542" t="str">
        <f t="shared" si="0"/>
        <v>—</v>
      </c>
      <c r="M25" s="465"/>
      <c r="N25" s="68" t="str">
        <f t="shared" si="1"/>
        <v>—</v>
      </c>
    </row>
    <row r="26" spans="2:14" ht="21.75" customHeight="1">
      <c r="B26" s="552" t="s">
        <v>1263</v>
      </c>
      <c r="C26" s="464"/>
      <c r="D26" s="465"/>
      <c r="E26" s="69">
        <f>IFERROR(COUNTIFS(DATA!E$2:E$976,"&gt;="&amp;D$6,DATA!E$2:E$976,"&lt;="&amp;F$6,DATA!I$2:I$976,B26,DATA!K$2:K$976,IF(G$5="الكل","*",G$5),DATA!AD$2:AD$976,IF(K$5="الكل","*",K$5),DATA!AI$2:AI$976,"&lt;&gt;"),0)</f>
        <v>0</v>
      </c>
      <c r="F26" s="321" t="str">
        <f>IFERROR(AVERAGEIFS(DATA!AI$2:AI$976,DATA!E$2:E$976,"&gt;="&amp;D$6,DATA!E$2:E$976,"&lt;="&amp;F$6,DATA!I$2:I$976,B26,DATA!K$2:K$976,IF(G$5="الكل","*",G$5),DATA!AD$2:AD$976,IF(K$5="الكل","*",K$5)),"—")</f>
        <v>—</v>
      </c>
      <c r="G26" s="322" t="str">
        <f ca="1">IFERROR(_xludf.maxifs(DATA!AI$2:AI$976,DATA!E$2:E$976,"&gt;="&amp;D$6,DATA!E$2:E$976,"&lt;="&amp;F$6,DATA!I$2:I$976,B26,DATA!K$2:K$976,IF(G$5="الكل","*",G$5),DATA!AD$2:AD$976,IF(K$5="الكل","*",K$5)),"—")</f>
        <v>—</v>
      </c>
      <c r="H26" s="323" t="str">
        <f ca="1">IFERROR(_xludf.minifs(DATA!AI$2:AI$976,DATA!E$2:E$976,"&gt;="&amp;D$6,DATA!E$2:E$976,"&lt;="&amp;F$6,DATA!I$2:I$976,B26,DATA!K$2:K$976,IF(G$5="الكل","*",G$5),DATA!AD$2:AD$976,IF(K$5="الكل","*",K$5)),"—")</f>
        <v>—</v>
      </c>
      <c r="I26" s="70">
        <f>IFERROR(COUNTIFS(DATA!E$2:E$976,"&gt;="&amp;D$6,DATA!E$2:E$976,"&lt;="&amp;F$6,DATA!I$2:I$976,B26,DATA!K$2:K$976,IF(G$5="الكل","*",G$5),DATA!AD$2:AD$976,IF(K$5="الكل","*",K$5),DATA!AI$2:AI$976,"&gt;=85"),0)</f>
        <v>0</v>
      </c>
      <c r="J26" s="71">
        <f>IFERROR(COUNTIFS(DATA!E$2:E$976,"&gt;="&amp;D$6,DATA!E$2:E$976,"&lt;="&amp;F$6,DATA!I$2:I$976,B26,DATA!K$2:K$976,IF(G$5="الكل","*",G$5),DATA!AD$2:AD$976,IF(K$5="الكل","*",K$5),DATA!AI$2:AI$976,"&lt;60"),0)</f>
        <v>0</v>
      </c>
      <c r="K26" s="72" t="str">
        <f>IFERROR(COUNTIFS(DATA!E$2:E$976,"&gt;="&amp;D$6,DATA!E$2:E$976,"&lt;="&amp;F$6,DATA!I$2:I$976,B26,DATA!K$2:K$976,IF(G$5="الكل","*",G$5),DATA!AD$2:AD$976,IF(K$5="الكل","*",K$5),DATA!AI$2:AI$976,"&gt;=70")/COUNTIFS(DATA!E$2:E$976,"&gt;="&amp;D$6,DATA!E$2:E$976,"&lt;="&amp;F$6,DATA!I$2:I$976,B26,DATA!K$2:K$976,IF(G$5="الكل","*",G$5),DATA!AD$2:AD$976,IF(K$5="الكل","*",K$5),DATA!AI$2:AI$976,"&lt;&gt;"),"—")</f>
        <v>—</v>
      </c>
      <c r="L26" s="541" t="str">
        <f t="shared" si="0"/>
        <v>—</v>
      </c>
      <c r="M26" s="465"/>
      <c r="N26" s="73" t="str">
        <f t="shared" si="1"/>
        <v>—</v>
      </c>
    </row>
    <row r="27" spans="2:14" ht="21.75" customHeight="1">
      <c r="B27" s="534" t="s">
        <v>1264</v>
      </c>
      <c r="C27" s="464"/>
      <c r="D27" s="465"/>
      <c r="E27" s="64">
        <f>IFERROR(COUNTIFS(DATA!E$2:E$976,"&gt;="&amp;D$6,DATA!E$2:E$976,"&lt;="&amp;F$6,DATA!I$2:I$976,B27,DATA!K$2:K$976,IF(G$5="الكل","*",G$5),DATA!AD$2:AD$976,IF(K$5="الكل","*",K$5),DATA!AI$2:AI$976,"&lt;&gt;"),0)</f>
        <v>0</v>
      </c>
      <c r="F27" s="318" t="str">
        <f>IFERROR(AVERAGEIFS(DATA!AI$2:AI$976,DATA!E$2:E$976,"&gt;="&amp;D$6,DATA!E$2:E$976,"&lt;="&amp;F$6,DATA!I$2:I$976,B27,DATA!K$2:K$976,IF(G$5="الكل","*",G$5),DATA!AD$2:AD$976,IF(K$5="الكل","*",K$5)),"—")</f>
        <v>—</v>
      </c>
      <c r="G27" s="319" t="str">
        <f ca="1">IFERROR(_xludf.maxifs(DATA!AI$2:AI$976,DATA!E$2:E$976,"&gt;="&amp;D$6,DATA!E$2:E$976,"&lt;="&amp;F$6,DATA!I$2:I$976,B27,DATA!K$2:K$976,IF(G$5="الكل","*",G$5),DATA!AD$2:AD$976,IF(K$5="الكل","*",K$5)),"—")</f>
        <v>—</v>
      </c>
      <c r="H27" s="320" t="str">
        <f ca="1">IFERROR(_xludf.minifs(DATA!AI$2:AI$976,DATA!E$2:E$976,"&gt;="&amp;D$6,DATA!E$2:E$976,"&lt;="&amp;F$6,DATA!I$2:I$976,B27,DATA!K$2:K$976,IF(G$5="الكل","*",G$5),DATA!AD$2:AD$976,IF(K$5="الكل","*",K$5)),"—")</f>
        <v>—</v>
      </c>
      <c r="I27" s="65">
        <f>IFERROR(COUNTIFS(DATA!E$2:E$976,"&gt;="&amp;D$6,DATA!E$2:E$976,"&lt;="&amp;F$6,DATA!I$2:I$976,B27,DATA!K$2:K$976,IF(G$5="الكل","*",G$5),DATA!AD$2:AD$976,IF(K$5="الكل","*",K$5),DATA!AI$2:AI$976,"&gt;=85"),0)</f>
        <v>0</v>
      </c>
      <c r="J27" s="66">
        <f>IFERROR(COUNTIFS(DATA!E$2:E$976,"&gt;="&amp;D$6,DATA!E$2:E$976,"&lt;="&amp;F$6,DATA!I$2:I$976,B27,DATA!K$2:K$976,IF(G$5="الكل","*",G$5),DATA!AD$2:AD$976,IF(K$5="الكل","*",K$5),DATA!AI$2:AI$976,"&lt;60"),0)</f>
        <v>0</v>
      </c>
      <c r="K27" s="67" t="str">
        <f>IFERROR(COUNTIFS(DATA!E$2:E$976,"&gt;="&amp;D$6,DATA!E$2:E$976,"&lt;="&amp;F$6,DATA!I$2:I$976,B27,DATA!K$2:K$976,IF(G$5="الكل","*",G$5),DATA!AD$2:AD$976,IF(K$5="الكل","*",K$5),DATA!AI$2:AI$976,"&gt;=70")/COUNTIFS(DATA!E$2:E$976,"&gt;="&amp;D$6,DATA!E$2:E$976,"&lt;="&amp;F$6,DATA!I$2:I$976,B27,DATA!K$2:K$976,IF(G$5="الكل","*",G$5),DATA!AD$2:AD$976,IF(K$5="الكل","*",K$5),DATA!AI$2:AI$976,"&lt;&gt;"),"—")</f>
        <v>—</v>
      </c>
      <c r="L27" s="542" t="str">
        <f t="shared" si="0"/>
        <v>—</v>
      </c>
      <c r="M27" s="465"/>
      <c r="N27" s="68" t="str">
        <f t="shared" si="1"/>
        <v>—</v>
      </c>
    </row>
    <row r="28" spans="2:14" ht="21.75" customHeight="1">
      <c r="B28" s="552" t="s">
        <v>1265</v>
      </c>
      <c r="C28" s="464"/>
      <c r="D28" s="465"/>
      <c r="E28" s="69">
        <f>IFERROR(COUNTIFS(DATA!E$2:E$976,"&gt;="&amp;D$6,DATA!E$2:E$976,"&lt;="&amp;F$6,DATA!I$2:I$976,B28,DATA!K$2:K$976,IF(G$5="الكل","*",G$5),DATA!AD$2:AD$976,IF(K$5="الكل","*",K$5),DATA!AI$2:AI$976,"&lt;&gt;"),0)</f>
        <v>0</v>
      </c>
      <c r="F28" s="321" t="str">
        <f>IFERROR(AVERAGEIFS(DATA!AI$2:AI$976,DATA!E$2:E$976,"&gt;="&amp;D$6,DATA!E$2:E$976,"&lt;="&amp;F$6,DATA!I$2:I$976,B28,DATA!K$2:K$976,IF(G$5="الكل","*",G$5),DATA!AD$2:AD$976,IF(K$5="الكل","*",K$5)),"—")</f>
        <v>—</v>
      </c>
      <c r="G28" s="322" t="str">
        <f ca="1">IFERROR(_xludf.maxifs(DATA!AI$2:AI$976,DATA!E$2:E$976,"&gt;="&amp;D$6,DATA!E$2:E$976,"&lt;="&amp;F$6,DATA!I$2:I$976,B28,DATA!K$2:K$976,IF(G$5="الكل","*",G$5),DATA!AD$2:AD$976,IF(K$5="الكل","*",K$5)),"—")</f>
        <v>—</v>
      </c>
      <c r="H28" s="323" t="str">
        <f ca="1">IFERROR(_xludf.minifs(DATA!AI$2:AI$976,DATA!E$2:E$976,"&gt;="&amp;D$6,DATA!E$2:E$976,"&lt;="&amp;F$6,DATA!I$2:I$976,B28,DATA!K$2:K$976,IF(G$5="الكل","*",G$5),DATA!AD$2:AD$976,IF(K$5="الكل","*",K$5)),"—")</f>
        <v>—</v>
      </c>
      <c r="I28" s="70">
        <f>IFERROR(COUNTIFS(DATA!E$2:E$976,"&gt;="&amp;D$6,DATA!E$2:E$976,"&lt;="&amp;F$6,DATA!I$2:I$976,B28,DATA!K$2:K$976,IF(G$5="الكل","*",G$5),DATA!AD$2:AD$976,IF(K$5="الكل","*",K$5),DATA!AI$2:AI$976,"&gt;=85"),0)</f>
        <v>0</v>
      </c>
      <c r="J28" s="71">
        <f>IFERROR(COUNTIFS(DATA!E$2:E$976,"&gt;="&amp;D$6,DATA!E$2:E$976,"&lt;="&amp;F$6,DATA!I$2:I$976,B28,DATA!K$2:K$976,IF(G$5="الكل","*",G$5),DATA!AD$2:AD$976,IF(K$5="الكل","*",K$5),DATA!AI$2:AI$976,"&lt;60"),0)</f>
        <v>0</v>
      </c>
      <c r="K28" s="72" t="str">
        <f>IFERROR(COUNTIFS(DATA!E$2:E$976,"&gt;="&amp;D$6,DATA!E$2:E$976,"&lt;="&amp;F$6,DATA!I$2:I$976,B28,DATA!K$2:K$976,IF(G$5="الكل","*",G$5),DATA!AD$2:AD$976,IF(K$5="الكل","*",K$5),DATA!AI$2:AI$976,"&gt;=70")/COUNTIFS(DATA!E$2:E$976,"&gt;="&amp;D$6,DATA!E$2:E$976,"&lt;="&amp;F$6,DATA!I$2:I$976,B28,DATA!K$2:K$976,IF(G$5="الكل","*",G$5),DATA!AD$2:AD$976,IF(K$5="الكل","*",K$5),DATA!AI$2:AI$976,"&lt;&gt;"),"—")</f>
        <v>—</v>
      </c>
      <c r="L28" s="541" t="str">
        <f t="shared" si="0"/>
        <v>—</v>
      </c>
      <c r="M28" s="465"/>
      <c r="N28" s="73" t="str">
        <f t="shared" si="1"/>
        <v>—</v>
      </c>
    </row>
    <row r="29" spans="2:14" ht="21.75" customHeight="1">
      <c r="B29" s="534" t="s">
        <v>1266</v>
      </c>
      <c r="C29" s="464"/>
      <c r="D29" s="465"/>
      <c r="E29" s="64">
        <f>IFERROR(COUNTIFS(DATA!E$2:E$976,"&gt;="&amp;D$6,DATA!E$2:E$976,"&lt;="&amp;F$6,DATA!I$2:I$976,B29,DATA!K$2:K$976,IF(G$5="الكل","*",G$5),DATA!AD$2:AD$976,IF(K$5="الكل","*",K$5),DATA!AI$2:AI$976,"&lt;&gt;"),0)</f>
        <v>0</v>
      </c>
      <c r="F29" s="318" t="str">
        <f>IFERROR(AVERAGEIFS(DATA!AI$2:AI$976,DATA!E$2:E$976,"&gt;="&amp;D$6,DATA!E$2:E$976,"&lt;="&amp;F$6,DATA!I$2:I$976,B29,DATA!K$2:K$976,IF(G$5="الكل","*",G$5),DATA!AD$2:AD$976,IF(K$5="الكل","*",K$5)),"—")</f>
        <v>—</v>
      </c>
      <c r="G29" s="319" t="str">
        <f ca="1">IFERROR(_xludf.maxifs(DATA!AI$2:AI$976,DATA!E$2:E$976,"&gt;="&amp;D$6,DATA!E$2:E$976,"&lt;="&amp;F$6,DATA!I$2:I$976,B29,DATA!K$2:K$976,IF(G$5="الكل","*",G$5),DATA!AD$2:AD$976,IF(K$5="الكل","*",K$5)),"—")</f>
        <v>—</v>
      </c>
      <c r="H29" s="320" t="str">
        <f ca="1">IFERROR(_xludf.minifs(DATA!AI$2:AI$976,DATA!E$2:E$976,"&gt;="&amp;D$6,DATA!E$2:E$976,"&lt;="&amp;F$6,DATA!I$2:I$976,B29,DATA!K$2:K$976,IF(G$5="الكل","*",G$5),DATA!AD$2:AD$976,IF(K$5="الكل","*",K$5)),"—")</f>
        <v>—</v>
      </c>
      <c r="I29" s="65">
        <f>IFERROR(COUNTIFS(DATA!E$2:E$976,"&gt;="&amp;D$6,DATA!E$2:E$976,"&lt;="&amp;F$6,DATA!I$2:I$976,B29,DATA!K$2:K$976,IF(G$5="الكل","*",G$5),DATA!AD$2:AD$976,IF(K$5="الكل","*",K$5),DATA!AI$2:AI$976,"&gt;=85"),0)</f>
        <v>0</v>
      </c>
      <c r="J29" s="66">
        <f>IFERROR(COUNTIFS(DATA!E$2:E$976,"&gt;="&amp;D$6,DATA!E$2:E$976,"&lt;="&amp;F$6,DATA!I$2:I$976,B29,DATA!K$2:K$976,IF(G$5="الكل","*",G$5),DATA!AD$2:AD$976,IF(K$5="الكل","*",K$5),DATA!AI$2:AI$976,"&lt;60"),0)</f>
        <v>0</v>
      </c>
      <c r="K29" s="67" t="str">
        <f>IFERROR(COUNTIFS(DATA!E$2:E$976,"&gt;="&amp;D$6,DATA!E$2:E$976,"&lt;="&amp;F$6,DATA!I$2:I$976,B29,DATA!K$2:K$976,IF(G$5="الكل","*",G$5),DATA!AD$2:AD$976,IF(K$5="الكل","*",K$5),DATA!AI$2:AI$976,"&gt;=70")/COUNTIFS(DATA!E$2:E$976,"&gt;="&amp;D$6,DATA!E$2:E$976,"&lt;="&amp;F$6,DATA!I$2:I$976,B29,DATA!K$2:K$976,IF(G$5="الكل","*",G$5),DATA!AD$2:AD$976,IF(K$5="الكل","*",K$5),DATA!AI$2:AI$976,"&lt;&gt;"),"—")</f>
        <v>—</v>
      </c>
      <c r="L29" s="542" t="str">
        <f t="shared" si="0"/>
        <v>—</v>
      </c>
      <c r="M29" s="465"/>
      <c r="N29" s="68" t="str">
        <f t="shared" si="1"/>
        <v>—</v>
      </c>
    </row>
    <row r="30" spans="2:14" ht="21.75" customHeight="1">
      <c r="B30" s="552" t="s">
        <v>1267</v>
      </c>
      <c r="C30" s="464"/>
      <c r="D30" s="465"/>
      <c r="E30" s="69">
        <f>IFERROR(COUNTIFS(DATA!E$2:E$976,"&gt;="&amp;D$6,DATA!E$2:E$976,"&lt;="&amp;F$6,DATA!I$2:I$976,B30,DATA!K$2:K$976,IF(G$5="الكل","*",G$5),DATA!AD$2:AD$976,IF(K$5="الكل","*",K$5),DATA!AI$2:AI$976,"&lt;&gt;"),0)</f>
        <v>0</v>
      </c>
      <c r="F30" s="321" t="str">
        <f>IFERROR(AVERAGEIFS(DATA!AI$2:AI$976,DATA!E$2:E$976,"&gt;="&amp;D$6,DATA!E$2:E$976,"&lt;="&amp;F$6,DATA!I$2:I$976,B30,DATA!K$2:K$976,IF(G$5="الكل","*",G$5),DATA!AD$2:AD$976,IF(K$5="الكل","*",K$5)),"—")</f>
        <v>—</v>
      </c>
      <c r="G30" s="322" t="str">
        <f ca="1">IFERROR(_xludf.maxifs(DATA!AI$2:AI$976,DATA!E$2:E$976,"&gt;="&amp;D$6,DATA!E$2:E$976,"&lt;="&amp;F$6,DATA!I$2:I$976,B30,DATA!K$2:K$976,IF(G$5="الكل","*",G$5),DATA!AD$2:AD$976,IF(K$5="الكل","*",K$5)),"—")</f>
        <v>—</v>
      </c>
      <c r="H30" s="323" t="str">
        <f ca="1">IFERROR(_xludf.minifs(DATA!AI$2:AI$976,DATA!E$2:E$976,"&gt;="&amp;D$6,DATA!E$2:E$976,"&lt;="&amp;F$6,DATA!I$2:I$976,B30,DATA!K$2:K$976,IF(G$5="الكل","*",G$5),DATA!AD$2:AD$976,IF(K$5="الكل","*",K$5)),"—")</f>
        <v>—</v>
      </c>
      <c r="I30" s="70">
        <f>IFERROR(COUNTIFS(DATA!E$2:E$976,"&gt;="&amp;D$6,DATA!E$2:E$976,"&lt;="&amp;F$6,DATA!I$2:I$976,B30,DATA!K$2:K$976,IF(G$5="الكل","*",G$5),DATA!AD$2:AD$976,IF(K$5="الكل","*",K$5),DATA!AI$2:AI$976,"&gt;=85"),0)</f>
        <v>0</v>
      </c>
      <c r="J30" s="71">
        <f>IFERROR(COUNTIFS(DATA!E$2:E$976,"&gt;="&amp;D$6,DATA!E$2:E$976,"&lt;="&amp;F$6,DATA!I$2:I$976,B30,DATA!K$2:K$976,IF(G$5="الكل","*",G$5),DATA!AD$2:AD$976,IF(K$5="الكل","*",K$5),DATA!AI$2:AI$976,"&lt;60"),0)</f>
        <v>0</v>
      </c>
      <c r="K30" s="72" t="str">
        <f>IFERROR(COUNTIFS(DATA!E$2:E$976,"&gt;="&amp;D$6,DATA!E$2:E$976,"&lt;="&amp;F$6,DATA!I$2:I$976,B30,DATA!K$2:K$976,IF(G$5="الكل","*",G$5),DATA!AD$2:AD$976,IF(K$5="الكل","*",K$5),DATA!AI$2:AI$976,"&gt;=70")/COUNTIFS(DATA!E$2:E$976,"&gt;="&amp;D$6,DATA!E$2:E$976,"&lt;="&amp;F$6,DATA!I$2:I$976,B30,DATA!K$2:K$976,IF(G$5="الكل","*",G$5),DATA!AD$2:AD$976,IF(K$5="الكل","*",K$5),DATA!AI$2:AI$976,"&lt;&gt;"),"—")</f>
        <v>—</v>
      </c>
      <c r="L30" s="541" t="str">
        <f t="shared" si="0"/>
        <v>—</v>
      </c>
      <c r="M30" s="465"/>
      <c r="N30" s="73" t="str">
        <f t="shared" si="1"/>
        <v>—</v>
      </c>
    </row>
    <row r="31" spans="2:14" ht="21.75" customHeight="1">
      <c r="B31" s="534" t="s">
        <v>1268</v>
      </c>
      <c r="C31" s="464"/>
      <c r="D31" s="465"/>
      <c r="E31" s="64">
        <f>IFERROR(COUNTIFS(DATA!E$2:E$976,"&gt;="&amp;D$6,DATA!E$2:E$976,"&lt;="&amp;F$6,DATA!I$2:I$976,B31,DATA!K$2:K$976,IF(G$5="الكل","*",G$5),DATA!AD$2:AD$976,IF(K$5="الكل","*",K$5),DATA!AI$2:AI$976,"&lt;&gt;"),0)</f>
        <v>0</v>
      </c>
      <c r="F31" s="318" t="str">
        <f>IFERROR(AVERAGEIFS(DATA!AI$2:AI$976,DATA!E$2:E$976,"&gt;="&amp;D$6,DATA!E$2:E$976,"&lt;="&amp;F$6,DATA!I$2:I$976,B31,DATA!K$2:K$976,IF(G$5="الكل","*",G$5),DATA!AD$2:AD$976,IF(K$5="الكل","*",K$5)),"—")</f>
        <v>—</v>
      </c>
      <c r="G31" s="319" t="str">
        <f ca="1">IFERROR(_xludf.maxifs(DATA!AI$2:AI$976,DATA!E$2:E$976,"&gt;="&amp;D$6,DATA!E$2:E$976,"&lt;="&amp;F$6,DATA!I$2:I$976,B31,DATA!K$2:K$976,IF(G$5="الكل","*",G$5),DATA!AD$2:AD$976,IF(K$5="الكل","*",K$5)),"—")</f>
        <v>—</v>
      </c>
      <c r="H31" s="320" t="str">
        <f ca="1">IFERROR(_xludf.minifs(DATA!AI$2:AI$976,DATA!E$2:E$976,"&gt;="&amp;D$6,DATA!E$2:E$976,"&lt;="&amp;F$6,DATA!I$2:I$976,B31,DATA!K$2:K$976,IF(G$5="الكل","*",G$5),DATA!AD$2:AD$976,IF(K$5="الكل","*",K$5)),"—")</f>
        <v>—</v>
      </c>
      <c r="I31" s="65">
        <f>IFERROR(COUNTIFS(DATA!E$2:E$976,"&gt;="&amp;D$6,DATA!E$2:E$976,"&lt;="&amp;F$6,DATA!I$2:I$976,B31,DATA!K$2:K$976,IF(G$5="الكل","*",G$5),DATA!AD$2:AD$976,IF(K$5="الكل","*",K$5),DATA!AI$2:AI$976,"&gt;=85"),0)</f>
        <v>0</v>
      </c>
      <c r="J31" s="66">
        <f>IFERROR(COUNTIFS(DATA!E$2:E$976,"&gt;="&amp;D$6,DATA!E$2:E$976,"&lt;="&amp;F$6,DATA!I$2:I$976,B31,DATA!K$2:K$976,IF(G$5="الكل","*",G$5),DATA!AD$2:AD$976,IF(K$5="الكل","*",K$5),DATA!AI$2:AI$976,"&lt;60"),0)</f>
        <v>0</v>
      </c>
      <c r="K31" s="67" t="str">
        <f>IFERROR(COUNTIFS(DATA!E$2:E$976,"&gt;="&amp;D$6,DATA!E$2:E$976,"&lt;="&amp;F$6,DATA!I$2:I$976,B31,DATA!K$2:K$976,IF(G$5="الكل","*",G$5),DATA!AD$2:AD$976,IF(K$5="الكل","*",K$5),DATA!AI$2:AI$976,"&gt;=70")/COUNTIFS(DATA!E$2:E$976,"&gt;="&amp;D$6,DATA!E$2:E$976,"&lt;="&amp;F$6,DATA!I$2:I$976,B31,DATA!K$2:K$976,IF(G$5="الكل","*",G$5),DATA!AD$2:AD$976,IF(K$5="الكل","*",K$5),DATA!AI$2:AI$976,"&lt;&gt;"),"—")</f>
        <v>—</v>
      </c>
      <c r="L31" s="542" t="str">
        <f t="shared" si="0"/>
        <v>—</v>
      </c>
      <c r="M31" s="465"/>
      <c r="N31" s="68" t="str">
        <f t="shared" si="1"/>
        <v>—</v>
      </c>
    </row>
    <row r="32" spans="2:14" ht="21.75" customHeight="1">
      <c r="B32" s="552" t="s">
        <v>1269</v>
      </c>
      <c r="C32" s="464"/>
      <c r="D32" s="465"/>
      <c r="E32" s="69">
        <f>IFERROR(COUNTIFS(DATA!E$2:E$976,"&gt;="&amp;D$6,DATA!E$2:E$976,"&lt;="&amp;F$6,DATA!I$2:I$976,B32,DATA!K$2:K$976,IF(G$5="الكل","*",G$5),DATA!AD$2:AD$976,IF(K$5="الكل","*",K$5),DATA!AI$2:AI$976,"&lt;&gt;"),0)</f>
        <v>0</v>
      </c>
      <c r="F32" s="321" t="str">
        <f>IFERROR(AVERAGEIFS(DATA!AI$2:AI$976,DATA!E$2:E$976,"&gt;="&amp;D$6,DATA!E$2:E$976,"&lt;="&amp;F$6,DATA!I$2:I$976,B32,DATA!K$2:K$976,IF(G$5="الكل","*",G$5),DATA!AD$2:AD$976,IF(K$5="الكل","*",K$5)),"—")</f>
        <v>—</v>
      </c>
      <c r="G32" s="322" t="str">
        <f ca="1">IFERROR(_xludf.maxifs(DATA!AI$2:AI$976,DATA!E$2:E$976,"&gt;="&amp;D$6,DATA!E$2:E$976,"&lt;="&amp;F$6,DATA!I$2:I$976,B32,DATA!K$2:K$976,IF(G$5="الكل","*",G$5),DATA!AD$2:AD$976,IF(K$5="الكل","*",K$5)),"—")</f>
        <v>—</v>
      </c>
      <c r="H32" s="323" t="str">
        <f ca="1">IFERROR(_xludf.minifs(DATA!AI$2:AI$976,DATA!E$2:E$976,"&gt;="&amp;D$6,DATA!E$2:E$976,"&lt;="&amp;F$6,DATA!I$2:I$976,B32,DATA!K$2:K$976,IF(G$5="الكل","*",G$5),DATA!AD$2:AD$976,IF(K$5="الكل","*",K$5)),"—")</f>
        <v>—</v>
      </c>
      <c r="I32" s="70">
        <f>IFERROR(COUNTIFS(DATA!E$2:E$976,"&gt;="&amp;D$6,DATA!E$2:E$976,"&lt;="&amp;F$6,DATA!I$2:I$976,B32,DATA!K$2:K$976,IF(G$5="الكل","*",G$5),DATA!AD$2:AD$976,IF(K$5="الكل","*",K$5),DATA!AI$2:AI$976,"&gt;=85"),0)</f>
        <v>0</v>
      </c>
      <c r="J32" s="71">
        <f>IFERROR(COUNTIFS(DATA!E$2:E$976,"&gt;="&amp;D$6,DATA!E$2:E$976,"&lt;="&amp;F$6,DATA!I$2:I$976,B32,DATA!K$2:K$976,IF(G$5="الكل","*",G$5),DATA!AD$2:AD$976,IF(K$5="الكل","*",K$5),DATA!AI$2:AI$976,"&lt;60"),0)</f>
        <v>0</v>
      </c>
      <c r="K32" s="72" t="str">
        <f>IFERROR(COUNTIFS(DATA!E$2:E$976,"&gt;="&amp;D$6,DATA!E$2:E$976,"&lt;="&amp;F$6,DATA!I$2:I$976,B32,DATA!K$2:K$976,IF(G$5="الكل","*",G$5),DATA!AD$2:AD$976,IF(K$5="الكل","*",K$5),DATA!AI$2:AI$976,"&gt;=70")/COUNTIFS(DATA!E$2:E$976,"&gt;="&amp;D$6,DATA!E$2:E$976,"&lt;="&amp;F$6,DATA!I$2:I$976,B32,DATA!K$2:K$976,IF(G$5="الكل","*",G$5),DATA!AD$2:AD$976,IF(K$5="الكل","*",K$5),DATA!AI$2:AI$976,"&lt;&gt;"),"—")</f>
        <v>—</v>
      </c>
      <c r="L32" s="541" t="str">
        <f t="shared" si="0"/>
        <v>—</v>
      </c>
      <c r="M32" s="465"/>
      <c r="N32" s="73" t="str">
        <f t="shared" si="1"/>
        <v>—</v>
      </c>
    </row>
    <row r="33" spans="2:14" ht="7.5" customHeight="1"/>
    <row r="34" spans="2:14" ht="27.75" customHeight="1">
      <c r="B34" s="550" t="s">
        <v>1270</v>
      </c>
      <c r="C34" s="373"/>
      <c r="D34" s="373"/>
      <c r="E34" s="373"/>
      <c r="F34" s="373"/>
      <c r="G34" s="373"/>
      <c r="H34" s="373"/>
      <c r="I34" s="373"/>
      <c r="J34" s="373"/>
      <c r="K34" s="373"/>
      <c r="L34" s="373"/>
      <c r="M34" s="373"/>
      <c r="N34" s="373"/>
    </row>
    <row r="35" spans="2:14" ht="7.5" customHeight="1"/>
    <row r="36" spans="2:14" ht="27.75" customHeight="1">
      <c r="B36" s="544" t="s">
        <v>1271</v>
      </c>
      <c r="C36" s="525"/>
      <c r="D36" s="526"/>
      <c r="E36" s="230" t="s">
        <v>1253</v>
      </c>
      <c r="F36" s="230" t="s">
        <v>1168</v>
      </c>
      <c r="G36" s="230" t="s">
        <v>1254</v>
      </c>
      <c r="H36" s="230" t="s">
        <v>1255</v>
      </c>
      <c r="I36" s="230" t="s">
        <v>1256</v>
      </c>
      <c r="J36" s="230" t="s">
        <v>1257</v>
      </c>
      <c r="K36" s="230" t="s">
        <v>1258</v>
      </c>
      <c r="L36" s="544" t="s">
        <v>1259</v>
      </c>
      <c r="M36" s="526"/>
      <c r="N36" s="230" t="s">
        <v>1175</v>
      </c>
    </row>
    <row r="37" spans="2:14" ht="7.5" customHeight="1"/>
    <row r="38" spans="2:14" ht="27.75" customHeight="1">
      <c r="B38" s="523" t="s">
        <v>222</v>
      </c>
      <c r="C38" s="464"/>
      <c r="D38" s="465"/>
      <c r="E38" s="74">
        <f>IFERROR(COUNTIFS(DATA!E$2:E$976,"&gt;="&amp;D$6,DATA!E$2:E$976,"&lt;="&amp;F$6,DATA!I$2:I$976,IF(C$5="الكل","*",C$5),DATA!K$2:K$976,B38,DATA!AD$2:AD$976,IF(K$5="الكل","*",K$5),DATA!AI$2:AI$976,"&lt;&gt;"),0)</f>
        <v>0</v>
      </c>
      <c r="F38" s="324" t="str">
        <f>IFERROR(AVERAGEIFS(DATA!AI$2:AI$976,DATA!E$2:E$976,"&gt;="&amp;D$6,DATA!E$2:E$976,"&lt;="&amp;F$6,DATA!I$2:I$976,IF(C$5="الكل","*",C$5),DATA!K$2:K$976,B38,DATA!AD$2:AD$976,IF(K$5="الكل","*",K$5)),"—")</f>
        <v>—</v>
      </c>
      <c r="G38" s="325" t="str">
        <f ca="1">IFERROR(_xludf.maxifs(DATA!AI$2:AI$976,DATA!E$2:E$976,"&gt;="&amp;D$6,DATA!E$2:E$976,"&lt;="&amp;F$6,DATA!I$2:I$976,IF(C$5="الكل","*",C$5),DATA!K$2:K$976,B38,DATA!AD$2:AD$976,IF(K$5="الكل","*",K$5)),"—")</f>
        <v>—</v>
      </c>
      <c r="H38" s="326" t="str">
        <f ca="1">IFERROR(_xludf.minifs(DATA!AI$2:AI$976,DATA!E$2:E$976,"&gt;="&amp;D$6,DATA!E$2:E$976,"&lt;="&amp;F$6,DATA!I$2:I$976,IF(C$5="الكل","*",C$5),DATA!K$2:K$976,B38,DATA!AD$2:AD$976,IF(K$5="الكل","*",K$5)),"—")</f>
        <v>—</v>
      </c>
      <c r="I38" s="75">
        <f>IFERROR(COUNTIFS(DATA!E$2:E$976,"&gt;="&amp;D$6,DATA!E$2:E$976,"&lt;="&amp;F$6,DATA!I$2:I$976,IF(C$5="الكل","*",C$5),DATA!K$2:K$976,B38,DATA!AD$2:AD$976,IF(K$5="الكل","*",K$5),DATA!AI$2:AI$976,"&gt;=85"),0)</f>
        <v>0</v>
      </c>
      <c r="J38" s="76">
        <f>IFERROR(COUNTIFS(DATA!E$2:E$976,"&gt;="&amp;D$6,DATA!E$2:E$976,"&lt;="&amp;F$6,DATA!I$2:I$976,IF(C$5="الكل","*",C$5),DATA!K$2:K$976,B38,DATA!AD$2:AD$976,IF(K$5="الكل","*",K$5),DATA!AI$2:AI$976,"&lt;60"),0)</f>
        <v>0</v>
      </c>
      <c r="K38" s="77" t="str">
        <f>IFERROR(COUNTIFS(DATA!E$2:E$976,"&gt;="&amp;D$6,DATA!E$2:E$976,"&lt;="&amp;F$6,DATA!I$2:I$976,IF(C$5="الكل","*",C$5),DATA!K$2:K$976,B38,DATA!AD$2:AD$976,IF(K$5="الكل","*",K$5),DATA!AI$2:AI$976,"&gt;=70")/COUNTIFS(DATA!E$2:E$976,"&gt;="&amp;D$6,DATA!E$2:E$976,"&lt;="&amp;F$6,DATA!I$2:I$976,IF(C$5="الكل","*",C$5),DATA!K$2:K$976,B38,DATA!AD$2:AD$976,IF(K$5="الكل","*",K$5),DATA!AI$2:AI$976,"&lt;&gt;"),"—")</f>
        <v>—</v>
      </c>
      <c r="L38" s="530" t="str">
        <f t="shared" ref="L38:L47" si="2">IFERROR(IF(F38="—","—",REPT("█",ROUND(F38/10,0))&amp;REPT("░",10-ROUND(F38/10,0))),"—")</f>
        <v>—</v>
      </c>
      <c r="M38" s="465"/>
      <c r="N38" s="78" t="str">
        <f t="shared" ref="N38:N47" si="3">IFERROR(IF(F38="—","—",IF(F38&gt;=85,"⭐",IF(F38&gt;=70,"🟢",IF(F38&gt;=60,"🟡","🔴")))),"—")</f>
        <v>—</v>
      </c>
    </row>
    <row r="39" spans="2:14" ht="18.75" customHeight="1">
      <c r="B39" s="532" t="s">
        <v>229</v>
      </c>
      <c r="C39" s="464"/>
      <c r="D39" s="465"/>
      <c r="E39" s="69">
        <f>IFERROR(COUNTIFS(DATA!E$2:E$976,"&gt;="&amp;D$6,DATA!E$2:E$976,"&lt;="&amp;F$6,DATA!I$2:I$976,IF(C$5="الكل","*",C$5),DATA!K$2:K$976,B39,DATA!AD$2:AD$976,IF(K$5="الكل","*",K$5),DATA!AI$2:AI$976,"&lt;&gt;"),0)</f>
        <v>0</v>
      </c>
      <c r="F39" s="321" t="str">
        <f>IFERROR(AVERAGEIFS(DATA!AI$2:AI$976,DATA!E$2:E$976,"&gt;="&amp;D$6,DATA!E$2:E$976,"&lt;="&amp;F$6,DATA!I$2:I$976,IF(C$5="الكل","*",C$5),DATA!K$2:K$976,B39,DATA!AD$2:AD$976,IF(K$5="الكل","*",K$5)),"—")</f>
        <v>—</v>
      </c>
      <c r="G39" s="322" t="str">
        <f ca="1">IFERROR(_xludf.maxifs(DATA!AI$2:AI$976,DATA!E$2:E$976,"&gt;="&amp;D$6,DATA!E$2:E$976,"&lt;="&amp;F$6,DATA!I$2:I$976,IF(C$5="الكل","*",C$5),DATA!K$2:K$976,B39,DATA!AD$2:AD$976,IF(K$5="الكل","*",K$5)),"—")</f>
        <v>—</v>
      </c>
      <c r="H39" s="323" t="str">
        <f ca="1">IFERROR(_xludf.minifs(DATA!AI$2:AI$976,DATA!E$2:E$976,"&gt;="&amp;D$6,DATA!E$2:E$976,"&lt;="&amp;F$6,DATA!I$2:I$976,IF(C$5="الكل","*",C$5),DATA!K$2:K$976,B39,DATA!AD$2:AD$976,IF(K$5="الكل","*",K$5)),"—")</f>
        <v>—</v>
      </c>
      <c r="I39" s="70">
        <f>IFERROR(COUNTIFS(DATA!E$2:E$976,"&gt;="&amp;D$6,DATA!E$2:E$976,"&lt;="&amp;F$6,DATA!I$2:I$976,IF(C$5="الكل","*",C$5),DATA!K$2:K$976,B39,DATA!AD$2:AD$976,IF(K$5="الكل","*",K$5),DATA!AI$2:AI$976,"&gt;=85"),0)</f>
        <v>0</v>
      </c>
      <c r="J39" s="71">
        <f>IFERROR(COUNTIFS(DATA!E$2:E$976,"&gt;="&amp;D$6,DATA!E$2:E$976,"&lt;="&amp;F$6,DATA!I$2:I$976,IF(C$5="الكل","*",C$5),DATA!K$2:K$976,B39,DATA!AD$2:AD$976,IF(K$5="الكل","*",K$5),DATA!AI$2:AI$976,"&lt;60"),0)</f>
        <v>0</v>
      </c>
      <c r="K39" s="72" t="str">
        <f>IFERROR(COUNTIFS(DATA!E$2:E$976,"&gt;="&amp;D$6,DATA!E$2:E$976,"&lt;="&amp;F$6,DATA!I$2:I$976,IF(C$5="الكل","*",C$5),DATA!K$2:K$976,B39,DATA!AD$2:AD$976,IF(K$5="الكل","*",K$5),DATA!AI$2:AI$976,"&gt;=70")/COUNTIFS(DATA!E$2:E$976,"&gt;="&amp;D$6,DATA!E$2:E$976,"&lt;="&amp;F$6,DATA!I$2:I$976,IF(C$5="الكل","*",C$5),DATA!K$2:K$976,B39,DATA!AD$2:AD$976,IF(K$5="الكل","*",K$5),DATA!AI$2:AI$976,"&lt;&gt;"),"—")</f>
        <v>—</v>
      </c>
      <c r="L39" s="540" t="str">
        <f t="shared" si="2"/>
        <v>—</v>
      </c>
      <c r="M39" s="465"/>
      <c r="N39" s="73" t="str">
        <f t="shared" si="3"/>
        <v>—</v>
      </c>
    </row>
    <row r="40" spans="2:14" ht="27.75" customHeight="1">
      <c r="B40" s="523" t="s">
        <v>207</v>
      </c>
      <c r="C40" s="464"/>
      <c r="D40" s="465"/>
      <c r="E40" s="74">
        <f>IFERROR(COUNTIFS(DATA!E$2:E$976,"&gt;="&amp;D$6,DATA!E$2:E$976,"&lt;="&amp;F$6,DATA!I$2:I$976,IF(C$5="الكل","*",C$5),DATA!K$2:K$976,B40,DATA!AD$2:AD$976,IF(K$5="الكل","*",K$5),DATA!AI$2:AI$976,"&lt;&gt;"),0)</f>
        <v>1</v>
      </c>
      <c r="F40" s="324">
        <f>IFERROR(AVERAGEIFS(DATA!AI$2:AI$976,DATA!E$2:E$976,"&gt;="&amp;D$6,DATA!E$2:E$976,"&lt;="&amp;F$6,DATA!I$2:I$976,IF(C$5="الكل","*",C$5),DATA!K$2:K$976,B40,DATA!AD$2:AD$976,IF(K$5="الكل","*",K$5)),"—")</f>
        <v>100</v>
      </c>
      <c r="G40" s="325" t="str">
        <f ca="1">IFERROR(_xludf.maxifs(DATA!AI$2:AI$976,DATA!E$2:E$976,"&gt;="&amp;D$6,DATA!E$2:E$976,"&lt;="&amp;F$6,DATA!I$2:I$976,IF(C$5="الكل","*",C$5),DATA!K$2:K$976,B40,DATA!AD$2:AD$976,IF(K$5="الكل","*",K$5)),"—")</f>
        <v>—</v>
      </c>
      <c r="H40" s="326" t="str">
        <f ca="1">IFERROR(_xludf.minifs(DATA!AI$2:AI$976,DATA!E$2:E$976,"&gt;="&amp;D$6,DATA!E$2:E$976,"&lt;="&amp;F$6,DATA!I$2:I$976,IF(C$5="الكل","*",C$5),DATA!K$2:K$976,B40,DATA!AD$2:AD$976,IF(K$5="الكل","*",K$5)),"—")</f>
        <v>—</v>
      </c>
      <c r="I40" s="75">
        <f>IFERROR(COUNTIFS(DATA!E$2:E$976,"&gt;="&amp;D$6,DATA!E$2:E$976,"&lt;="&amp;F$6,DATA!I$2:I$976,IF(C$5="الكل","*",C$5),DATA!K$2:K$976,B40,DATA!AD$2:AD$976,IF(K$5="الكل","*",K$5),DATA!AI$2:AI$976,"&gt;=85"),0)</f>
        <v>1</v>
      </c>
      <c r="J40" s="76">
        <f>IFERROR(COUNTIFS(DATA!E$2:E$976,"&gt;="&amp;D$6,DATA!E$2:E$976,"&lt;="&amp;F$6,DATA!I$2:I$976,IF(C$5="الكل","*",C$5),DATA!K$2:K$976,B40,DATA!AD$2:AD$976,IF(K$5="الكل","*",K$5),DATA!AI$2:AI$976,"&lt;60"),0)</f>
        <v>0</v>
      </c>
      <c r="K40" s="77">
        <f>IFERROR(COUNTIFS(DATA!E$2:E$976,"&gt;="&amp;D$6,DATA!E$2:E$976,"&lt;="&amp;F$6,DATA!I$2:I$976,IF(C$5="الكل","*",C$5),DATA!K$2:K$976,B40,DATA!AD$2:AD$976,IF(K$5="الكل","*",K$5),DATA!AI$2:AI$976,"&gt;=70")/COUNTIFS(DATA!E$2:E$976,"&gt;="&amp;D$6,DATA!E$2:E$976,"&lt;="&amp;F$6,DATA!I$2:I$976,IF(C$5="الكل","*",C$5),DATA!K$2:K$976,B40,DATA!AD$2:AD$976,IF(K$5="الكل","*",K$5),DATA!AI$2:AI$976,"&lt;&gt;"),"—")</f>
        <v>1</v>
      </c>
      <c r="L40" s="530" t="str">
        <f t="shared" si="2"/>
        <v>██████████</v>
      </c>
      <c r="M40" s="465"/>
      <c r="N40" s="78" t="str">
        <f t="shared" si="3"/>
        <v>⭐</v>
      </c>
    </row>
    <row r="41" spans="2:14" ht="27.75" customHeight="1">
      <c r="B41" s="532" t="s">
        <v>152</v>
      </c>
      <c r="C41" s="464"/>
      <c r="D41" s="465"/>
      <c r="E41" s="69">
        <f>IFERROR(COUNTIFS(DATA!E$2:E$976,"&gt;="&amp;D$6,DATA!E$2:E$976,"&lt;="&amp;F$6,DATA!I$2:I$976,IF(C$5="الكل","*",C$5),DATA!K$2:K$976,B41,DATA!AD$2:AD$976,IF(K$5="الكل","*",K$5),DATA!AI$2:AI$976,"&lt;&gt;"),0)</f>
        <v>7</v>
      </c>
      <c r="F41" s="321">
        <f>IFERROR(AVERAGEIFS(DATA!AI$2:AI$976,DATA!E$2:E$976,"&gt;="&amp;D$6,DATA!E$2:E$976,"&lt;="&amp;F$6,DATA!I$2:I$976,IF(C$5="الكل","*",C$5),DATA!K$2:K$976,B41,DATA!AD$2:AD$976,IF(K$5="الكل","*",K$5)),"—")</f>
        <v>31.714285714285715</v>
      </c>
      <c r="G41" s="322" t="str">
        <f ca="1">IFERROR(_xludf.maxifs(DATA!AI$2:AI$976,DATA!E$2:E$976,"&gt;="&amp;D$6,DATA!E$2:E$976,"&lt;="&amp;F$6,DATA!I$2:I$976,IF(C$5="الكل","*",C$5),DATA!K$2:K$976,B41,DATA!AD$2:AD$976,IF(K$5="الكل","*",K$5)),"—")</f>
        <v>—</v>
      </c>
      <c r="H41" s="323" t="str">
        <f ca="1">IFERROR(_xludf.minifs(DATA!AI$2:AI$976,DATA!E$2:E$976,"&gt;="&amp;D$6,DATA!E$2:E$976,"&lt;="&amp;F$6,DATA!I$2:I$976,IF(C$5="الكل","*",C$5),DATA!K$2:K$976,B41,DATA!AD$2:AD$976,IF(K$5="الكل","*",K$5)),"—")</f>
        <v>—</v>
      </c>
      <c r="I41" s="70">
        <f>IFERROR(COUNTIFS(DATA!E$2:E$976,"&gt;="&amp;D$6,DATA!E$2:E$976,"&lt;="&amp;F$6,DATA!I$2:I$976,IF(C$5="الكل","*",C$5),DATA!K$2:K$976,B41,DATA!AD$2:AD$976,IF(K$5="الكل","*",K$5),DATA!AI$2:AI$976,"&gt;=85"),0)</f>
        <v>1</v>
      </c>
      <c r="J41" s="71">
        <f>IFERROR(COUNTIFS(DATA!E$2:E$976,"&gt;="&amp;D$6,DATA!E$2:E$976,"&lt;="&amp;F$6,DATA!I$2:I$976,IF(C$5="الكل","*",C$5),DATA!K$2:K$976,B41,DATA!AD$2:AD$976,IF(K$5="الكل","*",K$5),DATA!AI$2:AI$976,"&lt;60"),0)</f>
        <v>6</v>
      </c>
      <c r="K41" s="72">
        <f>IFERROR(COUNTIFS(DATA!E$2:E$976,"&gt;="&amp;D$6,DATA!E$2:E$976,"&lt;="&amp;F$6,DATA!I$2:I$976,IF(C$5="الكل","*",C$5),DATA!K$2:K$976,B41,DATA!AD$2:AD$976,IF(K$5="الكل","*",K$5),DATA!AI$2:AI$976,"&gt;=70")/COUNTIFS(DATA!E$2:E$976,"&gt;="&amp;D$6,DATA!E$2:E$976,"&lt;="&amp;F$6,DATA!I$2:I$976,IF(C$5="الكل","*",C$5),DATA!K$2:K$976,B41,DATA!AD$2:AD$976,IF(K$5="الكل","*",K$5),DATA!AI$2:AI$976,"&lt;&gt;"),"—")</f>
        <v>0.14285714285714285</v>
      </c>
      <c r="L41" s="540" t="str">
        <f t="shared" si="2"/>
        <v>███░░░░░░░</v>
      </c>
      <c r="M41" s="465"/>
      <c r="N41" s="73" t="str">
        <f t="shared" si="3"/>
        <v>🔴</v>
      </c>
    </row>
    <row r="42" spans="2:14" ht="27.75" customHeight="1">
      <c r="B42" s="523" t="s">
        <v>133</v>
      </c>
      <c r="C42" s="464"/>
      <c r="D42" s="465"/>
      <c r="E42" s="74">
        <f>IFERROR(COUNTIFS(DATA!E$2:E$976,"&gt;="&amp;D$6,DATA!E$2:E$976,"&lt;="&amp;F$6,DATA!I$2:I$976,IF(C$5="الكل","*",C$5),DATA!K$2:K$976,B42,DATA!AD$2:AD$976,IF(K$5="الكل","*",K$5),DATA!AI$2:AI$976,"&lt;&gt;"),0)</f>
        <v>12</v>
      </c>
      <c r="F42" s="324">
        <f>IFERROR(AVERAGEIFS(DATA!AI$2:AI$976,DATA!E$2:E$976,"&gt;="&amp;D$6,DATA!E$2:E$976,"&lt;="&amp;F$6,DATA!I$2:I$976,IF(C$5="الكل","*",C$5),DATA!K$2:K$976,B42,DATA!AD$2:AD$976,IF(K$5="الكل","*",K$5)),"—")</f>
        <v>88.25</v>
      </c>
      <c r="G42" s="325" t="str">
        <f ca="1">IFERROR(_xludf.maxifs(DATA!AI$2:AI$976,DATA!E$2:E$976,"&gt;="&amp;D$6,DATA!E$2:E$976,"&lt;="&amp;F$6,DATA!I$2:I$976,IF(C$5="الكل","*",C$5),DATA!K$2:K$976,B42,DATA!AD$2:AD$976,IF(K$5="الكل","*",K$5)),"—")</f>
        <v>—</v>
      </c>
      <c r="H42" s="326" t="str">
        <f ca="1">IFERROR(_xludf.minifs(DATA!AI$2:AI$976,DATA!E$2:E$976,"&gt;="&amp;D$6,DATA!E$2:E$976,"&lt;="&amp;F$6,DATA!I$2:I$976,IF(C$5="الكل","*",C$5),DATA!K$2:K$976,B42,DATA!AD$2:AD$976,IF(K$5="الكل","*",K$5)),"—")</f>
        <v>—</v>
      </c>
      <c r="I42" s="75">
        <f>IFERROR(COUNTIFS(DATA!E$2:E$976,"&gt;="&amp;D$6,DATA!E$2:E$976,"&lt;="&amp;F$6,DATA!I$2:I$976,IF(C$5="الكل","*",C$5),DATA!K$2:K$976,B42,DATA!AD$2:AD$976,IF(K$5="الكل","*",K$5),DATA!AI$2:AI$976,"&gt;=85"),0)</f>
        <v>9</v>
      </c>
      <c r="J42" s="76">
        <f>IFERROR(COUNTIFS(DATA!E$2:E$976,"&gt;="&amp;D$6,DATA!E$2:E$976,"&lt;="&amp;F$6,DATA!I$2:I$976,IF(C$5="الكل","*",C$5),DATA!K$2:K$976,B42,DATA!AD$2:AD$976,IF(K$5="الكل","*",K$5),DATA!AI$2:AI$976,"&lt;60"),0)</f>
        <v>0</v>
      </c>
      <c r="K42" s="77">
        <f>IFERROR(COUNTIFS(DATA!E$2:E$976,"&gt;="&amp;D$6,DATA!E$2:E$976,"&lt;="&amp;F$6,DATA!I$2:I$976,IF(C$5="الكل","*",C$5),DATA!K$2:K$976,B42,DATA!AD$2:AD$976,IF(K$5="الكل","*",K$5),DATA!AI$2:AI$976,"&gt;=70")/COUNTIFS(DATA!E$2:E$976,"&gt;="&amp;D$6,DATA!E$2:E$976,"&lt;="&amp;F$6,DATA!I$2:I$976,IF(C$5="الكل","*",C$5),DATA!K$2:K$976,B42,DATA!AD$2:AD$976,IF(K$5="الكل","*",K$5),DATA!AI$2:AI$976,"&lt;&gt;"),"—")</f>
        <v>0.75</v>
      </c>
      <c r="L42" s="530" t="str">
        <f t="shared" si="2"/>
        <v>█████████░</v>
      </c>
      <c r="M42" s="465"/>
      <c r="N42" s="78" t="str">
        <f t="shared" si="3"/>
        <v>⭐</v>
      </c>
    </row>
    <row r="43" spans="2:14" ht="27.75" customHeight="1">
      <c r="B43" s="532" t="s">
        <v>806</v>
      </c>
      <c r="C43" s="464"/>
      <c r="D43" s="465"/>
      <c r="E43" s="69">
        <f>IFERROR(COUNTIFS(DATA!E$2:E$976,"&gt;="&amp;D$6,DATA!E$2:E$976,"&lt;="&amp;F$6,DATA!I$2:I$976,IF(C$5="الكل","*",C$5),DATA!K$2:K$976,B43,DATA!AD$2:AD$976,IF(K$5="الكل","*",K$5),DATA!AI$2:AI$976,"&lt;&gt;"),0)</f>
        <v>0</v>
      </c>
      <c r="F43" s="321" t="str">
        <f>IFERROR(AVERAGEIFS(DATA!AI$2:AI$976,DATA!E$2:E$976,"&gt;="&amp;D$6,DATA!E$2:E$976,"&lt;="&amp;F$6,DATA!I$2:I$976,IF(C$5="الكل","*",C$5),DATA!K$2:K$976,B43,DATA!AD$2:AD$976,IF(K$5="الكل","*",K$5)),"—")</f>
        <v>—</v>
      </c>
      <c r="G43" s="322" t="str">
        <f ca="1">IFERROR(_xludf.maxifs(DATA!AI$2:AI$976,DATA!E$2:E$976,"&gt;="&amp;D$6,DATA!E$2:E$976,"&lt;="&amp;F$6,DATA!I$2:I$976,IF(C$5="الكل","*",C$5),DATA!K$2:K$976,B43,DATA!AD$2:AD$976,IF(K$5="الكل","*",K$5)),"—")</f>
        <v>—</v>
      </c>
      <c r="H43" s="323" t="str">
        <f ca="1">IFERROR(_xludf.minifs(DATA!AI$2:AI$976,DATA!E$2:E$976,"&gt;="&amp;D$6,DATA!E$2:E$976,"&lt;="&amp;F$6,DATA!I$2:I$976,IF(C$5="الكل","*",C$5),DATA!K$2:K$976,B43,DATA!AD$2:AD$976,IF(K$5="الكل","*",K$5)),"—")</f>
        <v>—</v>
      </c>
      <c r="I43" s="70">
        <f>IFERROR(COUNTIFS(DATA!E$2:E$976,"&gt;="&amp;D$6,DATA!E$2:E$976,"&lt;="&amp;F$6,DATA!I$2:I$976,IF(C$5="الكل","*",C$5),DATA!K$2:K$976,B43,DATA!AD$2:AD$976,IF(K$5="الكل","*",K$5),DATA!AI$2:AI$976,"&gt;=85"),0)</f>
        <v>0</v>
      </c>
      <c r="J43" s="71">
        <f>IFERROR(COUNTIFS(DATA!E$2:E$976,"&gt;="&amp;D$6,DATA!E$2:E$976,"&lt;="&amp;F$6,DATA!I$2:I$976,IF(C$5="الكل","*",C$5),DATA!K$2:K$976,B43,DATA!AD$2:AD$976,IF(K$5="الكل","*",K$5),DATA!AI$2:AI$976,"&lt;60"),0)</f>
        <v>0</v>
      </c>
      <c r="K43" s="72" t="str">
        <f>IFERROR(COUNTIFS(DATA!E$2:E$976,"&gt;="&amp;D$6,DATA!E$2:E$976,"&lt;="&amp;F$6,DATA!I$2:I$976,IF(C$5="الكل","*",C$5),DATA!K$2:K$976,B43,DATA!AD$2:AD$976,IF(K$5="الكل","*",K$5),DATA!AI$2:AI$976,"&gt;=70")/COUNTIFS(DATA!E$2:E$976,"&gt;="&amp;D$6,DATA!E$2:E$976,"&lt;="&amp;F$6,DATA!I$2:I$976,IF(C$5="الكل","*",C$5),DATA!K$2:K$976,B43,DATA!AD$2:AD$976,IF(K$5="الكل","*",K$5),DATA!AI$2:AI$976,"&lt;&gt;"),"—")</f>
        <v>—</v>
      </c>
      <c r="L43" s="540" t="str">
        <f t="shared" si="2"/>
        <v>—</v>
      </c>
      <c r="M43" s="465"/>
      <c r="N43" s="73" t="str">
        <f t="shared" si="3"/>
        <v>—</v>
      </c>
    </row>
    <row r="44" spans="2:14" ht="27.75" customHeight="1">
      <c r="B44" s="523" t="s">
        <v>215</v>
      </c>
      <c r="C44" s="464"/>
      <c r="D44" s="465"/>
      <c r="E44" s="74">
        <f>IFERROR(COUNTIFS(DATA!E$2:E$976,"&gt;="&amp;D$6,DATA!E$2:E$976,"&lt;="&amp;F$6,DATA!I$2:I$976,IF(C$5="الكل","*",C$5),DATA!K$2:K$976,B44,DATA!AD$2:AD$976,IF(K$5="الكل","*",K$5),DATA!AI$2:AI$976,"&lt;&gt;"),0)</f>
        <v>1</v>
      </c>
      <c r="F44" s="324">
        <f>IFERROR(AVERAGEIFS(DATA!AI$2:AI$976,DATA!E$2:E$976,"&gt;="&amp;D$6,DATA!E$2:E$976,"&lt;="&amp;F$6,DATA!I$2:I$976,IF(C$5="الكل","*",C$5),DATA!K$2:K$976,B44,DATA!AD$2:AD$976,IF(K$5="الكل","*",K$5)),"—")</f>
        <v>100</v>
      </c>
      <c r="G44" s="325" t="str">
        <f ca="1">IFERROR(_xludf.maxifs(DATA!AI$2:AI$976,DATA!E$2:E$976,"&gt;="&amp;D$6,DATA!E$2:E$976,"&lt;="&amp;F$6,DATA!I$2:I$976,IF(C$5="الكل","*",C$5),DATA!K$2:K$976,B44,DATA!AD$2:AD$976,IF(K$5="الكل","*",K$5)),"—")</f>
        <v>—</v>
      </c>
      <c r="H44" s="326" t="str">
        <f ca="1">IFERROR(_xludf.minifs(DATA!AI$2:AI$976,DATA!E$2:E$976,"&gt;="&amp;D$6,DATA!E$2:E$976,"&lt;="&amp;F$6,DATA!I$2:I$976,IF(C$5="الكل","*",C$5),DATA!K$2:K$976,B44,DATA!AD$2:AD$976,IF(K$5="الكل","*",K$5)),"—")</f>
        <v>—</v>
      </c>
      <c r="I44" s="75">
        <f>IFERROR(COUNTIFS(DATA!E$2:E$976,"&gt;="&amp;D$6,DATA!E$2:E$976,"&lt;="&amp;F$6,DATA!I$2:I$976,IF(C$5="الكل","*",C$5),DATA!K$2:K$976,B44,DATA!AD$2:AD$976,IF(K$5="الكل","*",K$5),DATA!AI$2:AI$976,"&gt;=85"),0)</f>
        <v>1</v>
      </c>
      <c r="J44" s="76">
        <f>IFERROR(COUNTIFS(DATA!E$2:E$976,"&gt;="&amp;D$6,DATA!E$2:E$976,"&lt;="&amp;F$6,DATA!I$2:I$976,IF(C$5="الكل","*",C$5),DATA!K$2:K$976,B44,DATA!AD$2:AD$976,IF(K$5="الكل","*",K$5),DATA!AI$2:AI$976,"&lt;60"),0)</f>
        <v>0</v>
      </c>
      <c r="K44" s="77">
        <f>IFERROR(COUNTIFS(DATA!E$2:E$976,"&gt;="&amp;D$6,DATA!E$2:E$976,"&lt;="&amp;F$6,DATA!I$2:I$976,IF(C$5="الكل","*",C$5),DATA!K$2:K$976,B44,DATA!AD$2:AD$976,IF(K$5="الكل","*",K$5),DATA!AI$2:AI$976,"&gt;=70")/COUNTIFS(DATA!E$2:E$976,"&gt;="&amp;D$6,DATA!E$2:E$976,"&lt;="&amp;F$6,DATA!I$2:I$976,IF(C$5="الكل","*",C$5),DATA!K$2:K$976,B44,DATA!AD$2:AD$976,IF(K$5="الكل","*",K$5),DATA!AI$2:AI$976,"&lt;&gt;"),"—")</f>
        <v>1</v>
      </c>
      <c r="L44" s="530" t="str">
        <f t="shared" si="2"/>
        <v>██████████</v>
      </c>
      <c r="M44" s="465"/>
      <c r="N44" s="78" t="str">
        <f t="shared" si="3"/>
        <v>⭐</v>
      </c>
    </row>
    <row r="45" spans="2:14" ht="27.75" customHeight="1">
      <c r="B45" s="532" t="s">
        <v>116</v>
      </c>
      <c r="C45" s="464"/>
      <c r="D45" s="465"/>
      <c r="E45" s="69">
        <f>IFERROR(COUNTIFS(DATA!E$2:E$976,"&gt;="&amp;D$6,DATA!E$2:E$976,"&lt;="&amp;F$6,DATA!I$2:I$976,IF(C$5="الكل","*",C$5),DATA!K$2:K$976,B45,DATA!AD$2:AD$976,IF(K$5="الكل","*",K$5),DATA!AI$2:AI$976,"&lt;&gt;"),0)</f>
        <v>90</v>
      </c>
      <c r="F45" s="321">
        <f>IFERROR(AVERAGEIFS(DATA!AI$2:AI$976,DATA!E$2:E$976,"&gt;="&amp;D$6,DATA!E$2:E$976,"&lt;="&amp;F$6,DATA!I$2:I$976,IF(C$5="الكل","*",C$5),DATA!K$2:K$976,B45,DATA!AD$2:AD$976,IF(K$5="الكل","*",K$5)),"—")</f>
        <v>98.666666666666671</v>
      </c>
      <c r="G45" s="322" t="str">
        <f ca="1">IFERROR(_xludf.maxifs(DATA!AI$2:AI$976,DATA!E$2:E$976,"&gt;="&amp;D$6,DATA!E$2:E$976,"&lt;="&amp;F$6,DATA!I$2:I$976,IF(C$5="الكل","*",C$5),DATA!K$2:K$976,B45,DATA!AD$2:AD$976,IF(K$5="الكل","*",K$5)),"—")</f>
        <v>—</v>
      </c>
      <c r="H45" s="323" t="str">
        <f ca="1">IFERROR(_xludf.minifs(DATA!AI$2:AI$976,DATA!E$2:E$976,"&gt;="&amp;D$6,DATA!E$2:E$976,"&lt;="&amp;F$6,DATA!I$2:I$976,IF(C$5="الكل","*",C$5),DATA!K$2:K$976,B45,DATA!AD$2:AD$976,IF(K$5="الكل","*",K$5)),"—")</f>
        <v>—</v>
      </c>
      <c r="I45" s="70">
        <f>IFERROR(COUNTIFS(DATA!E$2:E$976,"&gt;="&amp;D$6,DATA!E$2:E$976,"&lt;="&amp;F$6,DATA!I$2:I$976,IF(C$5="الكل","*",C$5),DATA!K$2:K$976,B45,DATA!AD$2:AD$976,IF(K$5="الكل","*",K$5),DATA!AI$2:AI$976,"&gt;=85"),0)</f>
        <v>86</v>
      </c>
      <c r="J45" s="71">
        <f>IFERROR(COUNTIFS(DATA!E$2:E$976,"&gt;="&amp;D$6,DATA!E$2:E$976,"&lt;="&amp;F$6,DATA!I$2:I$976,IF(C$5="الكل","*",C$5),DATA!K$2:K$976,B45,DATA!AD$2:AD$976,IF(K$5="الكل","*",K$5),DATA!AI$2:AI$976,"&lt;60"),0)</f>
        <v>0</v>
      </c>
      <c r="K45" s="72">
        <f>IFERROR(COUNTIFS(DATA!E$2:E$976,"&gt;="&amp;D$6,DATA!E$2:E$976,"&lt;="&amp;F$6,DATA!I$2:I$976,IF(C$5="الكل","*",C$5),DATA!K$2:K$976,B45,DATA!AD$2:AD$976,IF(K$5="الكل","*",K$5),DATA!AI$2:AI$976,"&gt;=70")/COUNTIFS(DATA!E$2:E$976,"&gt;="&amp;D$6,DATA!E$2:E$976,"&lt;="&amp;F$6,DATA!I$2:I$976,IF(C$5="الكل","*",C$5),DATA!K$2:K$976,B45,DATA!AD$2:AD$976,IF(K$5="الكل","*",K$5),DATA!AI$2:AI$976,"&lt;&gt;"),"—")</f>
        <v>0.98888888888888893</v>
      </c>
      <c r="L45" s="540" t="str">
        <f t="shared" si="2"/>
        <v>██████████</v>
      </c>
      <c r="M45" s="465"/>
      <c r="N45" s="73" t="str">
        <f t="shared" si="3"/>
        <v>⭐</v>
      </c>
    </row>
    <row r="46" spans="2:14" ht="27.75" customHeight="1">
      <c r="B46" s="523" t="s">
        <v>169</v>
      </c>
      <c r="C46" s="464"/>
      <c r="D46" s="465"/>
      <c r="E46" s="74">
        <f>IFERROR(COUNTIFS(DATA!E$2:E$976,"&gt;="&amp;D$6,DATA!E$2:E$976,"&lt;="&amp;F$6,DATA!I$2:I$976,IF(C$5="الكل","*",C$5),DATA!K$2:K$976,B46,DATA!AD$2:AD$976,IF(K$5="الكل","*",K$5),DATA!AI$2:AI$976,"&lt;&gt;"),0)</f>
        <v>5</v>
      </c>
      <c r="F46" s="324">
        <f>IFERROR(AVERAGEIFS(DATA!AI$2:AI$976,DATA!E$2:E$976,"&gt;="&amp;D$6,DATA!E$2:E$976,"&lt;="&amp;F$6,DATA!I$2:I$976,IF(C$5="الكل","*",C$5),DATA!K$2:K$976,B46,DATA!AD$2:AD$976,IF(K$5="الكل","*",K$5)),"—")</f>
        <v>93.6</v>
      </c>
      <c r="G46" s="325" t="str">
        <f ca="1">IFERROR(_xludf.maxifs(DATA!AI$2:AI$976,DATA!E$2:E$976,"&gt;="&amp;D$6,DATA!E$2:E$976,"&lt;="&amp;F$6,DATA!I$2:I$976,IF(C$5="الكل","*",C$5),DATA!K$2:K$976,B46,DATA!AD$2:AD$976,IF(K$5="الكل","*",K$5)),"—")</f>
        <v>—</v>
      </c>
      <c r="H46" s="326" t="str">
        <f ca="1">IFERROR(_xludf.minifs(DATA!AI$2:AI$976,DATA!E$2:E$976,"&gt;="&amp;D$6,DATA!E$2:E$976,"&lt;="&amp;F$6,DATA!I$2:I$976,IF(C$5="الكل","*",C$5),DATA!K$2:K$976,B46,DATA!AD$2:AD$976,IF(K$5="الكل","*",K$5)),"—")</f>
        <v>—</v>
      </c>
      <c r="I46" s="75">
        <f>IFERROR(COUNTIFS(DATA!E$2:E$976,"&gt;="&amp;D$6,DATA!E$2:E$976,"&lt;="&amp;F$6,DATA!I$2:I$976,IF(C$5="الكل","*",C$5),DATA!K$2:K$976,B46,DATA!AD$2:AD$976,IF(K$5="الكل","*",K$5),DATA!AI$2:AI$976,"&gt;=85"),0)</f>
        <v>4</v>
      </c>
      <c r="J46" s="76">
        <f>IFERROR(COUNTIFS(DATA!E$2:E$976,"&gt;="&amp;D$6,DATA!E$2:E$976,"&lt;="&amp;F$6,DATA!I$2:I$976,IF(C$5="الكل","*",C$5),DATA!K$2:K$976,B46,DATA!AD$2:AD$976,IF(K$5="الكل","*",K$5),DATA!AI$2:AI$976,"&lt;60"),0)</f>
        <v>0</v>
      </c>
      <c r="K46" s="77">
        <f>IFERROR(COUNTIFS(DATA!E$2:E$976,"&gt;="&amp;D$6,DATA!E$2:E$976,"&lt;="&amp;F$6,DATA!I$2:I$976,IF(C$5="الكل","*",C$5),DATA!K$2:K$976,B46,DATA!AD$2:AD$976,IF(K$5="الكل","*",K$5),DATA!AI$2:AI$976,"&gt;=70")/COUNTIFS(DATA!E$2:E$976,"&gt;="&amp;D$6,DATA!E$2:E$976,"&lt;="&amp;F$6,DATA!I$2:I$976,IF(C$5="الكل","*",C$5),DATA!K$2:K$976,B46,DATA!AD$2:AD$976,IF(K$5="الكل","*",K$5),DATA!AI$2:AI$976,"&lt;&gt;"),"—")</f>
        <v>0.8</v>
      </c>
      <c r="L46" s="530" t="str">
        <f t="shared" si="2"/>
        <v>█████████░</v>
      </c>
      <c r="M46" s="465"/>
      <c r="N46" s="78" t="str">
        <f t="shared" si="3"/>
        <v>⭐</v>
      </c>
    </row>
    <row r="47" spans="2:14" ht="27.75" customHeight="1">
      <c r="B47" s="532" t="s">
        <v>185</v>
      </c>
      <c r="C47" s="464"/>
      <c r="D47" s="465"/>
      <c r="E47" s="69">
        <f>IFERROR(COUNTIFS(DATA!E$2:E$976,"&gt;="&amp;D$6,DATA!E$2:E$976,"&lt;="&amp;F$6,DATA!I$2:I$976,IF(C$5="الكل","*",C$5),DATA!K$2:K$976,B47,DATA!AD$2:AD$976,IF(K$5="الكل","*",K$5),DATA!AI$2:AI$976,"&lt;&gt;"),0)</f>
        <v>1</v>
      </c>
      <c r="F47" s="321">
        <f>IFERROR(AVERAGEIFS(DATA!AI$2:AI$976,DATA!E$2:E$976,"&gt;="&amp;D$6,DATA!E$2:E$976,"&lt;="&amp;F$6,DATA!I$2:I$976,IF(C$5="الكل","*",C$5),DATA!K$2:K$976,B47,DATA!AD$2:AD$976,IF(K$5="الكل","*",K$5)),"—")</f>
        <v>44</v>
      </c>
      <c r="G47" s="322" t="str">
        <f ca="1">IFERROR(_xludf.maxifs(DATA!AI$2:AI$976,DATA!E$2:E$976,"&gt;="&amp;D$6,DATA!E$2:E$976,"&lt;="&amp;F$6,DATA!I$2:I$976,IF(C$5="الكل","*",C$5),DATA!K$2:K$976,B47,DATA!AD$2:AD$976,IF(K$5="الكل","*",K$5)),"—")</f>
        <v>—</v>
      </c>
      <c r="H47" s="323" t="str">
        <f ca="1">IFERROR(_xludf.minifs(DATA!AI$2:AI$976,DATA!E$2:E$976,"&gt;="&amp;D$6,DATA!E$2:E$976,"&lt;="&amp;F$6,DATA!I$2:I$976,IF(C$5="الكل","*",C$5),DATA!K$2:K$976,B47,DATA!AD$2:AD$976,IF(K$5="الكل","*",K$5)),"—")</f>
        <v>—</v>
      </c>
      <c r="I47" s="70">
        <f>IFERROR(COUNTIFS(DATA!E$2:E$976,"&gt;="&amp;D$6,DATA!E$2:E$976,"&lt;="&amp;F$6,DATA!I$2:I$976,IF(C$5="الكل","*",C$5),DATA!K$2:K$976,B47,DATA!AD$2:AD$976,IF(K$5="الكل","*",K$5),DATA!AI$2:AI$976,"&gt;=85"),0)</f>
        <v>0</v>
      </c>
      <c r="J47" s="71">
        <f>IFERROR(COUNTIFS(DATA!E$2:E$976,"&gt;="&amp;D$6,DATA!E$2:E$976,"&lt;="&amp;F$6,DATA!I$2:I$976,IF(C$5="الكل","*",C$5),DATA!K$2:K$976,B47,DATA!AD$2:AD$976,IF(K$5="الكل","*",K$5),DATA!AI$2:AI$976,"&lt;60"),0)</f>
        <v>1</v>
      </c>
      <c r="K47" s="72">
        <f>IFERROR(COUNTIFS(DATA!E$2:E$976,"&gt;="&amp;D$6,DATA!E$2:E$976,"&lt;="&amp;F$6,DATA!I$2:I$976,IF(C$5="الكل","*",C$5),DATA!K$2:K$976,B47,DATA!AD$2:AD$976,IF(K$5="الكل","*",K$5),DATA!AI$2:AI$976,"&gt;=70")/COUNTIFS(DATA!E$2:E$976,"&gt;="&amp;D$6,DATA!E$2:E$976,"&lt;="&amp;F$6,DATA!I$2:I$976,IF(C$5="الكل","*",C$5),DATA!K$2:K$976,B47,DATA!AD$2:AD$976,IF(K$5="الكل","*",K$5),DATA!AI$2:AI$976,"&lt;&gt;"),"—")</f>
        <v>0</v>
      </c>
      <c r="L47" s="540" t="str">
        <f t="shared" si="2"/>
        <v>████░░░░░░</v>
      </c>
      <c r="M47" s="465"/>
      <c r="N47" s="73" t="str">
        <f t="shared" si="3"/>
        <v>🔴</v>
      </c>
    </row>
    <row r="48" spans="2:14" ht="27.75" customHeight="1"/>
    <row r="49" spans="2:14" ht="27.75" customHeight="1"/>
    <row r="50" spans="2:14" ht="27.75" customHeight="1"/>
    <row r="51" spans="2:14" ht="7.5" customHeight="1"/>
    <row r="52" spans="2:14" ht="27.75" customHeight="1">
      <c r="B52" s="549" t="s">
        <v>1272</v>
      </c>
      <c r="C52" s="373"/>
      <c r="D52" s="373"/>
      <c r="E52" s="373"/>
      <c r="F52" s="373"/>
      <c r="G52" s="373"/>
      <c r="H52" s="373"/>
      <c r="I52" s="373"/>
      <c r="J52" s="373"/>
      <c r="K52" s="373"/>
      <c r="L52" s="373"/>
      <c r="M52" s="373"/>
      <c r="N52" s="373"/>
    </row>
    <row r="53" spans="2:14" ht="7.5" customHeight="1"/>
    <row r="54" spans="2:14" ht="27.75" customHeight="1">
      <c r="B54" s="524" t="s">
        <v>25</v>
      </c>
      <c r="C54" s="525"/>
      <c r="D54" s="526"/>
      <c r="E54" s="229" t="s">
        <v>1253</v>
      </c>
      <c r="F54" s="229" t="s">
        <v>1168</v>
      </c>
      <c r="G54" s="229" t="s">
        <v>1254</v>
      </c>
      <c r="H54" s="229" t="s">
        <v>1255</v>
      </c>
      <c r="I54" s="229" t="s">
        <v>1256</v>
      </c>
      <c r="J54" s="229" t="s">
        <v>1257</v>
      </c>
      <c r="K54" s="229" t="s">
        <v>1258</v>
      </c>
      <c r="L54" s="524" t="s">
        <v>1259</v>
      </c>
      <c r="M54" s="526"/>
      <c r="N54" s="229" t="s">
        <v>1175</v>
      </c>
    </row>
    <row r="55" spans="2:14" ht="27.75" customHeight="1"/>
    <row r="56" spans="2:14" ht="27.75" customHeight="1">
      <c r="B56" s="520" t="s">
        <v>26</v>
      </c>
      <c r="C56" s="464"/>
      <c r="D56" s="465"/>
      <c r="E56" s="79">
        <f>IFERROR(COUNTIFS(DATA!E$2:E$976,"&gt;="&amp;D$6,DATA!E$2:E$976,"&lt;="&amp;F$6,DATA!I$2:I$976,IF(C$5="الكل","*",C$5),DATA!K$2:K$976,IF(G$5="الكل","*",G$5),DATA!AD$2:AD$976,B56,DATA!AI$2:AI$976,"&lt;&gt;"),0)</f>
        <v>100</v>
      </c>
      <c r="F56" s="327">
        <f>IFERROR(AVERAGEIFS(DATA!AI$2:AI$976,DATA!E$2:E$976,"&gt;="&amp;D$6,DATA!E$2:E$976,"&lt;="&amp;F$6,DATA!I$2:I$976,IF(C$5="الكل","*",C$5),DATA!K$2:K$976,IF(G$5="الكل","*",G$5),DATA!AD$2:AD$976,B56),"—")</f>
        <v>93.07</v>
      </c>
      <c r="G56" s="328" t="str">
        <f ca="1">IFERROR(_xludf.maxifs(DATA!AI$2:AI$976,DATA!E$2:E$976,"&gt;="&amp;D$6,DATA!E$2:E$976,"&lt;="&amp;F$6,DATA!I$2:I$976,IF(C$5="الكل","*",C$5),DATA!K$2:K$976,IF(G$5="الكل","*",G$5),DATA!AD$2:AD$976,B56),"—")</f>
        <v>—</v>
      </c>
      <c r="H56" s="329" t="str">
        <f ca="1">IFERROR(_xludf.minifs(DATA!AI$2:AI$976,DATA!E$2:E$976,"&gt;="&amp;D$6,DATA!E$2:E$976,"&lt;="&amp;F$6,DATA!I$2:I$976,IF(C$5="الكل","*",C$5),DATA!K$2:K$976,IF(G$5="الكل","*",G$5),DATA!AD$2:AD$976,B56),"—")</f>
        <v>—</v>
      </c>
      <c r="I56" s="80">
        <f>IFERROR(COUNTIFS(DATA!E$2:E$976,"&gt;="&amp;D$6,DATA!E$2:E$976,"&lt;="&amp;F$6,DATA!I$2:I$976,IF(C$5="الكل","*",C$5),DATA!K$2:K$976,IF(G$5="الكل","*",G$5),DATA!AD$2:AD$976,B56,DATA!AI$2:AI$976,"&gt;=85"),0)</f>
        <v>88</v>
      </c>
      <c r="J56" s="81">
        <f>IFERROR(COUNTIFS(DATA!E$2:E$976,"&gt;="&amp;D$6,DATA!E$2:E$976,"&lt;="&amp;F$6,DATA!I$2:I$976,IF(C$5="الكل","*",C$5),DATA!K$2:K$976,IF(G$5="الكل","*",G$5),DATA!AD$2:AD$976,B56,DATA!AI$2:AI$976,"&lt;60"),0)</f>
        <v>7</v>
      </c>
      <c r="K56" s="82">
        <f>IFERROR(COUNTIFS(DATA!E$2:E$976,"&gt;="&amp;D$6,DATA!E$2:E$976,"&lt;="&amp;F$6,DATA!I$2:I$976,IF(C$5="الكل","*",C$5),DATA!K$2:K$976,IF(G$5="الكل","*",G$5),DATA!AD$2:AD$976,B56,DATA!AI$2:AI$976,"&gt;=70")/COUNTIFS(DATA!E$2:E$976,"&gt;="&amp;D$6,DATA!E$2:E$976,"&lt;="&amp;F$6,DATA!I$2:I$976,IF(C$5="الكل","*",C$5),DATA!K$2:K$976,IF(G$5="الكل","*",G$5),DATA!AD$2:AD$976,B56,DATA!AI$2:AI$976,"&lt;&gt;"),"—")</f>
        <v>0.91</v>
      </c>
      <c r="L56" s="527" t="str">
        <f t="shared" ref="L56:L63" si="4">IFERROR(IF(F56="—","—",REPT("█",ROUND(F56/10,0))&amp;REPT("░",10-ROUND(F56/10,0))),"—")</f>
        <v>█████████░</v>
      </c>
      <c r="M56" s="465"/>
      <c r="N56" s="83" t="str">
        <f t="shared" ref="N56:N63" si="5">IFERROR(IF(F56="—","—",IF(F56&gt;=85,"⭐",IF(F56&gt;=70,"🟢",IF(F56&gt;=60,"🟡","🔴")))),"—")</f>
        <v>⭐</v>
      </c>
    </row>
    <row r="57" spans="2:14" ht="27.75" customHeight="1">
      <c r="B57" s="521" t="s">
        <v>1273</v>
      </c>
      <c r="C57" s="464"/>
      <c r="D57" s="465"/>
      <c r="E57" s="69">
        <f>IFERROR(COUNTIFS(DATA!E$2:E$976,"&gt;="&amp;D$6,DATA!E$2:E$976,"&lt;="&amp;F$6,DATA!I$2:I$976,IF(C$5="الكل","*",C$5),DATA!K$2:K$976,IF(G$5="الكل","*",G$5),DATA!AD$2:AD$976,B57,DATA!AI$2:AI$976,"&lt;&gt;"),0)</f>
        <v>0</v>
      </c>
      <c r="F57" s="321" t="str">
        <f>IFERROR(AVERAGEIFS(DATA!AI$2:AI$976,DATA!E$2:E$976,"&gt;="&amp;D$6,DATA!E$2:E$976,"&lt;="&amp;F$6,DATA!I$2:I$976,IF(C$5="الكل","*",C$5),DATA!K$2:K$976,IF(G$5="الكل","*",G$5),DATA!AD$2:AD$976,B57),"—")</f>
        <v>—</v>
      </c>
      <c r="G57" s="322" t="str">
        <f ca="1">IFERROR(_xludf.maxifs(DATA!AI$2:AI$976,DATA!E$2:E$976,"&gt;="&amp;D$6,DATA!E$2:E$976,"&lt;="&amp;F$6,DATA!I$2:I$976,IF(C$5="الكل","*",C$5),DATA!K$2:K$976,IF(G$5="الكل","*",G$5),DATA!AD$2:AD$976,B57),"—")</f>
        <v>—</v>
      </c>
      <c r="H57" s="323" t="str">
        <f ca="1">IFERROR(_xludf.minifs(DATA!AI$2:AI$976,DATA!E$2:E$976,"&gt;="&amp;D$6,DATA!E$2:E$976,"&lt;="&amp;F$6,DATA!I$2:I$976,IF(C$5="الكل","*",C$5),DATA!K$2:K$976,IF(G$5="الكل","*",G$5),DATA!AD$2:AD$976,B57),"—")</f>
        <v>—</v>
      </c>
      <c r="I57" s="70">
        <f>IFERROR(COUNTIFS(DATA!E$2:E$976,"&gt;="&amp;D$6,DATA!E$2:E$976,"&lt;="&amp;F$6,DATA!I$2:I$976,IF(C$5="الكل","*",C$5),DATA!K$2:K$976,IF(G$5="الكل","*",G$5),DATA!AD$2:AD$976,B57,DATA!AI$2:AI$976,"&gt;=85"),0)</f>
        <v>0</v>
      </c>
      <c r="J57" s="71">
        <f>IFERROR(COUNTIFS(DATA!E$2:E$976,"&gt;="&amp;D$6,DATA!E$2:E$976,"&lt;="&amp;F$6,DATA!I$2:I$976,IF(C$5="الكل","*",C$5),DATA!K$2:K$976,IF(G$5="الكل","*",G$5),DATA!AD$2:AD$976,B57,DATA!AI$2:AI$976,"&lt;60"),0)</f>
        <v>0</v>
      </c>
      <c r="K57" s="72" t="str">
        <f>IFERROR(COUNTIFS(DATA!E$2:E$976,"&gt;="&amp;D$6,DATA!E$2:E$976,"&lt;="&amp;F$6,DATA!I$2:I$976,IF(C$5="الكل","*",C$5),DATA!K$2:K$976,IF(G$5="الكل","*",G$5),DATA!AD$2:AD$976,B57,DATA!AI$2:AI$976,"&gt;=70")/COUNTIFS(DATA!E$2:E$976,"&gt;="&amp;D$6,DATA!E$2:E$976,"&lt;="&amp;F$6,DATA!I$2:I$976,IF(C$5="الكل","*",C$5),DATA!K$2:K$976,IF(G$5="الكل","*",G$5),DATA!AD$2:AD$976,B57,DATA!AI$2:AI$976,"&lt;&gt;"),"—")</f>
        <v>—</v>
      </c>
      <c r="L57" s="533" t="str">
        <f t="shared" si="4"/>
        <v>—</v>
      </c>
      <c r="M57" s="465"/>
      <c r="N57" s="73" t="str">
        <f t="shared" si="5"/>
        <v>—</v>
      </c>
    </row>
    <row r="58" spans="2:14" ht="27.75" customHeight="1">
      <c r="B58" s="520" t="s">
        <v>1274</v>
      </c>
      <c r="C58" s="464"/>
      <c r="D58" s="465"/>
      <c r="E58" s="79">
        <f>IFERROR(COUNTIFS(DATA!E$2:E$976,"&gt;="&amp;D$6,DATA!E$2:E$976,"&lt;="&amp;F$6,DATA!I$2:I$976,IF(C$5="الكل","*",C$5),DATA!K$2:K$976,IF(G$5="الكل","*",G$5),DATA!AD$2:AD$976,B58,DATA!AI$2:AI$976,"&lt;&gt;"),0)</f>
        <v>0</v>
      </c>
      <c r="F58" s="327" t="str">
        <f>IFERROR(AVERAGEIFS(DATA!AI$2:AI$976,DATA!E$2:E$976,"&gt;="&amp;D$6,DATA!E$2:E$976,"&lt;="&amp;F$6,DATA!I$2:I$976,IF(C$5="الكل","*",C$5),DATA!K$2:K$976,IF(G$5="الكل","*",G$5),DATA!AD$2:AD$976,B58),"—")</f>
        <v>—</v>
      </c>
      <c r="G58" s="328" t="str">
        <f ca="1">IFERROR(_xludf.maxifs(DATA!AI$2:AI$976,DATA!E$2:E$976,"&gt;="&amp;D$6,DATA!E$2:E$976,"&lt;="&amp;F$6,DATA!I$2:I$976,IF(C$5="الكل","*",C$5),DATA!K$2:K$976,IF(G$5="الكل","*",G$5),DATA!AD$2:AD$976,B58),"—")</f>
        <v>—</v>
      </c>
      <c r="H58" s="329" t="str">
        <f ca="1">IFERROR(_xludf.minifs(DATA!AI$2:AI$976,DATA!E$2:E$976,"&gt;="&amp;D$6,DATA!E$2:E$976,"&lt;="&amp;F$6,DATA!I$2:I$976,IF(C$5="الكل","*",C$5),DATA!K$2:K$976,IF(G$5="الكل","*",G$5),DATA!AD$2:AD$976,B58),"—")</f>
        <v>—</v>
      </c>
      <c r="I58" s="80">
        <f>IFERROR(COUNTIFS(DATA!E$2:E$976,"&gt;="&amp;D$6,DATA!E$2:E$976,"&lt;="&amp;F$6,DATA!I$2:I$976,IF(C$5="الكل","*",C$5),DATA!K$2:K$976,IF(G$5="الكل","*",G$5),DATA!AD$2:AD$976,B58,DATA!AI$2:AI$976,"&gt;=85"),0)</f>
        <v>0</v>
      </c>
      <c r="J58" s="81">
        <f>IFERROR(COUNTIFS(DATA!E$2:E$976,"&gt;="&amp;D$6,DATA!E$2:E$976,"&lt;="&amp;F$6,DATA!I$2:I$976,IF(C$5="الكل","*",C$5),DATA!K$2:K$976,IF(G$5="الكل","*",G$5),DATA!AD$2:AD$976,B58,DATA!AI$2:AI$976,"&lt;60"),0)</f>
        <v>0</v>
      </c>
      <c r="K58" s="82" t="str">
        <f>IFERROR(COUNTIFS(DATA!E$2:E$976,"&gt;="&amp;D$6,DATA!E$2:E$976,"&lt;="&amp;F$6,DATA!I$2:I$976,IF(C$5="الكل","*",C$5),DATA!K$2:K$976,IF(G$5="الكل","*",G$5),DATA!AD$2:AD$976,B58,DATA!AI$2:AI$976,"&gt;=70")/COUNTIFS(DATA!E$2:E$976,"&gt;="&amp;D$6,DATA!E$2:E$976,"&lt;="&amp;F$6,DATA!I$2:I$976,IF(C$5="الكل","*",C$5),DATA!K$2:K$976,IF(G$5="الكل","*",G$5),DATA!AD$2:AD$976,B58,DATA!AI$2:AI$976,"&lt;&gt;"),"—")</f>
        <v>—</v>
      </c>
      <c r="L58" s="527" t="str">
        <f t="shared" si="4"/>
        <v>—</v>
      </c>
      <c r="M58" s="465"/>
      <c r="N58" s="83" t="str">
        <f t="shared" si="5"/>
        <v>—</v>
      </c>
    </row>
    <row r="59" spans="2:14" ht="27.75" customHeight="1">
      <c r="B59" s="521" t="s">
        <v>1275</v>
      </c>
      <c r="C59" s="464"/>
      <c r="D59" s="465"/>
      <c r="E59" s="69">
        <f>IFERROR(COUNTIFS(DATA!E$2:E$976,"&gt;="&amp;D$6,DATA!E$2:E$976,"&lt;="&amp;F$6,DATA!I$2:I$976,IF(C$5="الكل","*",C$5),DATA!K$2:K$976,IF(G$5="الكل","*",G$5),DATA!AD$2:AD$976,B59,DATA!AI$2:AI$976,"&lt;&gt;"),0)</f>
        <v>0</v>
      </c>
      <c r="F59" s="321" t="str">
        <f>IFERROR(AVERAGEIFS(DATA!AI$2:AI$976,DATA!E$2:E$976,"&gt;="&amp;D$6,DATA!E$2:E$976,"&lt;="&amp;F$6,DATA!I$2:I$976,IF(C$5="الكل","*",C$5),DATA!K$2:K$976,IF(G$5="الكل","*",G$5),DATA!AD$2:AD$976,B59),"—")</f>
        <v>—</v>
      </c>
      <c r="G59" s="322" t="str">
        <f ca="1">IFERROR(_xludf.maxifs(DATA!AI$2:AI$976,DATA!E$2:E$976,"&gt;="&amp;D$6,DATA!E$2:E$976,"&lt;="&amp;F$6,DATA!I$2:I$976,IF(C$5="الكل","*",C$5),DATA!K$2:K$976,IF(G$5="الكل","*",G$5),DATA!AD$2:AD$976,B59),"—")</f>
        <v>—</v>
      </c>
      <c r="H59" s="323" t="str">
        <f ca="1">IFERROR(_xludf.minifs(DATA!AI$2:AI$976,DATA!E$2:E$976,"&gt;="&amp;D$6,DATA!E$2:E$976,"&lt;="&amp;F$6,DATA!I$2:I$976,IF(C$5="الكل","*",C$5),DATA!K$2:K$976,IF(G$5="الكل","*",G$5),DATA!AD$2:AD$976,B59),"—")</f>
        <v>—</v>
      </c>
      <c r="I59" s="70">
        <f>IFERROR(COUNTIFS(DATA!E$2:E$976,"&gt;="&amp;D$6,DATA!E$2:E$976,"&lt;="&amp;F$6,DATA!I$2:I$976,IF(C$5="الكل","*",C$5),DATA!K$2:K$976,IF(G$5="الكل","*",G$5),DATA!AD$2:AD$976,B59,DATA!AI$2:AI$976,"&gt;=85"),0)</f>
        <v>0</v>
      </c>
      <c r="J59" s="71">
        <f>IFERROR(COUNTIFS(DATA!E$2:E$976,"&gt;="&amp;D$6,DATA!E$2:E$976,"&lt;="&amp;F$6,DATA!I$2:I$976,IF(C$5="الكل","*",C$5),DATA!K$2:K$976,IF(G$5="الكل","*",G$5),DATA!AD$2:AD$976,B59,DATA!AI$2:AI$976,"&lt;60"),0)</f>
        <v>0</v>
      </c>
      <c r="K59" s="72" t="str">
        <f>IFERROR(COUNTIFS(DATA!E$2:E$976,"&gt;="&amp;D$6,DATA!E$2:E$976,"&lt;="&amp;F$6,DATA!I$2:I$976,IF(C$5="الكل","*",C$5),DATA!K$2:K$976,IF(G$5="الكل","*",G$5),DATA!AD$2:AD$976,B59,DATA!AI$2:AI$976,"&gt;=70")/COUNTIFS(DATA!E$2:E$976,"&gt;="&amp;D$6,DATA!E$2:E$976,"&lt;="&amp;F$6,DATA!I$2:I$976,IF(C$5="الكل","*",C$5),DATA!K$2:K$976,IF(G$5="الكل","*",G$5),DATA!AD$2:AD$976,B59,DATA!AI$2:AI$976,"&lt;&gt;"),"—")</f>
        <v>—</v>
      </c>
      <c r="L59" s="533" t="str">
        <f t="shared" si="4"/>
        <v>—</v>
      </c>
      <c r="M59" s="465"/>
      <c r="N59" s="73" t="str">
        <f t="shared" si="5"/>
        <v>—</v>
      </c>
    </row>
    <row r="60" spans="2:14" ht="27.75" customHeight="1">
      <c r="B60" s="520" t="s">
        <v>1276</v>
      </c>
      <c r="C60" s="464"/>
      <c r="D60" s="465"/>
      <c r="E60" s="79">
        <f>IFERROR(COUNTIFS(DATA!E$2:E$976,"&gt;="&amp;D$6,DATA!E$2:E$976,"&lt;="&amp;F$6,DATA!I$2:I$976,IF(C$5="الكل","*",C$5),DATA!K$2:K$976,IF(G$5="الكل","*",G$5),DATA!AD$2:AD$976,B60,DATA!AI$2:AI$976,"&lt;&gt;"),0)</f>
        <v>0</v>
      </c>
      <c r="F60" s="327" t="str">
        <f>IFERROR(AVERAGEIFS(DATA!AI$2:AI$976,DATA!E$2:E$976,"&gt;="&amp;D$6,DATA!E$2:E$976,"&lt;="&amp;F$6,DATA!I$2:I$976,IF(C$5="الكل","*",C$5),DATA!K$2:K$976,IF(G$5="الكل","*",G$5),DATA!AD$2:AD$976,B60),"—")</f>
        <v>—</v>
      </c>
      <c r="G60" s="328" t="str">
        <f ca="1">IFERROR(_xludf.maxifs(DATA!AI$2:AI$976,DATA!E$2:E$976,"&gt;="&amp;D$6,DATA!E$2:E$976,"&lt;="&amp;F$6,DATA!I$2:I$976,IF(C$5="الكل","*",C$5),DATA!K$2:K$976,IF(G$5="الكل","*",G$5),DATA!AD$2:AD$976,B60),"—")</f>
        <v>—</v>
      </c>
      <c r="H60" s="329" t="str">
        <f ca="1">IFERROR(_xludf.minifs(DATA!AI$2:AI$976,DATA!E$2:E$976,"&gt;="&amp;D$6,DATA!E$2:E$976,"&lt;="&amp;F$6,DATA!I$2:I$976,IF(C$5="الكل","*",C$5),DATA!K$2:K$976,IF(G$5="الكل","*",G$5),DATA!AD$2:AD$976,B60),"—")</f>
        <v>—</v>
      </c>
      <c r="I60" s="80">
        <f>IFERROR(COUNTIFS(DATA!E$2:E$976,"&gt;="&amp;D$6,DATA!E$2:E$976,"&lt;="&amp;F$6,DATA!I$2:I$976,IF(C$5="الكل","*",C$5),DATA!K$2:K$976,IF(G$5="الكل","*",G$5),DATA!AD$2:AD$976,B60,DATA!AI$2:AI$976,"&gt;=85"),0)</f>
        <v>0</v>
      </c>
      <c r="J60" s="81">
        <f>IFERROR(COUNTIFS(DATA!E$2:E$976,"&gt;="&amp;D$6,DATA!E$2:E$976,"&lt;="&amp;F$6,DATA!I$2:I$976,IF(C$5="الكل","*",C$5),DATA!K$2:K$976,IF(G$5="الكل","*",G$5),DATA!AD$2:AD$976,B60,DATA!AI$2:AI$976,"&lt;60"),0)</f>
        <v>0</v>
      </c>
      <c r="K60" s="82" t="str">
        <f>IFERROR(COUNTIFS(DATA!E$2:E$976,"&gt;="&amp;D$6,DATA!E$2:E$976,"&lt;="&amp;F$6,DATA!I$2:I$976,IF(C$5="الكل","*",C$5),DATA!K$2:K$976,IF(G$5="الكل","*",G$5),DATA!AD$2:AD$976,B60,DATA!AI$2:AI$976,"&gt;=70")/COUNTIFS(DATA!E$2:E$976,"&gt;="&amp;D$6,DATA!E$2:E$976,"&lt;="&amp;F$6,DATA!I$2:I$976,IF(C$5="الكل","*",C$5),DATA!K$2:K$976,IF(G$5="الكل","*",G$5),DATA!AD$2:AD$976,B60,DATA!AI$2:AI$976,"&lt;&gt;"),"—")</f>
        <v>—</v>
      </c>
      <c r="L60" s="527" t="str">
        <f t="shared" si="4"/>
        <v>—</v>
      </c>
      <c r="M60" s="465"/>
      <c r="N60" s="83" t="str">
        <f t="shared" si="5"/>
        <v>—</v>
      </c>
    </row>
    <row r="61" spans="2:14" ht="27.75" customHeight="1">
      <c r="B61" s="521" t="s">
        <v>1277</v>
      </c>
      <c r="C61" s="464"/>
      <c r="D61" s="465"/>
      <c r="E61" s="69">
        <f>IFERROR(COUNTIFS(DATA!E$2:E$976,"&gt;="&amp;D$6,DATA!E$2:E$976,"&lt;="&amp;F$6,DATA!I$2:I$976,IF(C$5="الكل","*",C$5),DATA!K$2:K$976,IF(G$5="الكل","*",G$5),DATA!AD$2:AD$976,B61,DATA!AI$2:AI$976,"&lt;&gt;"),0)</f>
        <v>0</v>
      </c>
      <c r="F61" s="321" t="str">
        <f>IFERROR(AVERAGEIFS(DATA!AI$2:AI$976,DATA!E$2:E$976,"&gt;="&amp;D$6,DATA!E$2:E$976,"&lt;="&amp;F$6,DATA!I$2:I$976,IF(C$5="الكل","*",C$5),DATA!K$2:K$976,IF(G$5="الكل","*",G$5),DATA!AD$2:AD$976,B61),"—")</f>
        <v>—</v>
      </c>
      <c r="G61" s="322" t="str">
        <f ca="1">IFERROR(_xludf.maxifs(DATA!AI$2:AI$976,DATA!E$2:E$976,"&gt;="&amp;D$6,DATA!E$2:E$976,"&lt;="&amp;F$6,DATA!I$2:I$976,IF(C$5="الكل","*",C$5),DATA!K$2:K$976,IF(G$5="الكل","*",G$5),DATA!AD$2:AD$976,B61),"—")</f>
        <v>—</v>
      </c>
      <c r="H61" s="323" t="str">
        <f ca="1">IFERROR(_xludf.minifs(DATA!AI$2:AI$976,DATA!E$2:E$976,"&gt;="&amp;D$6,DATA!E$2:E$976,"&lt;="&amp;F$6,DATA!I$2:I$976,IF(C$5="الكل","*",C$5),DATA!K$2:K$976,IF(G$5="الكل","*",G$5),DATA!AD$2:AD$976,B61),"—")</f>
        <v>—</v>
      </c>
      <c r="I61" s="70">
        <f>IFERROR(COUNTIFS(DATA!E$2:E$976,"&gt;="&amp;D$6,DATA!E$2:E$976,"&lt;="&amp;F$6,DATA!I$2:I$976,IF(C$5="الكل","*",C$5),DATA!K$2:K$976,IF(G$5="الكل","*",G$5),DATA!AD$2:AD$976,B61,DATA!AI$2:AI$976,"&gt;=85"),0)</f>
        <v>0</v>
      </c>
      <c r="J61" s="71">
        <f>IFERROR(COUNTIFS(DATA!E$2:E$976,"&gt;="&amp;D$6,DATA!E$2:E$976,"&lt;="&amp;F$6,DATA!I$2:I$976,IF(C$5="الكل","*",C$5),DATA!K$2:K$976,IF(G$5="الكل","*",G$5),DATA!AD$2:AD$976,B61,DATA!AI$2:AI$976,"&lt;60"),0)</f>
        <v>0</v>
      </c>
      <c r="K61" s="72" t="str">
        <f>IFERROR(COUNTIFS(DATA!E$2:E$976,"&gt;="&amp;D$6,DATA!E$2:E$976,"&lt;="&amp;F$6,DATA!I$2:I$976,IF(C$5="الكل","*",C$5),DATA!K$2:K$976,IF(G$5="الكل","*",G$5),DATA!AD$2:AD$976,B61,DATA!AI$2:AI$976,"&gt;=70")/COUNTIFS(DATA!E$2:E$976,"&gt;="&amp;D$6,DATA!E$2:E$976,"&lt;="&amp;F$6,DATA!I$2:I$976,IF(C$5="الكل","*",C$5),DATA!K$2:K$976,IF(G$5="الكل","*",G$5),DATA!AD$2:AD$976,B61,DATA!AI$2:AI$976,"&lt;&gt;"),"—")</f>
        <v>—</v>
      </c>
      <c r="L61" s="533" t="str">
        <f t="shared" si="4"/>
        <v>—</v>
      </c>
      <c r="M61" s="465"/>
      <c r="N61" s="73" t="str">
        <f t="shared" si="5"/>
        <v>—</v>
      </c>
    </row>
    <row r="62" spans="2:14" ht="27.75" customHeight="1">
      <c r="B62" s="520" t="s">
        <v>1278</v>
      </c>
      <c r="C62" s="464"/>
      <c r="D62" s="465"/>
      <c r="E62" s="79">
        <f>IFERROR(COUNTIFS(DATA!E$2:E$976,"&gt;="&amp;D$6,DATA!E$2:E$976,"&lt;="&amp;F$6,DATA!I$2:I$976,IF(C$5="الكل","*",C$5),DATA!K$2:K$976,IF(G$5="الكل","*",G$5),DATA!AD$2:AD$976,B62,DATA!AI$2:AI$976,"&lt;&gt;"),0)</f>
        <v>0</v>
      </c>
      <c r="F62" s="327" t="str">
        <f>IFERROR(AVERAGEIFS(DATA!AI$2:AI$976,DATA!E$2:E$976,"&gt;="&amp;D$6,DATA!E$2:E$976,"&lt;="&amp;F$6,DATA!I$2:I$976,IF(C$5="الكل","*",C$5),DATA!K$2:K$976,IF(G$5="الكل","*",G$5),DATA!AD$2:AD$976,B62),"—")</f>
        <v>—</v>
      </c>
      <c r="G62" s="328" t="str">
        <f ca="1">IFERROR(_xludf.maxifs(DATA!AI$2:AI$976,DATA!E$2:E$976,"&gt;="&amp;D$6,DATA!E$2:E$976,"&lt;="&amp;F$6,DATA!I$2:I$976,IF(C$5="الكل","*",C$5),DATA!K$2:K$976,IF(G$5="الكل","*",G$5),DATA!AD$2:AD$976,B62),"—")</f>
        <v>—</v>
      </c>
      <c r="H62" s="329" t="str">
        <f ca="1">IFERROR(_xludf.minifs(DATA!AI$2:AI$976,DATA!E$2:E$976,"&gt;="&amp;D$6,DATA!E$2:E$976,"&lt;="&amp;F$6,DATA!I$2:I$976,IF(C$5="الكل","*",C$5),DATA!K$2:K$976,IF(G$5="الكل","*",G$5),DATA!AD$2:AD$976,B62),"—")</f>
        <v>—</v>
      </c>
      <c r="I62" s="80">
        <f>IFERROR(COUNTIFS(DATA!E$2:E$976,"&gt;="&amp;D$6,DATA!E$2:E$976,"&lt;="&amp;F$6,DATA!I$2:I$976,IF(C$5="الكل","*",C$5),DATA!K$2:K$976,IF(G$5="الكل","*",G$5),DATA!AD$2:AD$976,B62,DATA!AI$2:AI$976,"&gt;=85"),0)</f>
        <v>0</v>
      </c>
      <c r="J62" s="81">
        <f>IFERROR(COUNTIFS(DATA!E$2:E$976,"&gt;="&amp;D$6,DATA!E$2:E$976,"&lt;="&amp;F$6,DATA!I$2:I$976,IF(C$5="الكل","*",C$5),DATA!K$2:K$976,IF(G$5="الكل","*",G$5),DATA!AD$2:AD$976,B62,DATA!AI$2:AI$976,"&lt;60"),0)</f>
        <v>0</v>
      </c>
      <c r="K62" s="82" t="str">
        <f>IFERROR(COUNTIFS(DATA!E$2:E$976,"&gt;="&amp;D$6,DATA!E$2:E$976,"&lt;="&amp;F$6,DATA!I$2:I$976,IF(C$5="الكل","*",C$5),DATA!K$2:K$976,IF(G$5="الكل","*",G$5),DATA!AD$2:AD$976,B62,DATA!AI$2:AI$976,"&gt;=70")/COUNTIFS(DATA!E$2:E$976,"&gt;="&amp;D$6,DATA!E$2:E$976,"&lt;="&amp;F$6,DATA!I$2:I$976,IF(C$5="الكل","*",C$5),DATA!K$2:K$976,IF(G$5="الكل","*",G$5),DATA!AD$2:AD$976,B62,DATA!AI$2:AI$976,"&lt;&gt;"),"—")</f>
        <v>—</v>
      </c>
      <c r="L62" s="527" t="str">
        <f t="shared" si="4"/>
        <v>—</v>
      </c>
      <c r="M62" s="465"/>
      <c r="N62" s="83" t="str">
        <f t="shared" si="5"/>
        <v>—</v>
      </c>
    </row>
    <row r="63" spans="2:14" ht="27.75" customHeight="1">
      <c r="B63" s="521" t="s">
        <v>1279</v>
      </c>
      <c r="C63" s="464"/>
      <c r="D63" s="465"/>
      <c r="E63" s="69">
        <f>IFERROR(COUNTIFS(DATA!E$2:E$976,"&gt;="&amp;D$6,DATA!E$2:E$976,"&lt;="&amp;F$6,DATA!I$2:I$976,IF(C$5="الكل","*",C$5),DATA!K$2:K$976,IF(G$5="الكل","*",G$5),DATA!AD$2:AD$976,B63,DATA!AI$2:AI$976,"&lt;&gt;"),0)</f>
        <v>0</v>
      </c>
      <c r="F63" s="321" t="str">
        <f>IFERROR(AVERAGEIFS(DATA!AI$2:AI$976,DATA!E$2:E$976,"&gt;="&amp;D$6,DATA!E$2:E$976,"&lt;="&amp;F$6,DATA!I$2:I$976,IF(C$5="الكل","*",C$5),DATA!K$2:K$976,IF(G$5="الكل","*",G$5),DATA!AD$2:AD$976,B63),"—")</f>
        <v>—</v>
      </c>
      <c r="G63" s="322" t="str">
        <f ca="1">IFERROR(_xludf.maxifs(DATA!AI$2:AI$976,DATA!E$2:E$976,"&gt;="&amp;D$6,DATA!E$2:E$976,"&lt;="&amp;F$6,DATA!I$2:I$976,IF(C$5="الكل","*",C$5),DATA!K$2:K$976,IF(G$5="الكل","*",G$5),DATA!AD$2:AD$976,B63),"—")</f>
        <v>—</v>
      </c>
      <c r="H63" s="323" t="str">
        <f ca="1">IFERROR(_xludf.minifs(DATA!AI$2:AI$976,DATA!E$2:E$976,"&gt;="&amp;D$6,DATA!E$2:E$976,"&lt;="&amp;F$6,DATA!I$2:I$976,IF(C$5="الكل","*",C$5),DATA!K$2:K$976,IF(G$5="الكل","*",G$5),DATA!AD$2:AD$976,B63),"—")</f>
        <v>—</v>
      </c>
      <c r="I63" s="70">
        <f>IFERROR(COUNTIFS(DATA!E$2:E$976,"&gt;="&amp;D$6,DATA!E$2:E$976,"&lt;="&amp;F$6,DATA!I$2:I$976,IF(C$5="الكل","*",C$5),DATA!K$2:K$976,IF(G$5="الكل","*",G$5),DATA!AD$2:AD$976,B63,DATA!AI$2:AI$976,"&gt;=85"),0)</f>
        <v>0</v>
      </c>
      <c r="J63" s="71">
        <f>IFERROR(COUNTIFS(DATA!E$2:E$976,"&gt;="&amp;D$6,DATA!E$2:E$976,"&lt;="&amp;F$6,DATA!I$2:I$976,IF(C$5="الكل","*",C$5),DATA!K$2:K$976,IF(G$5="الكل","*",G$5),DATA!AD$2:AD$976,B63,DATA!AI$2:AI$976,"&lt;60"),0)</f>
        <v>0</v>
      </c>
      <c r="K63" s="72" t="str">
        <f>IFERROR(COUNTIFS(DATA!E$2:E$976,"&gt;="&amp;D$6,DATA!E$2:E$976,"&lt;="&amp;F$6,DATA!I$2:I$976,IF(C$5="الكل","*",C$5),DATA!K$2:K$976,IF(G$5="الكل","*",G$5),DATA!AD$2:AD$976,B63,DATA!AI$2:AI$976,"&gt;=70")/COUNTIFS(DATA!E$2:E$976,"&gt;="&amp;D$6,DATA!E$2:E$976,"&lt;="&amp;F$6,DATA!I$2:I$976,IF(C$5="الكل","*",C$5),DATA!K$2:K$976,IF(G$5="الكل","*",G$5),DATA!AD$2:AD$976,B63,DATA!AI$2:AI$976,"&lt;&gt;"),"—")</f>
        <v>—</v>
      </c>
      <c r="L63" s="533" t="str">
        <f t="shared" si="4"/>
        <v>—</v>
      </c>
      <c r="M63" s="465"/>
      <c r="N63" s="73" t="str">
        <f t="shared" si="5"/>
        <v>—</v>
      </c>
    </row>
    <row r="64" spans="2:14" ht="7.5" customHeight="1"/>
    <row r="65" spans="2:14" ht="27.75" customHeight="1">
      <c r="B65" s="522" t="s">
        <v>1280</v>
      </c>
      <c r="C65" s="373"/>
      <c r="D65" s="373"/>
      <c r="E65" s="373"/>
      <c r="F65" s="373"/>
      <c r="G65" s="373"/>
      <c r="H65" s="373"/>
      <c r="I65" s="373"/>
      <c r="J65" s="373"/>
      <c r="K65" s="373"/>
      <c r="L65" s="373"/>
      <c r="M65" s="373"/>
      <c r="N65" s="373"/>
    </row>
    <row r="66" spans="2:14" ht="7.5" customHeight="1"/>
    <row r="67" spans="2:14" ht="21.75" customHeight="1">
      <c r="B67" s="84" t="s">
        <v>1281</v>
      </c>
      <c r="C67" s="85" t="s">
        <v>1282</v>
      </c>
      <c r="D67" s="85" t="s">
        <v>1283</v>
      </c>
      <c r="E67" s="85" t="s">
        <v>378</v>
      </c>
      <c r="F67" s="85" t="s">
        <v>1284</v>
      </c>
      <c r="G67" s="85" t="s">
        <v>1285</v>
      </c>
      <c r="H67" s="85" t="s">
        <v>1286</v>
      </c>
      <c r="I67" s="85" t="s">
        <v>1287</v>
      </c>
      <c r="J67" s="85" t="s">
        <v>1288</v>
      </c>
      <c r="K67" s="85" t="s">
        <v>1289</v>
      </c>
      <c r="L67" s="85" t="s">
        <v>1290</v>
      </c>
      <c r="M67" s="85" t="s">
        <v>1291</v>
      </c>
      <c r="N67" s="84" t="s">
        <v>1175</v>
      </c>
    </row>
    <row r="68" spans="2:14" ht="21.75" customHeight="1">
      <c r="B68" s="86" t="s">
        <v>1260</v>
      </c>
      <c r="C68" s="330" t="str">
        <f>IFERROR(AVERAGEIFS(DATA!AI$2:AI$976,DATA!E$2:E$976,"&gt;="&amp;D$6,DATA!E$2:E$976,"&lt;="&amp;F$6,DATA!I$2:I$976,B68,DATA!K$2:K$976,"تدقيق مالي",DATA!AD$2:AD$976,IF(K$5="الكل","*",K$5)),"·")</f>
        <v>·</v>
      </c>
      <c r="D68" s="330" t="str">
        <f>IFERROR(AVERAGEIFS(DATA!AI$2:AI$976,DATA!E$2:E$976,"&gt;="&amp;D$6,DATA!E$2:E$976,"&lt;="&amp;F$6,DATA!I$2:I$976,B68,DATA!K$2:K$976,"متابعة حضور",DATA!AD$2:AD$976,IF(K$5="الكل","*",K$5)),"·")</f>
        <v>·</v>
      </c>
      <c r="E68" s="330" t="str">
        <f>IFERROR(AVERAGEIFS(DATA!AI$2:AI$976,DATA!E$2:E$976,"&gt;="&amp;D$6,DATA!E$2:E$976,"&lt;="&amp;F$6,DATA!I$2:I$976,B68,DATA!K$2:K$976,"جرد مفاجئ",DATA!AD$2:AD$976,IF(K$5="الكل","*",K$5)),"·")</f>
        <v>·</v>
      </c>
      <c r="F68" s="330" t="str">
        <f>IFERROR(AVERAGEIFS(DATA!AI$2:AI$976,DATA!E$2:E$976,"&gt;="&amp;D$6,DATA!E$2:E$976,"&lt;="&amp;F$6,DATA!I$2:I$976,B68,DATA!K$2:K$976,"فحص سلامة",DATA!AD$2:AD$976,IF(K$5="الكل","*",K$5)),"·")</f>
        <v>·</v>
      </c>
      <c r="G68" s="330" t="str">
        <f>IFERROR(AVERAGEIFS(DATA!AI$2:AI$976,DATA!E$2:E$976,"&gt;="&amp;D$6,DATA!E$2:E$976,"&lt;="&amp;F$6,DATA!I$2:I$976,B68,DATA!K$2:K$976,"جودة خدمة",DATA!AD$2:AD$976,IF(K$5="الكل","*",K$5)),"·")</f>
        <v>·</v>
      </c>
      <c r="H68" s="330" t="str">
        <f>IFERROR(AVERAGEIFS(DATA!AI$2:AI$976,DATA!E$2:E$976,"&gt;="&amp;D$6,DATA!E$2:E$976,"&lt;="&amp;F$6,DATA!I$2:I$976,B68,DATA!K$2:K$976,"متابعة إجراءات",DATA!AD$2:AD$976,IF(K$5="الكل","*",K$5)),"·")</f>
        <v>·</v>
      </c>
      <c r="I68" s="330" t="str">
        <f>IFERROR(AVERAGEIFS(DATA!AI$2:AI$976,DATA!E$2:E$976,"&gt;="&amp;D$6,DATA!E$2:E$976,"&lt;="&amp;F$6,DATA!I$2:I$976,B68,DATA!K$2:K$976,"مراجعة عقود",DATA!AD$2:AD$976,IF(K$5="الكل","*",K$5)),"·")</f>
        <v>·</v>
      </c>
      <c r="J68" s="330" t="str">
        <f>IFERROR(AVERAGEIFS(DATA!AI$2:AI$976,DATA!E$2:E$976,"&gt;="&amp;D$6,DATA!E$2:E$976,"&lt;="&amp;F$6,DATA!I$2:I$976,B68,DATA!K$2:K$976,"تفتيش ميداني",DATA!AD$2:AD$976,IF(K$5="الكل","*",K$5)),"·")</f>
        <v>·</v>
      </c>
      <c r="K68" s="330" t="str">
        <f>IFERROR(AVERAGEIFS(DATA!AI$2:AI$976,DATA!E$2:E$976,"&gt;="&amp;D$6,DATA!E$2:E$976,"&lt;="&amp;F$6,DATA!I$2:I$976,B68,DATA!K$2:K$976,"فحص مخزون",DATA!AD$2:AD$976,IF(K$5="الكل","*",K$5)),"·")</f>
        <v>·</v>
      </c>
      <c r="L68" s="330" t="str">
        <f>IFERROR(AVERAGEIFS(DATA!AI$2:AI$976,DATA!E$2:E$976,"&gt;="&amp;D$6,DATA!E$2:E$976,"&lt;="&amp;F$6,DATA!I$2:I$976,B68,DATA!K$2:K$976,"متابعة شكاوى",DATA!AD$2:AD$976,IF(K$5="الكل","*",K$5)),"·")</f>
        <v>·</v>
      </c>
      <c r="M68" s="331" t="str">
        <f t="shared" ref="M68:M77" si="6">IFERROR(AVERAGE(C68:L68),"—")</f>
        <v>—</v>
      </c>
      <c r="N68" s="87" t="str">
        <f t="shared" ref="N68:N77" si="7">IFERROR(IF(M68="—","—",IF(M68&gt;=85,"⭐",IF(M68&gt;=70,"🟢",IF(M68&gt;=60,"🟡","🔴")))),"—")</f>
        <v>—</v>
      </c>
    </row>
    <row r="69" spans="2:14" ht="21.75" customHeight="1">
      <c r="B69" s="88" t="s">
        <v>1261</v>
      </c>
      <c r="C69" s="332" t="str">
        <f>IFERROR(AVERAGEIFS(DATA!AI$2:AI$976,DATA!E$2:E$976,"&gt;="&amp;D$6,DATA!E$2:E$976,"&lt;="&amp;F$6,DATA!I$2:I$976,B69,DATA!K$2:K$976,"تدقيق مالي",DATA!AD$2:AD$976,IF(K$5="الكل","*",K$5)),"·")</f>
        <v>·</v>
      </c>
      <c r="D69" s="332" t="str">
        <f>IFERROR(AVERAGEIFS(DATA!AI$2:AI$976,DATA!E$2:E$976,"&gt;="&amp;D$6,DATA!E$2:E$976,"&lt;="&amp;F$6,DATA!I$2:I$976,B69,DATA!K$2:K$976,"متابعة حضور",DATA!AD$2:AD$976,IF(K$5="الكل","*",K$5)),"·")</f>
        <v>·</v>
      </c>
      <c r="E69" s="332" t="str">
        <f>IFERROR(AVERAGEIFS(DATA!AI$2:AI$976,DATA!E$2:E$976,"&gt;="&amp;D$6,DATA!E$2:E$976,"&lt;="&amp;F$6,DATA!I$2:I$976,B69,DATA!K$2:K$976,"جرد مفاجئ",DATA!AD$2:AD$976,IF(K$5="الكل","*",K$5)),"·")</f>
        <v>·</v>
      </c>
      <c r="F69" s="332" t="str">
        <f>IFERROR(AVERAGEIFS(DATA!AI$2:AI$976,DATA!E$2:E$976,"&gt;="&amp;D$6,DATA!E$2:E$976,"&lt;="&amp;F$6,DATA!I$2:I$976,B69,DATA!K$2:K$976,"فحص سلامة",DATA!AD$2:AD$976,IF(K$5="الكل","*",K$5)),"·")</f>
        <v>·</v>
      </c>
      <c r="G69" s="332" t="str">
        <f>IFERROR(AVERAGEIFS(DATA!AI$2:AI$976,DATA!E$2:E$976,"&gt;="&amp;D$6,DATA!E$2:E$976,"&lt;="&amp;F$6,DATA!I$2:I$976,B69,DATA!K$2:K$976,"جودة خدمة",DATA!AD$2:AD$976,IF(K$5="الكل","*",K$5)),"·")</f>
        <v>·</v>
      </c>
      <c r="H69" s="332" t="str">
        <f>IFERROR(AVERAGEIFS(DATA!AI$2:AI$976,DATA!E$2:E$976,"&gt;="&amp;D$6,DATA!E$2:E$976,"&lt;="&amp;F$6,DATA!I$2:I$976,B69,DATA!K$2:K$976,"متابعة إجراءات",DATA!AD$2:AD$976,IF(K$5="الكل","*",K$5)),"·")</f>
        <v>·</v>
      </c>
      <c r="I69" s="332" t="str">
        <f>IFERROR(AVERAGEIFS(DATA!AI$2:AI$976,DATA!E$2:E$976,"&gt;="&amp;D$6,DATA!E$2:E$976,"&lt;="&amp;F$6,DATA!I$2:I$976,B69,DATA!K$2:K$976,"مراجعة عقود",DATA!AD$2:AD$976,IF(K$5="الكل","*",K$5)),"·")</f>
        <v>·</v>
      </c>
      <c r="J69" s="332" t="str">
        <f>IFERROR(AVERAGEIFS(DATA!AI$2:AI$976,DATA!E$2:E$976,"&gt;="&amp;D$6,DATA!E$2:E$976,"&lt;="&amp;F$6,DATA!I$2:I$976,B69,DATA!K$2:K$976,"تفتيش ميداني",DATA!AD$2:AD$976,IF(K$5="الكل","*",K$5)),"·")</f>
        <v>·</v>
      </c>
      <c r="K69" s="332" t="str">
        <f>IFERROR(AVERAGEIFS(DATA!AI$2:AI$976,DATA!E$2:E$976,"&gt;="&amp;D$6,DATA!E$2:E$976,"&lt;="&amp;F$6,DATA!I$2:I$976,B69,DATA!K$2:K$976,"فحص مخزون",DATA!AD$2:AD$976,IF(K$5="الكل","*",K$5)),"·")</f>
        <v>·</v>
      </c>
      <c r="L69" s="332" t="str">
        <f>IFERROR(AVERAGEIFS(DATA!AI$2:AI$976,DATA!E$2:E$976,"&gt;="&amp;D$6,DATA!E$2:E$976,"&lt;="&amp;F$6,DATA!I$2:I$976,B69,DATA!K$2:K$976,"متابعة شكاوى",DATA!AD$2:AD$976,IF(K$5="الكل","*",K$5)),"·")</f>
        <v>·</v>
      </c>
      <c r="M69" s="333" t="str">
        <f t="shared" si="6"/>
        <v>—</v>
      </c>
      <c r="N69" s="73" t="str">
        <f t="shared" si="7"/>
        <v>—</v>
      </c>
    </row>
    <row r="70" spans="2:14" ht="21.75" customHeight="1">
      <c r="B70" s="86" t="s">
        <v>1262</v>
      </c>
      <c r="C70" s="330" t="str">
        <f>IFERROR(AVERAGEIFS(DATA!AI$2:AI$976,DATA!E$2:E$976,"&gt;="&amp;D$6,DATA!E$2:E$976,"&lt;="&amp;F$6,DATA!I$2:I$976,B70,DATA!K$2:K$976,"تدقيق مالي",DATA!AD$2:AD$976,IF(K$5="الكل","*",K$5)),"·")</f>
        <v>·</v>
      </c>
      <c r="D70" s="330" t="str">
        <f>IFERROR(AVERAGEIFS(DATA!AI$2:AI$976,DATA!E$2:E$976,"&gt;="&amp;D$6,DATA!E$2:E$976,"&lt;="&amp;F$6,DATA!I$2:I$976,B70,DATA!K$2:K$976,"متابعة حضور",DATA!AD$2:AD$976,IF(K$5="الكل","*",K$5)),"·")</f>
        <v>·</v>
      </c>
      <c r="E70" s="330" t="str">
        <f>IFERROR(AVERAGEIFS(DATA!AI$2:AI$976,DATA!E$2:E$976,"&gt;="&amp;D$6,DATA!E$2:E$976,"&lt;="&amp;F$6,DATA!I$2:I$976,B70,DATA!K$2:K$976,"جرد مفاجئ",DATA!AD$2:AD$976,IF(K$5="الكل","*",K$5)),"·")</f>
        <v>·</v>
      </c>
      <c r="F70" s="330" t="str">
        <f>IFERROR(AVERAGEIFS(DATA!AI$2:AI$976,DATA!E$2:E$976,"&gt;="&amp;D$6,DATA!E$2:E$976,"&lt;="&amp;F$6,DATA!I$2:I$976,B70,DATA!K$2:K$976,"فحص سلامة",DATA!AD$2:AD$976,IF(K$5="الكل","*",K$5)),"·")</f>
        <v>·</v>
      </c>
      <c r="G70" s="330" t="str">
        <f>IFERROR(AVERAGEIFS(DATA!AI$2:AI$976,DATA!E$2:E$976,"&gt;="&amp;D$6,DATA!E$2:E$976,"&lt;="&amp;F$6,DATA!I$2:I$976,B70,DATA!K$2:K$976,"جودة خدمة",DATA!AD$2:AD$976,IF(K$5="الكل","*",K$5)),"·")</f>
        <v>·</v>
      </c>
      <c r="H70" s="330" t="str">
        <f>IFERROR(AVERAGEIFS(DATA!AI$2:AI$976,DATA!E$2:E$976,"&gt;="&amp;D$6,DATA!E$2:E$976,"&lt;="&amp;F$6,DATA!I$2:I$976,B70,DATA!K$2:K$976,"متابعة إجراءات",DATA!AD$2:AD$976,IF(K$5="الكل","*",K$5)),"·")</f>
        <v>·</v>
      </c>
      <c r="I70" s="330" t="str">
        <f>IFERROR(AVERAGEIFS(DATA!AI$2:AI$976,DATA!E$2:E$976,"&gt;="&amp;D$6,DATA!E$2:E$976,"&lt;="&amp;F$6,DATA!I$2:I$976,B70,DATA!K$2:K$976,"مراجعة عقود",DATA!AD$2:AD$976,IF(K$5="الكل","*",K$5)),"·")</f>
        <v>·</v>
      </c>
      <c r="J70" s="330" t="str">
        <f>IFERROR(AVERAGEIFS(DATA!AI$2:AI$976,DATA!E$2:E$976,"&gt;="&amp;D$6,DATA!E$2:E$976,"&lt;="&amp;F$6,DATA!I$2:I$976,B70,DATA!K$2:K$976,"تفتيش ميداني",DATA!AD$2:AD$976,IF(K$5="الكل","*",K$5)),"·")</f>
        <v>·</v>
      </c>
      <c r="K70" s="330" t="str">
        <f>IFERROR(AVERAGEIFS(DATA!AI$2:AI$976,DATA!E$2:E$976,"&gt;="&amp;D$6,DATA!E$2:E$976,"&lt;="&amp;F$6,DATA!I$2:I$976,B70,DATA!K$2:K$976,"فحص مخزون",DATA!AD$2:AD$976,IF(K$5="الكل","*",K$5)),"·")</f>
        <v>·</v>
      </c>
      <c r="L70" s="330" t="str">
        <f>IFERROR(AVERAGEIFS(DATA!AI$2:AI$976,DATA!E$2:E$976,"&gt;="&amp;D$6,DATA!E$2:E$976,"&lt;="&amp;F$6,DATA!I$2:I$976,B70,DATA!K$2:K$976,"متابعة شكاوى",DATA!AD$2:AD$976,IF(K$5="الكل","*",K$5)),"·")</f>
        <v>·</v>
      </c>
      <c r="M70" s="331" t="str">
        <f t="shared" si="6"/>
        <v>—</v>
      </c>
      <c r="N70" s="87" t="str">
        <f t="shared" si="7"/>
        <v>—</v>
      </c>
    </row>
    <row r="71" spans="2:14" ht="21.75" customHeight="1">
      <c r="B71" s="88" t="s">
        <v>1263</v>
      </c>
      <c r="C71" s="332" t="str">
        <f>IFERROR(AVERAGEIFS(DATA!AI$2:AI$976,DATA!E$2:E$976,"&gt;="&amp;D$6,DATA!E$2:E$976,"&lt;="&amp;F$6,DATA!I$2:I$976,B71,DATA!K$2:K$976,"تدقيق مالي",DATA!AD$2:AD$976,IF(K$5="الكل","*",K$5)),"·")</f>
        <v>·</v>
      </c>
      <c r="D71" s="332" t="str">
        <f>IFERROR(AVERAGEIFS(DATA!AI$2:AI$976,DATA!E$2:E$976,"&gt;="&amp;D$6,DATA!E$2:E$976,"&lt;="&amp;F$6,DATA!I$2:I$976,B71,DATA!K$2:K$976,"متابعة حضور",DATA!AD$2:AD$976,IF(K$5="الكل","*",K$5)),"·")</f>
        <v>·</v>
      </c>
      <c r="E71" s="332" t="str">
        <f>IFERROR(AVERAGEIFS(DATA!AI$2:AI$976,DATA!E$2:E$976,"&gt;="&amp;D$6,DATA!E$2:E$976,"&lt;="&amp;F$6,DATA!I$2:I$976,B71,DATA!K$2:K$976,"جرد مفاجئ",DATA!AD$2:AD$976,IF(K$5="الكل","*",K$5)),"·")</f>
        <v>·</v>
      </c>
      <c r="F71" s="332" t="str">
        <f>IFERROR(AVERAGEIFS(DATA!AI$2:AI$976,DATA!E$2:E$976,"&gt;="&amp;D$6,DATA!E$2:E$976,"&lt;="&amp;F$6,DATA!I$2:I$976,B71,DATA!K$2:K$976,"فحص سلامة",DATA!AD$2:AD$976,IF(K$5="الكل","*",K$5)),"·")</f>
        <v>·</v>
      </c>
      <c r="G71" s="332" t="str">
        <f>IFERROR(AVERAGEIFS(DATA!AI$2:AI$976,DATA!E$2:E$976,"&gt;="&amp;D$6,DATA!E$2:E$976,"&lt;="&amp;F$6,DATA!I$2:I$976,B71,DATA!K$2:K$976,"جودة خدمة",DATA!AD$2:AD$976,IF(K$5="الكل","*",K$5)),"·")</f>
        <v>·</v>
      </c>
      <c r="H71" s="332" t="str">
        <f>IFERROR(AVERAGEIFS(DATA!AI$2:AI$976,DATA!E$2:E$976,"&gt;="&amp;D$6,DATA!E$2:E$976,"&lt;="&amp;F$6,DATA!I$2:I$976,B71,DATA!K$2:K$976,"متابعة إجراءات",DATA!AD$2:AD$976,IF(K$5="الكل","*",K$5)),"·")</f>
        <v>·</v>
      </c>
      <c r="I71" s="332" t="str">
        <f>IFERROR(AVERAGEIFS(DATA!AI$2:AI$976,DATA!E$2:E$976,"&gt;="&amp;D$6,DATA!E$2:E$976,"&lt;="&amp;F$6,DATA!I$2:I$976,B71,DATA!K$2:K$976,"مراجعة عقود",DATA!AD$2:AD$976,IF(K$5="الكل","*",K$5)),"·")</f>
        <v>·</v>
      </c>
      <c r="J71" s="332" t="str">
        <f>IFERROR(AVERAGEIFS(DATA!AI$2:AI$976,DATA!E$2:E$976,"&gt;="&amp;D$6,DATA!E$2:E$976,"&lt;="&amp;F$6,DATA!I$2:I$976,B71,DATA!K$2:K$976,"تفتيش ميداني",DATA!AD$2:AD$976,IF(K$5="الكل","*",K$5)),"·")</f>
        <v>·</v>
      </c>
      <c r="K71" s="332" t="str">
        <f>IFERROR(AVERAGEIFS(DATA!AI$2:AI$976,DATA!E$2:E$976,"&gt;="&amp;D$6,DATA!E$2:E$976,"&lt;="&amp;F$6,DATA!I$2:I$976,B71,DATA!K$2:K$976,"فحص مخزون",DATA!AD$2:AD$976,IF(K$5="الكل","*",K$5)),"·")</f>
        <v>·</v>
      </c>
      <c r="L71" s="332" t="str">
        <f>IFERROR(AVERAGEIFS(DATA!AI$2:AI$976,DATA!E$2:E$976,"&gt;="&amp;D$6,DATA!E$2:E$976,"&lt;="&amp;F$6,DATA!I$2:I$976,B71,DATA!K$2:K$976,"متابعة شكاوى",DATA!AD$2:AD$976,IF(K$5="الكل","*",K$5)),"·")</f>
        <v>·</v>
      </c>
      <c r="M71" s="333" t="str">
        <f t="shared" si="6"/>
        <v>—</v>
      </c>
      <c r="N71" s="73" t="str">
        <f t="shared" si="7"/>
        <v>—</v>
      </c>
    </row>
    <row r="72" spans="2:14" ht="21.75" customHeight="1">
      <c r="B72" s="86" t="s">
        <v>1264</v>
      </c>
      <c r="C72" s="330" t="str">
        <f>IFERROR(AVERAGEIFS(DATA!AI$2:AI$976,DATA!E$2:E$976,"&gt;="&amp;D$6,DATA!E$2:E$976,"&lt;="&amp;F$6,DATA!I$2:I$976,B72,DATA!K$2:K$976,"تدقيق مالي",DATA!AD$2:AD$976,IF(K$5="الكل","*",K$5)),"·")</f>
        <v>·</v>
      </c>
      <c r="D72" s="330" t="str">
        <f>IFERROR(AVERAGEIFS(DATA!AI$2:AI$976,DATA!E$2:E$976,"&gt;="&amp;D$6,DATA!E$2:E$976,"&lt;="&amp;F$6,DATA!I$2:I$976,B72,DATA!K$2:K$976,"متابعة حضور",DATA!AD$2:AD$976,IF(K$5="الكل","*",K$5)),"·")</f>
        <v>·</v>
      </c>
      <c r="E72" s="330" t="str">
        <f>IFERROR(AVERAGEIFS(DATA!AI$2:AI$976,DATA!E$2:E$976,"&gt;="&amp;D$6,DATA!E$2:E$976,"&lt;="&amp;F$6,DATA!I$2:I$976,B72,DATA!K$2:K$976,"جرد مفاجئ",DATA!AD$2:AD$976,IF(K$5="الكل","*",K$5)),"·")</f>
        <v>·</v>
      </c>
      <c r="F72" s="330" t="str">
        <f>IFERROR(AVERAGEIFS(DATA!AI$2:AI$976,DATA!E$2:E$976,"&gt;="&amp;D$6,DATA!E$2:E$976,"&lt;="&amp;F$6,DATA!I$2:I$976,B72,DATA!K$2:K$976,"فحص سلامة",DATA!AD$2:AD$976,IF(K$5="الكل","*",K$5)),"·")</f>
        <v>·</v>
      </c>
      <c r="G72" s="330" t="str">
        <f>IFERROR(AVERAGEIFS(DATA!AI$2:AI$976,DATA!E$2:E$976,"&gt;="&amp;D$6,DATA!E$2:E$976,"&lt;="&amp;F$6,DATA!I$2:I$976,B72,DATA!K$2:K$976,"جودة خدمة",DATA!AD$2:AD$976,IF(K$5="الكل","*",K$5)),"·")</f>
        <v>·</v>
      </c>
      <c r="H72" s="330" t="str">
        <f>IFERROR(AVERAGEIFS(DATA!AI$2:AI$976,DATA!E$2:E$976,"&gt;="&amp;D$6,DATA!E$2:E$976,"&lt;="&amp;F$6,DATA!I$2:I$976,B72,DATA!K$2:K$976,"متابعة إجراءات",DATA!AD$2:AD$976,IF(K$5="الكل","*",K$5)),"·")</f>
        <v>·</v>
      </c>
      <c r="I72" s="330" t="str">
        <f>IFERROR(AVERAGEIFS(DATA!AI$2:AI$976,DATA!E$2:E$976,"&gt;="&amp;D$6,DATA!E$2:E$976,"&lt;="&amp;F$6,DATA!I$2:I$976,B72,DATA!K$2:K$976,"مراجعة عقود",DATA!AD$2:AD$976,IF(K$5="الكل","*",K$5)),"·")</f>
        <v>·</v>
      </c>
      <c r="J72" s="330" t="str">
        <f>IFERROR(AVERAGEIFS(DATA!AI$2:AI$976,DATA!E$2:E$976,"&gt;="&amp;D$6,DATA!E$2:E$976,"&lt;="&amp;F$6,DATA!I$2:I$976,B72,DATA!K$2:K$976,"تفتيش ميداني",DATA!AD$2:AD$976,IF(K$5="الكل","*",K$5)),"·")</f>
        <v>·</v>
      </c>
      <c r="K72" s="330" t="str">
        <f>IFERROR(AVERAGEIFS(DATA!AI$2:AI$976,DATA!E$2:E$976,"&gt;="&amp;D$6,DATA!E$2:E$976,"&lt;="&amp;F$6,DATA!I$2:I$976,B72,DATA!K$2:K$976,"فحص مخزون",DATA!AD$2:AD$976,IF(K$5="الكل","*",K$5)),"·")</f>
        <v>·</v>
      </c>
      <c r="L72" s="330" t="str">
        <f>IFERROR(AVERAGEIFS(DATA!AI$2:AI$976,DATA!E$2:E$976,"&gt;="&amp;D$6,DATA!E$2:E$976,"&lt;="&amp;F$6,DATA!I$2:I$976,B72,DATA!K$2:K$976,"متابعة شكاوى",DATA!AD$2:AD$976,IF(K$5="الكل","*",K$5)),"·")</f>
        <v>·</v>
      </c>
      <c r="M72" s="331" t="str">
        <f t="shared" si="6"/>
        <v>—</v>
      </c>
      <c r="N72" s="87" t="str">
        <f t="shared" si="7"/>
        <v>—</v>
      </c>
    </row>
    <row r="73" spans="2:14" ht="21.75" customHeight="1">
      <c r="B73" s="88" t="s">
        <v>1265</v>
      </c>
      <c r="C73" s="332" t="str">
        <f>IFERROR(AVERAGEIFS(DATA!AI$2:AI$976,DATA!E$2:E$976,"&gt;="&amp;D$6,DATA!E$2:E$976,"&lt;="&amp;F$6,DATA!I$2:I$976,B73,DATA!K$2:K$976,"تدقيق مالي",DATA!AD$2:AD$976,IF(K$5="الكل","*",K$5)),"·")</f>
        <v>·</v>
      </c>
      <c r="D73" s="332" t="str">
        <f>IFERROR(AVERAGEIFS(DATA!AI$2:AI$976,DATA!E$2:E$976,"&gt;="&amp;D$6,DATA!E$2:E$976,"&lt;="&amp;F$6,DATA!I$2:I$976,B73,DATA!K$2:K$976,"متابعة حضور",DATA!AD$2:AD$976,IF(K$5="الكل","*",K$5)),"·")</f>
        <v>·</v>
      </c>
      <c r="E73" s="332" t="str">
        <f>IFERROR(AVERAGEIFS(DATA!AI$2:AI$976,DATA!E$2:E$976,"&gt;="&amp;D$6,DATA!E$2:E$976,"&lt;="&amp;F$6,DATA!I$2:I$976,B73,DATA!K$2:K$976,"جرد مفاجئ",DATA!AD$2:AD$976,IF(K$5="الكل","*",K$5)),"·")</f>
        <v>·</v>
      </c>
      <c r="F73" s="332" t="str">
        <f>IFERROR(AVERAGEIFS(DATA!AI$2:AI$976,DATA!E$2:E$976,"&gt;="&amp;D$6,DATA!E$2:E$976,"&lt;="&amp;F$6,DATA!I$2:I$976,B73,DATA!K$2:K$976,"فحص سلامة",DATA!AD$2:AD$976,IF(K$5="الكل","*",K$5)),"·")</f>
        <v>·</v>
      </c>
      <c r="G73" s="332" t="str">
        <f>IFERROR(AVERAGEIFS(DATA!AI$2:AI$976,DATA!E$2:E$976,"&gt;="&amp;D$6,DATA!E$2:E$976,"&lt;="&amp;F$6,DATA!I$2:I$976,B73,DATA!K$2:K$976,"جودة خدمة",DATA!AD$2:AD$976,IF(K$5="الكل","*",K$5)),"·")</f>
        <v>·</v>
      </c>
      <c r="H73" s="332" t="str">
        <f>IFERROR(AVERAGEIFS(DATA!AI$2:AI$976,DATA!E$2:E$976,"&gt;="&amp;D$6,DATA!E$2:E$976,"&lt;="&amp;F$6,DATA!I$2:I$976,B73,DATA!K$2:K$976,"متابعة إجراءات",DATA!AD$2:AD$976,IF(K$5="الكل","*",K$5)),"·")</f>
        <v>·</v>
      </c>
      <c r="I73" s="332" t="str">
        <f>IFERROR(AVERAGEIFS(DATA!AI$2:AI$976,DATA!E$2:E$976,"&gt;="&amp;D$6,DATA!E$2:E$976,"&lt;="&amp;F$6,DATA!I$2:I$976,B73,DATA!K$2:K$976,"مراجعة عقود",DATA!AD$2:AD$976,IF(K$5="الكل","*",K$5)),"·")</f>
        <v>·</v>
      </c>
      <c r="J73" s="332" t="str">
        <f>IFERROR(AVERAGEIFS(DATA!AI$2:AI$976,DATA!E$2:E$976,"&gt;="&amp;D$6,DATA!E$2:E$976,"&lt;="&amp;F$6,DATA!I$2:I$976,B73,DATA!K$2:K$976,"تفتيش ميداني",DATA!AD$2:AD$976,IF(K$5="الكل","*",K$5)),"·")</f>
        <v>·</v>
      </c>
      <c r="K73" s="332" t="str">
        <f>IFERROR(AVERAGEIFS(DATA!AI$2:AI$976,DATA!E$2:E$976,"&gt;="&amp;D$6,DATA!E$2:E$976,"&lt;="&amp;F$6,DATA!I$2:I$976,B73,DATA!K$2:K$976,"فحص مخزون",DATA!AD$2:AD$976,IF(K$5="الكل","*",K$5)),"·")</f>
        <v>·</v>
      </c>
      <c r="L73" s="332" t="str">
        <f>IFERROR(AVERAGEIFS(DATA!AI$2:AI$976,DATA!E$2:E$976,"&gt;="&amp;D$6,DATA!E$2:E$976,"&lt;="&amp;F$6,DATA!I$2:I$976,B73,DATA!K$2:K$976,"متابعة شكاوى",DATA!AD$2:AD$976,IF(K$5="الكل","*",K$5)),"·")</f>
        <v>·</v>
      </c>
      <c r="M73" s="333" t="str">
        <f t="shared" si="6"/>
        <v>—</v>
      </c>
      <c r="N73" s="73" t="str">
        <f t="shared" si="7"/>
        <v>—</v>
      </c>
    </row>
    <row r="74" spans="2:14" ht="21.75" customHeight="1">
      <c r="B74" s="86" t="s">
        <v>1266</v>
      </c>
      <c r="C74" s="330" t="str">
        <f>IFERROR(AVERAGEIFS(DATA!AI$2:AI$976,DATA!E$2:E$976,"&gt;="&amp;D$6,DATA!E$2:E$976,"&lt;="&amp;F$6,DATA!I$2:I$976,B74,DATA!K$2:K$976,"تدقيق مالي",DATA!AD$2:AD$976,IF(K$5="الكل","*",K$5)),"·")</f>
        <v>·</v>
      </c>
      <c r="D74" s="330" t="str">
        <f>IFERROR(AVERAGEIFS(DATA!AI$2:AI$976,DATA!E$2:E$976,"&gt;="&amp;D$6,DATA!E$2:E$976,"&lt;="&amp;F$6,DATA!I$2:I$976,B74,DATA!K$2:K$976,"متابعة حضور",DATA!AD$2:AD$976,IF(K$5="الكل","*",K$5)),"·")</f>
        <v>·</v>
      </c>
      <c r="E74" s="330" t="str">
        <f>IFERROR(AVERAGEIFS(DATA!AI$2:AI$976,DATA!E$2:E$976,"&gt;="&amp;D$6,DATA!E$2:E$976,"&lt;="&amp;F$6,DATA!I$2:I$976,B74,DATA!K$2:K$976,"جرد مفاجئ",DATA!AD$2:AD$976,IF(K$5="الكل","*",K$5)),"·")</f>
        <v>·</v>
      </c>
      <c r="F74" s="330" t="str">
        <f>IFERROR(AVERAGEIFS(DATA!AI$2:AI$976,DATA!E$2:E$976,"&gt;="&amp;D$6,DATA!E$2:E$976,"&lt;="&amp;F$6,DATA!I$2:I$976,B74,DATA!K$2:K$976,"فحص سلامة",DATA!AD$2:AD$976,IF(K$5="الكل","*",K$5)),"·")</f>
        <v>·</v>
      </c>
      <c r="G74" s="330" t="str">
        <f>IFERROR(AVERAGEIFS(DATA!AI$2:AI$976,DATA!E$2:E$976,"&gt;="&amp;D$6,DATA!E$2:E$976,"&lt;="&amp;F$6,DATA!I$2:I$976,B74,DATA!K$2:K$976,"جودة خدمة",DATA!AD$2:AD$976,IF(K$5="الكل","*",K$5)),"·")</f>
        <v>·</v>
      </c>
      <c r="H74" s="330" t="str">
        <f>IFERROR(AVERAGEIFS(DATA!AI$2:AI$976,DATA!E$2:E$976,"&gt;="&amp;D$6,DATA!E$2:E$976,"&lt;="&amp;F$6,DATA!I$2:I$976,B74,DATA!K$2:K$976,"متابعة إجراءات",DATA!AD$2:AD$976,IF(K$5="الكل","*",K$5)),"·")</f>
        <v>·</v>
      </c>
      <c r="I74" s="330" t="str">
        <f>IFERROR(AVERAGEIFS(DATA!AI$2:AI$976,DATA!E$2:E$976,"&gt;="&amp;D$6,DATA!E$2:E$976,"&lt;="&amp;F$6,DATA!I$2:I$976,B74,DATA!K$2:K$976,"مراجعة عقود",DATA!AD$2:AD$976,IF(K$5="الكل","*",K$5)),"·")</f>
        <v>·</v>
      </c>
      <c r="J74" s="330" t="str">
        <f>IFERROR(AVERAGEIFS(DATA!AI$2:AI$976,DATA!E$2:E$976,"&gt;="&amp;D$6,DATA!E$2:E$976,"&lt;="&amp;F$6,DATA!I$2:I$976,B74,DATA!K$2:K$976,"تفتيش ميداني",DATA!AD$2:AD$976,IF(K$5="الكل","*",K$5)),"·")</f>
        <v>·</v>
      </c>
      <c r="K74" s="330" t="str">
        <f>IFERROR(AVERAGEIFS(DATA!AI$2:AI$976,DATA!E$2:E$976,"&gt;="&amp;D$6,DATA!E$2:E$976,"&lt;="&amp;F$6,DATA!I$2:I$976,B74,DATA!K$2:K$976,"فحص مخزون",DATA!AD$2:AD$976,IF(K$5="الكل","*",K$5)),"·")</f>
        <v>·</v>
      </c>
      <c r="L74" s="330" t="str">
        <f>IFERROR(AVERAGEIFS(DATA!AI$2:AI$976,DATA!E$2:E$976,"&gt;="&amp;D$6,DATA!E$2:E$976,"&lt;="&amp;F$6,DATA!I$2:I$976,B74,DATA!K$2:K$976,"متابعة شكاوى",DATA!AD$2:AD$976,IF(K$5="الكل","*",K$5)),"·")</f>
        <v>·</v>
      </c>
      <c r="M74" s="331" t="str">
        <f t="shared" si="6"/>
        <v>—</v>
      </c>
      <c r="N74" s="87" t="str">
        <f t="shared" si="7"/>
        <v>—</v>
      </c>
    </row>
    <row r="75" spans="2:14" ht="21.75" customHeight="1">
      <c r="B75" s="88" t="s">
        <v>1267</v>
      </c>
      <c r="C75" s="332" t="str">
        <f>IFERROR(AVERAGEIFS(DATA!AI$2:AI$976,DATA!E$2:E$976,"&gt;="&amp;D$6,DATA!E$2:E$976,"&lt;="&amp;F$6,DATA!I$2:I$976,B75,DATA!K$2:K$976,"تدقيق مالي",DATA!AD$2:AD$976,IF(K$5="الكل","*",K$5)),"·")</f>
        <v>·</v>
      </c>
      <c r="D75" s="332" t="str">
        <f>IFERROR(AVERAGEIFS(DATA!AI$2:AI$976,DATA!E$2:E$976,"&gt;="&amp;D$6,DATA!E$2:E$976,"&lt;="&amp;F$6,DATA!I$2:I$976,B75,DATA!K$2:K$976,"متابعة حضور",DATA!AD$2:AD$976,IF(K$5="الكل","*",K$5)),"·")</f>
        <v>·</v>
      </c>
      <c r="E75" s="332" t="str">
        <f>IFERROR(AVERAGEIFS(DATA!AI$2:AI$976,DATA!E$2:E$976,"&gt;="&amp;D$6,DATA!E$2:E$976,"&lt;="&amp;F$6,DATA!I$2:I$976,B75,DATA!K$2:K$976,"جرد مفاجئ",DATA!AD$2:AD$976,IF(K$5="الكل","*",K$5)),"·")</f>
        <v>·</v>
      </c>
      <c r="F75" s="332" t="str">
        <f>IFERROR(AVERAGEIFS(DATA!AI$2:AI$976,DATA!E$2:E$976,"&gt;="&amp;D$6,DATA!E$2:E$976,"&lt;="&amp;F$6,DATA!I$2:I$976,B75,DATA!K$2:K$976,"فحص سلامة",DATA!AD$2:AD$976,IF(K$5="الكل","*",K$5)),"·")</f>
        <v>·</v>
      </c>
      <c r="G75" s="332" t="str">
        <f>IFERROR(AVERAGEIFS(DATA!AI$2:AI$976,DATA!E$2:E$976,"&gt;="&amp;D$6,DATA!E$2:E$976,"&lt;="&amp;F$6,DATA!I$2:I$976,B75,DATA!K$2:K$976,"جودة خدمة",DATA!AD$2:AD$976,IF(K$5="الكل","*",K$5)),"·")</f>
        <v>·</v>
      </c>
      <c r="H75" s="332" t="str">
        <f>IFERROR(AVERAGEIFS(DATA!AI$2:AI$976,DATA!E$2:E$976,"&gt;="&amp;D$6,DATA!E$2:E$976,"&lt;="&amp;F$6,DATA!I$2:I$976,B75,DATA!K$2:K$976,"متابعة إجراءات",DATA!AD$2:AD$976,IF(K$5="الكل","*",K$5)),"·")</f>
        <v>·</v>
      </c>
      <c r="I75" s="332" t="str">
        <f>IFERROR(AVERAGEIFS(DATA!AI$2:AI$976,DATA!E$2:E$976,"&gt;="&amp;D$6,DATA!E$2:E$976,"&lt;="&amp;F$6,DATA!I$2:I$976,B75,DATA!K$2:K$976,"مراجعة عقود",DATA!AD$2:AD$976,IF(K$5="الكل","*",K$5)),"·")</f>
        <v>·</v>
      </c>
      <c r="J75" s="332" t="str">
        <f>IFERROR(AVERAGEIFS(DATA!AI$2:AI$976,DATA!E$2:E$976,"&gt;="&amp;D$6,DATA!E$2:E$976,"&lt;="&amp;F$6,DATA!I$2:I$976,B75,DATA!K$2:K$976,"تفتيش ميداني",DATA!AD$2:AD$976,IF(K$5="الكل","*",K$5)),"·")</f>
        <v>·</v>
      </c>
      <c r="K75" s="332" t="str">
        <f>IFERROR(AVERAGEIFS(DATA!AI$2:AI$976,DATA!E$2:E$976,"&gt;="&amp;D$6,DATA!E$2:E$976,"&lt;="&amp;F$6,DATA!I$2:I$976,B75,DATA!K$2:K$976,"فحص مخزون",DATA!AD$2:AD$976,IF(K$5="الكل","*",K$5)),"·")</f>
        <v>·</v>
      </c>
      <c r="L75" s="332" t="str">
        <f>IFERROR(AVERAGEIFS(DATA!AI$2:AI$976,DATA!E$2:E$976,"&gt;="&amp;D$6,DATA!E$2:E$976,"&lt;="&amp;F$6,DATA!I$2:I$976,B75,DATA!K$2:K$976,"متابعة شكاوى",DATA!AD$2:AD$976,IF(K$5="الكل","*",K$5)),"·")</f>
        <v>·</v>
      </c>
      <c r="M75" s="333" t="str">
        <f t="shared" si="6"/>
        <v>—</v>
      </c>
      <c r="N75" s="73" t="str">
        <f t="shared" si="7"/>
        <v>—</v>
      </c>
    </row>
    <row r="76" spans="2:14" ht="21.75" customHeight="1">
      <c r="B76" s="86" t="s">
        <v>1268</v>
      </c>
      <c r="C76" s="330" t="str">
        <f>IFERROR(AVERAGEIFS(DATA!AI$2:AI$976,DATA!E$2:E$976,"&gt;="&amp;D$6,DATA!E$2:E$976,"&lt;="&amp;F$6,DATA!I$2:I$976,B76,DATA!K$2:K$976,"تدقيق مالي",DATA!AD$2:AD$976,IF(K$5="الكل","*",K$5)),"·")</f>
        <v>·</v>
      </c>
      <c r="D76" s="330" t="str">
        <f>IFERROR(AVERAGEIFS(DATA!AI$2:AI$976,DATA!E$2:E$976,"&gt;="&amp;D$6,DATA!E$2:E$976,"&lt;="&amp;F$6,DATA!I$2:I$976,B76,DATA!K$2:K$976,"متابعة حضور",DATA!AD$2:AD$976,IF(K$5="الكل","*",K$5)),"·")</f>
        <v>·</v>
      </c>
      <c r="E76" s="330" t="str">
        <f>IFERROR(AVERAGEIFS(DATA!AI$2:AI$976,DATA!E$2:E$976,"&gt;="&amp;D$6,DATA!E$2:E$976,"&lt;="&amp;F$6,DATA!I$2:I$976,B76,DATA!K$2:K$976,"جرد مفاجئ",DATA!AD$2:AD$976,IF(K$5="الكل","*",K$5)),"·")</f>
        <v>·</v>
      </c>
      <c r="F76" s="330" t="str">
        <f>IFERROR(AVERAGEIFS(DATA!AI$2:AI$976,DATA!E$2:E$976,"&gt;="&amp;D$6,DATA!E$2:E$976,"&lt;="&amp;F$6,DATA!I$2:I$976,B76,DATA!K$2:K$976,"فحص سلامة",DATA!AD$2:AD$976,IF(K$5="الكل","*",K$5)),"·")</f>
        <v>·</v>
      </c>
      <c r="G76" s="330" t="str">
        <f>IFERROR(AVERAGEIFS(DATA!AI$2:AI$976,DATA!E$2:E$976,"&gt;="&amp;D$6,DATA!E$2:E$976,"&lt;="&amp;F$6,DATA!I$2:I$976,B76,DATA!K$2:K$976,"جودة خدمة",DATA!AD$2:AD$976,IF(K$5="الكل","*",K$5)),"·")</f>
        <v>·</v>
      </c>
      <c r="H76" s="330" t="str">
        <f>IFERROR(AVERAGEIFS(DATA!AI$2:AI$976,DATA!E$2:E$976,"&gt;="&amp;D$6,DATA!E$2:E$976,"&lt;="&amp;F$6,DATA!I$2:I$976,B76,DATA!K$2:K$976,"متابعة إجراءات",DATA!AD$2:AD$976,IF(K$5="الكل","*",K$5)),"·")</f>
        <v>·</v>
      </c>
      <c r="I76" s="330" t="str">
        <f>IFERROR(AVERAGEIFS(DATA!AI$2:AI$976,DATA!E$2:E$976,"&gt;="&amp;D$6,DATA!E$2:E$976,"&lt;="&amp;F$6,DATA!I$2:I$976,B76,DATA!K$2:K$976,"مراجعة عقود",DATA!AD$2:AD$976,IF(K$5="الكل","*",K$5)),"·")</f>
        <v>·</v>
      </c>
      <c r="J76" s="330" t="str">
        <f>IFERROR(AVERAGEIFS(DATA!AI$2:AI$976,DATA!E$2:E$976,"&gt;="&amp;D$6,DATA!E$2:E$976,"&lt;="&amp;F$6,DATA!I$2:I$976,B76,DATA!K$2:K$976,"تفتيش ميداني",DATA!AD$2:AD$976,IF(K$5="الكل","*",K$5)),"·")</f>
        <v>·</v>
      </c>
      <c r="K76" s="330" t="str">
        <f>IFERROR(AVERAGEIFS(DATA!AI$2:AI$976,DATA!E$2:E$976,"&gt;="&amp;D$6,DATA!E$2:E$976,"&lt;="&amp;F$6,DATA!I$2:I$976,B76,DATA!K$2:K$976,"فحص مخزون",DATA!AD$2:AD$976,IF(K$5="الكل","*",K$5)),"·")</f>
        <v>·</v>
      </c>
      <c r="L76" s="330" t="str">
        <f>IFERROR(AVERAGEIFS(DATA!AI$2:AI$976,DATA!E$2:E$976,"&gt;="&amp;D$6,DATA!E$2:E$976,"&lt;="&amp;F$6,DATA!I$2:I$976,B76,DATA!K$2:K$976,"متابعة شكاوى",DATA!AD$2:AD$976,IF(K$5="الكل","*",K$5)),"·")</f>
        <v>·</v>
      </c>
      <c r="M76" s="331" t="str">
        <f t="shared" si="6"/>
        <v>—</v>
      </c>
      <c r="N76" s="87" t="str">
        <f t="shared" si="7"/>
        <v>—</v>
      </c>
    </row>
    <row r="77" spans="2:14" ht="7.5" customHeight="1">
      <c r="B77" s="88" t="s">
        <v>1269</v>
      </c>
      <c r="C77" s="332" t="str">
        <f>IFERROR(AVERAGEIFS(DATA!AI$2:AI$976,DATA!E$2:E$976,"&gt;="&amp;D$6,DATA!E$2:E$976,"&lt;="&amp;F$6,DATA!I$2:I$976,B77,DATA!K$2:K$976,"تدقيق مالي",DATA!AD$2:AD$976,IF(K$5="الكل","*",K$5)),"·")</f>
        <v>·</v>
      </c>
      <c r="D77" s="332" t="str">
        <f>IFERROR(AVERAGEIFS(DATA!AI$2:AI$976,DATA!E$2:E$976,"&gt;="&amp;D$6,DATA!E$2:E$976,"&lt;="&amp;F$6,DATA!I$2:I$976,B77,DATA!K$2:K$976,"متابعة حضور",DATA!AD$2:AD$976,IF(K$5="الكل","*",K$5)),"·")</f>
        <v>·</v>
      </c>
      <c r="E77" s="332" t="str">
        <f>IFERROR(AVERAGEIFS(DATA!AI$2:AI$976,DATA!E$2:E$976,"&gt;="&amp;D$6,DATA!E$2:E$976,"&lt;="&amp;F$6,DATA!I$2:I$976,B77,DATA!K$2:K$976,"جرد مفاجئ",DATA!AD$2:AD$976,IF(K$5="الكل","*",K$5)),"·")</f>
        <v>·</v>
      </c>
      <c r="F77" s="332" t="str">
        <f>IFERROR(AVERAGEIFS(DATA!AI$2:AI$976,DATA!E$2:E$976,"&gt;="&amp;D$6,DATA!E$2:E$976,"&lt;="&amp;F$6,DATA!I$2:I$976,B77,DATA!K$2:K$976,"فحص سلامة",DATA!AD$2:AD$976,IF(K$5="الكل","*",K$5)),"·")</f>
        <v>·</v>
      </c>
      <c r="G77" s="332" t="str">
        <f>IFERROR(AVERAGEIFS(DATA!AI$2:AI$976,DATA!E$2:E$976,"&gt;="&amp;D$6,DATA!E$2:E$976,"&lt;="&amp;F$6,DATA!I$2:I$976,B77,DATA!K$2:K$976,"جودة خدمة",DATA!AD$2:AD$976,IF(K$5="الكل","*",K$5)),"·")</f>
        <v>·</v>
      </c>
      <c r="H77" s="332" t="str">
        <f>IFERROR(AVERAGEIFS(DATA!AI$2:AI$976,DATA!E$2:E$976,"&gt;="&amp;D$6,DATA!E$2:E$976,"&lt;="&amp;F$6,DATA!I$2:I$976,B77,DATA!K$2:K$976,"متابعة إجراءات",DATA!AD$2:AD$976,IF(K$5="الكل","*",K$5)),"·")</f>
        <v>·</v>
      </c>
      <c r="I77" s="332" t="str">
        <f>IFERROR(AVERAGEIFS(DATA!AI$2:AI$976,DATA!E$2:E$976,"&gt;="&amp;D$6,DATA!E$2:E$976,"&lt;="&amp;F$6,DATA!I$2:I$976,B77,DATA!K$2:K$976,"مراجعة عقود",DATA!AD$2:AD$976,IF(K$5="الكل","*",K$5)),"·")</f>
        <v>·</v>
      </c>
      <c r="J77" s="332" t="str">
        <f>IFERROR(AVERAGEIFS(DATA!AI$2:AI$976,DATA!E$2:E$976,"&gt;="&amp;D$6,DATA!E$2:E$976,"&lt;="&amp;F$6,DATA!I$2:I$976,B77,DATA!K$2:K$976,"تفتيش ميداني",DATA!AD$2:AD$976,IF(K$5="الكل","*",K$5)),"·")</f>
        <v>·</v>
      </c>
      <c r="K77" s="332" t="str">
        <f>IFERROR(AVERAGEIFS(DATA!AI$2:AI$976,DATA!E$2:E$976,"&gt;="&amp;D$6,DATA!E$2:E$976,"&lt;="&amp;F$6,DATA!I$2:I$976,B77,DATA!K$2:K$976,"فحص مخزون",DATA!AD$2:AD$976,IF(K$5="الكل","*",K$5)),"·")</f>
        <v>·</v>
      </c>
      <c r="L77" s="332" t="str">
        <f>IFERROR(AVERAGEIFS(DATA!AI$2:AI$976,DATA!E$2:E$976,"&gt;="&amp;D$6,DATA!E$2:E$976,"&lt;="&amp;F$6,DATA!I$2:I$976,B77,DATA!K$2:K$976,"متابعة شكاوى",DATA!AD$2:AD$976,IF(K$5="الكل","*",K$5)),"·")</f>
        <v>·</v>
      </c>
      <c r="M77" s="333" t="str">
        <f t="shared" si="6"/>
        <v>—</v>
      </c>
      <c r="N77" s="73" t="str">
        <f t="shared" si="7"/>
        <v>—</v>
      </c>
    </row>
    <row r="78" spans="2:14" ht="27.75" customHeight="1">
      <c r="B78" s="504" t="s">
        <v>1292</v>
      </c>
      <c r="C78" s="373"/>
      <c r="D78" s="373"/>
      <c r="E78" s="373"/>
      <c r="F78" s="373"/>
      <c r="G78" s="373"/>
      <c r="H78" s="373"/>
      <c r="I78" s="373"/>
      <c r="J78" s="373"/>
      <c r="K78" s="373"/>
      <c r="L78" s="373"/>
      <c r="M78" s="373"/>
      <c r="N78" s="373"/>
    </row>
    <row r="79" spans="2:14" ht="7.5" customHeight="1"/>
    <row r="80" spans="2:14" ht="25.5" customHeight="1">
      <c r="B80" s="538" t="str">
        <f>IFERROR("📌 إجمالي الأنشطة الرقابية: "&amp;F11&amp;" نشاط للفترة من "&amp;TEXT(D6,"DD/MM/YYYY")&amp;" إلى "&amp;TEXT(F6,"DD/MM/YYYY")&amp;" ("&amp;TEXT(F6-D6+1,"0")&amp;" يوم)","لا بيانات في الفترة المحددة")</f>
        <v>📌 إجمالي الأنشطة الرقابية:  نشاط للفترة من 01/05/2026 إلى 30/05/2026 (30 يوم)</v>
      </c>
      <c r="C80" s="472"/>
      <c r="D80" s="472"/>
      <c r="E80" s="472"/>
      <c r="F80" s="472"/>
      <c r="G80" s="472"/>
      <c r="H80" s="472"/>
      <c r="I80" s="472"/>
      <c r="J80" s="472"/>
      <c r="K80" s="472"/>
      <c r="L80" s="472"/>
      <c r="M80" s="472"/>
      <c r="N80" s="467"/>
    </row>
    <row r="81" spans="2:14" ht="25.5" customHeight="1">
      <c r="B81" s="548" t="str">
        <f>IFERROR(IF(C11="—","لا بيانات",IF(C11&gt;=85,"✅ الأداء الرقابي ممتاز بمتوسط "&amp;TEXT(C11,"0.0")&amp;" — يُوصى بالإشادة الرسمية والاحتفاء بالفريق.",IF(C11&gt;=70,"🟢 الأداء الرقابي جيد بمتوسط "&amp;TEXT(C11,"0.0")&amp;" — يُوصى بتعزيز الممارسات الجيدة وتبادل الخبرات.",IF(C11&gt;=60,"⚠️ الأداء ضمن الحد الأدنى بمتوسط "&amp;TEXT(C11,"0.0")&amp;" — يُوصى بجلسات مراجعة دورية وتدريب مستهدف.","🚨 الأداء دون المطلوب بمتوسط "&amp;TEXT(C11,"0.0")&amp;" — يستوجب تدخلاً عاجلاً وخطة تصحيحية فورية وإعادة تقييم شاملة.")))),"—")</f>
        <v>✅ الأداء الرقابي ممتاز بمتوسط 93.0 — يُوصى بالإشادة الرسمية والاحتفاء بالفريق.</v>
      </c>
      <c r="C81" s="472"/>
      <c r="D81" s="472"/>
      <c r="E81" s="472"/>
      <c r="F81" s="472"/>
      <c r="G81" s="472"/>
      <c r="H81" s="472"/>
      <c r="I81" s="472"/>
      <c r="J81" s="472"/>
      <c r="K81" s="472"/>
      <c r="L81" s="472"/>
      <c r="M81" s="472"/>
      <c r="N81" s="467"/>
    </row>
    <row r="82" spans="2:14" ht="25.5" customHeight="1">
      <c r="B82" s="547" t="str">
        <f>IFERROR("🏢 أفضل قسم أداءً: "&amp;INDEX({"الشؤون المالية","الموارد البشرية","المستودعات","الصيانة","خدمة العملاء","تقنية المعلومات","المشتريات","الجودة","اللوجستيات","الإدارة العامة"},MATCH(MAX(F23:F32),F23:F32,0))&amp;" — متوسط KPI: "&amp;TEXT(MAX(F23:F32),"0.0"),"—")</f>
        <v>—</v>
      </c>
      <c r="C82" s="472"/>
      <c r="D82" s="472"/>
      <c r="E82" s="472"/>
      <c r="F82" s="472"/>
      <c r="G82" s="472"/>
      <c r="H82" s="472"/>
      <c r="I82" s="472"/>
      <c r="J82" s="472"/>
      <c r="K82" s="472"/>
      <c r="L82" s="472"/>
      <c r="M82" s="472"/>
      <c r="N82" s="467"/>
    </row>
    <row r="83" spans="2:14" ht="25.5" customHeight="1">
      <c r="B83" s="545" t="str">
        <f>IFERROR("🗂 أكثر نوع نشاط إنجازاً: "&amp;INDEX({"تدقيق مالي","متابعة حضور","جرد مفاجئ","فحص سلامة","جودة خدمة","متابعة إجراءات","مراجعة عقود","تفتيش ميداني","فحص مخزون","متابعة شكاوى"},MATCH(MAX(E38:E47),E38:E47,0))&amp;" بـ "&amp;TEXT(MAX(E38:E47),"0")&amp;" نشاط"&amp;" | متوسط KPI: "&amp;TEXT(INDEX(F38:F47,MATCH(MAX(E38:E47),E38:E47,0)),"0.0"),"—")</f>
        <v>🗂 أكثر نوع نشاط إنجازاً: تفتيش ميداني بـ 90 نشاط | متوسط KPI: 98.7</v>
      </c>
      <c r="C83" s="472"/>
      <c r="D83" s="472"/>
      <c r="E83" s="472"/>
      <c r="F83" s="472"/>
      <c r="G83" s="472"/>
      <c r="H83" s="472"/>
      <c r="I83" s="472"/>
      <c r="J83" s="472"/>
      <c r="K83" s="472"/>
      <c r="L83" s="472"/>
      <c r="M83" s="472"/>
      <c r="N83" s="467"/>
    </row>
    <row r="84" spans="2:14" ht="25.5" customHeight="1">
      <c r="B84" s="537" t="str">
        <f>IFERROR("⚠️ الأنشطة الضعيفة: "&amp;J11&amp;IF(J11=0," — لا مخاطر رقابية 🎯",IF(J11&lt;=2," أنشطة — تحت السيطرة، يُوصى بمراجعتها"," أنشطة — عدد مرتفع يستوجب خطة تصحيح فورية وجلسة طارئة مع الإدارة 🚨")),"—")</f>
        <v>⚠️ الأنشطة الضعيفة: 7 أنشطة — عدد مرتفع يستوجب خطة تصحيح فورية وجلسة طارئة مع الإدارة 🚨</v>
      </c>
      <c r="C84" s="472"/>
      <c r="D84" s="472"/>
      <c r="E84" s="472"/>
      <c r="F84" s="472"/>
      <c r="G84" s="472"/>
      <c r="H84" s="472"/>
      <c r="I84" s="472"/>
      <c r="J84" s="472"/>
      <c r="K84" s="472"/>
      <c r="L84" s="472"/>
      <c r="M84" s="472"/>
      <c r="N84" s="467"/>
    </row>
    <row r="85" spans="2:14" ht="7.5" customHeight="1"/>
    <row r="86" spans="2:14" ht="27.75" customHeight="1"/>
    <row r="87" spans="2:14" ht="7.5" customHeight="1"/>
    <row r="88" spans="2:14" ht="27.75" customHeight="1"/>
    <row r="89" spans="2:14" ht="27.75" customHeight="1"/>
    <row r="90" spans="2:14" ht="27.75" customHeight="1"/>
    <row r="91" spans="2:14" ht="27.75" customHeight="1"/>
    <row r="92" spans="2:14" ht="4.5" customHeight="1">
      <c r="B92" s="42"/>
      <c r="C92" s="42"/>
      <c r="D92" s="42"/>
      <c r="E92" s="42"/>
      <c r="F92" s="42"/>
      <c r="G92" s="42"/>
      <c r="H92" s="42"/>
      <c r="I92" s="42"/>
      <c r="J92" s="42"/>
      <c r="K92" s="42"/>
      <c r="L92" s="42"/>
      <c r="M92" s="42"/>
      <c r="N92" s="42"/>
    </row>
    <row r="93" spans="2:14" ht="18" customHeight="1">
      <c r="B93" s="528" t="s">
        <v>1293</v>
      </c>
      <c r="C93" s="373"/>
      <c r="D93" s="373"/>
      <c r="E93" s="373"/>
      <c r="F93" s="373"/>
      <c r="G93" s="373"/>
      <c r="H93" s="373"/>
      <c r="I93" s="373"/>
      <c r="J93" s="373"/>
      <c r="K93" s="373"/>
      <c r="L93" s="373"/>
      <c r="M93" s="373"/>
      <c r="N93" s="373"/>
    </row>
  </sheetData>
  <mergeCells count="91">
    <mergeCell ref="C3:N3"/>
    <mergeCell ref="E13:N13"/>
    <mergeCell ref="L56:M56"/>
    <mergeCell ref="B8:N8"/>
    <mergeCell ref="B27:D27"/>
    <mergeCell ref="E15:N15"/>
    <mergeCell ref="L27:M27"/>
    <mergeCell ref="L36:M36"/>
    <mergeCell ref="B4:N4"/>
    <mergeCell ref="M5:N5"/>
    <mergeCell ref="L32:M32"/>
    <mergeCell ref="L28:M28"/>
    <mergeCell ref="B28:D28"/>
    <mergeCell ref="B30:D30"/>
    <mergeCell ref="L39:M39"/>
    <mergeCell ref="L45:M45"/>
    <mergeCell ref="B26:D26"/>
    <mergeCell ref="L41:M41"/>
    <mergeCell ref="B58:D58"/>
    <mergeCell ref="B13:D13"/>
    <mergeCell ref="L47:M47"/>
    <mergeCell ref="B45:D45"/>
    <mergeCell ref="L29:M29"/>
    <mergeCell ref="L38:M38"/>
    <mergeCell ref="L31:M31"/>
    <mergeCell ref="L40:M40"/>
    <mergeCell ref="B42:D42"/>
    <mergeCell ref="B40:D40"/>
    <mergeCell ref="B32:D32"/>
    <mergeCell ref="G6:H6"/>
    <mergeCell ref="L23:M23"/>
    <mergeCell ref="B15:D15"/>
    <mergeCell ref="B24:D24"/>
    <mergeCell ref="C11:D11"/>
    <mergeCell ref="E11:F11"/>
    <mergeCell ref="B83:N83"/>
    <mergeCell ref="B29:D29"/>
    <mergeCell ref="B38:D38"/>
    <mergeCell ref="C10:D10"/>
    <mergeCell ref="E10:F10"/>
    <mergeCell ref="L63:M63"/>
    <mergeCell ref="B82:N82"/>
    <mergeCell ref="B81:N81"/>
    <mergeCell ref="L26:M26"/>
    <mergeCell ref="L58:M58"/>
    <mergeCell ref="B63:D63"/>
    <mergeCell ref="B41:D41"/>
    <mergeCell ref="B52:N52"/>
    <mergeCell ref="L60:M60"/>
    <mergeCell ref="B34:N34"/>
    <mergeCell ref="B61:D61"/>
    <mergeCell ref="B80:N80"/>
    <mergeCell ref="K11:L11"/>
    <mergeCell ref="L43:M43"/>
    <mergeCell ref="L24:M24"/>
    <mergeCell ref="L25:M25"/>
    <mergeCell ref="B25:D25"/>
    <mergeCell ref="B19:N19"/>
    <mergeCell ref="L21:M21"/>
    <mergeCell ref="B56:D56"/>
    <mergeCell ref="B78:N78"/>
    <mergeCell ref="B43:D43"/>
    <mergeCell ref="B17:D17"/>
    <mergeCell ref="L57:M57"/>
    <mergeCell ref="L42:M42"/>
    <mergeCell ref="L30:M30"/>
    <mergeCell ref="B36:D36"/>
    <mergeCell ref="B93:N93"/>
    <mergeCell ref="E17:N17"/>
    <mergeCell ref="L44:M44"/>
    <mergeCell ref="I6:N6"/>
    <mergeCell ref="B47:D47"/>
    <mergeCell ref="B59:D59"/>
    <mergeCell ref="L59:M59"/>
    <mergeCell ref="B31:D31"/>
    <mergeCell ref="B46:D46"/>
    <mergeCell ref="L46:M46"/>
    <mergeCell ref="K10:L10"/>
    <mergeCell ref="B21:D21"/>
    <mergeCell ref="B39:D39"/>
    <mergeCell ref="L61:M61"/>
    <mergeCell ref="B84:N84"/>
    <mergeCell ref="B23:D23"/>
    <mergeCell ref="B60:D60"/>
    <mergeCell ref="B57:D57"/>
    <mergeCell ref="B65:N65"/>
    <mergeCell ref="B44:D44"/>
    <mergeCell ref="B62:D62"/>
    <mergeCell ref="B54:D54"/>
    <mergeCell ref="L62:M62"/>
    <mergeCell ref="L54:M54"/>
  </mergeCells>
  <conditionalFormatting sqref="F23:F32">
    <cfRule type="colorScale" priority="2">
      <colorScale>
        <cfvo type="num" val="0"/>
        <cfvo type="num" val="60"/>
        <cfvo type="num" val="100"/>
        <color rgb="FF8B1A1A"/>
        <color rgb="FFC05A00"/>
        <color rgb="FF1A5C2A"/>
      </colorScale>
    </cfRule>
  </conditionalFormatting>
  <conditionalFormatting sqref="F38:F49">
    <cfRule type="colorScale" priority="3">
      <colorScale>
        <cfvo type="num" val="0"/>
        <cfvo type="num" val="60"/>
        <cfvo type="num" val="100"/>
        <color rgb="FF8B1A1A"/>
        <color rgb="FFC05A00"/>
        <color rgb="FF1A5C2A"/>
      </colorScale>
    </cfRule>
  </conditionalFormatting>
  <pageMargins left="0.75" right="0.75" top="1" bottom="1" header="0.511811023622047" footer="0.511811023622047"/>
  <pageSetup paperSize="9"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B7A8F"/>
  </sheetPr>
  <dimension ref="A1:I6"/>
  <sheetViews>
    <sheetView showGridLines="0" rightToLeft="1" workbookViewId="0"/>
  </sheetViews>
  <sheetFormatPr defaultRowHeight="15"/>
  <cols>
    <col min="1" max="9" width="26.7109375" customWidth="1"/>
  </cols>
  <sheetData>
    <row r="1" spans="1:9" ht="30" customHeight="1">
      <c r="A1" s="225" t="str">
        <f>LISTS!AB1</f>
        <v>سكرتاريا</v>
      </c>
      <c r="B1" s="225" t="str">
        <f>LISTS!AC1</f>
        <v>دائرة الشؤون الإدارية</v>
      </c>
      <c r="C1" s="225" t="str">
        <f>LISTS!AD1</f>
        <v>دائرة التنمية الاجتماعية</v>
      </c>
      <c r="D1" s="225" t="str">
        <f>LISTS!AE1</f>
        <v>دائرة المشاريع والتسويق والإعلام</v>
      </c>
      <c r="E1" s="225" t="str">
        <f>LISTS!AF1</f>
        <v>دائرة الشؤون المالية</v>
      </c>
      <c r="F1" s="225" t="str">
        <f>LISTS!AG1</f>
        <v>دائرة الاستثمار الخيري</v>
      </c>
      <c r="G1" s="225" t="str">
        <f>LISTS!AH1</f>
        <v>يافا</v>
      </c>
      <c r="H1" s="225" t="str">
        <f>LISTS!AI1</f>
        <v>الكويتي</v>
      </c>
      <c r="I1" s="225" t="str">
        <f>LISTS!AJ1</f>
        <v>الوسطى</v>
      </c>
    </row>
    <row r="2" spans="1:9" ht="27.95" customHeight="1">
      <c r="A2" s="226" t="s">
        <v>1294</v>
      </c>
      <c r="B2" s="226" t="s">
        <v>1295</v>
      </c>
      <c r="C2" s="226" t="s">
        <v>1296</v>
      </c>
      <c r="D2" s="226" t="s">
        <v>1297</v>
      </c>
      <c r="E2" s="226" t="s">
        <v>1298</v>
      </c>
      <c r="F2" s="226" t="s">
        <v>1299</v>
      </c>
      <c r="G2" s="226" t="s">
        <v>1300</v>
      </c>
      <c r="H2" s="226" t="s">
        <v>1300</v>
      </c>
      <c r="I2" s="226" t="s">
        <v>1300</v>
      </c>
    </row>
    <row r="3" spans="1:9" ht="27.95" customHeight="1">
      <c r="A3" s="226" t="s">
        <v>1301</v>
      </c>
      <c r="B3" s="226" t="s">
        <v>1302</v>
      </c>
      <c r="C3" s="226" t="s">
        <v>1303</v>
      </c>
      <c r="D3" s="226" t="s">
        <v>1304</v>
      </c>
      <c r="E3" s="226" t="s">
        <v>1305</v>
      </c>
      <c r="F3" s="226" t="s">
        <v>1306</v>
      </c>
      <c r="G3" s="226" t="s">
        <v>1307</v>
      </c>
      <c r="H3" s="226" t="s">
        <v>1307</v>
      </c>
      <c r="I3" s="226" t="s">
        <v>1307</v>
      </c>
    </row>
    <row r="4" spans="1:9" ht="27.95" customHeight="1">
      <c r="A4" s="226" t="s">
        <v>1308</v>
      </c>
      <c r="B4" s="226" t="s">
        <v>1309</v>
      </c>
      <c r="C4" s="226" t="s">
        <v>1310</v>
      </c>
      <c r="D4" s="226" t="s">
        <v>1311</v>
      </c>
      <c r="E4" s="226" t="s">
        <v>1312</v>
      </c>
      <c r="F4" s="226" t="s">
        <v>1313</v>
      </c>
      <c r="G4" s="226" t="s">
        <v>1314</v>
      </c>
      <c r="H4" s="226" t="s">
        <v>1314</v>
      </c>
      <c r="I4" s="226" t="s">
        <v>1314</v>
      </c>
    </row>
    <row r="5" spans="1:9" ht="27.95" customHeight="1">
      <c r="A5" s="226" t="s">
        <v>1315</v>
      </c>
      <c r="B5" s="226" t="s">
        <v>1316</v>
      </c>
      <c r="C5" s="226" t="s">
        <v>1317</v>
      </c>
      <c r="D5" s="226" t="s">
        <v>1318</v>
      </c>
      <c r="E5" s="226" t="s">
        <v>1319</v>
      </c>
      <c r="F5" s="226" t="s">
        <v>1320</v>
      </c>
      <c r="G5" s="226" t="s">
        <v>1321</v>
      </c>
      <c r="H5" s="226" t="s">
        <v>1321</v>
      </c>
      <c r="I5" s="226" t="s">
        <v>1321</v>
      </c>
    </row>
    <row r="6" spans="1:9" ht="27.95" customHeight="1">
      <c r="A6" s="226" t="s">
        <v>1322</v>
      </c>
      <c r="B6" s="226" t="s">
        <v>1323</v>
      </c>
      <c r="C6" s="226" t="s">
        <v>1324</v>
      </c>
      <c r="D6" s="226" t="s">
        <v>1325</v>
      </c>
      <c r="E6" s="226" t="s">
        <v>1326</v>
      </c>
      <c r="F6" s="226" t="s">
        <v>1327</v>
      </c>
      <c r="G6" s="226" t="s">
        <v>1328</v>
      </c>
      <c r="H6" s="226" t="s">
        <v>1328</v>
      </c>
      <c r="I6" s="226" t="s">
        <v>1328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13</vt:i4>
      </vt:variant>
      <vt:variant>
        <vt:lpstr>النطاقات المسماة</vt:lpstr>
      </vt:variant>
      <vt:variant>
        <vt:i4>6</vt:i4>
      </vt:variant>
    </vt:vector>
  </HeadingPairs>
  <TitlesOfParts>
    <vt:vector size="19" baseType="lpstr">
      <vt:lpstr>LISTS</vt:lpstr>
      <vt:lpstr>DATA</vt:lpstr>
      <vt:lpstr>محضر اجتماع</vt:lpstr>
      <vt:lpstr>محضر اجتماع متكامل</vt:lpstr>
      <vt:lpstr>تقرير  مشروع</vt:lpstr>
      <vt:lpstr>تقرير قسم</vt:lpstr>
      <vt:lpstr>تقرير الموظف</vt:lpstr>
      <vt:lpstr>حسب الاقسام</vt:lpstr>
      <vt:lpstr>نوع النشاط </vt:lpstr>
      <vt:lpstr>تقارير</vt:lpstr>
      <vt:lpstr>لوحة الرقابة</vt:lpstr>
      <vt:lpstr>تقرير القسم والنشاط</vt:lpstr>
      <vt:lpstr>معايير الأقسام</vt:lpstr>
      <vt:lpstr>'تقرير  مشروع'!Print_Area</vt:lpstr>
      <vt:lpstr>'محضر اجتماع'!Print_Area</vt:lpstr>
      <vt:lpstr>rng_Alert</vt:lpstr>
      <vt:lpstr>rng_Dept</vt:lpstr>
      <vt:lpstr>rng_KPI</vt:lpstr>
      <vt:lpstr>rng_Monitor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Mohamad A. Abu-Daka</cp:lastModifiedBy>
  <cp:revision>0</cp:revision>
  <cp:lastPrinted>2026-06-22T06:56:16Z</cp:lastPrinted>
  <dcterms:created xsi:type="dcterms:W3CDTF">2026-05-03T14:30:22Z</dcterms:created>
  <dcterms:modified xsi:type="dcterms:W3CDTF">2026-06-28T10:16:55Z</dcterms:modified>
  <dc:language>en-US</dc:language>
</cp:coreProperties>
</file>