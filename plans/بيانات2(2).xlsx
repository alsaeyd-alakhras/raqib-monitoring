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sae\Downloads\"/>
    </mc:Choice>
  </mc:AlternateContent>
  <xr:revisionPtr revIDLastSave="0" documentId="13_ncr:1_{1EF0DD52-F2A2-4822-B891-0149AB1E68D4}" xr6:coauthVersionLast="47" xr6:coauthVersionMax="47" xr10:uidLastSave="{00000000-0000-0000-0000-000000000000}"/>
  <bookViews>
    <workbookView xWindow="-108" yWindow="-108" windowWidth="23256" windowHeight="12456" xr2:uid="{18E9ED07-E231-4582-925C-75D8C970229F}"/>
  </bookViews>
  <sheets>
    <sheet name="بانات للداخلية" sheetId="1" r:id="rId1"/>
    <sheet name="LISTS" sheetId="2" r:id="rId2"/>
  </sheets>
  <definedNames>
    <definedName name="_xlnm._FilterDatabase" localSheetId="0" hidden="1">'بانات للداخلية'!$A$2:$G$190</definedName>
    <definedName name="AllUnits">LISTS!#REF!</definedName>
    <definedName name="FunderList">OFFSET(LISTS!$W$2,0,0,COUNTA(LISTS!$W$2:$W$255),1)</definedName>
    <definedName name="LookupDeptByUnit">LISTS!#REF!</definedName>
    <definedName name="_xlnm.Print_Area" localSheetId="0">'بانات للداخلية'!$A$1:$K$192</definedName>
    <definedName name="ResponsibleList">OFFSET(LISTS!$T$2,0,0,COUNTA(LISTS!$T$2:$T$255),1)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184" i="1"/>
  <c r="A189" i="1"/>
  <c r="A3" i="1"/>
  <c r="A7" i="1"/>
  <c r="A11" i="1"/>
  <c r="A15" i="1"/>
  <c r="A19" i="1"/>
  <c r="A23" i="1"/>
  <c r="A27" i="1"/>
  <c r="A35" i="1"/>
  <c r="A43" i="1"/>
  <c r="A47" i="1"/>
  <c r="A51" i="1"/>
  <c r="A83" i="1"/>
  <c r="A87" i="1"/>
  <c r="A91" i="1"/>
  <c r="A131" i="1"/>
  <c r="A143" i="1"/>
  <c r="A147" i="1"/>
  <c r="A151" i="1"/>
  <c r="A155" i="1"/>
  <c r="A159" i="1"/>
  <c r="A163" i="1"/>
  <c r="A180" i="1"/>
  <c r="A6" i="1"/>
  <c r="A10" i="1"/>
  <c r="A14" i="1"/>
  <c r="A18" i="1"/>
  <c r="A22" i="1"/>
  <c r="A26" i="1"/>
  <c r="A30" i="1"/>
  <c r="A34" i="1"/>
  <c r="A38" i="1"/>
  <c r="A42" i="1"/>
  <c r="A46" i="1"/>
  <c r="A50" i="1"/>
  <c r="A54" i="1"/>
  <c r="A58" i="1"/>
  <c r="A62" i="1"/>
  <c r="A66" i="1"/>
  <c r="A70" i="1"/>
  <c r="A74" i="1"/>
  <c r="A78" i="1"/>
  <c r="A82" i="1"/>
  <c r="A86" i="1"/>
  <c r="A90" i="1"/>
  <c r="A94" i="1"/>
  <c r="A98" i="1"/>
  <c r="A102" i="1"/>
  <c r="A106" i="1"/>
  <c r="A110" i="1"/>
  <c r="A114" i="1"/>
  <c r="A118" i="1"/>
  <c r="A122" i="1"/>
  <c r="A126" i="1"/>
  <c r="A130" i="1"/>
  <c r="A134" i="1"/>
  <c r="A138" i="1"/>
  <c r="A142" i="1"/>
  <c r="A146" i="1"/>
  <c r="A150" i="1"/>
  <c r="A154" i="1"/>
  <c r="A158" i="1"/>
  <c r="A162" i="1"/>
  <c r="A167" i="1"/>
  <c r="A171" i="1"/>
  <c r="A175" i="1"/>
  <c r="A179" i="1"/>
  <c r="A183" i="1"/>
  <c r="A187" i="1"/>
  <c r="A191" i="1"/>
  <c r="A31" i="1"/>
  <c r="A71" i="1"/>
  <c r="A75" i="1"/>
  <c r="A95" i="1"/>
  <c r="A107" i="1"/>
  <c r="A115" i="1"/>
  <c r="A119" i="1"/>
  <c r="A123" i="1"/>
  <c r="A127" i="1"/>
  <c r="A176" i="1"/>
  <c r="A188" i="1"/>
  <c r="A5" i="1"/>
  <c r="A9" i="1"/>
  <c r="A13" i="1"/>
  <c r="A17" i="1"/>
  <c r="A21" i="1"/>
  <c r="A25" i="1"/>
  <c r="A29" i="1"/>
  <c r="A33" i="1"/>
  <c r="A37" i="1"/>
  <c r="A41" i="1"/>
  <c r="A45" i="1"/>
  <c r="A49" i="1"/>
  <c r="A53" i="1"/>
  <c r="A57" i="1"/>
  <c r="A61" i="1"/>
  <c r="A65" i="1"/>
  <c r="A69" i="1"/>
  <c r="A73" i="1"/>
  <c r="A77" i="1"/>
  <c r="A81" i="1"/>
  <c r="A85" i="1"/>
  <c r="A89" i="1"/>
  <c r="A93" i="1"/>
  <c r="A97" i="1"/>
  <c r="A101" i="1"/>
  <c r="A105" i="1"/>
  <c r="A109" i="1"/>
  <c r="A113" i="1"/>
  <c r="A117" i="1"/>
  <c r="A121" i="1"/>
  <c r="A125" i="1"/>
  <c r="A129" i="1"/>
  <c r="A133" i="1"/>
  <c r="A137" i="1"/>
  <c r="A141" i="1"/>
  <c r="A145" i="1"/>
  <c r="A149" i="1"/>
  <c r="A153" i="1"/>
  <c r="A157" i="1"/>
  <c r="A161" i="1"/>
  <c r="A166" i="1"/>
  <c r="A170" i="1"/>
  <c r="A174" i="1"/>
  <c r="A178" i="1"/>
  <c r="A182" i="1"/>
  <c r="A186" i="1"/>
  <c r="A190" i="1"/>
  <c r="A39" i="1"/>
  <c r="A55" i="1"/>
  <c r="A59" i="1"/>
  <c r="A63" i="1"/>
  <c r="A67" i="1"/>
  <c r="A79" i="1"/>
  <c r="A99" i="1"/>
  <c r="A103" i="1"/>
  <c r="A111" i="1"/>
  <c r="A135" i="1"/>
  <c r="A139" i="1"/>
  <c r="A168" i="1"/>
  <c r="A172" i="1"/>
  <c r="A4" i="1"/>
  <c r="A8" i="1"/>
  <c r="A12" i="1"/>
  <c r="A16" i="1"/>
  <c r="A20" i="1"/>
  <c r="A24" i="1"/>
  <c r="A28" i="1"/>
  <c r="A32" i="1"/>
  <c r="A36" i="1"/>
  <c r="A40" i="1"/>
  <c r="A44" i="1"/>
  <c r="A48" i="1"/>
  <c r="A52" i="1"/>
  <c r="A56" i="1"/>
  <c r="A60" i="1"/>
  <c r="A64" i="1"/>
  <c r="A68" i="1"/>
  <c r="A72" i="1"/>
  <c r="A76" i="1"/>
  <c r="A80" i="1"/>
  <c r="A84" i="1"/>
  <c r="A88" i="1"/>
  <c r="A92" i="1"/>
  <c r="A96" i="1"/>
  <c r="A100" i="1"/>
  <c r="A104" i="1"/>
  <c r="A108" i="1"/>
  <c r="A112" i="1"/>
  <c r="A116" i="1"/>
  <c r="A120" i="1"/>
  <c r="A124" i="1"/>
  <c r="A128" i="1"/>
  <c r="A132" i="1"/>
  <c r="A136" i="1"/>
  <c r="A140" i="1"/>
  <c r="A144" i="1"/>
  <c r="A148" i="1"/>
  <c r="A152" i="1"/>
  <c r="A156" i="1"/>
  <c r="A160" i="1"/>
  <c r="A164" i="1"/>
  <c r="A169" i="1"/>
  <c r="A173" i="1"/>
  <c r="A177" i="1"/>
  <c r="A181" i="1"/>
  <c r="A185" i="1"/>
  <c r="C69" i="2" l="1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C47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</calcChain>
</file>

<file path=xl/sharedStrings.xml><?xml version="1.0" encoding="utf-8"?>
<sst xmlns="http://schemas.openxmlformats.org/spreadsheetml/2006/main" count="1588" uniqueCount="740">
  <si>
    <t>الرقم</t>
  </si>
  <si>
    <t>الجمعية</t>
  </si>
  <si>
    <t>الاسم</t>
  </si>
  <si>
    <t>رقم الهوية</t>
  </si>
  <si>
    <t>القسم</t>
  </si>
  <si>
    <t>طبيعة العمل</t>
  </si>
  <si>
    <t>مكان العمل</t>
  </si>
  <si>
    <t>يتيم</t>
  </si>
  <si>
    <t>اميرة محمد محمد مدوخ</t>
  </si>
  <si>
    <t>تسويق مشاريع</t>
  </si>
  <si>
    <t>المقر العام</t>
  </si>
  <si>
    <t>باسم محمد سليم الهباش</t>
  </si>
  <si>
    <t>إدارة</t>
  </si>
  <si>
    <t>مدير عام</t>
  </si>
  <si>
    <t>ريم عبد القادر احمد سلمان</t>
  </si>
  <si>
    <t>رئيس قسم الكفالات والأسر</t>
  </si>
  <si>
    <t>وسام ربحي صبحي الخطيب</t>
  </si>
  <si>
    <t>شئون الموظفين</t>
  </si>
  <si>
    <t>مدير دائرة الشؤون الإدارية</t>
  </si>
  <si>
    <t>وسيم نامق خالد العلمي</t>
  </si>
  <si>
    <t>المشتريات</t>
  </si>
  <si>
    <t>مدير الدائرة المالية</t>
  </si>
  <si>
    <t>محمد محمود عبد الرحمن ابو دقه</t>
  </si>
  <si>
    <t>تدقيق</t>
  </si>
  <si>
    <t>أحمد عبد الخالق محمد البحيصي</t>
  </si>
  <si>
    <t>مدير دائرة المشاريع والاعلام</t>
  </si>
  <si>
    <t>محمود حسن محمود عبيدة</t>
  </si>
  <si>
    <t>مؤمنة نعيم علي الطويل</t>
  </si>
  <si>
    <t>منسق مشاريع</t>
  </si>
  <si>
    <t>هديل سعيد احمد نصار</t>
  </si>
  <si>
    <t>مشرفة كفالات</t>
  </si>
  <si>
    <t>اسراء خميس خليل أبو كريم</t>
  </si>
  <si>
    <t>الاعلام</t>
  </si>
  <si>
    <t>رئيس قسم الاعلام</t>
  </si>
  <si>
    <t>خلود تيسير محمود الجوراني</t>
  </si>
  <si>
    <t>حمزة اياد محمد الهباش</t>
  </si>
  <si>
    <t>المالية</t>
  </si>
  <si>
    <t>محاسب</t>
  </si>
  <si>
    <t>عامر علي سليمان دبور</t>
  </si>
  <si>
    <t>صلاح</t>
  </si>
  <si>
    <t>احمد سعيد احمد نصار</t>
  </si>
  <si>
    <t>سكرتاريا</t>
  </si>
  <si>
    <t>منسق بريد وارشفة</t>
  </si>
  <si>
    <t>أسماء احمد حرب الكرد</t>
  </si>
  <si>
    <t>مدير دائرة التنمية الاجتماعية</t>
  </si>
  <si>
    <t>اعتماد احمد محمد تمراز</t>
  </si>
  <si>
    <t>فروع</t>
  </si>
  <si>
    <t>منسق كفالات</t>
  </si>
  <si>
    <t>فرع دير البلح</t>
  </si>
  <si>
    <t>أمجد يوسف إبراهيم جبر</t>
  </si>
  <si>
    <t>فرع البريج</t>
  </si>
  <si>
    <t>ايمان هاشم يوسف الشاعر-الدده</t>
  </si>
  <si>
    <t>فرع غزة</t>
  </si>
  <si>
    <t>باسم ديب عبد الله المبحوح</t>
  </si>
  <si>
    <t>منسق ميداني</t>
  </si>
  <si>
    <t>بسام محمد حميدان الخطيب</t>
  </si>
  <si>
    <t>منسق مشاريع مكتب الزوايدة</t>
  </si>
  <si>
    <t>فرع الزوايدة</t>
  </si>
  <si>
    <t>بشير نعيم سليمان أبو نصيرة</t>
  </si>
  <si>
    <t>الصيانة</t>
  </si>
  <si>
    <t>صيانة عامة</t>
  </si>
  <si>
    <t>جهاد محمد محروس ابو الريش</t>
  </si>
  <si>
    <t>منسق مشاريع مكتب خانيونس</t>
  </si>
  <si>
    <t>فرع خانيونس</t>
  </si>
  <si>
    <t>حامد عثمان مصطفي جرادة</t>
  </si>
  <si>
    <t>قسم المشتريات</t>
  </si>
  <si>
    <t>حسام خليل جبر نصار</t>
  </si>
  <si>
    <t>الخدمات</t>
  </si>
  <si>
    <t>حارس</t>
  </si>
  <si>
    <t>راوية محمود إدريس البحيصي (حماد)</t>
  </si>
  <si>
    <t>منسق مشاريع مكتب دير البلح</t>
  </si>
  <si>
    <t>دعاء سلمان حسن أبو العطا (بريص)</t>
  </si>
  <si>
    <t>دلال حسن إبراهيم كريم "مزين"</t>
  </si>
  <si>
    <t>مشرفة الايتام</t>
  </si>
  <si>
    <t>سعد الدين زكريا الافرنجي</t>
  </si>
  <si>
    <t>منسق مشاريع مكتب غزة</t>
  </si>
  <si>
    <t>سمير رمضان إبراهيم نصار</t>
  </si>
  <si>
    <t>الرقابة</t>
  </si>
  <si>
    <t>رقابة</t>
  </si>
  <si>
    <t>سمية عطا خليل أبو معروف</t>
  </si>
  <si>
    <t>طارق حسن ع.القادر قنديل</t>
  </si>
  <si>
    <t>منسق مشاريع مكتب المغازي</t>
  </si>
  <si>
    <t>فرع المغازي</t>
  </si>
  <si>
    <t>عبد القادر صلاح الدين علي ابو جلهوم</t>
  </si>
  <si>
    <t>سائق</t>
  </si>
  <si>
    <t>فرع جباليا</t>
  </si>
  <si>
    <t>غادة  فتحي محمد أبو طواحينه (ثابت)</t>
  </si>
  <si>
    <t>فاطمة عبد الرحمن فارس مهنا</t>
  </si>
  <si>
    <t>فريد محمود محمد قنديل</t>
  </si>
  <si>
    <t>مالكة مرشد عليان القاضي</t>
  </si>
  <si>
    <t>فرع رفح</t>
  </si>
  <si>
    <t>محمد عبد العزيز عبد الله الحاج</t>
  </si>
  <si>
    <t xml:space="preserve">رئيس قسم  </t>
  </si>
  <si>
    <t>محمد نافذ فضل نصار</t>
  </si>
  <si>
    <t>سكرتير</t>
  </si>
  <si>
    <t>محمود سالم هزاع القريناوي</t>
  </si>
  <si>
    <t>منسق مشاريع مكتب البريج</t>
  </si>
  <si>
    <t>مصطفى محمد عبد الخالق البحيصي</t>
  </si>
  <si>
    <t>مدير وحدة الرقابة الخارجية</t>
  </si>
  <si>
    <t>يحيى محمد احمد مصلح</t>
  </si>
  <si>
    <t xml:space="preserve">احمد عبد القادر الغرابلي </t>
  </si>
  <si>
    <t>أنيس سليمان إبراهيم حسن</t>
  </si>
  <si>
    <t>منسق مشاريع مكتب رفح</t>
  </si>
  <si>
    <t>اسماعيل مصطفى سليم السقا</t>
  </si>
  <si>
    <t>العلاقات العامة</t>
  </si>
  <si>
    <t>رئيس قسم العلاقات العامة</t>
  </si>
  <si>
    <t>ابراهيم رمضان ابراهيم نصار</t>
  </si>
  <si>
    <t>تحصيل مالي</t>
  </si>
  <si>
    <t>مركز الوسطى</t>
  </si>
  <si>
    <t>احمد محمد عبدالله المشارفة</t>
  </si>
  <si>
    <t>استثمار</t>
  </si>
  <si>
    <t>النادي الرياضي</t>
  </si>
  <si>
    <t>اسماعيل محمد محمود الصيداوي</t>
  </si>
  <si>
    <t>اعلامي</t>
  </si>
  <si>
    <t>اياد علي محمد ابو عبدو</t>
  </si>
  <si>
    <t>ايهاب محمد عبد الله الحاج</t>
  </si>
  <si>
    <t>علاقات عامة</t>
  </si>
  <si>
    <t>طارق محمد احمد ابو حجير</t>
  </si>
  <si>
    <t>عبد الرحمن محمد عبد القادر منصور</t>
  </si>
  <si>
    <t>تنمية الموارد والتطوير</t>
  </si>
  <si>
    <t>هاني حمودة محمد رمانة</t>
  </si>
  <si>
    <t>مشتريات</t>
  </si>
  <si>
    <t>وائل محمد احمد ابو كريم</t>
  </si>
  <si>
    <t>ياسر محمد ديب ابو ناصر</t>
  </si>
  <si>
    <t>احلام محمد ابو العطا</t>
  </si>
  <si>
    <t>مدارس</t>
  </si>
  <si>
    <t>مدرسة</t>
  </si>
  <si>
    <t xml:space="preserve">مدرسة خديجة </t>
  </si>
  <si>
    <t>اسماء بشير محمد جودة ( مطر)</t>
  </si>
  <si>
    <t>اسماء محمد عطا الله مهنا(أبو العطا)</t>
  </si>
  <si>
    <t>اصلاح عبد الفتاح حسن النجار(دخان)</t>
  </si>
  <si>
    <t>بشرى مصطفي حسين نصار</t>
  </si>
  <si>
    <t>ريهام محمد عبد الرحمن النبريص</t>
  </si>
  <si>
    <t>مرشدة</t>
  </si>
  <si>
    <t>عبير زكري حسن الشاعر</t>
  </si>
  <si>
    <t>فاطمة زين الدين حسن أبو الريش "الكرد"</t>
  </si>
  <si>
    <t>نسرين عطية محمود الهور</t>
  </si>
  <si>
    <t>خليل صابر إسماعيل الاشعل</t>
  </si>
  <si>
    <t>نهلة لطفي عبد الرحمن مسامح (عياش)</t>
  </si>
  <si>
    <t>وداد عبد ربه ابراهيم ابو غفرة "التعبان"</t>
  </si>
  <si>
    <t>وفاء محمد محمد الهوبي "مخيمر"</t>
  </si>
  <si>
    <t>ابراهيم عطا ابراهيم سلمان</t>
  </si>
  <si>
    <t>انس بشير عبد المجيد قفة</t>
  </si>
  <si>
    <t>رئيس قسم المالية</t>
  </si>
  <si>
    <t>فداء جمال جبر اعبيد (نصار)</t>
  </si>
  <si>
    <t>أكرم زكي صالح صويلح</t>
  </si>
  <si>
    <t>المقر</t>
  </si>
  <si>
    <t>خدمات</t>
  </si>
  <si>
    <t>موفق ماضي محمد الحسنات</t>
  </si>
  <si>
    <t>آذن</t>
  </si>
  <si>
    <t>احمد إسماعيل ماضي أبو ماضي</t>
  </si>
  <si>
    <t>شادي احمد علي الحاج علي</t>
  </si>
  <si>
    <t>مستشفى يافا</t>
  </si>
  <si>
    <t>رنا جهاد عمر البر (الطويل)</t>
  </si>
  <si>
    <t>آلاء محمد سعيد ابو هميسة</t>
  </si>
  <si>
    <t>صفاء محمود يوسف دلول</t>
  </si>
  <si>
    <t>مدلله عدنان محمد الجرو</t>
  </si>
  <si>
    <t>جنان محمد صالح أبو السبح</t>
  </si>
  <si>
    <t>مدرس</t>
  </si>
  <si>
    <t>ايمان إسماعيل محمد عيد</t>
  </si>
  <si>
    <t>هبة ياسين داوود الجماصي</t>
  </si>
  <si>
    <t>دينا جمال عبد السلام المصري</t>
  </si>
  <si>
    <t>براء عمر محمد الحسنات</t>
  </si>
  <si>
    <t>اعلام وتصوير</t>
  </si>
  <si>
    <t>عبد الله محسن يونس صيدم</t>
  </si>
  <si>
    <t>علي عبد العزيز محمد أبو عمرة</t>
  </si>
  <si>
    <t>احمد إسماعيل إبراهيم حرب</t>
  </si>
  <si>
    <t>جهاد محمد احمد عياش</t>
  </si>
  <si>
    <t>مسؤول الخدمات وصيانة الأجهزة الطبية</t>
  </si>
  <si>
    <t>سهيل جميل عبد الفتاح ابو العطا</t>
  </si>
  <si>
    <t>جيهان سليمان ابراهيم برهوم</t>
  </si>
  <si>
    <t>فاطمة منهل احمد عمران (ابو عرمانة)</t>
  </si>
  <si>
    <t>هدى احمد علي الحاج (العامودي)</t>
  </si>
  <si>
    <t>سماح محمد احمد اسليم(الحبشي)</t>
  </si>
  <si>
    <t>ايمان محرز حسين بريص</t>
  </si>
  <si>
    <t xml:space="preserve">سناء حمد اسليم ابو عمرة </t>
  </si>
  <si>
    <t>اسماء كمال حمودة زمزم - "دلو"</t>
  </si>
  <si>
    <t>سهاري سمير خليل درويش</t>
  </si>
  <si>
    <t>تهاني توفيق احمد "الغفاري"</t>
  </si>
  <si>
    <t>ميسرة سالم عبد القادر موسى</t>
  </si>
  <si>
    <t>اخصائية دعم نفسي</t>
  </si>
  <si>
    <t>عبد اللطيف عمر عبد الهادي صيام</t>
  </si>
  <si>
    <t>محمد سيف الإسلام منذر جمال حبوش</t>
  </si>
  <si>
    <t>الحاسوب</t>
  </si>
  <si>
    <t>فني صيانة</t>
  </si>
  <si>
    <t>سعيد فرج محمد أبو جزر</t>
  </si>
  <si>
    <t>انعام فضل صابر أبو عيسى</t>
  </si>
  <si>
    <t>صبحية حسن محمد غراب</t>
  </si>
  <si>
    <t>الصحة</t>
  </si>
  <si>
    <t>عبد العزيز محمد عبد العزيز جودة</t>
  </si>
  <si>
    <t>سكرتير دائرة الشؤون الادارية</t>
  </si>
  <si>
    <t>ضياء بسام محمد عيد</t>
  </si>
  <si>
    <t>مجدولين حمدان حسن أبو لبدة</t>
  </si>
  <si>
    <t>نهاد فتحي عبد الله اللحام</t>
  </si>
  <si>
    <t>ربا علي حسن البلبيسي</t>
  </si>
  <si>
    <t>ندى ياسين محمد سعد الدين</t>
  </si>
  <si>
    <t>بلال اياد محمد الهباش</t>
  </si>
  <si>
    <t xml:space="preserve">مصور </t>
  </si>
  <si>
    <t>صبحي سليمان عبدالله مبروك</t>
  </si>
  <si>
    <t>أرشيف الاعلام</t>
  </si>
  <si>
    <t>الكويتي</t>
  </si>
  <si>
    <t>أحمد سليمان حسين ابو قينص</t>
  </si>
  <si>
    <t>مركز الكويتي</t>
  </si>
  <si>
    <t>احمد إبراهيم عودة بدوان</t>
  </si>
  <si>
    <t>كاتب</t>
  </si>
  <si>
    <t>أحمد عبد اللطيف عقيلان أبو شمالة</t>
  </si>
  <si>
    <t>عبد الرحمن احمد محمد النقلة</t>
  </si>
  <si>
    <t>ممرض</t>
  </si>
  <si>
    <t>وفاء خليل اسماعيل مطر</t>
  </si>
  <si>
    <t>اشعة</t>
  </si>
  <si>
    <t>تسنيم علي عمر الهرباوي/عياش</t>
  </si>
  <si>
    <t>علوم</t>
  </si>
  <si>
    <t>اسلام مؤمن محمود العاصي</t>
  </si>
  <si>
    <t>حنان نصر محمد نوفل</t>
  </si>
  <si>
    <t>حنان مصطفى فوزي الكرد</t>
  </si>
  <si>
    <t>ختام سلامة سليمان ابو عمرة</t>
  </si>
  <si>
    <t>ثائر بسام محمد سلامة</t>
  </si>
  <si>
    <t>فاطمة حامد درويش أبو صفر</t>
  </si>
  <si>
    <t>سالم احمد حسين البحيصي</t>
  </si>
  <si>
    <t>عبد الله محمد عبد الله الدعالسة</t>
  </si>
  <si>
    <t>الحراسات</t>
  </si>
  <si>
    <t>احمد وائل احمد بركة</t>
  </si>
  <si>
    <t>عمارة سعد</t>
  </si>
  <si>
    <t>احمد صالح سليمان أبو عرمانة</t>
  </si>
  <si>
    <t>عامل محطة تحلية</t>
  </si>
  <si>
    <t>قاسم محمود عبد الرحمن غريب</t>
  </si>
  <si>
    <t>صابر صالح عطا الله والي</t>
  </si>
  <si>
    <t>وسام إبراهيم عبد القادر الغول</t>
  </si>
  <si>
    <t>هاني سالم مصطفي ابو خليفة</t>
  </si>
  <si>
    <t>فتحي عبد الرؤوف محمود أحمد</t>
  </si>
  <si>
    <t>منى ايهاب ابراهيم شلتوت</t>
  </si>
  <si>
    <t>تمريض</t>
  </si>
  <si>
    <t>نبيل عبد الرحمن عبد اللطيف حمد</t>
  </si>
  <si>
    <t>رضا فؤاد إبراهيم الور</t>
  </si>
  <si>
    <t>بصريات</t>
  </si>
  <si>
    <t>حسين محمد سالم الماشي</t>
  </si>
  <si>
    <t xml:space="preserve">حاتم محمد حسن حسين </t>
  </si>
  <si>
    <t>مدير مركز</t>
  </si>
  <si>
    <t>معاذ عصام فتحي ثابت</t>
  </si>
  <si>
    <t>علاء حمدي موسي زيادة</t>
  </si>
  <si>
    <t>داليا أحمد يوسف البحيصي</t>
  </si>
  <si>
    <t>صيدلية</t>
  </si>
  <si>
    <t>ناهد أحمد عبد العزيز أبو لبدة</t>
  </si>
  <si>
    <t>خالد عبد الكريم عبد العزيز ابو ناصر</t>
  </si>
  <si>
    <t>اسماعيل إبراهيم أحمد عياش</t>
  </si>
  <si>
    <t>رشا محمود حمودة نصار</t>
  </si>
  <si>
    <t>جمال السيد حسن الاخرس</t>
  </si>
  <si>
    <t>خليل يوسف خليل مسمح</t>
  </si>
  <si>
    <t>فاتن حسن سليمان ابو غرابة</t>
  </si>
  <si>
    <t>نداء سليم سالم رويشد</t>
  </si>
  <si>
    <t>سعيد نضال سعيد مطر</t>
  </si>
  <si>
    <t>عمليات</t>
  </si>
  <si>
    <t>حازم سمير محمود ابو جبارة</t>
  </si>
  <si>
    <t>منى عبدالله حسن ابو مزيد</t>
  </si>
  <si>
    <t>محمد إبراهيم رمضان إبراهيم</t>
  </si>
  <si>
    <t>سمعيات</t>
  </si>
  <si>
    <t>وليد محمد رمضان ابو طواحينه</t>
  </si>
  <si>
    <t>محمد محمود عبد الله جودة</t>
  </si>
  <si>
    <t>ايمان محمد سليمان أبو منسي</t>
  </si>
  <si>
    <t>محمد محمد محمود العطار</t>
  </si>
  <si>
    <t>عبد الكريم جمال عبد الكريم أبو بشير</t>
  </si>
  <si>
    <t>محمد عدنان محارب أبو مخدة</t>
  </si>
  <si>
    <t>عدنان مجدي عبد الحميد عليان</t>
  </si>
  <si>
    <t>المعتصم بالله محمد روحي يوسف الحداد</t>
  </si>
  <si>
    <t>محمد إبراهيم عودة بدوان</t>
  </si>
  <si>
    <t xml:space="preserve">رئيس قسم </t>
  </si>
  <si>
    <t>سعيد عواد مسلم ابو شحادة</t>
  </si>
  <si>
    <t>سلامة يوسف سلامة ابو خطاب</t>
  </si>
  <si>
    <t>عماد عبد المنعم خليل نطط</t>
  </si>
  <si>
    <t>محمود اسماعيل حرب الكرد</t>
  </si>
  <si>
    <t>ابراهيم اسماعيل ابراهيم حرب</t>
  </si>
  <si>
    <t>يوسف اياد محمد منصور</t>
  </si>
  <si>
    <t>محمد احمد سعيد جودة</t>
  </si>
  <si>
    <t>اكرام عبد الشافي مسلم بشير</t>
  </si>
  <si>
    <t>مشهور محمد عبد الرحمن المبحوح</t>
  </si>
  <si>
    <t>جمال يوسف محمد ابو عون</t>
  </si>
  <si>
    <t>سيرين انيس سلمان لهلوب</t>
  </si>
  <si>
    <t>عبد السلام محمد عبد السلام أبو سلمية</t>
  </si>
  <si>
    <t>احمد سالم عطوة خطاب</t>
  </si>
  <si>
    <t>تخذير</t>
  </si>
  <si>
    <t>محمود جلال محمد الزهار حسان</t>
  </si>
  <si>
    <t>سائق اسعاف</t>
  </si>
  <si>
    <t>مصطفى فرج احمد أبو مغصيب</t>
  </si>
  <si>
    <t>باسل حسام فتحي ثابت</t>
  </si>
  <si>
    <t>يحيى وليد محمد ظريف عثمان</t>
  </si>
  <si>
    <t>رجاء رافت نجيب منصور</t>
  </si>
  <si>
    <t>ايمان كمال عبد المالك أبو ربيع</t>
  </si>
  <si>
    <t>سكرتيرة</t>
  </si>
  <si>
    <t>تامر السيد حسن الاخرس</t>
  </si>
  <si>
    <t>فني اشعة</t>
  </si>
  <si>
    <t>خميس منير خميس اليحيى</t>
  </si>
  <si>
    <t>نهى اسعد عبد البحيصي</t>
  </si>
  <si>
    <t>مختبر</t>
  </si>
  <si>
    <t>احمد فايق عبد العزيز أبو عيشة</t>
  </si>
  <si>
    <t>كمال احمد درويش جبر</t>
  </si>
  <si>
    <t>اسماعيل محمد احمد مصلح</t>
  </si>
  <si>
    <t>محمد سعيد حسين أبو ميري</t>
  </si>
  <si>
    <t>مستشار قانوني</t>
  </si>
  <si>
    <t xml:space="preserve">رئيس قسم الرقابة </t>
  </si>
  <si>
    <t>الدائرة</t>
  </si>
  <si>
    <t>الدور</t>
  </si>
  <si>
    <t>رئيس قسم</t>
  </si>
  <si>
    <t>مدير دائرة</t>
  </si>
  <si>
    <t>المركز الرئيسي</t>
  </si>
  <si>
    <t>الجهة</t>
  </si>
  <si>
    <t>نوع النشاط</t>
  </si>
  <si>
    <t>المراقب</t>
  </si>
  <si>
    <t>المسؤول عن النشاط</t>
  </si>
  <si>
    <t>اسم المشروع</t>
  </si>
  <si>
    <t>رقم المشروع</t>
  </si>
  <si>
    <t>* الممول</t>
  </si>
  <si>
    <t>المراكز الصحية</t>
  </si>
  <si>
    <t>دائرة الشؤون الإدارية</t>
  </si>
  <si>
    <t>دائرة التنمية الاجتماعية</t>
  </si>
  <si>
    <t>دائرة المشاريع والتسويق والإعلام</t>
  </si>
  <si>
    <t>دائرة الشؤون المالية</t>
  </si>
  <si>
    <t>دائرة الاستثمار الخيري</t>
  </si>
  <si>
    <t>يافا</t>
  </si>
  <si>
    <t>الوسطى</t>
  </si>
  <si>
    <t>تسمية التنفيذ</t>
  </si>
  <si>
    <t>قيمة التنفيذ</t>
  </si>
  <si>
    <t>تسمية الجودة</t>
  </si>
  <si>
    <t>قيمة الجودة</t>
  </si>
  <si>
    <t>تسمية الإغلاق</t>
  </si>
  <si>
    <t>قيمة الإغلاق</t>
  </si>
  <si>
    <t>تسمية الخصم</t>
  </si>
  <si>
    <t>قيمة الخصم</t>
  </si>
  <si>
    <t>تفتيش ميداني</t>
  </si>
  <si>
    <t>سمير نصار</t>
  </si>
  <si>
    <t>الرغيف الخيري</t>
  </si>
  <si>
    <t>سكودا فابيا</t>
  </si>
  <si>
    <t>مؤسسة المناصرة الأردنية</t>
  </si>
  <si>
    <t>سكرتير المجلس</t>
  </si>
  <si>
    <t>قسم شؤون الموظفين</t>
  </si>
  <si>
    <t>قسم الأيتام والأسر</t>
  </si>
  <si>
    <t>مكتب خانيونس</t>
  </si>
  <si>
    <t>قسم الحسابات</t>
  </si>
  <si>
    <t>قسم التعليم</t>
  </si>
  <si>
    <t>عيادة مسالك بولية</t>
  </si>
  <si>
    <t>قسم البانوراما</t>
  </si>
  <si>
    <t>عيادة الاسنان- رجال</t>
  </si>
  <si>
    <t>ممتاز 100%</t>
  </si>
  <si>
    <t>مكتمل 100%</t>
  </si>
  <si>
    <t>لا خصم 0</t>
  </si>
  <si>
    <t>جودة خدمة</t>
  </si>
  <si>
    <t>اياد أبو عبدو</t>
  </si>
  <si>
    <t>متابعة السيارات</t>
  </si>
  <si>
    <t>باص تيوتا</t>
  </si>
  <si>
    <t>مؤسسة أحباء غزة ماليزيا</t>
  </si>
  <si>
    <t>قسم تنمية الموارد البشرية</t>
  </si>
  <si>
    <t>المدارس</t>
  </si>
  <si>
    <t>مكتب رفح</t>
  </si>
  <si>
    <t>قسم الزراعة</t>
  </si>
  <si>
    <t>عيادة فحص السمع</t>
  </si>
  <si>
    <t>قسم الايكو اطفال</t>
  </si>
  <si>
    <t>عيادة عظام</t>
  </si>
  <si>
    <t>مقبول 60%</t>
  </si>
  <si>
    <t>جيد 85%</t>
  </si>
  <si>
    <t>معلق 30%</t>
  </si>
  <si>
    <t>مخالفة −25</t>
  </si>
  <si>
    <t>فحص سلامة</t>
  </si>
  <si>
    <t>محمد حسن</t>
  </si>
  <si>
    <t>كسوة صيفية</t>
  </si>
  <si>
    <t>كرافتر 1</t>
  </si>
  <si>
    <t xml:space="preserve"> أوردا H.H</t>
  </si>
  <si>
    <t>قسم الحاسوب والشبكات</t>
  </si>
  <si>
    <t>مكتب دير البلح</t>
  </si>
  <si>
    <t>قسم المخازن</t>
  </si>
  <si>
    <t>قسم المشاريع التنموية</t>
  </si>
  <si>
    <t>عيادة النطق</t>
  </si>
  <si>
    <t>قسم الايكو Echo</t>
  </si>
  <si>
    <t>عيادة طب العيون</t>
  </si>
  <si>
    <t>جيد 80%</t>
  </si>
  <si>
    <t>مقبول 70%</t>
  </si>
  <si>
    <t>جزئي 60%</t>
  </si>
  <si>
    <t>امتثال −20</t>
  </si>
  <si>
    <t>فحص مخزون</t>
  </si>
  <si>
    <t>توزيع أدوات منزلية</t>
  </si>
  <si>
    <t>سكودا اسود</t>
  </si>
  <si>
    <t>Cousins/London</t>
  </si>
  <si>
    <t>قسم الصيانة العامة</t>
  </si>
  <si>
    <t>مكتب المغازي</t>
  </si>
  <si>
    <t>قسم الموازنة والتدقيق</t>
  </si>
  <si>
    <t>مطبخ البركة</t>
  </si>
  <si>
    <t>عيادة النساء</t>
  </si>
  <si>
    <t>قسم الألتراساوند US</t>
  </si>
  <si>
    <t>عيادة طب اسرة</t>
  </si>
  <si>
    <t>خطر 40%</t>
  </si>
  <si>
    <t>ضعيف 50%</t>
  </si>
  <si>
    <t>مفتوح 0%</t>
  </si>
  <si>
    <t>عجز −10</t>
  </si>
  <si>
    <t>متابعة شكاوى</t>
  </si>
  <si>
    <t>حفر بئر مياه</t>
  </si>
  <si>
    <t>باص كرافتر 2</t>
  </si>
  <si>
    <t>G2G</t>
  </si>
  <si>
    <t>قسم الخدمات</t>
  </si>
  <si>
    <t>مكتب الزوايدة</t>
  </si>
  <si>
    <t>مطبخ الزيناتي / خارجي</t>
  </si>
  <si>
    <t>عيادة الاوعية الدموية</t>
  </si>
  <si>
    <t>قسم الأشعة المقطعية CT</t>
  </si>
  <si>
    <t>عيادة جلدية</t>
  </si>
  <si>
    <t>تأخير −5</t>
  </si>
  <si>
    <t>مراجعة إجراءات</t>
  </si>
  <si>
    <t>مشروع صحي</t>
  </si>
  <si>
    <t>شحن مرسيدس 418</t>
  </si>
  <si>
    <t>HANA IMAN</t>
  </si>
  <si>
    <t>مكتب البريج</t>
  </si>
  <si>
    <t>قسم اشعة</t>
  </si>
  <si>
    <t>عيادة جراحة واعصاب</t>
  </si>
  <si>
    <t>جودة −15</t>
  </si>
  <si>
    <t>جرد مفاجئ</t>
  </si>
  <si>
    <t>احذية أطفال</t>
  </si>
  <si>
    <t>SOUTHHALL FAMILY</t>
  </si>
  <si>
    <t>مكتب غزة</t>
  </si>
  <si>
    <t>عمارة المدينة</t>
  </si>
  <si>
    <t>عيادة اسنان -نساء</t>
  </si>
  <si>
    <t>بانوراما اشعة</t>
  </si>
  <si>
    <t>مراجعة عقود</t>
  </si>
  <si>
    <t>ادوية طبية</t>
  </si>
  <si>
    <t>نشاط مكتب</t>
  </si>
  <si>
    <t>VIP</t>
  </si>
  <si>
    <t>مكتب جباليا</t>
  </si>
  <si>
    <t>عيادة باطنة</t>
  </si>
  <si>
    <t>تدقيق مالي</t>
  </si>
  <si>
    <t>اغاثة أسرة</t>
  </si>
  <si>
    <t>شكوى</t>
  </si>
  <si>
    <t xml:space="preserve">الاقصى اليمن </t>
  </si>
  <si>
    <t>المختبر</t>
  </si>
  <si>
    <t>متابعة حضور</t>
  </si>
  <si>
    <t>افطار صائم</t>
  </si>
  <si>
    <t>الإنتربال</t>
  </si>
  <si>
    <t>عيادة العلاج الطبيعي</t>
  </si>
  <si>
    <t>امانات</t>
  </si>
  <si>
    <t xml:space="preserve">الإنتربال </t>
  </si>
  <si>
    <t>قسم الإعلام</t>
  </si>
  <si>
    <t>الصيدلية</t>
  </si>
  <si>
    <t>إنشاء مصلى</t>
  </si>
  <si>
    <t>الإيسيكو</t>
  </si>
  <si>
    <t>عيادة جراحة عامة</t>
  </si>
  <si>
    <t>عيادة اذن وانف حنجرة</t>
  </si>
  <si>
    <t>بسطة سكاكر وحلوى</t>
  </si>
  <si>
    <t xml:space="preserve">الدولي </t>
  </si>
  <si>
    <t>عيادة بصريات</t>
  </si>
  <si>
    <t>بسكويت</t>
  </si>
  <si>
    <t>السيدة / Farida Umar</t>
  </si>
  <si>
    <t>بكج هدايا</t>
  </si>
  <si>
    <t>المناصرة - اسبانيا</t>
  </si>
  <si>
    <t>ترميم منزل</t>
  </si>
  <si>
    <t>المناصرة الأردنية</t>
  </si>
  <si>
    <t>عيادة العمليات</t>
  </si>
  <si>
    <t>تشغيل خريجين</t>
  </si>
  <si>
    <t xml:space="preserve">المناصرة الأردينة </t>
  </si>
  <si>
    <t>تكية</t>
  </si>
  <si>
    <t>المؤسسة التركية</t>
  </si>
  <si>
    <t>جلباب بناتي</t>
  </si>
  <si>
    <t>الوافاء- صندوق الخير</t>
  </si>
  <si>
    <t>جهاز حاسوب</t>
  </si>
  <si>
    <t>الوافاء - جمعية كاف</t>
  </si>
  <si>
    <t>حطب للطهي</t>
  </si>
  <si>
    <t>الوفاء - saf</t>
  </si>
  <si>
    <t>حفل</t>
  </si>
  <si>
    <t>الوفاء - اخوات الفينو الرحيق المختوم</t>
  </si>
  <si>
    <t>حليب أطفال</t>
  </si>
  <si>
    <t>الوفاء - الامل العالمية أحمد التلة</t>
  </si>
  <si>
    <t>خزعات المركز الكويتي</t>
  </si>
  <si>
    <t>الوفاء - الانوار</t>
  </si>
  <si>
    <t>خيام</t>
  </si>
  <si>
    <t>الوفاء - الأخت نادية من الكويت</t>
  </si>
  <si>
    <t>خيام + شادر</t>
  </si>
  <si>
    <t>الوفاء - التاجر التركي</t>
  </si>
  <si>
    <t>زكاة مال</t>
  </si>
  <si>
    <t>الوفاء - الحاج محمد الخالدي</t>
  </si>
  <si>
    <t>سقيا ماء</t>
  </si>
  <si>
    <t>الوفاء - المصطفى</t>
  </si>
  <si>
    <t>سلال خضار</t>
  </si>
  <si>
    <t>الوفاء - الهلال الدنماركي</t>
  </si>
  <si>
    <t>شراء دابة</t>
  </si>
  <si>
    <t>الوفاء - ايسر 1</t>
  </si>
  <si>
    <t>شراء لحوم</t>
  </si>
  <si>
    <t>الوفاء - أبو عبد الرحمن</t>
  </si>
  <si>
    <t>صندوق المريض الفلسطيني</t>
  </si>
  <si>
    <t>الوفاء - أبو محمد الصادق</t>
  </si>
  <si>
    <t>طرد خضار</t>
  </si>
  <si>
    <t>الوفاء - بتيم وقفي</t>
  </si>
  <si>
    <t>طرد صحي</t>
  </si>
  <si>
    <t>الوفاء - بشرى حسين سالم</t>
  </si>
  <si>
    <t>طرد غذائي</t>
  </si>
  <si>
    <t>الوفاء - بنات قطر</t>
  </si>
  <si>
    <t>غاطس مياه</t>
  </si>
  <si>
    <t>الوفاء - بيموزا</t>
  </si>
  <si>
    <t>فراش موكيت / مصلى</t>
  </si>
  <si>
    <t>الوفاء - جسور</t>
  </si>
  <si>
    <t>فرشوحة شاورما</t>
  </si>
  <si>
    <t>الوفاء - جميعة كاف</t>
  </si>
  <si>
    <t>قسائم شرائية</t>
  </si>
  <si>
    <t xml:space="preserve">الوفاء - شباب الخير </t>
  </si>
  <si>
    <t>كرسي بلاستك</t>
  </si>
  <si>
    <t>الوفاء - شباب وصبايا لبنان</t>
  </si>
  <si>
    <t>كرسي متحرك</t>
  </si>
  <si>
    <t>الوفاء - صندوق الخير</t>
  </si>
  <si>
    <t>كرفانات مدرسية</t>
  </si>
  <si>
    <t>الوفاء - فيزيار</t>
  </si>
  <si>
    <t>كسوة</t>
  </si>
  <si>
    <t>الوفاء - قطر</t>
  </si>
  <si>
    <t>كعك العيد</t>
  </si>
  <si>
    <t>الوفاء - محمد الشهواني</t>
  </si>
  <si>
    <t>مساعدات مالية</t>
  </si>
  <si>
    <t>الوفاء - مؤسسة لاجو</t>
  </si>
  <si>
    <t>مساعدة عينية</t>
  </si>
  <si>
    <t>الوفاء - نادية من الكويت</t>
  </si>
  <si>
    <t>مصلى</t>
  </si>
  <si>
    <t>الوفاء جمعية فيزار</t>
  </si>
  <si>
    <t>معلبات لحمة</t>
  </si>
  <si>
    <t>امباود اتش - المساعدات القطرية</t>
  </si>
  <si>
    <t>مكافأة</t>
  </si>
  <si>
    <t>امل الامة الدولية</t>
  </si>
  <si>
    <t>مكافأة مشرف</t>
  </si>
  <si>
    <t xml:space="preserve">اوردا - فاعلة خير </t>
  </si>
  <si>
    <t>خولة موسى محمد السماك</t>
  </si>
  <si>
    <t>منبر مسجد</t>
  </si>
  <si>
    <t>اوفاء - ايسر 2</t>
  </si>
  <si>
    <t>نظارات طبية</t>
  </si>
  <si>
    <t>أبو أحمد الشنطي</t>
  </si>
  <si>
    <t>وجبات</t>
  </si>
  <si>
    <t xml:space="preserve">أبو عدنان كاليفورنيا </t>
  </si>
  <si>
    <t>وجبات ساخنة</t>
  </si>
  <si>
    <t>أبو محمد الشنطي</t>
  </si>
  <si>
    <t>كسوة شتوية</t>
  </si>
  <si>
    <t>أبو محمد صادق - شباب الخير</t>
  </si>
  <si>
    <t>العمارات</t>
  </si>
  <si>
    <t>أحباء ماليزيا</t>
  </si>
  <si>
    <t>جرد</t>
  </si>
  <si>
    <t>أسبانيا</t>
  </si>
  <si>
    <t>كفالات</t>
  </si>
  <si>
    <t>ألدو رادو - أبو محمد غريب</t>
  </si>
  <si>
    <t>ألدو رادو  - أبو محمد غريب</t>
  </si>
  <si>
    <t xml:space="preserve">أمل الأمة </t>
  </si>
  <si>
    <t>سناء حمد اسليم ابو عمرة</t>
  </si>
  <si>
    <t>أمين اسليم</t>
  </si>
  <si>
    <t>أمين أند فاميلي</t>
  </si>
  <si>
    <t>أوردا</t>
  </si>
  <si>
    <t xml:space="preserve">أوردا- اليوم الأول </t>
  </si>
  <si>
    <t>أوردا- اليوم الثالث</t>
  </si>
  <si>
    <t>أوردا- اليوم الثاني</t>
  </si>
  <si>
    <t>أوردا-BMK</t>
  </si>
  <si>
    <t>أوردا - COA</t>
  </si>
  <si>
    <t>أوردا - Smart Qurban</t>
  </si>
  <si>
    <t>أوردا - STNT</t>
  </si>
  <si>
    <t>أوردا - قربان برو</t>
  </si>
  <si>
    <t>أوردا -COA</t>
  </si>
  <si>
    <t>أوردا -H.C</t>
  </si>
  <si>
    <t>أوردا ALLY</t>
  </si>
  <si>
    <t>أوردا bmk</t>
  </si>
  <si>
    <t>أوردا G2G</t>
  </si>
  <si>
    <t>أوردا Qurban pro</t>
  </si>
  <si>
    <t>أوردا UFH</t>
  </si>
  <si>
    <t>أوردا مسلم برو</t>
  </si>
  <si>
    <t>بريدجيز</t>
  </si>
  <si>
    <t>تشيلي</t>
  </si>
  <si>
    <t>تم الإغاء</t>
  </si>
  <si>
    <t>تمويل / فريدة عمر</t>
  </si>
  <si>
    <t>جمعية أجنحة الرحمة</t>
  </si>
  <si>
    <t xml:space="preserve">جمعية دار اليتيم </t>
  </si>
  <si>
    <t>جمعية نداء الطفل</t>
  </si>
  <si>
    <t>جهة داخلية</t>
  </si>
  <si>
    <t>خير امة</t>
  </si>
  <si>
    <t>خير امه</t>
  </si>
  <si>
    <t>خير أمة بواسطة أنيس حسن</t>
  </si>
  <si>
    <t>خيرات النور- فاعلي خير الأردن</t>
  </si>
  <si>
    <t xml:space="preserve">خيرات النور </t>
  </si>
  <si>
    <t>خيرات النور - الجالية المسلمة بلجيكا</t>
  </si>
  <si>
    <t>خيرات النور - الشركة الكاملة لتكنولوجيا الطباعة</t>
  </si>
  <si>
    <t xml:space="preserve">خيرات النور - المهندس حسان الذنبيات </t>
  </si>
  <si>
    <t>خيرات النور - أبو اشرف ونهى محمد سمحان</t>
  </si>
  <si>
    <t>خيرات النور - أبو أشرف</t>
  </si>
  <si>
    <t>خيرات النور - أبو عمر الرفاعي</t>
  </si>
  <si>
    <t>خيرات النور - أبو عمر الغزالي</t>
  </si>
  <si>
    <t>حمزة هنية - عقد</t>
  </si>
  <si>
    <t>خيرات النور - أبو ماجد وام ماجد عن روح والديهما</t>
  </si>
  <si>
    <t>حسين البرعي</t>
  </si>
  <si>
    <t>خيرات النور - أحمد قطيشان</t>
  </si>
  <si>
    <t>خيرات النور - أحمد محمد الأحمد</t>
  </si>
  <si>
    <t>خيرات النور - آل حبور الكرام</t>
  </si>
  <si>
    <t>خيرات النور - آل دحبور الكرام</t>
  </si>
  <si>
    <t>خيرات النور - باسم داوود أبو شعلة ومن ختام</t>
  </si>
  <si>
    <t>خيرات النور - بلال العمري</t>
  </si>
  <si>
    <t>خيرات النور - رحماء بينهم</t>
  </si>
  <si>
    <t xml:space="preserve">خيرات النور - روان محمد حسين </t>
  </si>
  <si>
    <t>خيرات النور - روح المرحومة الحاجة إجلال كمال</t>
  </si>
  <si>
    <t>خيرات النور - رؤى أبو العنين</t>
  </si>
  <si>
    <t>خيرات النور - سري كابتيلو</t>
  </si>
  <si>
    <t>خيرات النور - سري كباتيلو رقم 1</t>
  </si>
  <si>
    <t>خيرات النور - سري كباتيلو رقم 2</t>
  </si>
  <si>
    <t>خيرات النور - سلطان صالح عبدالله من خلال العروة الوثقى</t>
  </si>
  <si>
    <t xml:space="preserve">خيرات النور - سلطان صالح عبدالله وفارس دندن وإبراهيم لطفي وفاعلي خير من الأردن </t>
  </si>
  <si>
    <t>خيرات النور - شباب الجامعة الأردنية</t>
  </si>
  <si>
    <t xml:space="preserve">خيرات النور - شرحبيل عيسى </t>
  </si>
  <si>
    <t>خيرات النور - عبد العزيز هيك</t>
  </si>
  <si>
    <t xml:space="preserve">خيرات النور - عبد العزيز هيك </t>
  </si>
  <si>
    <t>خيرات النور - عبد الغني أحمد رقم  2</t>
  </si>
  <si>
    <t>خيرات النور - عبد الله زياد</t>
  </si>
  <si>
    <t xml:space="preserve">خيرات النور - عطاف مبيضين </t>
  </si>
  <si>
    <t>خيرات النور - عمة المليطي وايمن ياغي واحسان قطيشات</t>
  </si>
  <si>
    <t>خيرات النور - عمر محمد العمر</t>
  </si>
  <si>
    <t xml:space="preserve">خيرات النور - عن روح المرحومة الحاجة / سهير عبد الحليم </t>
  </si>
  <si>
    <t>خيرات النور - عن روح المرحومة الحاجة أم سمير جرادات</t>
  </si>
  <si>
    <t>خيرات النور - عن روح سهير عبد الحليم</t>
  </si>
  <si>
    <t xml:space="preserve">خيرات النور - فاعل خير </t>
  </si>
  <si>
    <t>خيرات النور - فاعل خير الأردن</t>
  </si>
  <si>
    <t>خيرات النور - فاعل خير من الأردن</t>
  </si>
  <si>
    <t>خيرات النور - فاعلي خير من الأردن واللوزي والبرغوثي</t>
  </si>
  <si>
    <t>خيرات النور - فجر الجديد</t>
  </si>
  <si>
    <t>خيرات النور - م. حسان الذنيبات وابنائه عمر د/ محمد</t>
  </si>
  <si>
    <t xml:space="preserve">خيرات النور - مبادرة أهالي كفر أسد 31 بالتعاون مع المحسنين الكرام من المملكة العربية السعودية </t>
  </si>
  <si>
    <t xml:space="preserve">خيرات النور - مبادرة أهالي كفر أسد 32 بالتعاون مع المحسنين الكرام من المملكة العربية السعودية </t>
  </si>
  <si>
    <t>خيرات النور - مجموعة إنصاف السبع</t>
  </si>
  <si>
    <t>خيرات النور - محسنون من طرف أبو موسى</t>
  </si>
  <si>
    <t>خيرات النور - محمد الجغبير ولؤي عيسى وفاعلي خير</t>
  </si>
  <si>
    <t>خيرات النور - محمد عبد الله حسن</t>
  </si>
  <si>
    <t>خيرات النور - محمد كرمول</t>
  </si>
  <si>
    <t>خيرات النور - محمود أبو حمزة</t>
  </si>
  <si>
    <t>خيرات النور - منير حسن عقيل ومتبرعين من الأردن</t>
  </si>
  <si>
    <t>خيرات النور - مؤسسة أرض التقنيات التجارية</t>
  </si>
  <si>
    <t>خيرات النور - مي أبو دبسة</t>
  </si>
  <si>
    <t xml:space="preserve">خيرات النور - وليد جاتم </t>
  </si>
  <si>
    <t>خيرات النور - وليد جانم</t>
  </si>
  <si>
    <t>خيرات النور -أبو عمر الغزاوي</t>
  </si>
  <si>
    <t>خيرات النور -عبد الرحمن كامل محارب</t>
  </si>
  <si>
    <t>خيرات النور -عبد الله زياد</t>
  </si>
  <si>
    <t>دار اليتيم</t>
  </si>
  <si>
    <t>دار اليتيم - فريق التسويق</t>
  </si>
  <si>
    <t>زكاة فطر الشنطي</t>
  </si>
  <si>
    <t>شركة امباود اتش</t>
  </si>
  <si>
    <t>شركة ميجا</t>
  </si>
  <si>
    <t>شركة ميجا - أبو أحمد الشنطي</t>
  </si>
  <si>
    <t>صالون VIP</t>
  </si>
  <si>
    <t>عرفان الإنسانية</t>
  </si>
  <si>
    <t>فاعة خير قطر</t>
  </si>
  <si>
    <t xml:space="preserve">فاعل خير </t>
  </si>
  <si>
    <t>فاعل خير - الشنطي</t>
  </si>
  <si>
    <t>فاعل خير - القدس</t>
  </si>
  <si>
    <t>فاعل خير - أبو أحمد الشنطي</t>
  </si>
  <si>
    <t>فاعل خير - بريطانيا</t>
  </si>
  <si>
    <t>فاعل خير - فريق التسويق</t>
  </si>
  <si>
    <t xml:space="preserve">فاعل خير - قطر </t>
  </si>
  <si>
    <t xml:space="preserve">فاعل خير - وسيم العلمي </t>
  </si>
  <si>
    <t>فاعل خير بريطانيا</t>
  </si>
  <si>
    <t>فاعل خير بواسطة أبو عبد الله</t>
  </si>
  <si>
    <t>فاعل خير سلطنة عمان</t>
  </si>
  <si>
    <t>فاعل خير فلوريدا - خلود الجوراني</t>
  </si>
  <si>
    <t>فاعل خير من القدس</t>
  </si>
  <si>
    <t>فاعل خير من سلطنة عمان</t>
  </si>
  <si>
    <t xml:space="preserve">فاعلة خير قطر </t>
  </si>
  <si>
    <t>فاعلي خير - فلوريدا</t>
  </si>
  <si>
    <t>فاعلي خير فلوريدا</t>
  </si>
  <si>
    <t>فريدة هيشر - الجزائر</t>
  </si>
  <si>
    <t>فريق التسويق</t>
  </si>
  <si>
    <t>فوزية اليابان</t>
  </si>
  <si>
    <t>فيدار التركيا</t>
  </si>
  <si>
    <t>قربان طريق احسان</t>
  </si>
  <si>
    <t xml:space="preserve">قطر الخيرية </t>
  </si>
  <si>
    <t>كوتشي من اليابان</t>
  </si>
  <si>
    <t>ليلى الجزائر</t>
  </si>
  <si>
    <t>ليليا اغمير من الجزائر</t>
  </si>
  <si>
    <t>مبارة زين</t>
  </si>
  <si>
    <t>مجموعة بهار</t>
  </si>
  <si>
    <t>مجموعة مكسر</t>
  </si>
  <si>
    <t>محمد اسلام الجزائر</t>
  </si>
  <si>
    <t xml:space="preserve">منظة إجابة تركيا </t>
  </si>
  <si>
    <t>منظمة الامل العالمية</t>
  </si>
  <si>
    <t>منظمة امل الامة</t>
  </si>
  <si>
    <t>منظمة امل الامة الدولي</t>
  </si>
  <si>
    <t>منظمة إجابة</t>
  </si>
  <si>
    <t xml:space="preserve">منظمة إجابة </t>
  </si>
  <si>
    <t>منظمة إجابة - فريق التسويق</t>
  </si>
  <si>
    <t>منظمة إجابة  - فريق  التسويق</t>
  </si>
  <si>
    <t>منظمة إجابة تركيا</t>
  </si>
  <si>
    <t>منظمة أمل الامة الدولية</t>
  </si>
  <si>
    <t>مؤسسة 7SPIKES</t>
  </si>
  <si>
    <t>مؤسسة AGOSTINA</t>
  </si>
  <si>
    <t>مؤسسة COUSINS</t>
  </si>
  <si>
    <t>مؤسسة GAZA TREK</t>
  </si>
  <si>
    <t>مؤسسة SPIKES</t>
  </si>
  <si>
    <t>مؤسسة الايسكو</t>
  </si>
  <si>
    <t>مؤسسة الإيسيكو</t>
  </si>
  <si>
    <t>مؤسسة الأحرار</t>
  </si>
  <si>
    <t>مؤسسة الدو رادو</t>
  </si>
  <si>
    <t>مؤسسة الوفاء</t>
  </si>
  <si>
    <t xml:space="preserve">مؤسسة الوفاء </t>
  </si>
  <si>
    <t>مؤسسة الوفاء - الأمل العالمية</t>
  </si>
  <si>
    <t xml:space="preserve">مؤسسة الوفاء - الخيرون في البرازيل </t>
  </si>
  <si>
    <t>مؤسسة الوفاء - أبو محمد الصادق</t>
  </si>
  <si>
    <t>مؤسسة الوفاء - أبو محمد الصادق -  هاند ان هاند</t>
  </si>
  <si>
    <t>مؤسسة الوفاء - أبو محمد الصادق - إيسر</t>
  </si>
  <si>
    <t>مؤسسة الوفاء - أبو محمد الصادق - بواسطة اسونيا</t>
  </si>
  <si>
    <t xml:space="preserve">مؤسسة الوفاء - أبو محمد الصادق - بواسطة أبواب الخير </t>
  </si>
  <si>
    <t>مؤسسة الوفاء - أبو محمد الصادق - جمعية بدر</t>
  </si>
  <si>
    <t xml:space="preserve">مؤسسة الوفاء - أبو محمد الصادق - متبرعين من قطر </t>
  </si>
  <si>
    <t>مؤسسة الوفاء - أبو محمد الصادق -الخيرون بالبرازيل 2</t>
  </si>
  <si>
    <t>مؤسسة الوفاء - أبو محمد الصادق -الخيرون بالبرازيل3</t>
  </si>
  <si>
    <t>مؤسسة الوفاء - أبو محمد الصادق -فاعلات خير الكويت</t>
  </si>
  <si>
    <t xml:space="preserve">مؤسسة الوفاء - أبو محمد صادق </t>
  </si>
  <si>
    <t>مؤسسة الوفاء - أدارا الامل</t>
  </si>
  <si>
    <t>مؤسسة الوفاء - جمعية SAF</t>
  </si>
  <si>
    <t xml:space="preserve">مؤسسة الوفاء - فاعلة خير </t>
  </si>
  <si>
    <t>مؤسسة الوفاء - مقدونيا</t>
  </si>
  <si>
    <t>مؤسسة الوفاء  أبو محمد صادق  كفالات ايتام فلسطين</t>
  </si>
  <si>
    <t xml:space="preserve">مؤسسة الوفاء  أبو محمد صادق كريمة وطالبات الخصون </t>
  </si>
  <si>
    <t xml:space="preserve">مؤسسة الوفاء صندوق الخير </t>
  </si>
  <si>
    <t xml:space="preserve">مؤسسة الوفاء صندوق الخير -الكويت </t>
  </si>
  <si>
    <t>مؤسسة الوفاء صندوق الخير  - شباب و صبايا لبنان</t>
  </si>
  <si>
    <t xml:space="preserve">مؤسسة الوفاء صندوق الخير  - صندوق الخير - فاعلة خير </t>
  </si>
  <si>
    <t>مؤسسة أجابة</t>
  </si>
  <si>
    <t>مؤسسة ألدو رادو - أبو محمد غريب</t>
  </si>
  <si>
    <t>مؤسسة أوردا</t>
  </si>
  <si>
    <t xml:space="preserve">مؤسسة أوردا </t>
  </si>
  <si>
    <t>مؤسسة أوردا - G2G</t>
  </si>
  <si>
    <t xml:space="preserve">مؤسسة أيسو كتشن - ألدو رادو </t>
  </si>
  <si>
    <t>مؤسسة بهار</t>
  </si>
  <si>
    <t xml:space="preserve">مؤسسة بهار </t>
  </si>
  <si>
    <t>مؤسسة خير أمة</t>
  </si>
  <si>
    <t>مؤسسة زادنا</t>
  </si>
  <si>
    <t>مؤسسة زين - فريق التسويق</t>
  </si>
  <si>
    <t>مؤسسة سبع سنابل</t>
  </si>
  <si>
    <t>مؤسسة عرفان الإنسانية</t>
  </si>
  <si>
    <t>مؤسسة غزة ترك</t>
  </si>
  <si>
    <t>مؤسسة فيدار التركية</t>
  </si>
  <si>
    <t>مؤسسة قربان طريق الاحسان</t>
  </si>
  <si>
    <t>مؤسسة كزنز</t>
  </si>
  <si>
    <t>مؤسسة ميديكس</t>
  </si>
  <si>
    <t>ميرسي ماليزيا</t>
  </si>
  <si>
    <t xml:space="preserve">هيومان ابيل </t>
  </si>
  <si>
    <t>أيسو كتشن</t>
  </si>
  <si>
    <t>فاعل خير</t>
  </si>
  <si>
    <t>قسم المشاريع والتسويق</t>
  </si>
  <si>
    <t xml:space="preserve"> </t>
  </si>
  <si>
    <t>مدير مكتب</t>
  </si>
  <si>
    <t>فراس جمعه مطاوع غبن</t>
  </si>
  <si>
    <t>مدير مشروع</t>
  </si>
  <si>
    <t>مدير المطبخ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</si>
</sst>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78"/>
    </font>
    <font>
      <sz val="12"/>
      <name val="Arial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</font>
    <font>
      <sz val="9"/>
      <color rgb="FF0D1F4E"/>
      <name val="Arial"/>
    </font>
    <font>
      <sz val="9"/>
      <color rgb="FF0D1F4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D1F4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A1838"/>
      </left>
      <right style="thin">
        <color rgb="FF0A1838"/>
      </right>
      <top style="thin">
        <color rgb="FF0A1838"/>
      </top>
      <bottom/>
      <diagonal/>
    </border>
    <border>
      <left style="thin">
        <color rgb="FF0A1838"/>
      </left>
      <right/>
      <top style="thin">
        <color rgb="FF0A1838"/>
      </top>
      <bottom/>
      <diagonal/>
    </border>
    <border>
      <left style="thin">
        <color rgb="FF143A5C"/>
      </left>
      <right/>
      <top style="thin">
        <color rgb="FF143A5C"/>
      </top>
      <bottom/>
      <diagonal/>
    </border>
    <border>
      <left/>
      <right style="thin">
        <color rgb="FF143A5C"/>
      </right>
      <top style="thin">
        <color rgb="FF143A5C"/>
      </top>
      <bottom/>
      <diagonal/>
    </border>
    <border>
      <left style="thin">
        <color rgb="FF143A5C"/>
      </left>
      <right style="thin">
        <color rgb="FF143A5C"/>
      </right>
      <top style="thin">
        <color rgb="FF143A5C"/>
      </top>
      <bottom/>
      <diagonal/>
    </border>
    <border>
      <left style="thin">
        <color rgb="FFC8CDD8"/>
      </left>
      <right style="thin">
        <color rgb="FFC8CDD8"/>
      </right>
      <top style="thin">
        <color rgb="FFC8CDD8"/>
      </top>
      <bottom style="thin">
        <color rgb="FFC8CDD8"/>
      </bottom>
      <diagonal/>
    </border>
    <border>
      <left style="thin">
        <color rgb="FFC8CDD8"/>
      </left>
      <right/>
      <top style="thin">
        <color rgb="FFC8CDD8"/>
      </top>
      <bottom style="thin">
        <color rgb="FFC8CDD8"/>
      </bottom>
      <diagonal/>
    </border>
    <border>
      <left style="thin">
        <color rgb="FFC8CDD8"/>
      </left>
      <right style="thin">
        <color rgb="FFC8CDD8"/>
      </right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0" xfId="0" applyAlignment="1">
      <alignment vertical="center"/>
    </xf>
    <xf numFmtId="0" fontId="3" fillId="3" borderId="5" xfId="1" applyFont="1" applyFill="1" applyBorder="1" applyAlignment="1">
      <alignment horizontal="center" vertical="center"/>
    </xf>
    <xf numFmtId="0" fontId="2" fillId="0" borderId="0" xfId="1" applyProtection="1">
      <protection locked="0"/>
    </xf>
    <xf numFmtId="0" fontId="3" fillId="3" borderId="5" xfId="1" applyFont="1" applyFill="1" applyBorder="1" applyAlignment="1" applyProtection="1">
      <alignment horizontal="center" vertical="center"/>
      <protection locked="0"/>
    </xf>
    <xf numFmtId="0" fontId="3" fillId="3" borderId="6" xfId="1" applyFont="1" applyFill="1" applyBorder="1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3" fillId="4" borderId="7" xfId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 applyProtection="1">
      <alignment horizontal="center" vertical="center"/>
      <protection locked="0"/>
    </xf>
    <xf numFmtId="0" fontId="3" fillId="4" borderId="9" xfId="1" applyFont="1" applyFill="1" applyBorder="1" applyAlignment="1" applyProtection="1">
      <alignment horizontal="center" vertical="center"/>
      <protection locked="0"/>
    </xf>
    <xf numFmtId="0" fontId="2" fillId="0" borderId="0" xfId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2" fillId="0" borderId="0" xfId="1"/>
    <xf numFmtId="0" fontId="4" fillId="0" borderId="10" xfId="1" applyFont="1" applyBorder="1" applyAlignment="1" applyProtection="1">
      <alignment horizontal="center" vertical="center"/>
      <protection locked="0"/>
    </xf>
    <xf numFmtId="0" fontId="5" fillId="0" borderId="11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right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right" vertical="center"/>
      <protection locked="0"/>
    </xf>
    <xf numFmtId="0" fontId="4" fillId="5" borderId="11" xfId="1" applyFont="1" applyFill="1" applyBorder="1" applyAlignment="1" applyProtection="1">
      <alignment horizontal="right" vertical="center"/>
      <protection locked="0"/>
    </xf>
    <xf numFmtId="0" fontId="4" fillId="5" borderId="10" xfId="1" applyFont="1" applyFill="1" applyBorder="1" applyAlignment="1" applyProtection="1">
      <alignment horizontal="right" vertical="center"/>
      <protection locked="0"/>
    </xf>
    <xf numFmtId="0" fontId="4" fillId="6" borderId="11" xfId="1" applyFont="1" applyFill="1" applyBorder="1" applyAlignment="1" applyProtection="1">
      <alignment horizontal="right" vertical="center"/>
      <protection locked="0"/>
    </xf>
    <xf numFmtId="0" fontId="4" fillId="6" borderId="10" xfId="1" applyFont="1" applyFill="1" applyBorder="1" applyAlignment="1" applyProtection="1">
      <alignment horizontal="right" vertical="center"/>
      <protection locked="0"/>
    </xf>
    <xf numFmtId="0" fontId="5" fillId="0" borderId="11" xfId="1" applyFont="1" applyBorder="1" applyAlignment="1" applyProtection="1">
      <alignment horizontal="right" vertical="center"/>
      <protection locked="0"/>
    </xf>
    <xf numFmtId="0" fontId="5" fillId="0" borderId="0" xfId="1" applyFont="1" applyAlignment="1" applyProtection="1">
      <alignment horizontal="right"/>
      <protection locked="0"/>
    </xf>
    <xf numFmtId="0" fontId="5" fillId="0" borderId="10" xfId="1" applyFont="1" applyBorder="1" applyAlignment="1" applyProtection="1">
      <alignment horizontal="right" vertical="center"/>
      <protection locked="0"/>
    </xf>
    <xf numFmtId="0" fontId="5" fillId="0" borderId="12" xfId="1" applyFont="1" applyBorder="1" applyAlignment="1" applyProtection="1">
      <alignment horizontal="right" vertical="center"/>
      <protection locked="0"/>
    </xf>
    <xf numFmtId="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7" borderId="11" xfId="1" applyFont="1" applyFill="1" applyBorder="1" applyAlignment="1" applyProtection="1">
      <alignment horizontal="right" vertical="center"/>
      <protection locked="0"/>
    </xf>
    <xf numFmtId="0" fontId="4" fillId="7" borderId="10" xfId="1" applyFont="1" applyFill="1" applyBorder="1" applyAlignment="1" applyProtection="1">
      <alignment horizontal="right" vertical="center"/>
      <protection locked="0"/>
    </xf>
  </cellXfs>
  <cellStyles count="2">
    <cellStyle name="عادي" xfId="0" builtinId="0"/>
    <cellStyle name="عادي 2" xfId="1" xr:uid="{C753D746-BAD5-4EFE-B68A-C032C282C97A}"/>
  </cellStyles>
  <dxfs count="11">
    <dxf>
      <fill>
        <patternFill patternType="solid">
          <fgColor indexed="64"/>
          <bgColor rgb="FFFDECEA"/>
        </patternFill>
      </fill>
    </dxf>
    <dxf>
      <fill>
        <patternFill patternType="solid">
          <fgColor indexed="64"/>
          <bgColor rgb="FFE6F4EA"/>
        </patternFill>
      </fill>
    </dxf>
    <dxf>
      <fill>
        <patternFill patternType="solid">
          <fgColor indexed="64"/>
          <bgColor rgb="FFE0F5F5"/>
        </patternFill>
      </fill>
    </dxf>
    <dxf>
      <fill>
        <patternFill patternType="solid">
          <fgColor indexed="64"/>
          <bgColor rgb="FFD6E9FA"/>
        </patternFill>
      </fill>
    </dxf>
    <dxf>
      <fill>
        <patternFill patternType="solid">
          <fgColor indexed="64"/>
          <bgColor rgb="FFF6E6F6"/>
        </patternFill>
      </fill>
    </dxf>
    <dxf>
      <fill>
        <patternFill patternType="solid">
          <fgColor indexed="64"/>
          <bgColor rgb="FFEAF1FB"/>
        </patternFill>
      </fill>
    </dxf>
    <dxf>
      <fill>
        <patternFill patternType="solid">
          <fgColor indexed="64"/>
          <bgColor rgb="FFF3E8FF"/>
        </patternFill>
      </fill>
    </dxf>
    <dxf>
      <fill>
        <patternFill patternType="solid">
          <fgColor indexed="64"/>
          <bgColor rgb="FFFFF7D6"/>
        </patternFill>
      </fill>
    </dxf>
    <dxf>
      <fill>
        <patternFill patternType="solid">
          <fgColor indexed="64"/>
          <bgColor rgb="FFFFF7D6"/>
        </patternFill>
      </fill>
    </dxf>
    <dxf>
      <fill>
        <patternFill patternType="solid">
          <fgColor indexed="64"/>
          <bgColor rgb="FFF3E8FF"/>
        </patternFill>
      </fill>
    </dxf>
    <dxf>
      <fill>
        <patternFill patternType="solid">
          <fgColor indexed="64"/>
          <bgColor rgb="FFEAF1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CABB-794B-4AE9-AE6F-00EB20675EE1}">
  <sheetPr codeName="ورقة30"/>
  <dimension ref="A1:I200"/>
  <sheetViews>
    <sheetView rightToLeft="1" tabSelected="1" view="pageBreakPreview" zoomScaleNormal="100" zoomScaleSheetLayoutView="100" workbookViewId="0">
      <selection activeCell="J5" sqref="J5"/>
    </sheetView>
  </sheetViews>
  <sheetFormatPr defaultRowHeight="13.2" x14ac:dyDescent="0.25"/>
  <cols>
    <col min="1" max="1" width="4.88671875" style="1" customWidth="1"/>
    <col min="2" max="2" width="8.33203125" style="1" customWidth="1"/>
    <col min="3" max="3" width="14.109375" style="1" bestFit="1" customWidth="1"/>
    <col min="4" max="4" width="9.5546875" style="1" bestFit="1" customWidth="1"/>
    <col min="5" max="5" width="14.6640625" bestFit="1" customWidth="1"/>
    <col min="6" max="6" width="24.5546875" customWidth="1"/>
    <col min="7" max="7" width="12.6640625" style="1" bestFit="1" customWidth="1"/>
    <col min="8" max="8" width="25.6640625" bestFit="1" customWidth="1"/>
    <col min="9" max="9" width="10" customWidth="1"/>
  </cols>
  <sheetData>
    <row r="1" spans="1:9" ht="13.8" thickBot="1" x14ac:dyDescent="0.3"/>
    <row r="2" spans="1:9" ht="15" x14ac:dyDescent="0.25">
      <c r="A2" s="2" t="s">
        <v>0</v>
      </c>
      <c r="B2" s="3" t="s">
        <v>1</v>
      </c>
      <c r="C2" s="3" t="s">
        <v>299</v>
      </c>
      <c r="D2" s="3" t="s">
        <v>300</v>
      </c>
      <c r="E2" s="3" t="s">
        <v>4</v>
      </c>
      <c r="F2" s="3" t="s">
        <v>2</v>
      </c>
      <c r="G2" s="3" t="s">
        <v>3</v>
      </c>
      <c r="H2" s="3" t="s">
        <v>5</v>
      </c>
      <c r="I2" s="3" t="s">
        <v>6</v>
      </c>
    </row>
    <row r="3" spans="1:9" s="7" customFormat="1" ht="21.6" customHeight="1" x14ac:dyDescent="0.25">
      <c r="A3" s="4">
        <f>SUBTOTAL(3,F$3:F3)</f>
        <v>1</v>
      </c>
      <c r="B3" s="32" t="s">
        <v>7</v>
      </c>
      <c r="C3" s="13" t="s">
        <v>314</v>
      </c>
      <c r="D3" s="32" t="s">
        <v>738</v>
      </c>
      <c r="E3" s="35" t="s">
        <v>734</v>
      </c>
      <c r="F3" s="5" t="s">
        <v>8</v>
      </c>
      <c r="G3" s="33">
        <v>803671494</v>
      </c>
      <c r="H3" s="6" t="s">
        <v>9</v>
      </c>
      <c r="I3" s="5" t="s">
        <v>10</v>
      </c>
    </row>
    <row r="4" spans="1:9" s="7" customFormat="1" ht="21.6" customHeight="1" x14ac:dyDescent="0.25">
      <c r="A4" s="4">
        <f>SUBTOTAL(3,F$3:F4)</f>
        <v>2</v>
      </c>
      <c r="B4" s="32" t="s">
        <v>7</v>
      </c>
      <c r="C4" s="32"/>
      <c r="D4" s="32"/>
      <c r="E4" s="5" t="s">
        <v>12</v>
      </c>
      <c r="F4" s="5" t="s">
        <v>11</v>
      </c>
      <c r="G4" s="33">
        <v>900987306</v>
      </c>
      <c r="H4" s="6" t="s">
        <v>13</v>
      </c>
      <c r="I4" s="5" t="s">
        <v>10</v>
      </c>
    </row>
    <row r="5" spans="1:9" s="7" customFormat="1" ht="21.6" customHeight="1" x14ac:dyDescent="0.25">
      <c r="A5" s="4">
        <f>SUBTOTAL(3,F$3:F5)</f>
        <v>3</v>
      </c>
      <c r="B5" s="32" t="s">
        <v>7</v>
      </c>
      <c r="C5" s="13" t="s">
        <v>313</v>
      </c>
      <c r="D5" s="32" t="s">
        <v>301</v>
      </c>
      <c r="E5" s="26" t="s">
        <v>334</v>
      </c>
      <c r="F5" s="5" t="s">
        <v>14</v>
      </c>
      <c r="G5" s="33">
        <v>957463342</v>
      </c>
      <c r="H5" s="6" t="s">
        <v>15</v>
      </c>
      <c r="I5" s="5" t="s">
        <v>10</v>
      </c>
    </row>
    <row r="6" spans="1:9" s="7" customFormat="1" ht="21.6" customHeight="1" x14ac:dyDescent="0.25">
      <c r="A6" s="4">
        <f>SUBTOTAL(3,F$3:F6)</f>
        <v>4</v>
      </c>
      <c r="B6" s="32" t="s">
        <v>7</v>
      </c>
      <c r="C6" s="32" t="s">
        <v>312</v>
      </c>
      <c r="D6" s="32" t="s">
        <v>302</v>
      </c>
      <c r="E6" s="26"/>
      <c r="F6" s="5" t="s">
        <v>16</v>
      </c>
      <c r="G6" s="33">
        <v>900581125</v>
      </c>
      <c r="H6" s="6" t="s">
        <v>18</v>
      </c>
      <c r="I6" s="5" t="s">
        <v>10</v>
      </c>
    </row>
    <row r="7" spans="1:9" s="7" customFormat="1" ht="21.6" customHeight="1" x14ac:dyDescent="0.25">
      <c r="A7" s="4">
        <f>SUBTOTAL(3,F$3:F7)</f>
        <v>5</v>
      </c>
      <c r="B7" s="32" t="s">
        <v>7</v>
      </c>
      <c r="C7" s="32" t="s">
        <v>315</v>
      </c>
      <c r="D7" s="32" t="s">
        <v>302</v>
      </c>
      <c r="E7" s="26" t="s">
        <v>382</v>
      </c>
      <c r="F7" s="5" t="s">
        <v>19</v>
      </c>
      <c r="G7" s="33">
        <v>802117739</v>
      </c>
      <c r="H7" s="6" t="s">
        <v>21</v>
      </c>
      <c r="I7" s="5" t="s">
        <v>10</v>
      </c>
    </row>
    <row r="8" spans="1:9" s="7" customFormat="1" ht="21.6" customHeight="1" x14ac:dyDescent="0.25">
      <c r="A8" s="4">
        <f>SUBTOTAL(3,F$3:F8)</f>
        <v>6</v>
      </c>
      <c r="B8" s="32" t="s">
        <v>7</v>
      </c>
      <c r="C8" s="32"/>
      <c r="D8" s="32"/>
      <c r="E8" s="5" t="s">
        <v>23</v>
      </c>
      <c r="F8" s="5" t="s">
        <v>22</v>
      </c>
      <c r="G8" s="33">
        <v>905327995</v>
      </c>
      <c r="H8" s="6" t="s">
        <v>298</v>
      </c>
      <c r="I8" s="5" t="s">
        <v>10</v>
      </c>
    </row>
    <row r="9" spans="1:9" s="7" customFormat="1" ht="21.6" customHeight="1" x14ac:dyDescent="0.25">
      <c r="A9" s="4">
        <f>SUBTOTAL(3,F$3:F9)</f>
        <v>7</v>
      </c>
      <c r="B9" s="32" t="s">
        <v>7</v>
      </c>
      <c r="C9" s="13" t="s">
        <v>314</v>
      </c>
      <c r="D9" s="32" t="s">
        <v>302</v>
      </c>
      <c r="E9" s="27" t="s">
        <v>735</v>
      </c>
      <c r="F9" s="5" t="s">
        <v>24</v>
      </c>
      <c r="G9" s="33">
        <v>401848767</v>
      </c>
      <c r="H9" s="6" t="s">
        <v>25</v>
      </c>
      <c r="I9" s="5" t="s">
        <v>10</v>
      </c>
    </row>
    <row r="10" spans="1:9" s="7" customFormat="1" ht="21.6" customHeight="1" x14ac:dyDescent="0.25">
      <c r="A10" s="4">
        <f>SUBTOTAL(3,F$3:F10)</f>
        <v>8</v>
      </c>
      <c r="B10" s="32" t="s">
        <v>7</v>
      </c>
      <c r="C10" s="13" t="s">
        <v>735</v>
      </c>
      <c r="D10" s="32" t="s">
        <v>735</v>
      </c>
      <c r="E10" s="27" t="s">
        <v>735</v>
      </c>
      <c r="F10" s="5" t="s">
        <v>26</v>
      </c>
      <c r="G10" s="33">
        <v>802806141</v>
      </c>
      <c r="H10" s="6" t="s">
        <v>9</v>
      </c>
      <c r="I10" s="5" t="s">
        <v>10</v>
      </c>
    </row>
    <row r="11" spans="1:9" s="7" customFormat="1" ht="21.6" customHeight="1" x14ac:dyDescent="0.25">
      <c r="A11" s="4">
        <f>SUBTOTAL(3,F$3:F11)</f>
        <v>9</v>
      </c>
      <c r="B11" s="32" t="s">
        <v>7</v>
      </c>
      <c r="C11" s="13" t="s">
        <v>314</v>
      </c>
      <c r="D11" s="32" t="s">
        <v>738</v>
      </c>
      <c r="E11" s="35" t="s">
        <v>734</v>
      </c>
      <c r="F11" s="5" t="s">
        <v>27</v>
      </c>
      <c r="G11" s="33">
        <v>801230640</v>
      </c>
      <c r="H11" s="6" t="s">
        <v>28</v>
      </c>
      <c r="I11" s="5" t="s">
        <v>10</v>
      </c>
    </row>
    <row r="12" spans="1:9" s="7" customFormat="1" ht="21.6" customHeight="1" x14ac:dyDescent="0.25">
      <c r="A12" s="4">
        <f>SUBTOTAL(3,F$3:F12)</f>
        <v>10</v>
      </c>
      <c r="B12" s="32" t="s">
        <v>7</v>
      </c>
      <c r="C12" s="13" t="s">
        <v>313</v>
      </c>
      <c r="D12" s="32" t="s">
        <v>738</v>
      </c>
      <c r="E12" s="26" t="s">
        <v>334</v>
      </c>
      <c r="F12" s="5" t="s">
        <v>29</v>
      </c>
      <c r="G12" s="33">
        <v>800547283</v>
      </c>
      <c r="H12" s="6" t="s">
        <v>30</v>
      </c>
      <c r="I12" s="5" t="s">
        <v>10</v>
      </c>
    </row>
    <row r="13" spans="1:9" s="7" customFormat="1" ht="21.6" customHeight="1" x14ac:dyDescent="0.25">
      <c r="A13" s="4">
        <f>SUBTOTAL(3,F$3:F13)</f>
        <v>11</v>
      </c>
      <c r="B13" s="32" t="s">
        <v>7</v>
      </c>
      <c r="C13" s="13" t="s">
        <v>314</v>
      </c>
      <c r="D13" s="32" t="s">
        <v>301</v>
      </c>
      <c r="E13" s="27" t="s">
        <v>434</v>
      </c>
      <c r="F13" s="5" t="s">
        <v>31</v>
      </c>
      <c r="G13" s="33">
        <v>801715061</v>
      </c>
      <c r="H13" s="6" t="s">
        <v>33</v>
      </c>
      <c r="I13" s="5" t="s">
        <v>10</v>
      </c>
    </row>
    <row r="14" spans="1:9" s="7" customFormat="1" ht="21.6" customHeight="1" x14ac:dyDescent="0.25">
      <c r="A14" s="4">
        <f>SUBTOTAL(3,F$3:F14)</f>
        <v>12</v>
      </c>
      <c r="B14" s="32" t="s">
        <v>7</v>
      </c>
      <c r="C14" s="13" t="s">
        <v>314</v>
      </c>
      <c r="D14" s="32" t="s">
        <v>738</v>
      </c>
      <c r="E14" s="35" t="s">
        <v>734</v>
      </c>
      <c r="F14" s="5" t="s">
        <v>34</v>
      </c>
      <c r="G14" s="33">
        <v>803264258</v>
      </c>
      <c r="H14" s="6" t="s">
        <v>9</v>
      </c>
      <c r="I14" s="5" t="s">
        <v>10</v>
      </c>
    </row>
    <row r="15" spans="1:9" s="7" customFormat="1" ht="21.6" customHeight="1" x14ac:dyDescent="0.25">
      <c r="A15" s="4">
        <f>SUBTOTAL(3,F$3:F15)</f>
        <v>13</v>
      </c>
      <c r="B15" s="32" t="s">
        <v>7</v>
      </c>
      <c r="C15" s="32"/>
      <c r="D15" s="32"/>
      <c r="E15" s="5" t="s">
        <v>36</v>
      </c>
      <c r="F15" s="5" t="s">
        <v>35</v>
      </c>
      <c r="G15" s="33">
        <v>401872221</v>
      </c>
      <c r="H15" s="6" t="s">
        <v>37</v>
      </c>
      <c r="I15" s="5" t="s">
        <v>10</v>
      </c>
    </row>
    <row r="16" spans="1:9" s="7" customFormat="1" ht="21.6" customHeight="1" x14ac:dyDescent="0.25">
      <c r="A16" s="4">
        <f>SUBTOTAL(3,F$3:F16)</f>
        <v>14</v>
      </c>
      <c r="B16" s="32" t="s">
        <v>7</v>
      </c>
      <c r="C16" s="13" t="s">
        <v>314</v>
      </c>
      <c r="D16" s="32" t="s">
        <v>301</v>
      </c>
      <c r="E16" s="35" t="s">
        <v>734</v>
      </c>
      <c r="F16" s="5" t="s">
        <v>38</v>
      </c>
      <c r="G16" s="33">
        <v>803093285</v>
      </c>
      <c r="H16" s="6" t="s">
        <v>28</v>
      </c>
      <c r="I16" s="5" t="s">
        <v>10</v>
      </c>
    </row>
    <row r="17" spans="1:9" s="7" customFormat="1" ht="21.6" customHeight="1" x14ac:dyDescent="0.25">
      <c r="A17" s="4">
        <f>SUBTOTAL(3,F$3:F17)</f>
        <v>15</v>
      </c>
      <c r="B17" s="32" t="s">
        <v>39</v>
      </c>
      <c r="C17" s="32"/>
      <c r="D17" s="32"/>
      <c r="E17" s="5" t="s">
        <v>41</v>
      </c>
      <c r="F17" s="5" t="s">
        <v>40</v>
      </c>
      <c r="G17" s="33">
        <v>926680703</v>
      </c>
      <c r="H17" s="6" t="s">
        <v>42</v>
      </c>
      <c r="I17" s="5" t="s">
        <v>10</v>
      </c>
    </row>
    <row r="18" spans="1:9" s="7" customFormat="1" ht="21.6" customHeight="1" x14ac:dyDescent="0.25">
      <c r="A18" s="4">
        <f>SUBTOTAL(3,F$3:F18)</f>
        <v>16</v>
      </c>
      <c r="B18" s="32" t="s">
        <v>39</v>
      </c>
      <c r="C18" s="13" t="s">
        <v>313</v>
      </c>
      <c r="D18" s="32" t="s">
        <v>302</v>
      </c>
      <c r="E18" s="26"/>
      <c r="F18" s="5" t="s">
        <v>43</v>
      </c>
      <c r="G18" s="33">
        <v>962072690</v>
      </c>
      <c r="H18" s="6" t="s">
        <v>44</v>
      </c>
      <c r="I18" s="5" t="s">
        <v>10</v>
      </c>
    </row>
    <row r="19" spans="1:9" s="7" customFormat="1" ht="21.6" customHeight="1" x14ac:dyDescent="0.25">
      <c r="A19" s="4">
        <f>SUBTOTAL(3,F$3:F19)</f>
        <v>17</v>
      </c>
      <c r="B19" s="32" t="s">
        <v>39</v>
      </c>
      <c r="C19" s="32"/>
      <c r="D19" s="32"/>
      <c r="E19" s="5" t="s">
        <v>46</v>
      </c>
      <c r="F19" s="5" t="s">
        <v>45</v>
      </c>
      <c r="G19" s="33">
        <v>911571537</v>
      </c>
      <c r="H19" s="6" t="s">
        <v>47</v>
      </c>
      <c r="I19" s="5" t="s">
        <v>48</v>
      </c>
    </row>
    <row r="20" spans="1:9" s="7" customFormat="1" ht="21.6" customHeight="1" x14ac:dyDescent="0.25">
      <c r="A20" s="4">
        <f>SUBTOTAL(3,F$3:F20)</f>
        <v>18</v>
      </c>
      <c r="B20" s="32" t="s">
        <v>39</v>
      </c>
      <c r="C20" s="32"/>
      <c r="D20" s="32"/>
      <c r="E20" s="5" t="s">
        <v>46</v>
      </c>
      <c r="F20" s="5" t="s">
        <v>49</v>
      </c>
      <c r="G20" s="33">
        <v>921897583</v>
      </c>
      <c r="H20" s="6" t="s">
        <v>47</v>
      </c>
      <c r="I20" s="5" t="s">
        <v>50</v>
      </c>
    </row>
    <row r="21" spans="1:9" s="7" customFormat="1" ht="21.6" customHeight="1" x14ac:dyDescent="0.25">
      <c r="A21" s="4">
        <f>SUBTOTAL(3,F$3:F21)</f>
        <v>19</v>
      </c>
      <c r="B21" s="32" t="s">
        <v>39</v>
      </c>
      <c r="C21" s="32"/>
      <c r="D21" s="32"/>
      <c r="E21" s="5" t="s">
        <v>46</v>
      </c>
      <c r="F21" s="5" t="s">
        <v>51</v>
      </c>
      <c r="G21" s="33">
        <v>800080962</v>
      </c>
      <c r="H21" s="6" t="s">
        <v>47</v>
      </c>
      <c r="I21" s="5" t="s">
        <v>52</v>
      </c>
    </row>
    <row r="22" spans="1:9" s="7" customFormat="1" ht="21.6" customHeight="1" x14ac:dyDescent="0.25">
      <c r="A22" s="4">
        <f>SUBTOTAL(3,F$3:F22)</f>
        <v>20</v>
      </c>
      <c r="B22" s="32" t="s">
        <v>39</v>
      </c>
      <c r="C22" s="13" t="s">
        <v>316</v>
      </c>
      <c r="D22" s="32" t="s">
        <v>739</v>
      </c>
      <c r="E22" s="26" t="s">
        <v>383</v>
      </c>
      <c r="F22" s="5" t="s">
        <v>53</v>
      </c>
      <c r="G22" s="33">
        <v>952218394</v>
      </c>
      <c r="H22" s="6" t="s">
        <v>54</v>
      </c>
      <c r="I22" s="5" t="s">
        <v>10</v>
      </c>
    </row>
    <row r="23" spans="1:9" s="7" customFormat="1" ht="21.6" customHeight="1" x14ac:dyDescent="0.25">
      <c r="A23" s="4">
        <f>SUBTOTAL(3,F$3:F23)</f>
        <v>21</v>
      </c>
      <c r="B23" s="32" t="s">
        <v>39</v>
      </c>
      <c r="C23" s="13" t="s">
        <v>314</v>
      </c>
      <c r="D23" s="32" t="s">
        <v>736</v>
      </c>
      <c r="E23" s="27" t="s">
        <v>396</v>
      </c>
      <c r="F23" s="5" t="s">
        <v>55</v>
      </c>
      <c r="G23" s="33">
        <v>959160656</v>
      </c>
      <c r="H23" s="6" t="s">
        <v>56</v>
      </c>
      <c r="I23" s="5" t="s">
        <v>57</v>
      </c>
    </row>
    <row r="24" spans="1:9" s="7" customFormat="1" ht="21.6" customHeight="1" x14ac:dyDescent="0.25">
      <c r="A24" s="4">
        <f>SUBTOTAL(3,F$3:F24)</f>
        <v>22</v>
      </c>
      <c r="B24" s="32" t="s">
        <v>39</v>
      </c>
      <c r="C24" s="13" t="s">
        <v>312</v>
      </c>
      <c r="D24" s="32" t="s">
        <v>301</v>
      </c>
      <c r="E24" s="27" t="s">
        <v>380</v>
      </c>
      <c r="F24" s="5" t="s">
        <v>58</v>
      </c>
      <c r="G24" s="33">
        <v>901632141</v>
      </c>
      <c r="H24" s="6" t="s">
        <v>60</v>
      </c>
      <c r="I24" s="5" t="s">
        <v>10</v>
      </c>
    </row>
    <row r="25" spans="1:9" s="7" customFormat="1" ht="21.6" customHeight="1" x14ac:dyDescent="0.25">
      <c r="A25" s="4">
        <f>SUBTOTAL(3,F$3:F25)</f>
        <v>23</v>
      </c>
      <c r="B25" s="32" t="s">
        <v>39</v>
      </c>
      <c r="C25" s="13" t="s">
        <v>314</v>
      </c>
      <c r="D25" s="32" t="s">
        <v>736</v>
      </c>
      <c r="E25" s="26" t="s">
        <v>335</v>
      </c>
      <c r="F25" s="5" t="s">
        <v>61</v>
      </c>
      <c r="G25" s="33">
        <v>905389185</v>
      </c>
      <c r="H25" s="6" t="s">
        <v>62</v>
      </c>
      <c r="I25" s="5" t="s">
        <v>63</v>
      </c>
    </row>
    <row r="26" spans="1:9" s="7" customFormat="1" ht="21.6" customHeight="1" x14ac:dyDescent="0.25">
      <c r="A26" s="4">
        <f>SUBTOTAL(3,F$3:F26)</f>
        <v>24</v>
      </c>
      <c r="B26" s="32" t="s">
        <v>39</v>
      </c>
      <c r="C26" s="13" t="s">
        <v>315</v>
      </c>
      <c r="D26" s="32" t="s">
        <v>301</v>
      </c>
      <c r="E26" s="26" t="s">
        <v>65</v>
      </c>
      <c r="F26" s="5" t="s">
        <v>64</v>
      </c>
      <c r="G26" s="33">
        <v>900254525</v>
      </c>
      <c r="H26" s="6" t="s">
        <v>65</v>
      </c>
      <c r="I26" s="5" t="s">
        <v>10</v>
      </c>
    </row>
    <row r="27" spans="1:9" s="7" customFormat="1" ht="21.6" customHeight="1" x14ac:dyDescent="0.25">
      <c r="A27" s="4">
        <f>SUBTOTAL(3,F$3:F27)</f>
        <v>25</v>
      </c>
      <c r="B27" s="32" t="s">
        <v>39</v>
      </c>
      <c r="C27" s="32"/>
      <c r="D27" s="32"/>
      <c r="E27" s="5" t="s">
        <v>67</v>
      </c>
      <c r="F27" s="5" t="s">
        <v>66</v>
      </c>
      <c r="G27" s="33">
        <v>902818749</v>
      </c>
      <c r="H27" s="6" t="s">
        <v>68</v>
      </c>
      <c r="I27" s="5" t="s">
        <v>10</v>
      </c>
    </row>
    <row r="28" spans="1:9" s="7" customFormat="1" ht="21.6" customHeight="1" x14ac:dyDescent="0.25">
      <c r="A28" s="4">
        <f>SUBTOTAL(3,F$3:F28)</f>
        <v>26</v>
      </c>
      <c r="B28" s="32" t="s">
        <v>39</v>
      </c>
      <c r="C28" s="13" t="s">
        <v>314</v>
      </c>
      <c r="D28" s="32" t="s">
        <v>736</v>
      </c>
      <c r="E28" s="26" t="s">
        <v>366</v>
      </c>
      <c r="F28" s="5" t="s">
        <v>69</v>
      </c>
      <c r="G28" s="33">
        <v>905450649</v>
      </c>
      <c r="H28" s="6" t="s">
        <v>70</v>
      </c>
      <c r="I28" s="5" t="s">
        <v>48</v>
      </c>
    </row>
    <row r="29" spans="1:9" s="7" customFormat="1" ht="21.6" customHeight="1" x14ac:dyDescent="0.25">
      <c r="A29" s="4">
        <f>SUBTOTAL(3,F$3:F29)</f>
        <v>27</v>
      </c>
      <c r="B29" s="32" t="s">
        <v>39</v>
      </c>
      <c r="C29" s="32"/>
      <c r="D29" s="32"/>
      <c r="E29" s="5" t="s">
        <v>41</v>
      </c>
      <c r="F29" s="5" t="s">
        <v>71</v>
      </c>
      <c r="G29" s="33">
        <v>802514430</v>
      </c>
      <c r="H29" s="6" t="s">
        <v>41</v>
      </c>
      <c r="I29" s="5" t="s">
        <v>10</v>
      </c>
    </row>
    <row r="30" spans="1:9" s="7" customFormat="1" ht="21.6" customHeight="1" x14ac:dyDescent="0.25">
      <c r="A30" s="4">
        <f>SUBTOTAL(3,F$3:F30)</f>
        <v>28</v>
      </c>
      <c r="B30" s="32" t="s">
        <v>39</v>
      </c>
      <c r="C30" s="32"/>
      <c r="D30" s="32"/>
      <c r="E30" s="5" t="s">
        <v>46</v>
      </c>
      <c r="F30" s="5" t="s">
        <v>72</v>
      </c>
      <c r="G30" s="33">
        <v>953830262</v>
      </c>
      <c r="H30" s="6" t="s">
        <v>73</v>
      </c>
      <c r="I30" s="5" t="s">
        <v>50</v>
      </c>
    </row>
    <row r="31" spans="1:9" s="7" customFormat="1" ht="21.6" customHeight="1" x14ac:dyDescent="0.25">
      <c r="A31" s="4">
        <f>SUBTOTAL(3,F$3:F31)</f>
        <v>29</v>
      </c>
      <c r="B31" s="32" t="s">
        <v>39</v>
      </c>
      <c r="C31" s="13" t="s">
        <v>314</v>
      </c>
      <c r="D31" s="32" t="s">
        <v>736</v>
      </c>
      <c r="E31" s="27" t="s">
        <v>413</v>
      </c>
      <c r="F31" s="5" t="s">
        <v>74</v>
      </c>
      <c r="G31" s="33">
        <v>917902744</v>
      </c>
      <c r="H31" s="6" t="s">
        <v>75</v>
      </c>
      <c r="I31" s="5" t="s">
        <v>52</v>
      </c>
    </row>
    <row r="32" spans="1:9" s="7" customFormat="1" ht="21.6" customHeight="1" x14ac:dyDescent="0.25">
      <c r="A32" s="4">
        <f>SUBTOTAL(3,F$3:F32)</f>
        <v>30</v>
      </c>
      <c r="B32" s="32" t="s">
        <v>39</v>
      </c>
      <c r="C32" s="32"/>
      <c r="D32" s="32"/>
      <c r="E32" s="5" t="s">
        <v>77</v>
      </c>
      <c r="F32" s="5" t="s">
        <v>76</v>
      </c>
      <c r="G32" s="33">
        <v>935350074</v>
      </c>
      <c r="H32" s="6" t="s">
        <v>78</v>
      </c>
      <c r="I32" s="5" t="s">
        <v>10</v>
      </c>
    </row>
    <row r="33" spans="1:9" s="7" customFormat="1" ht="21.6" customHeight="1" x14ac:dyDescent="0.25">
      <c r="A33" s="4">
        <f>SUBTOTAL(3,F$3:F33)</f>
        <v>31</v>
      </c>
      <c r="B33" s="32" t="s">
        <v>39</v>
      </c>
      <c r="C33" s="13" t="s">
        <v>313</v>
      </c>
      <c r="D33" s="32" t="s">
        <v>738</v>
      </c>
      <c r="E33" s="26" t="s">
        <v>334</v>
      </c>
      <c r="F33" s="5" t="s">
        <v>79</v>
      </c>
      <c r="G33" s="33">
        <v>800082711</v>
      </c>
      <c r="H33" s="6" t="s">
        <v>30</v>
      </c>
      <c r="I33" s="5" t="s">
        <v>10</v>
      </c>
    </row>
    <row r="34" spans="1:9" s="7" customFormat="1" ht="21.6" customHeight="1" x14ac:dyDescent="0.25">
      <c r="A34" s="4">
        <f>SUBTOTAL(3,F$3:F34)</f>
        <v>32</v>
      </c>
      <c r="B34" s="32" t="s">
        <v>39</v>
      </c>
      <c r="C34" s="13" t="s">
        <v>314</v>
      </c>
      <c r="D34" s="32" t="s">
        <v>736</v>
      </c>
      <c r="E34" s="26" t="s">
        <v>381</v>
      </c>
      <c r="F34" s="5" t="s">
        <v>80</v>
      </c>
      <c r="G34" s="33">
        <v>905585352</v>
      </c>
      <c r="H34" s="6" t="s">
        <v>81</v>
      </c>
      <c r="I34" s="5" t="s">
        <v>82</v>
      </c>
    </row>
    <row r="35" spans="1:9" s="7" customFormat="1" ht="21.6" customHeight="1" x14ac:dyDescent="0.25">
      <c r="A35" s="4">
        <f>SUBTOTAL(3,F$3:F35)</f>
        <v>33</v>
      </c>
      <c r="B35" s="32" t="s">
        <v>39</v>
      </c>
      <c r="C35" s="13" t="s">
        <v>314</v>
      </c>
      <c r="D35" s="32" t="s">
        <v>736</v>
      </c>
      <c r="E35" s="27" t="s">
        <v>421</v>
      </c>
      <c r="F35" s="5" t="s">
        <v>83</v>
      </c>
      <c r="G35" s="33">
        <v>802163733</v>
      </c>
      <c r="H35" s="6" t="s">
        <v>84</v>
      </c>
      <c r="I35" s="5" t="s">
        <v>85</v>
      </c>
    </row>
    <row r="36" spans="1:9" s="7" customFormat="1" ht="21.6" customHeight="1" x14ac:dyDescent="0.25">
      <c r="A36" s="4">
        <f>SUBTOTAL(3,F$3:F36)</f>
        <v>34</v>
      </c>
      <c r="B36" s="32" t="s">
        <v>39</v>
      </c>
      <c r="C36" s="13" t="s">
        <v>313</v>
      </c>
      <c r="D36" s="32" t="s">
        <v>738</v>
      </c>
      <c r="E36" s="26" t="s">
        <v>334</v>
      </c>
      <c r="F36" s="5" t="s">
        <v>86</v>
      </c>
      <c r="G36" s="33">
        <v>945754489</v>
      </c>
      <c r="H36" s="6" t="s">
        <v>30</v>
      </c>
      <c r="I36" s="5" t="s">
        <v>10</v>
      </c>
    </row>
    <row r="37" spans="1:9" s="7" customFormat="1" ht="21.6" customHeight="1" x14ac:dyDescent="0.25">
      <c r="A37" s="4">
        <f>SUBTOTAL(3,F$3:F37)</f>
        <v>35</v>
      </c>
      <c r="B37" s="32" t="s">
        <v>39</v>
      </c>
      <c r="C37" s="32"/>
      <c r="D37" s="32"/>
      <c r="E37" s="5" t="s">
        <v>46</v>
      </c>
      <c r="F37" s="5" t="s">
        <v>87</v>
      </c>
      <c r="G37" s="33">
        <v>952215812</v>
      </c>
      <c r="H37" s="6" t="s">
        <v>47</v>
      </c>
      <c r="I37" s="5" t="s">
        <v>52</v>
      </c>
    </row>
    <row r="38" spans="1:9" s="7" customFormat="1" ht="21.6" customHeight="1" x14ac:dyDescent="0.25">
      <c r="A38" s="4">
        <f>SUBTOTAL(3,F$3:F38)</f>
        <v>36</v>
      </c>
      <c r="B38" s="32" t="s">
        <v>39</v>
      </c>
      <c r="C38" s="13" t="s">
        <v>314</v>
      </c>
      <c r="D38" s="32" t="s">
        <v>84</v>
      </c>
      <c r="E38" s="35" t="s">
        <v>734</v>
      </c>
      <c r="F38" s="5" t="s">
        <v>88</v>
      </c>
      <c r="G38" s="33">
        <v>929728582</v>
      </c>
      <c r="H38" s="6" t="s">
        <v>84</v>
      </c>
      <c r="I38" s="5" t="s">
        <v>10</v>
      </c>
    </row>
    <row r="39" spans="1:9" s="7" customFormat="1" ht="21.6" customHeight="1" x14ac:dyDescent="0.25">
      <c r="A39" s="4">
        <f>SUBTOTAL(3,F$3:F39)</f>
        <v>37</v>
      </c>
      <c r="B39" s="32" t="s">
        <v>39</v>
      </c>
      <c r="C39" s="32"/>
      <c r="D39" s="32"/>
      <c r="E39" s="5" t="s">
        <v>46</v>
      </c>
      <c r="F39" s="5" t="s">
        <v>89</v>
      </c>
      <c r="G39" s="33">
        <v>900758475</v>
      </c>
      <c r="H39" s="6" t="s">
        <v>47</v>
      </c>
      <c r="I39" s="5" t="s">
        <v>90</v>
      </c>
    </row>
    <row r="40" spans="1:9" s="7" customFormat="1" ht="21.6" customHeight="1" x14ac:dyDescent="0.25">
      <c r="A40" s="4">
        <f>SUBTOTAL(3,F$3:F40)</f>
        <v>38</v>
      </c>
      <c r="B40" s="32" t="s">
        <v>39</v>
      </c>
      <c r="C40" s="32" t="s">
        <v>312</v>
      </c>
      <c r="D40" s="32" t="s">
        <v>301</v>
      </c>
      <c r="E40" s="5" t="s">
        <v>365</v>
      </c>
      <c r="F40" s="5" t="s">
        <v>91</v>
      </c>
      <c r="G40" s="33">
        <v>932083264</v>
      </c>
      <c r="H40" s="6" t="s">
        <v>92</v>
      </c>
      <c r="I40" s="5" t="s">
        <v>10</v>
      </c>
    </row>
    <row r="41" spans="1:9" s="7" customFormat="1" ht="21.6" customHeight="1" x14ac:dyDescent="0.25">
      <c r="A41" s="4">
        <f>SUBTOTAL(3,F$3:F41)</f>
        <v>39</v>
      </c>
      <c r="B41" s="32" t="s">
        <v>39</v>
      </c>
      <c r="C41" s="13" t="s">
        <v>314</v>
      </c>
      <c r="D41" s="32" t="s">
        <v>738</v>
      </c>
      <c r="E41" s="35" t="s">
        <v>734</v>
      </c>
      <c r="F41" s="5" t="s">
        <v>93</v>
      </c>
      <c r="G41" s="33">
        <v>800458481</v>
      </c>
      <c r="H41" s="6" t="s">
        <v>94</v>
      </c>
      <c r="I41" s="5" t="s">
        <v>10</v>
      </c>
    </row>
    <row r="42" spans="1:9" s="7" customFormat="1" ht="21.6" customHeight="1" x14ac:dyDescent="0.25">
      <c r="A42" s="4">
        <f>SUBTOTAL(3,F$3:F42)</f>
        <v>40</v>
      </c>
      <c r="B42" s="32" t="s">
        <v>39</v>
      </c>
      <c r="C42" s="32"/>
      <c r="D42" s="32"/>
      <c r="E42" s="5" t="s">
        <v>46</v>
      </c>
      <c r="F42" s="5" t="s">
        <v>95</v>
      </c>
      <c r="G42" s="33">
        <v>942391160</v>
      </c>
      <c r="H42" s="6" t="s">
        <v>96</v>
      </c>
      <c r="I42" s="5" t="s">
        <v>50</v>
      </c>
    </row>
    <row r="43" spans="1:9" s="7" customFormat="1" ht="21.6" customHeight="1" x14ac:dyDescent="0.25">
      <c r="A43" s="4">
        <f>SUBTOTAL(3,F$3:F43)</f>
        <v>41</v>
      </c>
      <c r="B43" s="32" t="s">
        <v>39</v>
      </c>
      <c r="C43" s="32" t="s">
        <v>316</v>
      </c>
      <c r="D43" s="32" t="s">
        <v>302</v>
      </c>
      <c r="E43" s="5" t="s">
        <v>77</v>
      </c>
      <c r="F43" s="5" t="s">
        <v>97</v>
      </c>
      <c r="G43" s="33">
        <v>987677077</v>
      </c>
      <c r="H43" s="6" t="s">
        <v>98</v>
      </c>
      <c r="I43" s="5" t="s">
        <v>10</v>
      </c>
    </row>
    <row r="44" spans="1:9" s="7" customFormat="1" ht="21.6" customHeight="1" x14ac:dyDescent="0.25">
      <c r="A44" s="4">
        <f>SUBTOTAL(3,F$3:F44)</f>
        <v>42</v>
      </c>
      <c r="B44" s="32" t="s">
        <v>39</v>
      </c>
      <c r="C44" s="32"/>
      <c r="D44" s="32"/>
      <c r="E44" s="5" t="s">
        <v>46</v>
      </c>
      <c r="F44" s="5" t="s">
        <v>99</v>
      </c>
      <c r="G44" s="33">
        <v>916326606</v>
      </c>
      <c r="H44" s="6" t="s">
        <v>68</v>
      </c>
      <c r="I44" s="5" t="s">
        <v>10</v>
      </c>
    </row>
    <row r="45" spans="1:9" s="7" customFormat="1" ht="21.6" customHeight="1" x14ac:dyDescent="0.25">
      <c r="A45" s="4">
        <f>SUBTOTAL(3,F$3:F45)</f>
        <v>43</v>
      </c>
      <c r="B45" s="32" t="s">
        <v>39</v>
      </c>
      <c r="C45" s="32"/>
      <c r="D45" s="32"/>
      <c r="E45" s="5" t="s">
        <v>46</v>
      </c>
      <c r="F45" s="5" t="s">
        <v>100</v>
      </c>
      <c r="G45" s="33">
        <v>914307277</v>
      </c>
      <c r="H45" s="6" t="s">
        <v>28</v>
      </c>
      <c r="I45" s="5" t="s">
        <v>90</v>
      </c>
    </row>
    <row r="46" spans="1:9" s="7" customFormat="1" ht="21.6" customHeight="1" x14ac:dyDescent="0.25">
      <c r="A46" s="4">
        <f>SUBTOTAL(3,F$3:F46)</f>
        <v>44</v>
      </c>
      <c r="B46" s="32" t="s">
        <v>39</v>
      </c>
      <c r="C46" s="13" t="s">
        <v>314</v>
      </c>
      <c r="D46" s="32" t="s">
        <v>736</v>
      </c>
      <c r="E46" s="26" t="s">
        <v>351</v>
      </c>
      <c r="F46" s="5" t="s">
        <v>101</v>
      </c>
      <c r="G46" s="33">
        <v>901606939</v>
      </c>
      <c r="H46" s="6" t="s">
        <v>102</v>
      </c>
      <c r="I46" s="5" t="s">
        <v>90</v>
      </c>
    </row>
    <row r="47" spans="1:9" s="7" customFormat="1" ht="21.6" customHeight="1" x14ac:dyDescent="0.25">
      <c r="A47" s="4">
        <f>SUBTOTAL(3,F$3:F47)</f>
        <v>45</v>
      </c>
      <c r="B47" s="32" t="s">
        <v>39</v>
      </c>
      <c r="C47" s="32"/>
      <c r="D47" s="32"/>
      <c r="E47" s="5" t="s">
        <v>104</v>
      </c>
      <c r="F47" s="5" t="s">
        <v>103</v>
      </c>
      <c r="G47" s="33">
        <v>930353214</v>
      </c>
      <c r="H47" s="6" t="s">
        <v>105</v>
      </c>
      <c r="I47" s="5" t="s">
        <v>10</v>
      </c>
    </row>
    <row r="48" spans="1:9" s="7" customFormat="1" ht="21.6" customHeight="1" x14ac:dyDescent="0.25">
      <c r="A48" s="4">
        <f>SUBTOTAL(3,F$3:F48)</f>
        <v>46</v>
      </c>
      <c r="B48" s="32" t="s">
        <v>39</v>
      </c>
      <c r="C48" s="32"/>
      <c r="D48" s="32"/>
      <c r="E48" s="5" t="s">
        <v>36</v>
      </c>
      <c r="F48" s="5" t="s">
        <v>106</v>
      </c>
      <c r="G48" s="33">
        <v>900992934</v>
      </c>
      <c r="H48" s="6" t="s">
        <v>107</v>
      </c>
      <c r="I48" s="5" t="s">
        <v>108</v>
      </c>
    </row>
    <row r="49" spans="1:9" s="7" customFormat="1" ht="21.6" customHeight="1" x14ac:dyDescent="0.25">
      <c r="A49" s="4">
        <f>SUBTOTAL(3,F$3:F49)</f>
        <v>47</v>
      </c>
      <c r="B49" s="32" t="s">
        <v>39</v>
      </c>
      <c r="C49" s="32"/>
      <c r="D49" s="32"/>
      <c r="E49" s="5" t="s">
        <v>110</v>
      </c>
      <c r="F49" s="5" t="s">
        <v>109</v>
      </c>
      <c r="G49" s="33">
        <v>905449088</v>
      </c>
      <c r="H49" s="6" t="s">
        <v>111</v>
      </c>
      <c r="I49" s="5" t="s">
        <v>111</v>
      </c>
    </row>
    <row r="50" spans="1:9" s="7" customFormat="1" ht="21.6" customHeight="1" x14ac:dyDescent="0.25">
      <c r="A50" s="4">
        <f>SUBTOTAL(3,F$3:F50)</f>
        <v>48</v>
      </c>
      <c r="B50" s="32" t="s">
        <v>39</v>
      </c>
      <c r="C50" s="32"/>
      <c r="D50" s="32"/>
      <c r="E50" s="5" t="s">
        <v>32</v>
      </c>
      <c r="F50" s="5" t="s">
        <v>112</v>
      </c>
      <c r="G50" s="33">
        <v>801368945</v>
      </c>
      <c r="H50" s="6" t="s">
        <v>113</v>
      </c>
      <c r="I50" s="5" t="s">
        <v>10</v>
      </c>
    </row>
    <row r="51" spans="1:9" s="7" customFormat="1" ht="21.6" customHeight="1" x14ac:dyDescent="0.25">
      <c r="A51" s="4">
        <f>SUBTOTAL(3,F$3:F51)</f>
        <v>49</v>
      </c>
      <c r="B51" s="32" t="s">
        <v>39</v>
      </c>
      <c r="C51" s="32"/>
      <c r="D51" s="32"/>
      <c r="E51" s="5" t="s">
        <v>77</v>
      </c>
      <c r="F51" s="5" t="s">
        <v>114</v>
      </c>
      <c r="G51" s="33">
        <v>901641936</v>
      </c>
      <c r="H51" s="6" t="s">
        <v>78</v>
      </c>
      <c r="I51" s="5" t="s">
        <v>10</v>
      </c>
    </row>
    <row r="52" spans="1:9" s="7" customFormat="1" ht="21.6" customHeight="1" x14ac:dyDescent="0.25">
      <c r="A52" s="4">
        <f>SUBTOTAL(3,F$3:F52)</f>
        <v>50</v>
      </c>
      <c r="B52" s="32" t="s">
        <v>39</v>
      </c>
      <c r="C52" s="32"/>
      <c r="D52" s="32"/>
      <c r="E52" s="5" t="s">
        <v>104</v>
      </c>
      <c r="F52" s="5" t="s">
        <v>115</v>
      </c>
      <c r="G52" s="33">
        <v>900908286</v>
      </c>
      <c r="H52" s="6" t="s">
        <v>116</v>
      </c>
      <c r="I52" s="5" t="s">
        <v>10</v>
      </c>
    </row>
    <row r="53" spans="1:9" s="7" customFormat="1" ht="21.6" customHeight="1" x14ac:dyDescent="0.25">
      <c r="A53" s="4">
        <f>SUBTOTAL(3,F$3:F53)</f>
        <v>51</v>
      </c>
      <c r="B53" s="32" t="s">
        <v>39</v>
      </c>
      <c r="C53" s="32"/>
      <c r="D53" s="32"/>
      <c r="E53" s="5" t="s">
        <v>46</v>
      </c>
      <c r="F53" s="5" t="s">
        <v>117</v>
      </c>
      <c r="G53" s="33">
        <v>901620195</v>
      </c>
      <c r="H53" s="6" t="s">
        <v>28</v>
      </c>
      <c r="I53" s="5" t="s">
        <v>50</v>
      </c>
    </row>
    <row r="54" spans="1:9" s="7" customFormat="1" ht="21.6" customHeight="1" x14ac:dyDescent="0.25">
      <c r="A54" s="4">
        <f>SUBTOTAL(3,F$3:F54)</f>
        <v>52</v>
      </c>
      <c r="B54" s="32" t="s">
        <v>39</v>
      </c>
      <c r="C54" s="13" t="s">
        <v>312</v>
      </c>
      <c r="D54" s="32" t="s">
        <v>301</v>
      </c>
      <c r="E54" s="5" t="s">
        <v>349</v>
      </c>
      <c r="F54" s="5" t="s">
        <v>118</v>
      </c>
      <c r="G54" s="33">
        <v>800867350</v>
      </c>
      <c r="H54" s="6" t="s">
        <v>119</v>
      </c>
      <c r="I54" s="5" t="s">
        <v>10</v>
      </c>
    </row>
    <row r="55" spans="1:9" s="7" customFormat="1" ht="21.6" customHeight="1" x14ac:dyDescent="0.25">
      <c r="A55" s="4">
        <f>SUBTOTAL(3,F$3:F55)</f>
        <v>53</v>
      </c>
      <c r="B55" s="32" t="s">
        <v>39</v>
      </c>
      <c r="C55" s="32"/>
      <c r="D55" s="32"/>
      <c r="E55" s="5" t="s">
        <v>20</v>
      </c>
      <c r="F55" s="5" t="s">
        <v>120</v>
      </c>
      <c r="G55" s="33">
        <v>800570731</v>
      </c>
      <c r="H55" s="6" t="s">
        <v>121</v>
      </c>
      <c r="I55" s="5" t="s">
        <v>10</v>
      </c>
    </row>
    <row r="56" spans="1:9" s="7" customFormat="1" ht="21.6" customHeight="1" x14ac:dyDescent="0.25">
      <c r="A56" s="4">
        <f>SUBTOTAL(3,F$3:F56)</f>
        <v>54</v>
      </c>
      <c r="B56" s="32" t="s">
        <v>39</v>
      </c>
      <c r="C56" s="32"/>
      <c r="D56" s="32"/>
      <c r="E56" s="5" t="s">
        <v>46</v>
      </c>
      <c r="F56" s="5" t="s">
        <v>122</v>
      </c>
      <c r="G56" s="33">
        <v>901666198</v>
      </c>
      <c r="H56" s="6" t="s">
        <v>28</v>
      </c>
      <c r="I56" s="5" t="s">
        <v>82</v>
      </c>
    </row>
    <row r="57" spans="1:9" s="7" customFormat="1" ht="21.6" customHeight="1" x14ac:dyDescent="0.25">
      <c r="A57" s="4">
        <f>SUBTOTAL(3,F$3:F57)</f>
        <v>55</v>
      </c>
      <c r="B57" s="32" t="s">
        <v>39</v>
      </c>
      <c r="C57" s="32"/>
      <c r="D57" s="32"/>
      <c r="E57" s="5" t="s">
        <v>46</v>
      </c>
      <c r="F57" s="5" t="s">
        <v>123</v>
      </c>
      <c r="G57" s="33">
        <v>951140730</v>
      </c>
      <c r="H57" s="6" t="s">
        <v>28</v>
      </c>
      <c r="I57" s="5" t="s">
        <v>57</v>
      </c>
    </row>
    <row r="58" spans="1:9" s="7" customFormat="1" ht="21.6" customHeight="1" x14ac:dyDescent="0.25">
      <c r="A58" s="4">
        <f>SUBTOTAL(3,F$3:F58)</f>
        <v>56</v>
      </c>
      <c r="B58" s="32" t="s">
        <v>39</v>
      </c>
      <c r="C58" s="32"/>
      <c r="D58" s="32"/>
      <c r="E58" s="5" t="s">
        <v>125</v>
      </c>
      <c r="F58" s="5" t="s">
        <v>124</v>
      </c>
      <c r="G58" s="33">
        <v>900316100</v>
      </c>
      <c r="H58" s="6" t="s">
        <v>126</v>
      </c>
      <c r="I58" s="5" t="s">
        <v>127</v>
      </c>
    </row>
    <row r="59" spans="1:9" s="7" customFormat="1" ht="21.6" customHeight="1" x14ac:dyDescent="0.25">
      <c r="A59" s="4">
        <f>SUBTOTAL(3,F$3:F59)</f>
        <v>57</v>
      </c>
      <c r="B59" s="32" t="s">
        <v>39</v>
      </c>
      <c r="C59" s="32"/>
      <c r="D59" s="32"/>
      <c r="E59" s="5" t="s">
        <v>125</v>
      </c>
      <c r="F59" s="5" t="s">
        <v>128</v>
      </c>
      <c r="G59" s="33">
        <v>926676032</v>
      </c>
      <c r="H59" s="6" t="s">
        <v>126</v>
      </c>
      <c r="I59" s="5" t="s">
        <v>127</v>
      </c>
    </row>
    <row r="60" spans="1:9" s="7" customFormat="1" ht="21.6" customHeight="1" x14ac:dyDescent="0.25">
      <c r="A60" s="4">
        <f>SUBTOTAL(3,F$3:F60)</f>
        <v>58</v>
      </c>
      <c r="B60" s="32" t="s">
        <v>39</v>
      </c>
      <c r="C60" s="32"/>
      <c r="D60" s="32"/>
      <c r="E60" s="5" t="s">
        <v>125</v>
      </c>
      <c r="F60" s="5" t="s">
        <v>129</v>
      </c>
      <c r="G60" s="33">
        <v>906610860</v>
      </c>
      <c r="H60" s="6" t="s">
        <v>126</v>
      </c>
      <c r="I60" s="5" t="s">
        <v>127</v>
      </c>
    </row>
    <row r="61" spans="1:9" s="7" customFormat="1" ht="21.6" customHeight="1" x14ac:dyDescent="0.25">
      <c r="A61" s="4">
        <f>SUBTOTAL(3,F$3:F61)</f>
        <v>59</v>
      </c>
      <c r="B61" s="32" t="s">
        <v>39</v>
      </c>
      <c r="C61" s="32"/>
      <c r="D61" s="32"/>
      <c r="E61" s="5" t="s">
        <v>125</v>
      </c>
      <c r="F61" s="5" t="s">
        <v>130</v>
      </c>
      <c r="G61" s="33">
        <v>900245739</v>
      </c>
      <c r="H61" s="6" t="s">
        <v>126</v>
      </c>
      <c r="I61" s="5" t="s">
        <v>127</v>
      </c>
    </row>
    <row r="62" spans="1:9" s="7" customFormat="1" ht="21.6" customHeight="1" x14ac:dyDescent="0.25">
      <c r="A62" s="4">
        <f>SUBTOTAL(3,F$3:F62)</f>
        <v>60</v>
      </c>
      <c r="B62" s="32" t="s">
        <v>39</v>
      </c>
      <c r="C62" s="32"/>
      <c r="D62" s="32"/>
      <c r="E62" s="5" t="s">
        <v>125</v>
      </c>
      <c r="F62" s="5" t="s">
        <v>131</v>
      </c>
      <c r="G62" s="33">
        <v>900177130</v>
      </c>
      <c r="H62" s="6" t="s">
        <v>126</v>
      </c>
      <c r="I62" s="5" t="s">
        <v>127</v>
      </c>
    </row>
    <row r="63" spans="1:9" s="7" customFormat="1" ht="21.6" customHeight="1" x14ac:dyDescent="0.25">
      <c r="A63" s="4">
        <f>SUBTOTAL(3,F$3:F63)</f>
        <v>61</v>
      </c>
      <c r="B63" s="32" t="s">
        <v>39</v>
      </c>
      <c r="C63" s="32"/>
      <c r="D63" s="32"/>
      <c r="E63" s="5" t="s">
        <v>125</v>
      </c>
      <c r="F63" s="5" t="s">
        <v>132</v>
      </c>
      <c r="G63" s="33">
        <v>800088858</v>
      </c>
      <c r="H63" s="6" t="s">
        <v>133</v>
      </c>
      <c r="I63" s="5" t="s">
        <v>127</v>
      </c>
    </row>
    <row r="64" spans="1:9" s="7" customFormat="1" ht="21.6" customHeight="1" x14ac:dyDescent="0.25">
      <c r="A64" s="4">
        <f>SUBTOTAL(3,F$3:F64)</f>
        <v>62</v>
      </c>
      <c r="B64" s="32" t="s">
        <v>39</v>
      </c>
      <c r="C64" s="32"/>
      <c r="D64" s="32"/>
      <c r="E64" s="5" t="s">
        <v>125</v>
      </c>
      <c r="F64" s="5" t="s">
        <v>134</v>
      </c>
      <c r="G64" s="33">
        <v>931540074</v>
      </c>
      <c r="H64" s="6" t="s">
        <v>126</v>
      </c>
      <c r="I64" s="5" t="s">
        <v>127</v>
      </c>
    </row>
    <row r="65" spans="1:9" s="7" customFormat="1" ht="21.6" customHeight="1" x14ac:dyDescent="0.25">
      <c r="A65" s="4">
        <f>SUBTOTAL(3,F$3:F65)</f>
        <v>63</v>
      </c>
      <c r="B65" s="32" t="s">
        <v>39</v>
      </c>
      <c r="C65" s="32"/>
      <c r="D65" s="32"/>
      <c r="E65" s="5" t="s">
        <v>125</v>
      </c>
      <c r="F65" s="5" t="s">
        <v>135</v>
      </c>
      <c r="G65" s="33">
        <v>906723580</v>
      </c>
      <c r="H65" s="6" t="s">
        <v>126</v>
      </c>
      <c r="I65" s="5" t="s">
        <v>127</v>
      </c>
    </row>
    <row r="66" spans="1:9" s="7" customFormat="1" ht="21.6" customHeight="1" x14ac:dyDescent="0.25">
      <c r="A66" s="4">
        <f>SUBTOTAL(3,F$3:F66)</f>
        <v>64</v>
      </c>
      <c r="B66" s="32" t="s">
        <v>39</v>
      </c>
      <c r="C66" s="32"/>
      <c r="D66" s="32"/>
      <c r="E66" s="5" t="s">
        <v>125</v>
      </c>
      <c r="F66" s="5" t="s">
        <v>136</v>
      </c>
      <c r="G66" s="33">
        <v>800888703</v>
      </c>
      <c r="H66" s="6" t="s">
        <v>126</v>
      </c>
      <c r="I66" s="5" t="s">
        <v>127</v>
      </c>
    </row>
    <row r="67" spans="1:9" s="7" customFormat="1" ht="21.6" customHeight="1" x14ac:dyDescent="0.25">
      <c r="A67" s="4">
        <f>SUBTOTAL(3,F$3:F67)</f>
        <v>65</v>
      </c>
      <c r="B67" s="32" t="s">
        <v>39</v>
      </c>
      <c r="C67" s="32"/>
      <c r="D67" s="32"/>
      <c r="E67" s="5" t="s">
        <v>20</v>
      </c>
      <c r="F67" s="5" t="s">
        <v>137</v>
      </c>
      <c r="G67" s="33">
        <v>803019652</v>
      </c>
      <c r="H67" s="6" t="s">
        <v>121</v>
      </c>
      <c r="I67" s="5" t="s">
        <v>10</v>
      </c>
    </row>
    <row r="68" spans="1:9" s="7" customFormat="1" ht="21.6" customHeight="1" x14ac:dyDescent="0.25">
      <c r="A68" s="4">
        <f>SUBTOTAL(3,F$3:F68)</f>
        <v>66</v>
      </c>
      <c r="B68" s="32" t="s">
        <v>39</v>
      </c>
      <c r="C68" s="32"/>
      <c r="D68" s="32"/>
      <c r="E68" s="5" t="s">
        <v>46</v>
      </c>
      <c r="F68" s="5" t="s">
        <v>138</v>
      </c>
      <c r="G68" s="33">
        <v>901353441</v>
      </c>
      <c r="H68" s="6" t="s">
        <v>47</v>
      </c>
      <c r="I68" s="5" t="s">
        <v>57</v>
      </c>
    </row>
    <row r="69" spans="1:9" s="7" customFormat="1" ht="21.6" customHeight="1" x14ac:dyDescent="0.25">
      <c r="A69" s="4">
        <f>SUBTOTAL(3,F$3:F69)</f>
        <v>67</v>
      </c>
      <c r="B69" s="32" t="s">
        <v>39</v>
      </c>
      <c r="C69" s="13" t="s">
        <v>313</v>
      </c>
      <c r="D69" s="32"/>
      <c r="E69" s="26" t="s">
        <v>334</v>
      </c>
      <c r="F69" s="5" t="s">
        <v>139</v>
      </c>
      <c r="G69" s="33">
        <v>412384844</v>
      </c>
      <c r="H69" s="6" t="s">
        <v>41</v>
      </c>
      <c r="I69" s="5" t="s">
        <v>10</v>
      </c>
    </row>
    <row r="70" spans="1:9" s="7" customFormat="1" ht="21.6" customHeight="1" x14ac:dyDescent="0.25">
      <c r="A70" s="4">
        <f>SUBTOTAL(3,F$3:F70)</f>
        <v>68</v>
      </c>
      <c r="B70" s="32" t="s">
        <v>39</v>
      </c>
      <c r="C70" s="32"/>
      <c r="D70" s="32"/>
      <c r="E70" s="5" t="s">
        <v>125</v>
      </c>
      <c r="F70" s="5" t="s">
        <v>140</v>
      </c>
      <c r="G70" s="33">
        <v>905197620</v>
      </c>
      <c r="H70" s="6" t="s">
        <v>126</v>
      </c>
      <c r="I70" s="5" t="s">
        <v>127</v>
      </c>
    </row>
    <row r="71" spans="1:9" s="7" customFormat="1" ht="21.6" customHeight="1" x14ac:dyDescent="0.25">
      <c r="A71" s="4">
        <f>SUBTOTAL(3,F$3:F71)</f>
        <v>69</v>
      </c>
      <c r="B71" s="32" t="s">
        <v>39</v>
      </c>
      <c r="C71" s="32"/>
      <c r="D71" s="32"/>
      <c r="E71" s="5" t="s">
        <v>17</v>
      </c>
      <c r="F71" s="5" t="s">
        <v>141</v>
      </c>
      <c r="G71" s="33">
        <v>802846345</v>
      </c>
      <c r="H71" s="6" t="s">
        <v>41</v>
      </c>
      <c r="I71" s="5" t="s">
        <v>10</v>
      </c>
    </row>
    <row r="72" spans="1:9" s="7" customFormat="1" ht="21.6" customHeight="1" x14ac:dyDescent="0.25">
      <c r="A72" s="4">
        <f>SUBTOTAL(3,F$3:F72)</f>
        <v>70</v>
      </c>
      <c r="B72" s="32" t="s">
        <v>39</v>
      </c>
      <c r="C72" s="13" t="s">
        <v>315</v>
      </c>
      <c r="D72" s="32" t="s">
        <v>301</v>
      </c>
      <c r="E72" s="26" t="s">
        <v>336</v>
      </c>
      <c r="F72" s="5" t="s">
        <v>142</v>
      </c>
      <c r="G72" s="33">
        <v>802829184</v>
      </c>
      <c r="H72" s="6" t="s">
        <v>143</v>
      </c>
      <c r="I72" s="5" t="s">
        <v>10</v>
      </c>
    </row>
    <row r="73" spans="1:9" s="7" customFormat="1" ht="21.6" customHeight="1" x14ac:dyDescent="0.25">
      <c r="A73" s="4">
        <f>SUBTOTAL(3,F$3:F73)</f>
        <v>71</v>
      </c>
      <c r="B73" s="32" t="s">
        <v>39</v>
      </c>
      <c r="C73" s="32"/>
      <c r="D73" s="32"/>
      <c r="E73" s="5" t="s">
        <v>46</v>
      </c>
      <c r="F73" s="5" t="s">
        <v>144</v>
      </c>
      <c r="G73" s="33">
        <v>800395006</v>
      </c>
      <c r="H73" s="6" t="s">
        <v>47</v>
      </c>
      <c r="I73" s="5" t="s">
        <v>85</v>
      </c>
    </row>
    <row r="74" spans="1:9" s="7" customFormat="1" ht="21.6" customHeight="1" x14ac:dyDescent="0.25">
      <c r="A74" s="4">
        <f>SUBTOTAL(3,F$3:F74)</f>
        <v>72</v>
      </c>
      <c r="B74" s="32" t="s">
        <v>39</v>
      </c>
      <c r="C74" s="32"/>
      <c r="D74" s="32"/>
      <c r="E74" s="5" t="s">
        <v>146</v>
      </c>
      <c r="F74" s="5" t="s">
        <v>145</v>
      </c>
      <c r="G74" s="33">
        <v>905505996</v>
      </c>
      <c r="H74" s="6" t="s">
        <v>147</v>
      </c>
      <c r="I74" s="5" t="s">
        <v>10</v>
      </c>
    </row>
    <row r="75" spans="1:9" s="7" customFormat="1" ht="21.6" customHeight="1" x14ac:dyDescent="0.25">
      <c r="A75" s="4">
        <f>SUBTOTAL(3,F$3:F75)</f>
        <v>73</v>
      </c>
      <c r="B75" s="32" t="s">
        <v>39</v>
      </c>
      <c r="C75" s="32"/>
      <c r="D75" s="32"/>
      <c r="E75" s="5" t="s">
        <v>67</v>
      </c>
      <c r="F75" s="5" t="s">
        <v>148</v>
      </c>
      <c r="G75" s="33">
        <v>903636124</v>
      </c>
      <c r="H75" s="6" t="s">
        <v>149</v>
      </c>
      <c r="I75" s="5" t="s">
        <v>10</v>
      </c>
    </row>
    <row r="76" spans="1:9" s="7" customFormat="1" ht="21.6" customHeight="1" x14ac:dyDescent="0.25">
      <c r="A76" s="4">
        <f>SUBTOTAL(3,F$3:F76)</f>
        <v>74</v>
      </c>
      <c r="B76" s="32" t="s">
        <v>39</v>
      </c>
      <c r="C76" s="32"/>
      <c r="D76" s="32"/>
      <c r="E76" s="5" t="s">
        <v>46</v>
      </c>
      <c r="F76" s="5" t="s">
        <v>150</v>
      </c>
      <c r="G76" s="33">
        <v>802010496</v>
      </c>
      <c r="H76" s="6" t="s">
        <v>54</v>
      </c>
      <c r="I76" s="5" t="s">
        <v>10</v>
      </c>
    </row>
    <row r="77" spans="1:9" s="7" customFormat="1" ht="21.6" customHeight="1" x14ac:dyDescent="0.25">
      <c r="A77" s="4">
        <f>SUBTOTAL(3,F$3:F77)</f>
        <v>75</v>
      </c>
      <c r="B77" s="32" t="s">
        <v>39</v>
      </c>
      <c r="C77" s="32"/>
      <c r="D77" s="32"/>
      <c r="E77" s="5" t="s">
        <v>67</v>
      </c>
      <c r="F77" s="5" t="s">
        <v>151</v>
      </c>
      <c r="G77" s="33">
        <v>905271623</v>
      </c>
      <c r="H77" s="6" t="s">
        <v>149</v>
      </c>
      <c r="I77" s="5" t="s">
        <v>152</v>
      </c>
    </row>
    <row r="78" spans="1:9" s="7" customFormat="1" ht="21.6" customHeight="1" x14ac:dyDescent="0.25">
      <c r="A78" s="4">
        <f>SUBTOTAL(3,F$3:F78)</f>
        <v>76</v>
      </c>
      <c r="B78" s="32" t="s">
        <v>39</v>
      </c>
      <c r="C78" s="32"/>
      <c r="D78" s="32"/>
      <c r="E78" s="5" t="s">
        <v>125</v>
      </c>
      <c r="F78" s="5" t="s">
        <v>153</v>
      </c>
      <c r="G78" s="33">
        <v>801573387</v>
      </c>
      <c r="H78" s="6" t="s">
        <v>126</v>
      </c>
      <c r="I78" s="5" t="s">
        <v>127</v>
      </c>
    </row>
    <row r="79" spans="1:9" s="7" customFormat="1" ht="21.6" customHeight="1" x14ac:dyDescent="0.25">
      <c r="A79" s="4">
        <f>SUBTOTAL(3,F$3:F79)</f>
        <v>77</v>
      </c>
      <c r="B79" s="32" t="s">
        <v>39</v>
      </c>
      <c r="C79" s="32"/>
      <c r="D79" s="32"/>
      <c r="E79" s="5" t="s">
        <v>125</v>
      </c>
      <c r="F79" s="5" t="s">
        <v>154</v>
      </c>
      <c r="G79" s="33">
        <v>802629964</v>
      </c>
      <c r="H79" s="6" t="s">
        <v>126</v>
      </c>
      <c r="I79" s="5" t="s">
        <v>127</v>
      </c>
    </row>
    <row r="80" spans="1:9" s="7" customFormat="1" ht="21.6" customHeight="1" x14ac:dyDescent="0.25">
      <c r="A80" s="4">
        <f>SUBTOTAL(3,F$3:F80)</f>
        <v>78</v>
      </c>
      <c r="B80" s="32" t="s">
        <v>39</v>
      </c>
      <c r="C80" s="32"/>
      <c r="D80" s="32"/>
      <c r="E80" s="5" t="s">
        <v>125</v>
      </c>
      <c r="F80" s="5" t="s">
        <v>155</v>
      </c>
      <c r="G80" s="33">
        <v>903698306</v>
      </c>
      <c r="H80" s="6" t="s">
        <v>126</v>
      </c>
      <c r="I80" s="5" t="s">
        <v>127</v>
      </c>
    </row>
    <row r="81" spans="1:9" s="7" customFormat="1" ht="21.6" customHeight="1" x14ac:dyDescent="0.25">
      <c r="A81" s="4">
        <f>SUBTOTAL(3,F$3:F81)</f>
        <v>79</v>
      </c>
      <c r="B81" s="32" t="s">
        <v>39</v>
      </c>
      <c r="C81" s="32"/>
      <c r="D81" s="32"/>
      <c r="E81" s="5" t="s">
        <v>125</v>
      </c>
      <c r="F81" s="5" t="s">
        <v>156</v>
      </c>
      <c r="G81" s="33">
        <v>800372674</v>
      </c>
      <c r="H81" s="6" t="s">
        <v>126</v>
      </c>
      <c r="I81" s="5" t="s">
        <v>127</v>
      </c>
    </row>
    <row r="82" spans="1:9" s="7" customFormat="1" ht="21.6" customHeight="1" x14ac:dyDescent="0.25">
      <c r="A82" s="4">
        <f>SUBTOTAL(3,F$3:F82)</f>
        <v>80</v>
      </c>
      <c r="B82" s="32" t="s">
        <v>39</v>
      </c>
      <c r="C82" s="32"/>
      <c r="D82" s="32"/>
      <c r="E82" s="5" t="s">
        <v>125</v>
      </c>
      <c r="F82" s="5" t="s">
        <v>157</v>
      </c>
      <c r="G82" s="33">
        <v>803484575</v>
      </c>
      <c r="H82" s="6" t="s">
        <v>158</v>
      </c>
      <c r="I82" s="5" t="s">
        <v>127</v>
      </c>
    </row>
    <row r="83" spans="1:9" s="7" customFormat="1" ht="21.6" customHeight="1" x14ac:dyDescent="0.25">
      <c r="A83" s="4">
        <f>SUBTOTAL(3,F$3:F83)</f>
        <v>81</v>
      </c>
      <c r="B83" s="32" t="s">
        <v>39</v>
      </c>
      <c r="C83" s="32"/>
      <c r="D83" s="32"/>
      <c r="E83" s="5" t="s">
        <v>125</v>
      </c>
      <c r="F83" s="5" t="s">
        <v>159</v>
      </c>
      <c r="G83" s="33">
        <v>410201230</v>
      </c>
      <c r="H83" s="6" t="s">
        <v>158</v>
      </c>
      <c r="I83" s="5" t="s">
        <v>127</v>
      </c>
    </row>
    <row r="84" spans="1:9" s="7" customFormat="1" ht="21.6" customHeight="1" x14ac:dyDescent="0.25">
      <c r="A84" s="4">
        <f>SUBTOTAL(3,F$3:F84)</f>
        <v>82</v>
      </c>
      <c r="B84" s="32" t="s">
        <v>39</v>
      </c>
      <c r="C84" s="32"/>
      <c r="D84" s="32"/>
      <c r="E84" s="5" t="s">
        <v>125</v>
      </c>
      <c r="F84" s="5" t="s">
        <v>160</v>
      </c>
      <c r="G84" s="33">
        <v>905393211</v>
      </c>
      <c r="H84" s="6" t="s">
        <v>158</v>
      </c>
      <c r="I84" s="5" t="s">
        <v>127</v>
      </c>
    </row>
    <row r="85" spans="1:9" s="7" customFormat="1" ht="21.6" customHeight="1" x14ac:dyDescent="0.25">
      <c r="A85" s="4">
        <f>SUBTOTAL(3,F$3:F85)</f>
        <v>83</v>
      </c>
      <c r="B85" s="32" t="s">
        <v>39</v>
      </c>
      <c r="C85" s="32"/>
      <c r="D85" s="32"/>
      <c r="E85" s="5" t="s">
        <v>125</v>
      </c>
      <c r="F85" s="5" t="s">
        <v>161</v>
      </c>
      <c r="G85" s="33">
        <v>800480568</v>
      </c>
      <c r="H85" s="6" t="s">
        <v>126</v>
      </c>
      <c r="I85" s="5" t="s">
        <v>127</v>
      </c>
    </row>
    <row r="86" spans="1:9" s="7" customFormat="1" ht="21.6" customHeight="1" x14ac:dyDescent="0.25">
      <c r="A86" s="4">
        <f>SUBTOTAL(3,F$3:F86)</f>
        <v>84</v>
      </c>
      <c r="B86" s="32" t="s">
        <v>39</v>
      </c>
      <c r="C86" s="32"/>
      <c r="D86" s="32"/>
      <c r="E86" s="5" t="s">
        <v>32</v>
      </c>
      <c r="F86" s="5" t="s">
        <v>162</v>
      </c>
      <c r="G86" s="33">
        <v>404533903</v>
      </c>
      <c r="H86" s="6" t="s">
        <v>163</v>
      </c>
      <c r="I86" s="5" t="s">
        <v>10</v>
      </c>
    </row>
    <row r="87" spans="1:9" s="7" customFormat="1" ht="21.6" customHeight="1" x14ac:dyDescent="0.25">
      <c r="A87" s="4">
        <f>SUBTOTAL(3,F$3:F87)</f>
        <v>85</v>
      </c>
      <c r="B87" s="32" t="s">
        <v>39</v>
      </c>
      <c r="C87" s="32"/>
      <c r="D87" s="32"/>
      <c r="E87" s="5" t="s">
        <v>32</v>
      </c>
      <c r="F87" s="5" t="s">
        <v>164</v>
      </c>
      <c r="G87" s="33">
        <v>402965628</v>
      </c>
      <c r="H87" s="6" t="s">
        <v>163</v>
      </c>
      <c r="I87" s="5" t="s">
        <v>10</v>
      </c>
    </row>
    <row r="88" spans="1:9" s="7" customFormat="1" ht="21.6" customHeight="1" x14ac:dyDescent="0.25">
      <c r="A88" s="4">
        <f>SUBTOTAL(3,F$3:F88)</f>
        <v>86</v>
      </c>
      <c r="B88" s="32" t="s">
        <v>39</v>
      </c>
      <c r="C88" s="32"/>
      <c r="D88" s="32"/>
      <c r="E88" s="5" t="s">
        <v>32</v>
      </c>
      <c r="F88" s="5" t="s">
        <v>165</v>
      </c>
      <c r="G88" s="33">
        <v>404633455</v>
      </c>
      <c r="H88" s="6" t="s">
        <v>163</v>
      </c>
      <c r="I88" s="5" t="s">
        <v>10</v>
      </c>
    </row>
    <row r="89" spans="1:9" s="7" customFormat="1" ht="21.6" customHeight="1" x14ac:dyDescent="0.25">
      <c r="A89" s="4">
        <f>SUBTOTAL(3,F$3:F89)</f>
        <v>87</v>
      </c>
      <c r="B89" s="32" t="s">
        <v>39</v>
      </c>
      <c r="C89" s="32"/>
      <c r="D89" s="32"/>
      <c r="E89" s="5" t="s">
        <v>46</v>
      </c>
      <c r="F89" s="5" t="s">
        <v>166</v>
      </c>
      <c r="G89" s="33">
        <v>411038284</v>
      </c>
      <c r="H89" s="6" t="s">
        <v>28</v>
      </c>
      <c r="I89" s="5" t="s">
        <v>10</v>
      </c>
    </row>
    <row r="90" spans="1:9" s="7" customFormat="1" ht="21.6" customHeight="1" x14ac:dyDescent="0.25">
      <c r="A90" s="4">
        <f>SUBTOTAL(3,F$3:F90)</f>
        <v>88</v>
      </c>
      <c r="B90" s="32" t="s">
        <v>39</v>
      </c>
      <c r="C90" s="13" t="s">
        <v>312</v>
      </c>
      <c r="D90" s="32" t="s">
        <v>301</v>
      </c>
      <c r="E90" s="27" t="s">
        <v>395</v>
      </c>
      <c r="F90" s="5" t="s">
        <v>167</v>
      </c>
      <c r="G90" s="33">
        <v>915324479</v>
      </c>
      <c r="H90" s="6" t="s">
        <v>168</v>
      </c>
      <c r="I90" s="5" t="s">
        <v>10</v>
      </c>
    </row>
    <row r="91" spans="1:9" s="7" customFormat="1" ht="21.6" customHeight="1" x14ac:dyDescent="0.25">
      <c r="A91" s="4">
        <f>SUBTOTAL(3,F$3:F91)</f>
        <v>89</v>
      </c>
      <c r="B91" s="32" t="s">
        <v>39</v>
      </c>
      <c r="C91" s="32"/>
      <c r="D91" s="32"/>
      <c r="E91" s="5" t="s">
        <v>77</v>
      </c>
      <c r="F91" s="5" t="s">
        <v>169</v>
      </c>
      <c r="G91" s="33">
        <v>921897336</v>
      </c>
      <c r="H91" s="6" t="s">
        <v>78</v>
      </c>
      <c r="I91" s="5" t="s">
        <v>10</v>
      </c>
    </row>
    <row r="92" spans="1:9" s="7" customFormat="1" ht="21.6" customHeight="1" x14ac:dyDescent="0.25">
      <c r="A92" s="4">
        <f>SUBTOTAL(3,F$3:F92)</f>
        <v>90</v>
      </c>
      <c r="B92" s="32" t="s">
        <v>39</v>
      </c>
      <c r="C92" s="13" t="s">
        <v>313</v>
      </c>
      <c r="D92" s="32" t="s">
        <v>738</v>
      </c>
      <c r="E92" s="26" t="s">
        <v>334</v>
      </c>
      <c r="F92" s="5" t="s">
        <v>170</v>
      </c>
      <c r="G92" s="33">
        <v>909114696</v>
      </c>
      <c r="H92" s="6" t="s">
        <v>30</v>
      </c>
      <c r="I92" s="5" t="s">
        <v>10</v>
      </c>
    </row>
    <row r="93" spans="1:9" s="7" customFormat="1" ht="21.6" customHeight="1" x14ac:dyDescent="0.25">
      <c r="A93" s="4">
        <f>SUBTOTAL(3,F$3:F93)</f>
        <v>91</v>
      </c>
      <c r="B93" s="32" t="s">
        <v>39</v>
      </c>
      <c r="C93" s="13" t="s">
        <v>314</v>
      </c>
      <c r="D93" s="32" t="s">
        <v>738</v>
      </c>
      <c r="E93" s="35" t="s">
        <v>734</v>
      </c>
      <c r="F93" s="5" t="s">
        <v>171</v>
      </c>
      <c r="G93" s="33">
        <v>801530627</v>
      </c>
      <c r="H93" s="6" t="s">
        <v>28</v>
      </c>
      <c r="I93" s="5" t="s">
        <v>10</v>
      </c>
    </row>
    <row r="94" spans="1:9" s="7" customFormat="1" ht="21.6" customHeight="1" x14ac:dyDescent="0.25">
      <c r="A94" s="4">
        <f>SUBTOTAL(3,F$3:F94)</f>
        <v>92</v>
      </c>
      <c r="B94" s="32" t="s">
        <v>39</v>
      </c>
      <c r="C94" s="32"/>
      <c r="D94" s="32"/>
      <c r="E94" s="5" t="s">
        <v>46</v>
      </c>
      <c r="F94" s="5" t="s">
        <v>172</v>
      </c>
      <c r="G94" s="33">
        <v>801952771</v>
      </c>
      <c r="H94" s="6" t="s">
        <v>47</v>
      </c>
      <c r="I94" s="5" t="s">
        <v>63</v>
      </c>
    </row>
    <row r="95" spans="1:9" s="7" customFormat="1" ht="21.6" customHeight="1" x14ac:dyDescent="0.25">
      <c r="A95" s="4">
        <f>SUBTOTAL(3,F$3:F95)</f>
        <v>93</v>
      </c>
      <c r="B95" s="32" t="s">
        <v>39</v>
      </c>
      <c r="C95" s="32"/>
      <c r="D95" s="32"/>
      <c r="E95" s="5" t="s">
        <v>46</v>
      </c>
      <c r="F95" s="5" t="s">
        <v>173</v>
      </c>
      <c r="G95" s="33">
        <v>938986791</v>
      </c>
      <c r="H95" s="6" t="s">
        <v>47</v>
      </c>
      <c r="I95" s="5" t="s">
        <v>52</v>
      </c>
    </row>
    <row r="96" spans="1:9" s="7" customFormat="1" ht="21.6" customHeight="1" x14ac:dyDescent="0.25">
      <c r="A96" s="4">
        <f>SUBTOTAL(3,F$3:F96)</f>
        <v>94</v>
      </c>
      <c r="B96" s="32" t="s">
        <v>39</v>
      </c>
      <c r="C96" s="13" t="s">
        <v>313</v>
      </c>
      <c r="D96" s="32" t="s">
        <v>738</v>
      </c>
      <c r="E96" s="26" t="s">
        <v>334</v>
      </c>
      <c r="F96" s="5" t="s">
        <v>174</v>
      </c>
      <c r="G96" s="33">
        <v>801955832</v>
      </c>
      <c r="H96" s="6" t="s">
        <v>30</v>
      </c>
      <c r="I96" s="5" t="s">
        <v>10</v>
      </c>
    </row>
    <row r="97" spans="1:9" s="7" customFormat="1" ht="21.6" customHeight="1" x14ac:dyDescent="0.25">
      <c r="A97" s="4">
        <f>SUBTOTAL(3,F$3:F97)</f>
        <v>95</v>
      </c>
      <c r="B97" s="32" t="s">
        <v>39</v>
      </c>
      <c r="C97" s="32"/>
      <c r="D97" s="32"/>
      <c r="E97" s="5" t="s">
        <v>46</v>
      </c>
      <c r="F97" s="5" t="s">
        <v>175</v>
      </c>
      <c r="G97" s="33">
        <v>801701251</v>
      </c>
      <c r="H97" s="6" t="s">
        <v>47</v>
      </c>
      <c r="I97" s="5" t="s">
        <v>48</v>
      </c>
    </row>
    <row r="98" spans="1:9" s="7" customFormat="1" ht="21.6" customHeight="1" x14ac:dyDescent="0.25">
      <c r="A98" s="4">
        <f>SUBTOTAL(3,F$3:F98)</f>
        <v>96</v>
      </c>
      <c r="B98" s="32" t="s">
        <v>39</v>
      </c>
      <c r="C98" s="32"/>
      <c r="D98" s="32"/>
      <c r="E98" s="5" t="s">
        <v>46</v>
      </c>
      <c r="F98" s="5" t="s">
        <v>176</v>
      </c>
      <c r="G98" s="33">
        <v>800663239</v>
      </c>
      <c r="H98" s="6" t="s">
        <v>47</v>
      </c>
      <c r="I98" s="5" t="s">
        <v>82</v>
      </c>
    </row>
    <row r="99" spans="1:9" s="7" customFormat="1" ht="21.6" customHeight="1" x14ac:dyDescent="0.25">
      <c r="A99" s="4">
        <f>SUBTOTAL(3,F$3:F99)</f>
        <v>97</v>
      </c>
      <c r="B99" s="32" t="s">
        <v>39</v>
      </c>
      <c r="C99" s="32"/>
      <c r="D99" s="32"/>
      <c r="E99" s="5" t="s">
        <v>46</v>
      </c>
      <c r="F99" s="5" t="s">
        <v>177</v>
      </c>
      <c r="G99" s="33">
        <v>800515256</v>
      </c>
      <c r="H99" s="6" t="s">
        <v>47</v>
      </c>
      <c r="I99" s="5" t="s">
        <v>57</v>
      </c>
    </row>
    <row r="100" spans="1:9" s="7" customFormat="1" ht="21.6" customHeight="1" x14ac:dyDescent="0.25">
      <c r="A100" s="4">
        <f>SUBTOTAL(3,F$3:F100)</f>
        <v>98</v>
      </c>
      <c r="B100" s="32" t="s">
        <v>39</v>
      </c>
      <c r="C100" s="32"/>
      <c r="D100" s="32"/>
      <c r="E100" s="5" t="s">
        <v>46</v>
      </c>
      <c r="F100" s="5" t="s">
        <v>178</v>
      </c>
      <c r="G100" s="33">
        <v>900493495</v>
      </c>
      <c r="H100" s="6" t="s">
        <v>47</v>
      </c>
      <c r="I100" s="5" t="s">
        <v>57</v>
      </c>
    </row>
    <row r="101" spans="1:9" s="7" customFormat="1" ht="21.6" customHeight="1" x14ac:dyDescent="0.25">
      <c r="A101" s="4">
        <f>SUBTOTAL(3,F$3:F101)</f>
        <v>99</v>
      </c>
      <c r="B101" s="32" t="s">
        <v>39</v>
      </c>
      <c r="C101" s="32"/>
      <c r="D101" s="32"/>
      <c r="E101" s="5" t="s">
        <v>46</v>
      </c>
      <c r="F101" s="5" t="s">
        <v>179</v>
      </c>
      <c r="G101" s="33">
        <v>903189827</v>
      </c>
      <c r="H101" s="6" t="s">
        <v>180</v>
      </c>
      <c r="I101" s="5" t="s">
        <v>48</v>
      </c>
    </row>
    <row r="102" spans="1:9" s="7" customFormat="1" ht="21.6" customHeight="1" x14ac:dyDescent="0.25">
      <c r="A102" s="4">
        <f>SUBTOTAL(3,F$3:F102)</f>
        <v>100</v>
      </c>
      <c r="B102" s="32" t="s">
        <v>39</v>
      </c>
      <c r="C102" s="32"/>
      <c r="D102" s="32"/>
      <c r="E102" s="5" t="s">
        <v>46</v>
      </c>
      <c r="F102" s="5" t="s">
        <v>181</v>
      </c>
      <c r="G102" s="33">
        <v>400819827</v>
      </c>
      <c r="H102" s="6" t="s">
        <v>84</v>
      </c>
      <c r="I102" s="5" t="s">
        <v>63</v>
      </c>
    </row>
    <row r="103" spans="1:9" s="7" customFormat="1" ht="21.6" customHeight="1" x14ac:dyDescent="0.25">
      <c r="A103" s="4">
        <f>SUBTOTAL(3,F$3:F103)</f>
        <v>101</v>
      </c>
      <c r="B103" s="32" t="s">
        <v>39</v>
      </c>
      <c r="C103" s="32"/>
      <c r="D103" s="32"/>
      <c r="E103" s="5" t="s">
        <v>183</v>
      </c>
      <c r="F103" s="5" t="s">
        <v>182</v>
      </c>
      <c r="G103" s="33">
        <v>804577476</v>
      </c>
      <c r="H103" s="6" t="s">
        <v>184</v>
      </c>
      <c r="I103" s="5" t="s">
        <v>10</v>
      </c>
    </row>
    <row r="104" spans="1:9" s="7" customFormat="1" ht="21.6" customHeight="1" x14ac:dyDescent="0.25">
      <c r="A104" s="4">
        <f>SUBTOTAL(3,F$3:F104)</f>
        <v>102</v>
      </c>
      <c r="B104" s="32" t="s">
        <v>39</v>
      </c>
      <c r="C104" s="32"/>
      <c r="D104" s="32"/>
      <c r="E104" s="5" t="s">
        <v>146</v>
      </c>
      <c r="F104" s="5" t="s">
        <v>185</v>
      </c>
      <c r="G104" s="33">
        <v>803762947</v>
      </c>
      <c r="H104" s="6" t="s">
        <v>147</v>
      </c>
      <c r="I104" s="5" t="s">
        <v>10</v>
      </c>
    </row>
    <row r="105" spans="1:9" s="7" customFormat="1" ht="21.6" customHeight="1" x14ac:dyDescent="0.25">
      <c r="A105" s="4">
        <f>SUBTOTAL(3,F$3:F105)</f>
        <v>103</v>
      </c>
      <c r="B105" s="32" t="s">
        <v>39</v>
      </c>
      <c r="C105" s="32"/>
      <c r="D105" s="32"/>
      <c r="E105" s="5" t="s">
        <v>146</v>
      </c>
      <c r="F105" s="5" t="s">
        <v>186</v>
      </c>
      <c r="G105" s="33">
        <v>800398638</v>
      </c>
      <c r="H105" s="6" t="s">
        <v>149</v>
      </c>
      <c r="I105" s="5" t="s">
        <v>10</v>
      </c>
    </row>
    <row r="106" spans="1:9" s="7" customFormat="1" ht="21.6" customHeight="1" x14ac:dyDescent="0.25">
      <c r="A106" s="4">
        <f>SUBTOTAL(3,F$3:F106)</f>
        <v>104</v>
      </c>
      <c r="B106" s="32" t="s">
        <v>39</v>
      </c>
      <c r="C106" s="32"/>
      <c r="D106" s="32"/>
      <c r="E106" s="5" t="s">
        <v>188</v>
      </c>
      <c r="F106" s="5" t="s">
        <v>187</v>
      </c>
      <c r="G106" s="33">
        <v>456102912</v>
      </c>
      <c r="H106" s="6" t="s">
        <v>149</v>
      </c>
      <c r="I106" s="5" t="s">
        <v>152</v>
      </c>
    </row>
    <row r="107" spans="1:9" s="7" customFormat="1" ht="21.6" customHeight="1" x14ac:dyDescent="0.25">
      <c r="A107" s="4">
        <f>SUBTOTAL(3,F$3:F107)</f>
        <v>105</v>
      </c>
      <c r="B107" s="32" t="s">
        <v>39</v>
      </c>
      <c r="C107" s="13" t="s">
        <v>312</v>
      </c>
      <c r="D107" s="32" t="s">
        <v>301</v>
      </c>
      <c r="E107" s="34" t="s">
        <v>333</v>
      </c>
      <c r="F107" s="5" t="s">
        <v>189</v>
      </c>
      <c r="G107" s="33">
        <v>802702233</v>
      </c>
      <c r="H107" s="6" t="s">
        <v>190</v>
      </c>
      <c r="I107" s="5" t="s">
        <v>10</v>
      </c>
    </row>
    <row r="108" spans="1:9" s="7" customFormat="1" ht="21.6" customHeight="1" x14ac:dyDescent="0.25">
      <c r="A108" s="4">
        <f>SUBTOTAL(3,F$3:F108)</f>
        <v>106</v>
      </c>
      <c r="B108" s="32" t="s">
        <v>39</v>
      </c>
      <c r="C108" s="32"/>
      <c r="D108" s="32"/>
      <c r="E108" s="5" t="s">
        <v>46</v>
      </c>
      <c r="F108" s="5" t="s">
        <v>191</v>
      </c>
      <c r="G108" s="33">
        <v>802221010</v>
      </c>
      <c r="H108" s="6" t="s">
        <v>28</v>
      </c>
      <c r="I108" s="5" t="s">
        <v>48</v>
      </c>
    </row>
    <row r="109" spans="1:9" s="7" customFormat="1" ht="21.6" customHeight="1" x14ac:dyDescent="0.25">
      <c r="A109" s="4">
        <f>SUBTOTAL(3,F$3:F109)</f>
        <v>107</v>
      </c>
      <c r="B109" s="32" t="s">
        <v>39</v>
      </c>
      <c r="C109" s="32"/>
      <c r="D109" s="32"/>
      <c r="E109" s="5" t="s">
        <v>188</v>
      </c>
      <c r="F109" s="5" t="s">
        <v>192</v>
      </c>
      <c r="G109" s="33">
        <v>939259545</v>
      </c>
      <c r="H109" s="6" t="s">
        <v>149</v>
      </c>
      <c r="I109" s="5" t="s">
        <v>152</v>
      </c>
    </row>
    <row r="110" spans="1:9" s="7" customFormat="1" ht="21.6" customHeight="1" x14ac:dyDescent="0.25">
      <c r="A110" s="4">
        <f>SUBTOTAL(3,F$3:F110)</f>
        <v>108</v>
      </c>
      <c r="B110" s="32" t="s">
        <v>39</v>
      </c>
      <c r="C110" s="32"/>
      <c r="D110" s="32"/>
      <c r="E110" s="5" t="s">
        <v>46</v>
      </c>
      <c r="F110" s="5" t="s">
        <v>193</v>
      </c>
      <c r="G110" s="33">
        <v>800631954</v>
      </c>
      <c r="H110" s="6" t="s">
        <v>47</v>
      </c>
      <c r="I110" s="5" t="s">
        <v>63</v>
      </c>
    </row>
    <row r="111" spans="1:9" s="7" customFormat="1" ht="21.6" customHeight="1" x14ac:dyDescent="0.25">
      <c r="A111" s="4">
        <f>SUBTOTAL(3,F$3:F111)</f>
        <v>109</v>
      </c>
      <c r="B111" s="32" t="s">
        <v>39</v>
      </c>
      <c r="C111" s="32"/>
      <c r="D111" s="32"/>
      <c r="E111" s="5" t="s">
        <v>46</v>
      </c>
      <c r="F111" s="5" t="s">
        <v>194</v>
      </c>
      <c r="G111" s="33">
        <v>800742470</v>
      </c>
      <c r="H111" s="6" t="s">
        <v>47</v>
      </c>
      <c r="I111" s="5" t="s">
        <v>90</v>
      </c>
    </row>
    <row r="112" spans="1:9" s="7" customFormat="1" ht="21.6" customHeight="1" x14ac:dyDescent="0.25">
      <c r="A112" s="4">
        <f>SUBTOTAL(3,F$3:F112)</f>
        <v>110</v>
      </c>
      <c r="B112" s="32" t="s">
        <v>39</v>
      </c>
      <c r="C112" s="32"/>
      <c r="D112" s="32"/>
      <c r="E112" s="5" t="s">
        <v>46</v>
      </c>
      <c r="F112" s="5" t="s">
        <v>195</v>
      </c>
      <c r="G112" s="33">
        <v>411975089</v>
      </c>
      <c r="H112" s="6" t="s">
        <v>47</v>
      </c>
      <c r="I112" s="5" t="s">
        <v>90</v>
      </c>
    </row>
    <row r="113" spans="1:9" s="7" customFormat="1" ht="21.6" customHeight="1" x14ac:dyDescent="0.25">
      <c r="A113" s="4">
        <f>SUBTOTAL(3,F$3:F113)</f>
        <v>111</v>
      </c>
      <c r="B113" s="32" t="s">
        <v>39</v>
      </c>
      <c r="C113" s="32"/>
      <c r="D113" s="32"/>
      <c r="E113" s="5" t="s">
        <v>32</v>
      </c>
      <c r="F113" s="5" t="s">
        <v>196</v>
      </c>
      <c r="G113" s="33">
        <v>408781441</v>
      </c>
      <c r="H113" s="6" t="s">
        <v>197</v>
      </c>
      <c r="I113" s="5" t="s">
        <v>10</v>
      </c>
    </row>
    <row r="114" spans="1:9" s="7" customFormat="1" ht="21.6" customHeight="1" x14ac:dyDescent="0.25">
      <c r="A114" s="4">
        <f>SUBTOTAL(3,F$3:F114)</f>
        <v>112</v>
      </c>
      <c r="B114" s="32" t="s">
        <v>39</v>
      </c>
      <c r="C114" s="13" t="s">
        <v>314</v>
      </c>
      <c r="D114" s="32"/>
      <c r="E114" s="35" t="s">
        <v>734</v>
      </c>
      <c r="F114" s="5" t="s">
        <v>198</v>
      </c>
      <c r="G114" s="33">
        <v>410144000</v>
      </c>
      <c r="H114" s="6" t="s">
        <v>199</v>
      </c>
      <c r="I114" s="5" t="s">
        <v>10</v>
      </c>
    </row>
    <row r="115" spans="1:9" s="7" customFormat="1" ht="21.6" customHeight="1" x14ac:dyDescent="0.25">
      <c r="A115" s="4">
        <f>SUBTOTAL(3,F$3:F115)</f>
        <v>113</v>
      </c>
      <c r="B115" s="32" t="s">
        <v>200</v>
      </c>
      <c r="C115" s="32"/>
      <c r="D115" s="32"/>
      <c r="E115" s="5" t="s">
        <v>188</v>
      </c>
      <c r="F115" s="5" t="s">
        <v>201</v>
      </c>
      <c r="G115" s="33">
        <v>957462625</v>
      </c>
      <c r="H115" s="6" t="s">
        <v>147</v>
      </c>
      <c r="I115" s="5" t="s">
        <v>202</v>
      </c>
    </row>
    <row r="116" spans="1:9" s="7" customFormat="1" ht="21.6" customHeight="1" x14ac:dyDescent="0.25">
      <c r="A116" s="4">
        <f>SUBTOTAL(3,F$3:F116)</f>
        <v>114</v>
      </c>
      <c r="B116" s="32" t="s">
        <v>200</v>
      </c>
      <c r="C116" s="32"/>
      <c r="D116" s="32"/>
      <c r="E116" s="5" t="s">
        <v>188</v>
      </c>
      <c r="F116" s="5" t="s">
        <v>203</v>
      </c>
      <c r="G116" s="33">
        <v>967740002</v>
      </c>
      <c r="H116" s="6" t="s">
        <v>204</v>
      </c>
      <c r="I116" s="5" t="s">
        <v>202</v>
      </c>
    </row>
    <row r="117" spans="1:9" s="7" customFormat="1" ht="21.6" customHeight="1" x14ac:dyDescent="0.25">
      <c r="A117" s="4">
        <f>SUBTOTAL(3,F$3:F117)</f>
        <v>115</v>
      </c>
      <c r="B117" s="32" t="s">
        <v>200</v>
      </c>
      <c r="C117" s="32"/>
      <c r="D117" s="32"/>
      <c r="E117" s="5" t="s">
        <v>188</v>
      </c>
      <c r="F117" s="5" t="s">
        <v>205</v>
      </c>
      <c r="G117" s="33">
        <v>801314147</v>
      </c>
      <c r="H117" s="6" t="s">
        <v>204</v>
      </c>
      <c r="I117" s="5" t="s">
        <v>202</v>
      </c>
    </row>
    <row r="118" spans="1:9" s="7" customFormat="1" ht="21.6" customHeight="1" x14ac:dyDescent="0.25">
      <c r="A118" s="4">
        <f>SUBTOTAL(3,F$3:F118)</f>
        <v>116</v>
      </c>
      <c r="B118" s="32" t="s">
        <v>200</v>
      </c>
      <c r="C118" s="32"/>
      <c r="D118" s="32"/>
      <c r="E118" s="5" t="s">
        <v>188</v>
      </c>
      <c r="F118" s="5" t="s">
        <v>206</v>
      </c>
      <c r="G118" s="33">
        <v>803543081</v>
      </c>
      <c r="H118" s="6" t="s">
        <v>207</v>
      </c>
      <c r="I118" s="5" t="s">
        <v>202</v>
      </c>
    </row>
    <row r="119" spans="1:9" s="7" customFormat="1" ht="21.6" customHeight="1" x14ac:dyDescent="0.25">
      <c r="A119" s="4">
        <f>SUBTOTAL(3,F$3:F119)</f>
        <v>117</v>
      </c>
      <c r="B119" s="32" t="s">
        <v>200</v>
      </c>
      <c r="C119" s="32"/>
      <c r="D119" s="32"/>
      <c r="E119" s="5" t="s">
        <v>188</v>
      </c>
      <c r="F119" s="5" t="s">
        <v>208</v>
      </c>
      <c r="G119" s="33">
        <v>803211952</v>
      </c>
      <c r="H119" s="6" t="s">
        <v>209</v>
      </c>
      <c r="I119" s="5" t="s">
        <v>202</v>
      </c>
    </row>
    <row r="120" spans="1:9" s="7" customFormat="1" ht="21.6" customHeight="1" x14ac:dyDescent="0.25">
      <c r="A120" s="4">
        <f>SUBTOTAL(3,F$3:F120)</f>
        <v>118</v>
      </c>
      <c r="B120" s="32" t="s">
        <v>39</v>
      </c>
      <c r="C120" s="32"/>
      <c r="D120" s="32"/>
      <c r="E120" s="5" t="s">
        <v>125</v>
      </c>
      <c r="F120" s="5" t="s">
        <v>210</v>
      </c>
      <c r="G120" s="33">
        <v>802558890</v>
      </c>
      <c r="H120" s="6" t="s">
        <v>211</v>
      </c>
      <c r="I120" s="5" t="s">
        <v>127</v>
      </c>
    </row>
    <row r="121" spans="1:9" s="7" customFormat="1" ht="21.6" customHeight="1" x14ac:dyDescent="0.25">
      <c r="A121" s="4">
        <f>SUBTOTAL(3,F$3:F121)</f>
        <v>119</v>
      </c>
      <c r="B121" s="32" t="s">
        <v>39</v>
      </c>
      <c r="C121" s="32"/>
      <c r="D121" s="32"/>
      <c r="E121" s="5" t="s">
        <v>125</v>
      </c>
      <c r="F121" s="5" t="s">
        <v>212</v>
      </c>
      <c r="G121" s="33">
        <v>802706077</v>
      </c>
      <c r="H121" s="6" t="s">
        <v>126</v>
      </c>
      <c r="I121" s="5" t="s">
        <v>127</v>
      </c>
    </row>
    <row r="122" spans="1:9" s="7" customFormat="1" ht="21.6" customHeight="1" x14ac:dyDescent="0.25">
      <c r="A122" s="4">
        <f>SUBTOTAL(3,F$3:F122)</f>
        <v>120</v>
      </c>
      <c r="B122" s="32" t="s">
        <v>39</v>
      </c>
      <c r="C122" s="32"/>
      <c r="D122" s="32"/>
      <c r="E122" s="5" t="s">
        <v>125</v>
      </c>
      <c r="F122" s="5" t="s">
        <v>213</v>
      </c>
      <c r="G122" s="33">
        <v>400028197</v>
      </c>
      <c r="H122" s="6" t="s">
        <v>158</v>
      </c>
      <c r="I122" s="5" t="s">
        <v>127</v>
      </c>
    </row>
    <row r="123" spans="1:9" s="7" customFormat="1" ht="21.6" customHeight="1" x14ac:dyDescent="0.25">
      <c r="A123" s="4">
        <f>SUBTOTAL(3,F$3:F123)</f>
        <v>121</v>
      </c>
      <c r="B123" s="32" t="s">
        <v>39</v>
      </c>
      <c r="C123" s="32"/>
      <c r="D123" s="32"/>
      <c r="E123" s="5" t="s">
        <v>125</v>
      </c>
      <c r="F123" s="5" t="s">
        <v>214</v>
      </c>
      <c r="G123" s="33">
        <v>803266162</v>
      </c>
      <c r="H123" s="6" t="s">
        <v>158</v>
      </c>
      <c r="I123" s="5" t="s">
        <v>127</v>
      </c>
    </row>
    <row r="124" spans="1:9" s="7" customFormat="1" ht="21.6" customHeight="1" x14ac:dyDescent="0.25">
      <c r="A124" s="4">
        <f>SUBTOTAL(3,F$3:F124)</f>
        <v>122</v>
      </c>
      <c r="B124" s="32" t="s">
        <v>39</v>
      </c>
      <c r="C124" s="32"/>
      <c r="D124" s="32"/>
      <c r="E124" s="5" t="s">
        <v>125</v>
      </c>
      <c r="F124" s="5" t="s">
        <v>215</v>
      </c>
      <c r="G124" s="33">
        <v>801310939</v>
      </c>
      <c r="H124" s="6" t="s">
        <v>158</v>
      </c>
      <c r="I124" s="5" t="s">
        <v>127</v>
      </c>
    </row>
    <row r="125" spans="1:9" s="7" customFormat="1" ht="21.6" customHeight="1" x14ac:dyDescent="0.25">
      <c r="A125" s="4">
        <f>SUBTOTAL(3,F$3:F125)</f>
        <v>123</v>
      </c>
      <c r="B125" s="32" t="s">
        <v>39</v>
      </c>
      <c r="C125" s="32"/>
      <c r="D125" s="32"/>
      <c r="E125" s="5" t="s">
        <v>77</v>
      </c>
      <c r="F125" s="5" t="s">
        <v>216</v>
      </c>
      <c r="G125" s="33">
        <v>800664492</v>
      </c>
      <c r="H125" s="6" t="s">
        <v>78</v>
      </c>
      <c r="I125" s="5" t="s">
        <v>10</v>
      </c>
    </row>
    <row r="126" spans="1:9" s="7" customFormat="1" ht="21.6" customHeight="1" x14ac:dyDescent="0.25">
      <c r="A126" s="4">
        <f>SUBTOTAL(3,F$3:F126)</f>
        <v>124</v>
      </c>
      <c r="B126" s="32" t="s">
        <v>39</v>
      </c>
      <c r="C126" s="13" t="s">
        <v>314</v>
      </c>
      <c r="D126" s="32"/>
      <c r="E126" s="35" t="s">
        <v>734</v>
      </c>
      <c r="F126" s="5" t="s">
        <v>217</v>
      </c>
      <c r="G126" s="33">
        <v>900232257</v>
      </c>
      <c r="H126" s="6" t="s">
        <v>147</v>
      </c>
      <c r="I126" s="5" t="s">
        <v>10</v>
      </c>
    </row>
    <row r="127" spans="1:9" s="7" customFormat="1" ht="21.6" customHeight="1" x14ac:dyDescent="0.25">
      <c r="A127" s="4">
        <f>SUBTOTAL(3,F$3:F127)</f>
        <v>125</v>
      </c>
      <c r="B127" s="32" t="s">
        <v>39</v>
      </c>
      <c r="C127" s="13" t="s">
        <v>314</v>
      </c>
      <c r="D127" s="32" t="s">
        <v>84</v>
      </c>
      <c r="E127" s="35" t="s">
        <v>734</v>
      </c>
      <c r="F127" s="5" t="s">
        <v>218</v>
      </c>
      <c r="G127" s="33">
        <v>802949917</v>
      </c>
      <c r="H127" s="6" t="s">
        <v>68</v>
      </c>
      <c r="I127" s="5" t="s">
        <v>10</v>
      </c>
    </row>
    <row r="128" spans="1:9" s="7" customFormat="1" ht="21.6" customHeight="1" x14ac:dyDescent="0.25">
      <c r="A128" s="4">
        <f>SUBTOTAL(3,F$3:F128)</f>
        <v>126</v>
      </c>
      <c r="B128" s="32" t="s">
        <v>39</v>
      </c>
      <c r="C128" s="32"/>
      <c r="D128" s="32"/>
      <c r="E128" s="5" t="s">
        <v>220</v>
      </c>
      <c r="F128" s="5" t="s">
        <v>219</v>
      </c>
      <c r="G128" s="33">
        <v>801283805</v>
      </c>
      <c r="H128" s="6" t="s">
        <v>68</v>
      </c>
      <c r="I128" s="5" t="s">
        <v>10</v>
      </c>
    </row>
    <row r="129" spans="1:9" s="7" customFormat="1" ht="21.6" customHeight="1" x14ac:dyDescent="0.25">
      <c r="A129" s="4">
        <f>SUBTOTAL(3,F$3:F129)</f>
        <v>127</v>
      </c>
      <c r="B129" s="32" t="s">
        <v>39</v>
      </c>
      <c r="C129" s="32"/>
      <c r="D129" s="32"/>
      <c r="E129" s="5" t="s">
        <v>220</v>
      </c>
      <c r="F129" s="5" t="s">
        <v>221</v>
      </c>
      <c r="G129" s="33">
        <v>407165711</v>
      </c>
      <c r="H129" s="6" t="s">
        <v>68</v>
      </c>
      <c r="I129" s="5" t="s">
        <v>222</v>
      </c>
    </row>
    <row r="130" spans="1:9" s="7" customFormat="1" ht="21.6" customHeight="1" x14ac:dyDescent="0.25">
      <c r="A130" s="4">
        <f>SUBTOTAL(3,F$3:F130)</f>
        <v>128</v>
      </c>
      <c r="B130" s="32" t="s">
        <v>39</v>
      </c>
      <c r="C130" s="13" t="s">
        <v>314</v>
      </c>
      <c r="D130" s="32" t="s">
        <v>301</v>
      </c>
      <c r="E130" s="27" t="s">
        <v>346</v>
      </c>
      <c r="F130" s="5" t="s">
        <v>223</v>
      </c>
      <c r="G130" s="33">
        <v>801333352</v>
      </c>
      <c r="H130" s="6" t="s">
        <v>224</v>
      </c>
      <c r="I130" s="5" t="s">
        <v>90</v>
      </c>
    </row>
    <row r="131" spans="1:9" s="7" customFormat="1" ht="21.6" customHeight="1" x14ac:dyDescent="0.25">
      <c r="A131" s="4">
        <f>SUBTOTAL(3,F$3:F131)</f>
        <v>129</v>
      </c>
      <c r="B131" s="32" t="s">
        <v>39</v>
      </c>
      <c r="C131" s="32"/>
      <c r="D131" s="32"/>
      <c r="E131" s="5" t="s">
        <v>59</v>
      </c>
      <c r="F131" s="5" t="s">
        <v>225</v>
      </c>
      <c r="G131" s="33">
        <v>401871033</v>
      </c>
      <c r="H131" s="6" t="s">
        <v>149</v>
      </c>
      <c r="I131" s="5" t="s">
        <v>10</v>
      </c>
    </row>
    <row r="132" spans="1:9" s="7" customFormat="1" ht="21.6" customHeight="1" x14ac:dyDescent="0.25">
      <c r="A132" s="4">
        <f>SUBTOTAL(3,F$3:F132)</f>
        <v>130</v>
      </c>
      <c r="B132" s="32" t="s">
        <v>39</v>
      </c>
      <c r="C132" s="32"/>
      <c r="D132" s="32"/>
      <c r="E132" s="5" t="s">
        <v>146</v>
      </c>
      <c r="F132" s="5" t="s">
        <v>226</v>
      </c>
      <c r="G132" s="33">
        <v>939051140</v>
      </c>
      <c r="H132" s="6" t="s">
        <v>37</v>
      </c>
      <c r="I132" s="5" t="s">
        <v>10</v>
      </c>
    </row>
    <row r="133" spans="1:9" s="7" customFormat="1" ht="21.6" customHeight="1" x14ac:dyDescent="0.25">
      <c r="A133" s="4">
        <f>SUBTOTAL(3,F$3:F133)</f>
        <v>131</v>
      </c>
      <c r="B133" s="32" t="s">
        <v>39</v>
      </c>
      <c r="C133" s="32"/>
      <c r="D133" s="32"/>
      <c r="E133" s="5" t="s">
        <v>188</v>
      </c>
      <c r="F133" s="5" t="s">
        <v>227</v>
      </c>
      <c r="G133" s="33">
        <v>804596930</v>
      </c>
      <c r="H133" s="6" t="s">
        <v>149</v>
      </c>
      <c r="I133" s="5" t="s">
        <v>152</v>
      </c>
    </row>
    <row r="134" spans="1:9" s="7" customFormat="1" ht="21.6" customHeight="1" x14ac:dyDescent="0.25">
      <c r="A134" s="4">
        <f>SUBTOTAL(3,F$3:F134)</f>
        <v>132</v>
      </c>
      <c r="B134" s="32" t="s">
        <v>39</v>
      </c>
      <c r="C134" s="32"/>
      <c r="D134" s="32"/>
      <c r="E134" s="5" t="s">
        <v>188</v>
      </c>
      <c r="F134" s="5" t="s">
        <v>228</v>
      </c>
      <c r="G134" s="33">
        <v>802727164</v>
      </c>
      <c r="H134" s="6" t="s">
        <v>204</v>
      </c>
      <c r="I134" s="5" t="s">
        <v>108</v>
      </c>
    </row>
    <row r="135" spans="1:9" s="7" customFormat="1" ht="21.6" customHeight="1" x14ac:dyDescent="0.25">
      <c r="A135" s="4">
        <f>SUBTOTAL(3,F$3:F135)</f>
        <v>133</v>
      </c>
      <c r="B135" s="32" t="s">
        <v>39</v>
      </c>
      <c r="C135" s="32"/>
      <c r="D135" s="32"/>
      <c r="E135" s="5" t="s">
        <v>188</v>
      </c>
      <c r="F135" s="5" t="s">
        <v>229</v>
      </c>
      <c r="G135" s="33">
        <v>804543874</v>
      </c>
      <c r="H135" s="6" t="s">
        <v>149</v>
      </c>
      <c r="I135" s="5" t="s">
        <v>108</v>
      </c>
    </row>
    <row r="136" spans="1:9" s="7" customFormat="1" ht="21.6" customHeight="1" x14ac:dyDescent="0.25">
      <c r="A136" s="4">
        <f>SUBTOTAL(3,F$3:F136)</f>
        <v>134</v>
      </c>
      <c r="B136" s="32" t="s">
        <v>39</v>
      </c>
      <c r="C136" s="32"/>
      <c r="D136" s="32"/>
      <c r="E136" s="5" t="s">
        <v>188</v>
      </c>
      <c r="F136" s="5" t="s">
        <v>230</v>
      </c>
      <c r="G136" s="33">
        <v>800313843</v>
      </c>
      <c r="H136" s="6" t="s">
        <v>231</v>
      </c>
      <c r="I136" s="5" t="s">
        <v>108</v>
      </c>
    </row>
    <row r="137" spans="1:9" s="7" customFormat="1" ht="21.6" customHeight="1" x14ac:dyDescent="0.25">
      <c r="A137" s="4">
        <f>SUBTOTAL(3,F$3:F137)</f>
        <v>135</v>
      </c>
      <c r="B137" s="32" t="s">
        <v>39</v>
      </c>
      <c r="C137" s="32"/>
      <c r="D137" s="32"/>
      <c r="E137" s="5" t="s">
        <v>188</v>
      </c>
      <c r="F137" s="5" t="s">
        <v>232</v>
      </c>
      <c r="G137" s="33">
        <v>927266569</v>
      </c>
      <c r="H137" s="6" t="s">
        <v>149</v>
      </c>
      <c r="I137" s="5" t="s">
        <v>152</v>
      </c>
    </row>
    <row r="138" spans="1:9" s="7" customFormat="1" ht="21.6" customHeight="1" x14ac:dyDescent="0.25">
      <c r="A138" s="4">
        <f>SUBTOTAL(3,F$3:F138)</f>
        <v>136</v>
      </c>
      <c r="B138" s="32" t="s">
        <v>39</v>
      </c>
      <c r="C138" s="32"/>
      <c r="D138" s="32"/>
      <c r="E138" s="5" t="s">
        <v>188</v>
      </c>
      <c r="F138" s="5" t="s">
        <v>233</v>
      </c>
      <c r="G138" s="33">
        <v>804384113</v>
      </c>
      <c r="H138" s="6" t="s">
        <v>234</v>
      </c>
      <c r="I138" s="5" t="s">
        <v>152</v>
      </c>
    </row>
    <row r="139" spans="1:9" s="7" customFormat="1" ht="21.6" customHeight="1" x14ac:dyDescent="0.25">
      <c r="A139" s="4">
        <f>SUBTOTAL(3,F$3:F139)</f>
        <v>137</v>
      </c>
      <c r="B139" s="32" t="s">
        <v>39</v>
      </c>
      <c r="C139" s="32"/>
      <c r="D139" s="32"/>
      <c r="E139" s="5" t="s">
        <v>188</v>
      </c>
      <c r="F139" s="5" t="s">
        <v>235</v>
      </c>
      <c r="G139" s="33">
        <v>403602394</v>
      </c>
      <c r="H139" s="6" t="s">
        <v>149</v>
      </c>
      <c r="I139" s="5" t="s">
        <v>108</v>
      </c>
    </row>
    <row r="140" spans="1:9" s="7" customFormat="1" ht="21.6" customHeight="1" x14ac:dyDescent="0.25">
      <c r="A140" s="4">
        <f>SUBTOTAL(3,F$3:F140)</f>
        <v>138</v>
      </c>
      <c r="B140" s="32" t="s">
        <v>39</v>
      </c>
      <c r="C140" s="32"/>
      <c r="D140" s="32"/>
      <c r="E140" s="5" t="s">
        <v>188</v>
      </c>
      <c r="F140" s="5" t="s">
        <v>236</v>
      </c>
      <c r="G140" s="33">
        <v>908713043</v>
      </c>
      <c r="H140" s="6" t="s">
        <v>237</v>
      </c>
      <c r="I140" s="5" t="s">
        <v>152</v>
      </c>
    </row>
    <row r="141" spans="1:9" s="7" customFormat="1" ht="21.6" customHeight="1" x14ac:dyDescent="0.25">
      <c r="A141" s="4">
        <f>SUBTOTAL(3,F$3:F141)</f>
        <v>139</v>
      </c>
      <c r="B141" s="32" t="s">
        <v>39</v>
      </c>
      <c r="C141" s="32"/>
      <c r="D141" s="32"/>
      <c r="E141" s="5" t="s">
        <v>188</v>
      </c>
      <c r="F141" s="5" t="s">
        <v>238</v>
      </c>
      <c r="G141" s="33">
        <v>401186556</v>
      </c>
      <c r="H141" s="6" t="s">
        <v>149</v>
      </c>
      <c r="I141" s="5" t="s">
        <v>152</v>
      </c>
    </row>
    <row r="142" spans="1:9" s="7" customFormat="1" ht="21.6" customHeight="1" x14ac:dyDescent="0.25">
      <c r="A142" s="4">
        <f>SUBTOTAL(3,F$3:F142)</f>
        <v>140</v>
      </c>
      <c r="B142" s="32" t="s">
        <v>39</v>
      </c>
      <c r="C142" s="32"/>
      <c r="D142" s="32"/>
      <c r="E142" s="5" t="s">
        <v>188</v>
      </c>
      <c r="F142" s="5" t="s">
        <v>239</v>
      </c>
      <c r="G142" s="33">
        <v>900500950</v>
      </c>
      <c r="H142" s="6" t="s">
        <v>149</v>
      </c>
      <c r="I142" s="5" t="s">
        <v>152</v>
      </c>
    </row>
    <row r="143" spans="1:9" s="7" customFormat="1" ht="21.6" customHeight="1" x14ac:dyDescent="0.25">
      <c r="A143" s="4">
        <f>SUBTOTAL(3,F$3:F143)</f>
        <v>141</v>
      </c>
      <c r="B143" s="32" t="s">
        <v>39</v>
      </c>
      <c r="C143" s="32"/>
      <c r="D143" s="32"/>
      <c r="E143" s="5" t="s">
        <v>188</v>
      </c>
      <c r="F143" s="5" t="s">
        <v>240</v>
      </c>
      <c r="G143" s="33">
        <v>801029158</v>
      </c>
      <c r="H143" s="6" t="s">
        <v>241</v>
      </c>
      <c r="I143" s="5" t="s">
        <v>152</v>
      </c>
    </row>
    <row r="144" spans="1:9" s="7" customFormat="1" ht="21.6" customHeight="1" x14ac:dyDescent="0.25">
      <c r="A144" s="4">
        <f>SUBTOTAL(3,F$3:F144)</f>
        <v>142</v>
      </c>
      <c r="B144" s="32" t="s">
        <v>39</v>
      </c>
      <c r="C144" s="32"/>
      <c r="D144" s="32"/>
      <c r="E144" s="5" t="s">
        <v>188</v>
      </c>
      <c r="F144" s="5" t="s">
        <v>242</v>
      </c>
      <c r="G144" s="33">
        <v>800813073</v>
      </c>
      <c r="H144" s="6" t="s">
        <v>241</v>
      </c>
      <c r="I144" s="5" t="s">
        <v>152</v>
      </c>
    </row>
    <row r="145" spans="1:9" s="7" customFormat="1" ht="21.6" customHeight="1" x14ac:dyDescent="0.25">
      <c r="A145" s="4">
        <f>SUBTOTAL(3,F$3:F145)</f>
        <v>143</v>
      </c>
      <c r="B145" s="32" t="s">
        <v>39</v>
      </c>
      <c r="C145" s="32"/>
      <c r="D145" s="32"/>
      <c r="E145" s="5" t="s">
        <v>188</v>
      </c>
      <c r="F145" s="5" t="s">
        <v>243</v>
      </c>
      <c r="G145" s="33">
        <v>900290651</v>
      </c>
      <c r="H145" s="6" t="s">
        <v>84</v>
      </c>
      <c r="I145" s="5" t="s">
        <v>152</v>
      </c>
    </row>
    <row r="146" spans="1:9" s="7" customFormat="1" ht="21.6" customHeight="1" x14ac:dyDescent="0.25">
      <c r="A146" s="4">
        <f>SUBTOTAL(3,F$3:F146)</f>
        <v>144</v>
      </c>
      <c r="B146" s="32" t="s">
        <v>39</v>
      </c>
      <c r="C146" s="32"/>
      <c r="D146" s="32"/>
      <c r="E146" s="5" t="s">
        <v>188</v>
      </c>
      <c r="F146" s="5" t="s">
        <v>244</v>
      </c>
      <c r="G146" s="33">
        <v>800458226</v>
      </c>
      <c r="H146" s="6" t="s">
        <v>149</v>
      </c>
      <c r="I146" s="5" t="s">
        <v>152</v>
      </c>
    </row>
    <row r="147" spans="1:9" s="7" customFormat="1" ht="21.6" customHeight="1" x14ac:dyDescent="0.25">
      <c r="A147" s="4">
        <f>SUBTOTAL(3,F$3:F147)</f>
        <v>145</v>
      </c>
      <c r="B147" s="32" t="s">
        <v>39</v>
      </c>
      <c r="C147" s="32"/>
      <c r="D147" s="32"/>
      <c r="E147" s="5" t="s">
        <v>188</v>
      </c>
      <c r="F147" s="5" t="s">
        <v>245</v>
      </c>
      <c r="G147" s="33">
        <v>801605643</v>
      </c>
      <c r="H147" s="6" t="s">
        <v>234</v>
      </c>
      <c r="I147" s="5" t="s">
        <v>152</v>
      </c>
    </row>
    <row r="148" spans="1:9" s="7" customFormat="1" ht="21.6" customHeight="1" x14ac:dyDescent="0.25">
      <c r="A148" s="4">
        <f>SUBTOTAL(3,F$3:F148)</f>
        <v>146</v>
      </c>
      <c r="B148" s="32" t="s">
        <v>39</v>
      </c>
      <c r="C148" s="32"/>
      <c r="D148" s="32"/>
      <c r="E148" s="5" t="s">
        <v>20</v>
      </c>
      <c r="F148" s="5" t="s">
        <v>246</v>
      </c>
      <c r="G148" s="33">
        <v>411046303</v>
      </c>
      <c r="H148" s="6" t="s">
        <v>37</v>
      </c>
      <c r="I148" s="5" t="s">
        <v>10</v>
      </c>
    </row>
    <row r="149" spans="1:9" s="7" customFormat="1" ht="21.6" customHeight="1" x14ac:dyDescent="0.25">
      <c r="A149" s="4">
        <f>SUBTOTAL(3,F$3:F149)</f>
        <v>147</v>
      </c>
      <c r="B149" s="32" t="s">
        <v>39</v>
      </c>
      <c r="C149" s="32"/>
      <c r="D149" s="32"/>
      <c r="E149" s="5" t="s">
        <v>188</v>
      </c>
      <c r="F149" s="5" t="s">
        <v>247</v>
      </c>
      <c r="G149" s="33">
        <v>802240630</v>
      </c>
      <c r="H149" s="6" t="s">
        <v>149</v>
      </c>
      <c r="I149" s="5" t="s">
        <v>152</v>
      </c>
    </row>
    <row r="150" spans="1:9" s="7" customFormat="1" ht="21.6" customHeight="1" x14ac:dyDescent="0.25">
      <c r="A150" s="4">
        <f>SUBTOTAL(3,F$3:F150)</f>
        <v>148</v>
      </c>
      <c r="B150" s="32" t="s">
        <v>39</v>
      </c>
      <c r="C150" s="32"/>
      <c r="D150" s="32"/>
      <c r="E150" s="5" t="s">
        <v>188</v>
      </c>
      <c r="F150" s="5" t="s">
        <v>248</v>
      </c>
      <c r="G150" s="33">
        <v>802085399</v>
      </c>
      <c r="H150" s="6" t="s">
        <v>231</v>
      </c>
      <c r="I150" s="5" t="s">
        <v>152</v>
      </c>
    </row>
    <row r="151" spans="1:9" s="7" customFormat="1" ht="21.6" customHeight="1" x14ac:dyDescent="0.25">
      <c r="A151" s="4">
        <f>SUBTOTAL(3,F$3:F151)</f>
        <v>149</v>
      </c>
      <c r="B151" s="32" t="s">
        <v>39</v>
      </c>
      <c r="C151" s="32"/>
      <c r="D151" s="32"/>
      <c r="E151" s="5" t="s">
        <v>188</v>
      </c>
      <c r="F151" s="5" t="s">
        <v>249</v>
      </c>
      <c r="G151" s="33">
        <v>801848979</v>
      </c>
      <c r="H151" s="6" t="s">
        <v>231</v>
      </c>
      <c r="I151" s="5" t="s">
        <v>152</v>
      </c>
    </row>
    <row r="152" spans="1:9" s="7" customFormat="1" ht="21.6" customHeight="1" x14ac:dyDescent="0.25">
      <c r="A152" s="4">
        <f>SUBTOTAL(3,F$3:F152)</f>
        <v>150</v>
      </c>
      <c r="B152" s="32" t="s">
        <v>39</v>
      </c>
      <c r="C152" s="32"/>
      <c r="D152" s="32"/>
      <c r="E152" s="5" t="s">
        <v>188</v>
      </c>
      <c r="F152" s="5" t="s">
        <v>250</v>
      </c>
      <c r="G152" s="33">
        <v>803542869</v>
      </c>
      <c r="H152" s="6" t="s">
        <v>251</v>
      </c>
      <c r="I152" s="5" t="s">
        <v>152</v>
      </c>
    </row>
    <row r="153" spans="1:9" s="7" customFormat="1" ht="21.6" customHeight="1" x14ac:dyDescent="0.25">
      <c r="A153" s="4">
        <f>SUBTOTAL(3,F$3:F153)</f>
        <v>151</v>
      </c>
      <c r="B153" s="32" t="s">
        <v>39</v>
      </c>
      <c r="C153" s="32"/>
      <c r="D153" s="32"/>
      <c r="E153" s="5" t="s">
        <v>188</v>
      </c>
      <c r="F153" s="5" t="s">
        <v>252</v>
      </c>
      <c r="G153" s="33">
        <v>802213769</v>
      </c>
      <c r="H153" s="6" t="s">
        <v>231</v>
      </c>
      <c r="I153" s="5" t="s">
        <v>152</v>
      </c>
    </row>
    <row r="154" spans="1:9" s="7" customFormat="1" ht="21.6" customHeight="1" x14ac:dyDescent="0.25">
      <c r="A154" s="4">
        <f>SUBTOTAL(3,F$3:F154)</f>
        <v>152</v>
      </c>
      <c r="B154" s="32" t="s">
        <v>39</v>
      </c>
      <c r="C154" s="32"/>
      <c r="D154" s="32"/>
      <c r="E154" s="5" t="s">
        <v>188</v>
      </c>
      <c r="F154" s="5" t="s">
        <v>253</v>
      </c>
      <c r="G154" s="33">
        <v>801275124</v>
      </c>
      <c r="H154" s="6" t="s">
        <v>234</v>
      </c>
      <c r="I154" s="5" t="s">
        <v>152</v>
      </c>
    </row>
    <row r="155" spans="1:9" s="7" customFormat="1" ht="21.6" customHeight="1" x14ac:dyDescent="0.25">
      <c r="A155" s="4">
        <f>SUBTOTAL(3,F$3:F155)</f>
        <v>153</v>
      </c>
      <c r="B155" s="32" t="s">
        <v>39</v>
      </c>
      <c r="C155" s="32"/>
      <c r="D155" s="32"/>
      <c r="E155" s="5" t="s">
        <v>188</v>
      </c>
      <c r="F155" s="5" t="s">
        <v>254</v>
      </c>
      <c r="G155" s="33">
        <v>410073357</v>
      </c>
      <c r="H155" s="6" t="s">
        <v>255</v>
      </c>
      <c r="I155" s="5" t="s">
        <v>152</v>
      </c>
    </row>
    <row r="156" spans="1:9" s="7" customFormat="1" ht="21.6" customHeight="1" x14ac:dyDescent="0.25">
      <c r="A156" s="4">
        <f>SUBTOTAL(3,F$3:F156)</f>
        <v>154</v>
      </c>
      <c r="B156" s="32" t="s">
        <v>39</v>
      </c>
      <c r="C156" s="32"/>
      <c r="D156" s="32"/>
      <c r="E156" s="5" t="s">
        <v>188</v>
      </c>
      <c r="F156" s="5" t="s">
        <v>256</v>
      </c>
      <c r="G156" s="33">
        <v>912907862</v>
      </c>
      <c r="H156" s="6" t="s">
        <v>149</v>
      </c>
      <c r="I156" s="5" t="s">
        <v>152</v>
      </c>
    </row>
    <row r="157" spans="1:9" s="7" customFormat="1" ht="21.6" customHeight="1" x14ac:dyDescent="0.25">
      <c r="A157" s="4">
        <f>SUBTOTAL(3,F$3:F157)</f>
        <v>155</v>
      </c>
      <c r="B157" s="32" t="s">
        <v>39</v>
      </c>
      <c r="C157" s="32"/>
      <c r="D157" s="32"/>
      <c r="E157" s="5" t="s">
        <v>188</v>
      </c>
      <c r="F157" s="5" t="s">
        <v>257</v>
      </c>
      <c r="G157" s="33">
        <v>803217215</v>
      </c>
      <c r="H157" s="6" t="s">
        <v>251</v>
      </c>
      <c r="I157" s="5" t="s">
        <v>152</v>
      </c>
    </row>
    <row r="158" spans="1:9" s="7" customFormat="1" ht="21.6" customHeight="1" x14ac:dyDescent="0.25">
      <c r="A158" s="4">
        <f>SUBTOTAL(3,F$3:F158)</f>
        <v>156</v>
      </c>
      <c r="B158" s="32" t="s">
        <v>39</v>
      </c>
      <c r="C158" s="32"/>
      <c r="D158" s="32"/>
      <c r="E158" s="5" t="s">
        <v>188</v>
      </c>
      <c r="F158" s="5" t="s">
        <v>258</v>
      </c>
      <c r="G158" s="33">
        <v>802760983</v>
      </c>
      <c r="H158" s="6" t="s">
        <v>234</v>
      </c>
      <c r="I158" s="5" t="s">
        <v>152</v>
      </c>
    </row>
    <row r="159" spans="1:9" s="7" customFormat="1" ht="21.6" customHeight="1" x14ac:dyDescent="0.25">
      <c r="A159" s="4">
        <f>SUBTOTAL(3,F$3:F159)</f>
        <v>157</v>
      </c>
      <c r="B159" s="32" t="s">
        <v>39</v>
      </c>
      <c r="C159" s="32"/>
      <c r="D159" s="32"/>
      <c r="E159" s="5" t="s">
        <v>188</v>
      </c>
      <c r="F159" s="5" t="s">
        <v>259</v>
      </c>
      <c r="G159" s="33">
        <v>804032456</v>
      </c>
      <c r="H159" s="6" t="s">
        <v>149</v>
      </c>
      <c r="I159" s="5" t="s">
        <v>152</v>
      </c>
    </row>
    <row r="160" spans="1:9" s="7" customFormat="1" ht="21.6" customHeight="1" x14ac:dyDescent="0.25">
      <c r="A160" s="4">
        <f>SUBTOTAL(3,F$3:F160)</f>
        <v>158</v>
      </c>
      <c r="B160" s="32" t="s">
        <v>39</v>
      </c>
      <c r="C160" s="32"/>
      <c r="D160" s="32"/>
      <c r="E160" s="5" t="s">
        <v>188</v>
      </c>
      <c r="F160" s="5" t="s">
        <v>260</v>
      </c>
      <c r="G160" s="33">
        <v>802585554</v>
      </c>
      <c r="H160" s="6" t="s">
        <v>207</v>
      </c>
      <c r="I160" s="5" t="s">
        <v>152</v>
      </c>
    </row>
    <row r="161" spans="1:9" s="7" customFormat="1" ht="21.6" customHeight="1" x14ac:dyDescent="0.25">
      <c r="A161" s="4">
        <f>SUBTOTAL(3,F$3:F161)</f>
        <v>159</v>
      </c>
      <c r="B161" s="32" t="s">
        <v>39</v>
      </c>
      <c r="C161" s="32"/>
      <c r="D161" s="32"/>
      <c r="E161" s="5" t="s">
        <v>188</v>
      </c>
      <c r="F161" s="5" t="s">
        <v>261</v>
      </c>
      <c r="G161" s="33">
        <v>802373886</v>
      </c>
      <c r="H161" s="6" t="s">
        <v>37</v>
      </c>
      <c r="I161" s="5" t="s">
        <v>152</v>
      </c>
    </row>
    <row r="162" spans="1:9" s="7" customFormat="1" ht="21.6" customHeight="1" x14ac:dyDescent="0.25">
      <c r="A162" s="4">
        <f>SUBTOTAL(3,F$3:F162)</f>
        <v>160</v>
      </c>
      <c r="B162" s="32" t="s">
        <v>39</v>
      </c>
      <c r="C162" s="32"/>
      <c r="D162" s="32"/>
      <c r="E162" s="5" t="s">
        <v>46</v>
      </c>
      <c r="F162" s="5" t="s">
        <v>262</v>
      </c>
      <c r="G162" s="33">
        <v>801577859</v>
      </c>
      <c r="H162" s="6" t="s">
        <v>149</v>
      </c>
      <c r="I162" s="5" t="s">
        <v>52</v>
      </c>
    </row>
    <row r="163" spans="1:9" s="7" customFormat="1" ht="21.6" customHeight="1" x14ac:dyDescent="0.25">
      <c r="A163" s="4">
        <f>SUBTOTAL(3,F$3:F163)</f>
        <v>161</v>
      </c>
      <c r="B163" s="32" t="s">
        <v>39</v>
      </c>
      <c r="C163" s="32"/>
      <c r="D163" s="32"/>
      <c r="E163" s="5" t="s">
        <v>46</v>
      </c>
      <c r="F163" s="5" t="s">
        <v>263</v>
      </c>
      <c r="G163" s="33">
        <v>906646864</v>
      </c>
      <c r="H163" s="6" t="s">
        <v>68</v>
      </c>
      <c r="I163" s="5" t="s">
        <v>52</v>
      </c>
    </row>
    <row r="164" spans="1:9" s="7" customFormat="1" ht="21.6" customHeight="1" x14ac:dyDescent="0.25">
      <c r="A164" s="4">
        <f>SUBTOTAL(3,F$3:F164)</f>
        <v>162</v>
      </c>
      <c r="B164" s="32" t="s">
        <v>39</v>
      </c>
      <c r="C164" s="13" t="s">
        <v>315</v>
      </c>
      <c r="D164" s="32" t="s">
        <v>301</v>
      </c>
      <c r="E164" s="26" t="s">
        <v>367</v>
      </c>
      <c r="F164" s="5" t="s">
        <v>264</v>
      </c>
      <c r="G164" s="33">
        <v>967739996</v>
      </c>
      <c r="H164" s="6" t="s">
        <v>265</v>
      </c>
      <c r="I164" s="5" t="s">
        <v>10</v>
      </c>
    </row>
    <row r="165" spans="1:9" s="7" customFormat="1" ht="21.6" customHeight="1" x14ac:dyDescent="0.25">
      <c r="A165" s="4"/>
      <c r="B165" s="32"/>
      <c r="C165" s="32" t="s">
        <v>314</v>
      </c>
      <c r="D165" s="32" t="s">
        <v>736</v>
      </c>
      <c r="E165" s="5" t="s">
        <v>406</v>
      </c>
      <c r="F165" s="5" t="s">
        <v>737</v>
      </c>
      <c r="G165" s="33">
        <v>404636227</v>
      </c>
      <c r="H165" s="6"/>
      <c r="I165" s="5" t="s">
        <v>10</v>
      </c>
    </row>
    <row r="166" spans="1:9" s="7" customFormat="1" ht="21.6" customHeight="1" x14ac:dyDescent="0.25">
      <c r="A166" s="4">
        <f>SUBTOTAL(3,F$3:F166)</f>
        <v>164</v>
      </c>
      <c r="B166" s="32" t="s">
        <v>39</v>
      </c>
      <c r="C166" s="32"/>
      <c r="D166" s="32"/>
      <c r="E166" s="5" t="s">
        <v>220</v>
      </c>
      <c r="F166" s="5" t="s">
        <v>266</v>
      </c>
      <c r="G166" s="33">
        <v>954372603</v>
      </c>
      <c r="H166" s="6" t="s">
        <v>84</v>
      </c>
      <c r="I166" s="5" t="s">
        <v>10</v>
      </c>
    </row>
    <row r="167" spans="1:9" s="7" customFormat="1" ht="21.6" customHeight="1" x14ac:dyDescent="0.25">
      <c r="A167" s="4">
        <f>SUBTOTAL(3,F$3:F167)</f>
        <v>165</v>
      </c>
      <c r="B167" s="32" t="s">
        <v>39</v>
      </c>
      <c r="C167" s="32"/>
      <c r="D167" s="32"/>
      <c r="E167" s="5" t="s">
        <v>36</v>
      </c>
      <c r="F167" s="5" t="s">
        <v>267</v>
      </c>
      <c r="G167" s="33">
        <v>905308698</v>
      </c>
      <c r="H167" s="6" t="s">
        <v>37</v>
      </c>
      <c r="I167" s="5" t="s">
        <v>10</v>
      </c>
    </row>
    <row r="168" spans="1:9" s="7" customFormat="1" ht="21.6" customHeight="1" x14ac:dyDescent="0.25">
      <c r="A168" s="4">
        <f>SUBTOTAL(3,F$3:F168)</f>
        <v>166</v>
      </c>
      <c r="B168" s="32" t="s">
        <v>39</v>
      </c>
      <c r="C168" s="32"/>
      <c r="D168" s="32"/>
      <c r="E168" s="5" t="s">
        <v>84</v>
      </c>
      <c r="F168" s="5" t="s">
        <v>268</v>
      </c>
      <c r="G168" s="33">
        <v>922015961</v>
      </c>
      <c r="H168" s="6" t="s">
        <v>84</v>
      </c>
      <c r="I168" s="5" t="s">
        <v>10</v>
      </c>
    </row>
    <row r="169" spans="1:9" s="7" customFormat="1" ht="21.6" customHeight="1" x14ac:dyDescent="0.25">
      <c r="A169" s="4">
        <f>SUBTOTAL(3,F$3:F169)</f>
        <v>167</v>
      </c>
      <c r="B169" s="32" t="s">
        <v>39</v>
      </c>
      <c r="C169" s="32"/>
      <c r="D169" s="32"/>
      <c r="E169" s="5" t="s">
        <v>222</v>
      </c>
      <c r="F169" s="5" t="s">
        <v>269</v>
      </c>
      <c r="G169" s="33">
        <v>801850512</v>
      </c>
      <c r="H169" s="6" t="s">
        <v>149</v>
      </c>
      <c r="I169" s="5" t="s">
        <v>222</v>
      </c>
    </row>
    <row r="170" spans="1:9" s="7" customFormat="1" ht="21.6" customHeight="1" x14ac:dyDescent="0.25">
      <c r="A170" s="4">
        <f>SUBTOTAL(3,F$3:F170)</f>
        <v>168</v>
      </c>
      <c r="B170" s="32" t="s">
        <v>39</v>
      </c>
      <c r="C170" s="32"/>
      <c r="D170" s="32"/>
      <c r="E170" s="5" t="s">
        <v>20</v>
      </c>
      <c r="F170" s="5" t="s">
        <v>270</v>
      </c>
      <c r="G170" s="33">
        <v>801259284</v>
      </c>
      <c r="H170" s="6" t="s">
        <v>20</v>
      </c>
      <c r="I170" s="5" t="s">
        <v>10</v>
      </c>
    </row>
    <row r="171" spans="1:9" s="7" customFormat="1" ht="21.6" customHeight="1" x14ac:dyDescent="0.25">
      <c r="A171" s="4">
        <f>SUBTOTAL(3,F$3:F171)</f>
        <v>169</v>
      </c>
      <c r="B171" s="32" t="s">
        <v>39</v>
      </c>
      <c r="C171" s="32"/>
      <c r="D171" s="32"/>
      <c r="E171" s="5" t="s">
        <v>188</v>
      </c>
      <c r="F171" s="5" t="s">
        <v>271</v>
      </c>
      <c r="G171" s="33">
        <v>400914941</v>
      </c>
      <c r="H171" s="6" t="s">
        <v>147</v>
      </c>
      <c r="I171" s="5" t="s">
        <v>152</v>
      </c>
    </row>
    <row r="172" spans="1:9" s="7" customFormat="1" ht="21.6" customHeight="1" x14ac:dyDescent="0.25">
      <c r="A172" s="4">
        <f>SUBTOTAL(3,F$3:F172)</f>
        <v>170</v>
      </c>
      <c r="B172" s="32" t="s">
        <v>39</v>
      </c>
      <c r="C172" s="32"/>
      <c r="D172" s="32"/>
      <c r="E172" s="5" t="s">
        <v>188</v>
      </c>
      <c r="F172" s="5" t="s">
        <v>272</v>
      </c>
      <c r="G172" s="33">
        <v>412258527</v>
      </c>
      <c r="H172" s="6" t="s">
        <v>241</v>
      </c>
      <c r="I172" s="5" t="s">
        <v>108</v>
      </c>
    </row>
    <row r="173" spans="1:9" s="7" customFormat="1" ht="21.6" customHeight="1" x14ac:dyDescent="0.25">
      <c r="A173" s="4">
        <f>SUBTOTAL(3,F$3:F173)</f>
        <v>171</v>
      </c>
      <c r="B173" s="32" t="s">
        <v>39</v>
      </c>
      <c r="C173" s="32"/>
      <c r="D173" s="32"/>
      <c r="E173" s="5" t="s">
        <v>188</v>
      </c>
      <c r="F173" s="5" t="s">
        <v>273</v>
      </c>
      <c r="G173" s="33">
        <v>800897027</v>
      </c>
      <c r="H173" s="6" t="s">
        <v>251</v>
      </c>
      <c r="I173" s="5" t="s">
        <v>152</v>
      </c>
    </row>
    <row r="174" spans="1:9" s="7" customFormat="1" ht="21.6" customHeight="1" x14ac:dyDescent="0.25">
      <c r="A174" s="4">
        <f>SUBTOTAL(3,F$3:F174)</f>
        <v>172</v>
      </c>
      <c r="B174" s="32" t="s">
        <v>39</v>
      </c>
      <c r="C174" s="32"/>
      <c r="D174" s="32"/>
      <c r="E174" s="5" t="s">
        <v>188</v>
      </c>
      <c r="F174" s="5" t="s">
        <v>274</v>
      </c>
      <c r="G174" s="33">
        <v>929554863</v>
      </c>
      <c r="H174" s="6" t="s">
        <v>231</v>
      </c>
      <c r="I174" s="5" t="s">
        <v>152</v>
      </c>
    </row>
    <row r="175" spans="1:9" s="7" customFormat="1" ht="21.6" customHeight="1" x14ac:dyDescent="0.25">
      <c r="A175" s="4">
        <f>SUBTOTAL(3,F$3:F175)</f>
        <v>173</v>
      </c>
      <c r="B175" s="32" t="s">
        <v>39</v>
      </c>
      <c r="C175" s="32"/>
      <c r="D175" s="32"/>
      <c r="E175" s="5" t="s">
        <v>188</v>
      </c>
      <c r="F175" s="5" t="s">
        <v>275</v>
      </c>
      <c r="G175" s="33">
        <v>802002477</v>
      </c>
      <c r="H175" s="6" t="s">
        <v>251</v>
      </c>
      <c r="I175" s="5" t="s">
        <v>152</v>
      </c>
    </row>
    <row r="176" spans="1:9" s="7" customFormat="1" ht="21.6" customHeight="1" x14ac:dyDescent="0.25">
      <c r="A176" s="4">
        <f>SUBTOTAL(3,F$3:F176)</f>
        <v>174</v>
      </c>
      <c r="B176" s="32" t="s">
        <v>39</v>
      </c>
      <c r="C176" s="32"/>
      <c r="D176" s="32"/>
      <c r="E176" s="5" t="s">
        <v>188</v>
      </c>
      <c r="F176" s="5" t="s">
        <v>276</v>
      </c>
      <c r="G176" s="33">
        <v>402956833</v>
      </c>
      <c r="H176" s="6" t="s">
        <v>231</v>
      </c>
      <c r="I176" s="5" t="s">
        <v>152</v>
      </c>
    </row>
    <row r="177" spans="1:9" s="7" customFormat="1" ht="21.6" customHeight="1" x14ac:dyDescent="0.25">
      <c r="A177" s="4">
        <f>SUBTOTAL(3,F$3:F177)</f>
        <v>175</v>
      </c>
      <c r="B177" s="32" t="s">
        <v>39</v>
      </c>
      <c r="C177" s="32"/>
      <c r="D177" s="32"/>
      <c r="E177" s="5" t="s">
        <v>188</v>
      </c>
      <c r="F177" s="5" t="s">
        <v>277</v>
      </c>
      <c r="G177" s="33">
        <v>400263265</v>
      </c>
      <c r="H177" s="6" t="s">
        <v>231</v>
      </c>
      <c r="I177" s="5" t="s">
        <v>152</v>
      </c>
    </row>
    <row r="178" spans="1:9" s="7" customFormat="1" ht="21.6" customHeight="1" x14ac:dyDescent="0.25">
      <c r="A178" s="4">
        <f>SUBTOTAL(3,F$3:F178)</f>
        <v>176</v>
      </c>
      <c r="B178" s="32" t="s">
        <v>39</v>
      </c>
      <c r="C178" s="32"/>
      <c r="D178" s="32"/>
      <c r="E178" s="5" t="s">
        <v>188</v>
      </c>
      <c r="F178" s="5" t="s">
        <v>278</v>
      </c>
      <c r="G178" s="33">
        <v>803090281</v>
      </c>
      <c r="H178" s="6" t="s">
        <v>279</v>
      </c>
      <c r="I178" s="5" t="s">
        <v>152</v>
      </c>
    </row>
    <row r="179" spans="1:9" s="7" customFormat="1" ht="21.6" customHeight="1" x14ac:dyDescent="0.25">
      <c r="A179" s="4">
        <f>SUBTOTAL(3,F$3:F179)</f>
        <v>177</v>
      </c>
      <c r="B179" s="32" t="s">
        <v>39</v>
      </c>
      <c r="C179" s="32"/>
      <c r="D179" s="32"/>
      <c r="E179" s="5" t="s">
        <v>188</v>
      </c>
      <c r="F179" s="5" t="s">
        <v>280</v>
      </c>
      <c r="G179" s="33">
        <v>801262510</v>
      </c>
      <c r="H179" s="6" t="s">
        <v>281</v>
      </c>
      <c r="I179" s="5" t="s">
        <v>152</v>
      </c>
    </row>
    <row r="180" spans="1:9" s="7" customFormat="1" ht="21.6" customHeight="1" x14ac:dyDescent="0.25">
      <c r="A180" s="4">
        <f>SUBTOTAL(3,F$3:F180)</f>
        <v>178</v>
      </c>
      <c r="B180" s="32" t="s">
        <v>39</v>
      </c>
      <c r="C180" s="32"/>
      <c r="D180" s="32"/>
      <c r="E180" s="5" t="s">
        <v>188</v>
      </c>
      <c r="F180" s="5" t="s">
        <v>282</v>
      </c>
      <c r="G180" s="33">
        <v>410532303</v>
      </c>
      <c r="H180" s="6" t="s">
        <v>147</v>
      </c>
      <c r="I180" s="5" t="s">
        <v>152</v>
      </c>
    </row>
    <row r="181" spans="1:9" s="7" customFormat="1" ht="21.6" customHeight="1" x14ac:dyDescent="0.25">
      <c r="A181" s="4">
        <f>SUBTOTAL(3,F$3:F181)</f>
        <v>179</v>
      </c>
      <c r="B181" s="32" t="s">
        <v>39</v>
      </c>
      <c r="C181" s="32"/>
      <c r="D181" s="32"/>
      <c r="E181" s="5" t="s">
        <v>188</v>
      </c>
      <c r="F181" s="5" t="s">
        <v>283</v>
      </c>
      <c r="G181" s="33">
        <v>404596090</v>
      </c>
      <c r="H181" s="6" t="s">
        <v>207</v>
      </c>
      <c r="I181" s="5" t="s">
        <v>152</v>
      </c>
    </row>
    <row r="182" spans="1:9" s="7" customFormat="1" ht="21.6" customHeight="1" x14ac:dyDescent="0.25">
      <c r="A182" s="4">
        <f>SUBTOTAL(3,F$3:F182)</f>
        <v>180</v>
      </c>
      <c r="B182" s="32" t="s">
        <v>39</v>
      </c>
      <c r="C182" s="32"/>
      <c r="D182" s="32"/>
      <c r="E182" s="5" t="s">
        <v>188</v>
      </c>
      <c r="F182" s="5" t="s">
        <v>284</v>
      </c>
      <c r="G182" s="33">
        <v>804495463</v>
      </c>
      <c r="H182" s="6" t="s">
        <v>204</v>
      </c>
      <c r="I182" s="5" t="s">
        <v>152</v>
      </c>
    </row>
    <row r="183" spans="1:9" s="7" customFormat="1" ht="21.6" customHeight="1" x14ac:dyDescent="0.25">
      <c r="A183" s="4">
        <f>SUBTOTAL(3,F$3:F183)</f>
        <v>181</v>
      </c>
      <c r="B183" s="32" t="s">
        <v>39</v>
      </c>
      <c r="C183" s="32"/>
      <c r="D183" s="32"/>
      <c r="E183" s="5" t="s">
        <v>188</v>
      </c>
      <c r="F183" s="5" t="s">
        <v>285</v>
      </c>
      <c r="G183" s="33">
        <v>402499032</v>
      </c>
      <c r="H183" s="6" t="s">
        <v>204</v>
      </c>
      <c r="I183" s="5" t="s">
        <v>152</v>
      </c>
    </row>
    <row r="184" spans="1:9" s="7" customFormat="1" ht="21.6" customHeight="1" x14ac:dyDescent="0.25">
      <c r="A184" s="4">
        <f>SUBTOTAL(3,F$3:F184)</f>
        <v>182</v>
      </c>
      <c r="B184" s="32" t="s">
        <v>39</v>
      </c>
      <c r="C184" s="32"/>
      <c r="D184" s="32"/>
      <c r="E184" s="5" t="s">
        <v>188</v>
      </c>
      <c r="F184" s="5" t="s">
        <v>286</v>
      </c>
      <c r="G184" s="33">
        <v>400037354</v>
      </c>
      <c r="H184" s="6" t="s">
        <v>287</v>
      </c>
      <c r="I184" s="5" t="s">
        <v>152</v>
      </c>
    </row>
    <row r="185" spans="1:9" s="7" customFormat="1" ht="21.6" customHeight="1" x14ac:dyDescent="0.25">
      <c r="A185" s="4">
        <f>SUBTOTAL(3,F$3:F185)</f>
        <v>183</v>
      </c>
      <c r="B185" s="32" t="s">
        <v>39</v>
      </c>
      <c r="C185" s="32"/>
      <c r="D185" s="32"/>
      <c r="E185" s="5" t="s">
        <v>188</v>
      </c>
      <c r="F185" s="5" t="s">
        <v>288</v>
      </c>
      <c r="G185" s="33">
        <v>410598718</v>
      </c>
      <c r="H185" s="6" t="s">
        <v>289</v>
      </c>
      <c r="I185" s="5" t="s">
        <v>108</v>
      </c>
    </row>
    <row r="186" spans="1:9" s="7" customFormat="1" ht="21.6" customHeight="1" x14ac:dyDescent="0.25">
      <c r="A186" s="4">
        <f>SUBTOTAL(3,F$3:F186)</f>
        <v>184</v>
      </c>
      <c r="B186" s="32" t="s">
        <v>39</v>
      </c>
      <c r="C186" s="32"/>
      <c r="D186" s="32"/>
      <c r="E186" s="5" t="s">
        <v>59</v>
      </c>
      <c r="F186" s="5" t="s">
        <v>290</v>
      </c>
      <c r="G186" s="33">
        <v>802067165</v>
      </c>
      <c r="H186" s="6" t="s">
        <v>147</v>
      </c>
      <c r="I186" s="5" t="s">
        <v>10</v>
      </c>
    </row>
    <row r="187" spans="1:9" s="7" customFormat="1" ht="21.6" customHeight="1" x14ac:dyDescent="0.25">
      <c r="A187" s="4">
        <f>SUBTOTAL(3,F$3:F187)</f>
        <v>185</v>
      </c>
      <c r="B187" s="32" t="s">
        <v>39</v>
      </c>
      <c r="C187" s="32"/>
      <c r="D187" s="32"/>
      <c r="E187" s="5" t="s">
        <v>188</v>
      </c>
      <c r="F187" s="5" t="s">
        <v>291</v>
      </c>
      <c r="G187" s="33">
        <v>700378342</v>
      </c>
      <c r="H187" s="6" t="s">
        <v>292</v>
      </c>
      <c r="I187" s="5" t="s">
        <v>152</v>
      </c>
    </row>
    <row r="188" spans="1:9" s="7" customFormat="1" ht="21.6" customHeight="1" x14ac:dyDescent="0.25">
      <c r="A188" s="4">
        <f>SUBTOTAL(3,F$3:F188)</f>
        <v>186</v>
      </c>
      <c r="B188" s="32" t="s">
        <v>200</v>
      </c>
      <c r="C188" s="32"/>
      <c r="D188" s="32"/>
      <c r="E188" s="5" t="s">
        <v>188</v>
      </c>
      <c r="F188" s="5" t="s">
        <v>293</v>
      </c>
      <c r="G188" s="33">
        <v>406029462</v>
      </c>
      <c r="H188" s="6" t="s">
        <v>289</v>
      </c>
      <c r="I188" s="5" t="s">
        <v>202</v>
      </c>
    </row>
    <row r="189" spans="1:9" s="7" customFormat="1" ht="21.6" customHeight="1" x14ac:dyDescent="0.25">
      <c r="A189" s="4">
        <f>SUBTOTAL(3,F$3:F189)</f>
        <v>187</v>
      </c>
      <c r="B189" s="32" t="s">
        <v>200</v>
      </c>
      <c r="C189" s="32"/>
      <c r="D189" s="32"/>
      <c r="E189" s="5" t="s">
        <v>188</v>
      </c>
      <c r="F189" s="5" t="s">
        <v>294</v>
      </c>
      <c r="G189" s="33">
        <v>959396151</v>
      </c>
      <c r="H189" s="6" t="s">
        <v>289</v>
      </c>
      <c r="I189" s="5" t="s">
        <v>202</v>
      </c>
    </row>
    <row r="190" spans="1:9" s="7" customFormat="1" ht="21.6" customHeight="1" x14ac:dyDescent="0.25">
      <c r="A190" s="4">
        <f>SUBTOTAL(3,F$3:F190)</f>
        <v>188</v>
      </c>
      <c r="B190" s="32" t="s">
        <v>7</v>
      </c>
      <c r="C190" s="32"/>
      <c r="D190" s="32"/>
      <c r="E190" s="5" t="s">
        <v>147</v>
      </c>
      <c r="F190" s="5" t="s">
        <v>295</v>
      </c>
      <c r="G190" s="33">
        <v>916326655</v>
      </c>
      <c r="H190" s="6" t="s">
        <v>84</v>
      </c>
      <c r="I190" s="5" t="s">
        <v>10</v>
      </c>
    </row>
    <row r="191" spans="1:9" s="7" customFormat="1" ht="21.6" customHeight="1" x14ac:dyDescent="0.25">
      <c r="A191" s="4">
        <f>SUBTOTAL(3,F$3:F191)</f>
        <v>189</v>
      </c>
      <c r="B191" s="32" t="s">
        <v>39</v>
      </c>
      <c r="C191" s="13"/>
      <c r="D191" s="32"/>
      <c r="E191" s="35"/>
      <c r="F191" s="5" t="s">
        <v>296</v>
      </c>
      <c r="G191" s="33">
        <v>803638998</v>
      </c>
      <c r="H191" s="6" t="s">
        <v>297</v>
      </c>
      <c r="I191" s="5" t="s">
        <v>10</v>
      </c>
    </row>
    <row r="200" spans="3:3" x14ac:dyDescent="0.25">
      <c r="C200" s="13" t="s">
        <v>314</v>
      </c>
    </row>
  </sheetData>
  <autoFilter ref="A2:G190" xr:uid="{00000000-0001-0000-0500-000000000000}"/>
  <pageMargins left="0.7" right="0.7" top="0.75" bottom="0.75" header="0.3" footer="0.3"/>
  <pageSetup paperSize="9" scale="62" orientation="portrait" r:id="rId1"/>
  <colBreaks count="1" manualBreakCount="1">
    <brk id="11" max="18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8FF8-B9F7-4E61-993B-9622CB6244E9}">
  <dimension ref="A1:AW255"/>
  <sheetViews>
    <sheetView rightToLeft="1" topLeftCell="V1" zoomScaleNormal="100" workbookViewId="0">
      <pane ySplit="1" topLeftCell="A2" activePane="bottomLeft" state="frozen"/>
      <selection activeCell="J1988" sqref="J1988"/>
      <selection pane="bottomLeft" activeCell="AA25" sqref="AA25"/>
    </sheetView>
  </sheetViews>
  <sheetFormatPr defaultColWidth="8.6640625" defaultRowHeight="14.4" outlineLevelCol="1" x14ac:dyDescent="0.3"/>
  <cols>
    <col min="1" max="1" width="28.5546875" style="18" hidden="1" customWidth="1" outlineLevel="1"/>
    <col min="2" max="2" width="36.109375" style="18" hidden="1" customWidth="1" outlineLevel="1"/>
    <col min="3" max="3" width="30.44140625" style="18" hidden="1" customWidth="1" outlineLevel="1"/>
    <col min="4" max="4" width="2.6640625" style="18" customWidth="1" collapsed="1"/>
    <col min="5" max="16" width="2.6640625" style="18" hidden="1" customWidth="1" outlineLevel="1"/>
    <col min="17" max="17" width="21" style="18" customWidth="1" collapsed="1"/>
    <col min="18" max="18" width="2.6640625" style="18" customWidth="1"/>
    <col min="19" max="19" width="22.88671875" style="18" customWidth="1"/>
    <col min="20" max="20" width="43.88671875" style="18" customWidth="1"/>
    <col min="21" max="21" width="18.5546875" style="18" customWidth="1"/>
    <col min="22" max="22" width="28.5546875" style="18" customWidth="1"/>
    <col min="23" max="23" width="55.109375" style="18" customWidth="1"/>
    <col min="24" max="24" width="2.6640625" style="18" customWidth="1"/>
    <col min="25" max="25" width="18.88671875" style="18" bestFit="1" customWidth="1"/>
    <col min="26" max="26" width="10.5546875" style="18" bestFit="1" customWidth="1"/>
    <col min="27" max="27" width="2.33203125" style="18" customWidth="1"/>
    <col min="28" max="28" width="9.44140625" style="18" bestFit="1" customWidth="1"/>
    <col min="29" max="29" width="14.5546875" style="18" bestFit="1" customWidth="1"/>
    <col min="30" max="30" width="28.5546875" style="18" customWidth="1"/>
    <col min="31" max="31" width="22.44140625" style="18" bestFit="1" customWidth="1"/>
    <col min="32" max="32" width="13.6640625" style="18" bestFit="1" customWidth="1"/>
    <col min="33" max="33" width="15.33203125" style="18" bestFit="1" customWidth="1"/>
    <col min="34" max="34" width="13.33203125" style="18" bestFit="1" customWidth="1"/>
    <col min="35" max="35" width="14.6640625" style="18" bestFit="1" customWidth="1"/>
    <col min="36" max="36" width="13.33203125" style="18" bestFit="1" customWidth="1"/>
    <col min="37" max="37" width="2.6640625" style="18" customWidth="1"/>
    <col min="38" max="38" width="18.109375" style="18" hidden="1" customWidth="1" outlineLevel="1"/>
    <col min="39" max="39" width="14.33203125" style="18" hidden="1" customWidth="1" outlineLevel="1"/>
    <col min="40" max="40" width="2.6640625" style="18" hidden="1" customWidth="1" outlineLevel="1"/>
    <col min="41" max="41" width="18.109375" style="18" hidden="1" customWidth="1" outlineLevel="1"/>
    <col min="42" max="42" width="14.33203125" style="18" hidden="1" customWidth="1" outlineLevel="1"/>
    <col min="43" max="43" width="2.6640625" style="18" hidden="1" customWidth="1" outlineLevel="1"/>
    <col min="44" max="44" width="18.109375" style="18" hidden="1" customWidth="1" outlineLevel="1"/>
    <col min="45" max="45" width="14.33203125" style="18" hidden="1" customWidth="1" outlineLevel="1"/>
    <col min="46" max="46" width="2.6640625" style="18" hidden="1" customWidth="1" outlineLevel="1"/>
    <col min="47" max="47" width="16.109375" style="18" hidden="1" customWidth="1" outlineLevel="1"/>
    <col min="48" max="48" width="14.33203125" style="18" hidden="1" customWidth="1" outlineLevel="1"/>
    <col min="49" max="49" width="8.6640625" style="18" customWidth="1" collapsed="1"/>
    <col min="50" max="16384" width="8.6640625" style="18"/>
  </cols>
  <sheetData>
    <row r="1" spans="1:48" s="16" customFormat="1" ht="21.9" customHeight="1" x14ac:dyDescent="0.3">
      <c r="A1" s="8" t="s">
        <v>303</v>
      </c>
      <c r="B1" s="8" t="s">
        <v>299</v>
      </c>
      <c r="C1" s="8" t="s">
        <v>304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 t="s">
        <v>305</v>
      </c>
      <c r="R1" s="9"/>
      <c r="S1" s="11" t="s">
        <v>306</v>
      </c>
      <c r="T1" s="11" t="s">
        <v>307</v>
      </c>
      <c r="U1" s="11" t="s">
        <v>308</v>
      </c>
      <c r="V1" s="11" t="s">
        <v>309</v>
      </c>
      <c r="W1" s="10" t="s">
        <v>310</v>
      </c>
      <c r="X1" s="12"/>
      <c r="Y1" s="13" t="s">
        <v>1</v>
      </c>
      <c r="Z1" s="14" t="s">
        <v>311</v>
      </c>
      <c r="AA1" s="9"/>
      <c r="AB1" s="13" t="s">
        <v>41</v>
      </c>
      <c r="AC1" s="13" t="s">
        <v>312</v>
      </c>
      <c r="AD1" s="13" t="s">
        <v>313</v>
      </c>
      <c r="AE1" s="13" t="s">
        <v>314</v>
      </c>
      <c r="AF1" s="13" t="s">
        <v>315</v>
      </c>
      <c r="AG1" s="13" t="s">
        <v>316</v>
      </c>
      <c r="AH1" s="13" t="s">
        <v>317</v>
      </c>
      <c r="AI1" s="13" t="s">
        <v>200</v>
      </c>
      <c r="AJ1" s="15" t="s">
        <v>318</v>
      </c>
      <c r="AK1" s="12"/>
      <c r="AL1" s="10" t="s">
        <v>319</v>
      </c>
      <c r="AM1" s="10" t="s">
        <v>320</v>
      </c>
      <c r="AN1" s="12"/>
      <c r="AO1" s="10" t="s">
        <v>321</v>
      </c>
      <c r="AP1" s="10" t="s">
        <v>322</v>
      </c>
      <c r="AQ1" s="12"/>
      <c r="AR1" s="10" t="s">
        <v>323</v>
      </c>
      <c r="AS1" s="10" t="s">
        <v>324</v>
      </c>
      <c r="AT1" s="12"/>
      <c r="AU1" s="10" t="s">
        <v>325</v>
      </c>
      <c r="AV1" s="10" t="s">
        <v>326</v>
      </c>
    </row>
    <row r="2" spans="1:48" ht="15.9" customHeight="1" x14ac:dyDescent="0.3">
      <c r="A2" s="17" t="str">
        <f t="array" ref="A2:C69">_xlfn.LET(
_xlpm.hdr, AB1:AJ1,
_xlpm.body, AB2:AJ30,
_xlpm.res, _xlfn.DROP(_xlfn.REDUCE("",_xlfn.SEQUENCE(COLUMNS(_xlpm.hdr)), _xlfn.LAMBDA(_xlpm.acc,_xlpm.i,
  _xlfn.LET(
    _xlpm.d, INDEX(_xlpm.hdr,1,_xlpm.i),
    _xlpm.units, _xlfn._xlws.FILTER(INDEX(_xlpm.body,0,_xlpm.i), INDEX(_xlpm.body,0,_xlpm.i)&lt;&gt;""," "),
    _xlpm.ctr, IF(ISNUMBER(MATCH(_xlpm.d,$Y$2:$Y$8,0)), $Y$1, $Z$1),
    IF(_xlpm.d="", _xlpm.acc,
      _xlfn.VSTACK(_xlpm.acc, _xlfn.HSTACK(IF(_xlpm.units="",_xlpm.ctr,_xlpm.ctr), IF(_xlpm.units="",_xlpm.d,_xlpm.d), _xlpm.units)))
  )
)),1),
_xlpm.res
)</f>
        <v>الجمعية</v>
      </c>
      <c r="B2" s="17" t="str">
        <v>سكرتاريا</v>
      </c>
      <c r="C2" s="17" t="str">
        <v>سكرتير المجلس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9" t="s">
        <v>327</v>
      </c>
      <c r="R2" s="9"/>
      <c r="S2" s="20" t="s">
        <v>328</v>
      </c>
      <c r="T2" s="21" t="s">
        <v>61</v>
      </c>
      <c r="U2" s="21" t="s">
        <v>329</v>
      </c>
      <c r="V2" s="22" t="s">
        <v>330</v>
      </c>
      <c r="W2" s="23" t="s">
        <v>331</v>
      </c>
      <c r="X2" s="9"/>
      <c r="Y2" s="24" t="s">
        <v>41</v>
      </c>
      <c r="Z2" s="25" t="s">
        <v>317</v>
      </c>
      <c r="AA2" s="9"/>
      <c r="AB2" s="26" t="s">
        <v>332</v>
      </c>
      <c r="AC2" s="34" t="s">
        <v>333</v>
      </c>
      <c r="AD2" s="34" t="s">
        <v>334</v>
      </c>
      <c r="AE2" s="34" t="s">
        <v>335</v>
      </c>
      <c r="AF2" s="34" t="s">
        <v>336</v>
      </c>
      <c r="AG2" s="26" t="s">
        <v>337</v>
      </c>
      <c r="AH2" s="26" t="s">
        <v>338</v>
      </c>
      <c r="AI2" s="26" t="s">
        <v>339</v>
      </c>
      <c r="AJ2" s="27" t="s">
        <v>340</v>
      </c>
      <c r="AK2" s="9"/>
      <c r="AL2" s="19" t="s">
        <v>341</v>
      </c>
      <c r="AM2" s="19">
        <v>100</v>
      </c>
      <c r="AN2" s="9"/>
      <c r="AO2" s="19" t="s">
        <v>341</v>
      </c>
      <c r="AP2" s="19">
        <v>100</v>
      </c>
      <c r="AQ2" s="9"/>
      <c r="AR2" s="19" t="s">
        <v>342</v>
      </c>
      <c r="AS2" s="19">
        <v>100</v>
      </c>
      <c r="AT2" s="9"/>
      <c r="AU2" s="19" t="s">
        <v>343</v>
      </c>
      <c r="AV2" s="19">
        <v>0</v>
      </c>
    </row>
    <row r="3" spans="1:48" ht="15.9" customHeight="1" x14ac:dyDescent="0.3">
      <c r="A3" s="17" t="str">
        <v>الجمعية</v>
      </c>
      <c r="B3" s="17" t="str">
        <v>سكرتاريا</v>
      </c>
      <c r="C3" s="17" t="str">
        <v>سكرتير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9" t="s">
        <v>344</v>
      </c>
      <c r="R3" s="9"/>
      <c r="S3" s="20" t="s">
        <v>345</v>
      </c>
      <c r="T3" s="21" t="s">
        <v>95</v>
      </c>
      <c r="U3" s="21" t="s">
        <v>346</v>
      </c>
      <c r="V3" s="22" t="s">
        <v>347</v>
      </c>
      <c r="W3" s="23" t="s">
        <v>348</v>
      </c>
      <c r="X3" s="9"/>
      <c r="Y3" s="24" t="s">
        <v>312</v>
      </c>
      <c r="Z3" s="25" t="s">
        <v>200</v>
      </c>
      <c r="AA3" s="9"/>
      <c r="AB3" s="26" t="s">
        <v>94</v>
      </c>
      <c r="AC3" s="34" t="s">
        <v>349</v>
      </c>
      <c r="AD3" s="26" t="s">
        <v>350</v>
      </c>
      <c r="AE3" s="34" t="s">
        <v>351</v>
      </c>
      <c r="AF3" s="34" t="s">
        <v>65</v>
      </c>
      <c r="AG3" s="26" t="s">
        <v>352</v>
      </c>
      <c r="AH3" s="26" t="s">
        <v>353</v>
      </c>
      <c r="AI3" s="26" t="s">
        <v>354</v>
      </c>
      <c r="AJ3" s="27" t="s">
        <v>355</v>
      </c>
      <c r="AK3" s="9"/>
      <c r="AL3" s="19" t="s">
        <v>356</v>
      </c>
      <c r="AM3" s="19">
        <v>60</v>
      </c>
      <c r="AN3" s="9"/>
      <c r="AO3" s="19" t="s">
        <v>357</v>
      </c>
      <c r="AP3" s="19">
        <v>85</v>
      </c>
      <c r="AQ3" s="9"/>
      <c r="AR3" s="19" t="s">
        <v>358</v>
      </c>
      <c r="AS3" s="19">
        <v>30</v>
      </c>
      <c r="AT3" s="9"/>
      <c r="AU3" s="19" t="s">
        <v>359</v>
      </c>
      <c r="AV3" s="19">
        <v>25</v>
      </c>
    </row>
    <row r="4" spans="1:48" ht="15.9" customHeight="1" x14ac:dyDescent="0.3">
      <c r="A4" s="17" t="str">
        <v>الجمعية</v>
      </c>
      <c r="B4" s="17" t="str">
        <v>دائرة الشؤون الإدارية</v>
      </c>
      <c r="C4" s="17" t="str">
        <v>قسم شؤون الموظفين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9" t="s">
        <v>360</v>
      </c>
      <c r="R4" s="9"/>
      <c r="S4" s="22" t="s">
        <v>361</v>
      </c>
      <c r="T4" s="21" t="s">
        <v>55</v>
      </c>
      <c r="U4" s="21" t="s">
        <v>362</v>
      </c>
      <c r="V4" s="22" t="s">
        <v>363</v>
      </c>
      <c r="W4" s="23" t="s">
        <v>364</v>
      </c>
      <c r="X4" s="9"/>
      <c r="Y4" s="24" t="s">
        <v>313</v>
      </c>
      <c r="Z4" s="25" t="s">
        <v>318</v>
      </c>
      <c r="AA4" s="9"/>
      <c r="AB4" s="9"/>
      <c r="AC4" s="35" t="s">
        <v>365</v>
      </c>
      <c r="AD4" s="9"/>
      <c r="AE4" s="34" t="s">
        <v>366</v>
      </c>
      <c r="AF4" s="34" t="s">
        <v>367</v>
      </c>
      <c r="AG4" s="26" t="s">
        <v>368</v>
      </c>
      <c r="AH4" s="26" t="s">
        <v>369</v>
      </c>
      <c r="AI4" s="26" t="s">
        <v>370</v>
      </c>
      <c r="AJ4" s="27" t="s">
        <v>371</v>
      </c>
      <c r="AK4" s="9"/>
      <c r="AL4" s="19" t="s">
        <v>372</v>
      </c>
      <c r="AM4" s="19">
        <v>80</v>
      </c>
      <c r="AN4" s="9"/>
      <c r="AO4" s="19" t="s">
        <v>373</v>
      </c>
      <c r="AP4" s="19">
        <v>70</v>
      </c>
      <c r="AQ4" s="9"/>
      <c r="AR4" s="19" t="s">
        <v>374</v>
      </c>
      <c r="AS4" s="19">
        <v>60</v>
      </c>
      <c r="AT4" s="9"/>
      <c r="AU4" s="19" t="s">
        <v>375</v>
      </c>
      <c r="AV4" s="19">
        <v>20</v>
      </c>
    </row>
    <row r="5" spans="1:48" ht="15.9" customHeight="1" x14ac:dyDescent="0.3">
      <c r="A5" s="17" t="str">
        <v>الجمعية</v>
      </c>
      <c r="B5" s="17" t="str">
        <v>دائرة الشؤون الإدارية</v>
      </c>
      <c r="C5" s="17" t="str">
        <v>قسم تنمية الموارد البشرية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9" t="s">
        <v>376</v>
      </c>
      <c r="R5" s="9"/>
      <c r="S5" s="9"/>
      <c r="T5" s="21" t="s">
        <v>80</v>
      </c>
      <c r="U5" s="21" t="s">
        <v>377</v>
      </c>
      <c r="V5" s="22" t="s">
        <v>378</v>
      </c>
      <c r="W5" s="23" t="s">
        <v>379</v>
      </c>
      <c r="X5" s="9"/>
      <c r="Y5" s="25" t="s">
        <v>314</v>
      </c>
      <c r="Z5" s="9"/>
      <c r="AA5" s="9"/>
      <c r="AB5" s="9"/>
      <c r="AC5" s="35" t="s">
        <v>380</v>
      </c>
      <c r="AD5" s="9"/>
      <c r="AE5" s="34" t="s">
        <v>381</v>
      </c>
      <c r="AF5" s="34" t="s">
        <v>382</v>
      </c>
      <c r="AG5" s="34" t="s">
        <v>383</v>
      </c>
      <c r="AH5" s="26" t="s">
        <v>384</v>
      </c>
      <c r="AI5" s="26" t="s">
        <v>385</v>
      </c>
      <c r="AJ5" s="27" t="s">
        <v>386</v>
      </c>
      <c r="AK5" s="9"/>
      <c r="AL5" s="19" t="s">
        <v>387</v>
      </c>
      <c r="AM5" s="19">
        <v>40</v>
      </c>
      <c r="AN5" s="9"/>
      <c r="AO5" s="19" t="s">
        <v>388</v>
      </c>
      <c r="AP5" s="19">
        <v>50</v>
      </c>
      <c r="AQ5" s="9"/>
      <c r="AR5" s="19" t="s">
        <v>389</v>
      </c>
      <c r="AS5" s="19">
        <v>0</v>
      </c>
      <c r="AT5" s="9"/>
      <c r="AU5" s="19" t="s">
        <v>390</v>
      </c>
      <c r="AV5" s="19">
        <v>10</v>
      </c>
    </row>
    <row r="6" spans="1:48" ht="15.9" customHeight="1" x14ac:dyDescent="0.3">
      <c r="A6" s="17" t="str">
        <v>الجمعية</v>
      </c>
      <c r="B6" s="17" t="str">
        <v>دائرة الشؤون الإدارية</v>
      </c>
      <c r="C6" s="17" t="str">
        <v>قسم الحاسوب والشبكات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9" t="s">
        <v>391</v>
      </c>
      <c r="R6" s="9"/>
      <c r="S6" s="9"/>
      <c r="T6" s="21" t="s">
        <v>170</v>
      </c>
      <c r="U6" s="21" t="s">
        <v>392</v>
      </c>
      <c r="V6" s="22" t="s">
        <v>393</v>
      </c>
      <c r="W6" s="23" t="s">
        <v>394</v>
      </c>
      <c r="X6" s="9"/>
      <c r="Y6" s="25" t="s">
        <v>315</v>
      </c>
      <c r="Z6" s="9"/>
      <c r="AA6" s="9"/>
      <c r="AB6" s="9"/>
      <c r="AC6" s="35" t="s">
        <v>395</v>
      </c>
      <c r="AD6" s="9"/>
      <c r="AE6" s="35" t="s">
        <v>396</v>
      </c>
      <c r="AF6" s="9"/>
      <c r="AG6" s="26" t="s">
        <v>397</v>
      </c>
      <c r="AH6" s="26" t="s">
        <v>398</v>
      </c>
      <c r="AI6" s="26" t="s">
        <v>399</v>
      </c>
      <c r="AJ6" s="27" t="s">
        <v>400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19" t="s">
        <v>401</v>
      </c>
      <c r="AV6" s="19">
        <v>5</v>
      </c>
    </row>
    <row r="7" spans="1:48" ht="15.9" customHeight="1" x14ac:dyDescent="0.3">
      <c r="A7" s="17" t="str">
        <v>الجمعية</v>
      </c>
      <c r="B7" s="17" t="str">
        <v>دائرة الشؤون الإدارية</v>
      </c>
      <c r="C7" s="17" t="str">
        <v>قسم الصيانة العامة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9" t="s">
        <v>402</v>
      </c>
      <c r="R7" s="9"/>
      <c r="S7" s="9"/>
      <c r="T7" s="21" t="s">
        <v>79</v>
      </c>
      <c r="U7" s="21" t="s">
        <v>403</v>
      </c>
      <c r="V7" s="22" t="s">
        <v>404</v>
      </c>
      <c r="W7" s="23" t="s">
        <v>405</v>
      </c>
      <c r="X7" s="9"/>
      <c r="Y7" s="25" t="s">
        <v>316</v>
      </c>
      <c r="Z7" s="9"/>
      <c r="AA7" s="9"/>
      <c r="AB7" s="9"/>
      <c r="AC7" s="9"/>
      <c r="AD7" s="9"/>
      <c r="AE7" s="35" t="s">
        <v>406</v>
      </c>
      <c r="AF7" s="9"/>
      <c r="AG7" s="9" t="s">
        <v>222</v>
      </c>
      <c r="AH7" s="26" t="s">
        <v>340</v>
      </c>
      <c r="AI7" s="26" t="s">
        <v>407</v>
      </c>
      <c r="AJ7" s="27" t="s">
        <v>408</v>
      </c>
      <c r="AK7" s="9"/>
      <c r="AL7" s="9"/>
      <c r="AM7" s="9"/>
      <c r="AN7" s="9"/>
      <c r="AO7" s="9"/>
      <c r="AP7" s="9"/>
      <c r="AQ7" s="9"/>
      <c r="AR7" s="9"/>
      <c r="AS7" s="9"/>
      <c r="AT7" s="9"/>
      <c r="AU7" s="19" t="s">
        <v>409</v>
      </c>
      <c r="AV7" s="19">
        <v>15</v>
      </c>
    </row>
    <row r="8" spans="1:48" ht="15.9" customHeight="1" x14ac:dyDescent="0.3">
      <c r="A8" s="17" t="str">
        <v>الجمعية</v>
      </c>
      <c r="B8" s="17" t="str">
        <v>دائرة الشؤون الإدارية</v>
      </c>
      <c r="C8" s="17" t="str">
        <v>قسم الخدمات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9" t="s">
        <v>410</v>
      </c>
      <c r="R8" s="9"/>
      <c r="S8" s="9"/>
      <c r="T8" s="21" t="s">
        <v>268</v>
      </c>
      <c r="U8" s="23" t="s">
        <v>411</v>
      </c>
      <c r="V8" s="22" t="s">
        <v>222</v>
      </c>
      <c r="W8" s="23" t="s">
        <v>412</v>
      </c>
      <c r="X8" s="9"/>
      <c r="Y8" s="9"/>
      <c r="Z8" s="9"/>
      <c r="AA8" s="9"/>
      <c r="AB8" s="9"/>
      <c r="AC8" s="9"/>
      <c r="AD8" s="9"/>
      <c r="AE8" s="35" t="s">
        <v>413</v>
      </c>
      <c r="AF8" s="9"/>
      <c r="AG8" s="9" t="s">
        <v>414</v>
      </c>
      <c r="AH8" s="27" t="s">
        <v>415</v>
      </c>
      <c r="AI8" s="9"/>
      <c r="AJ8" s="27" t="s">
        <v>416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ht="15.9" customHeight="1" x14ac:dyDescent="0.3">
      <c r="A9" s="17" t="str">
        <v>الجمعية</v>
      </c>
      <c r="B9" s="17" t="str">
        <v>دائرة التنمية الاجتماعية</v>
      </c>
      <c r="C9" s="17" t="str">
        <v>قسم الأيتام والأسر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9" t="s">
        <v>417</v>
      </c>
      <c r="R9" s="9"/>
      <c r="S9" s="9"/>
      <c r="T9" s="21" t="s">
        <v>29</v>
      </c>
      <c r="U9" s="23" t="s">
        <v>418</v>
      </c>
      <c r="V9" s="9" t="s">
        <v>419</v>
      </c>
      <c r="W9" s="23" t="s">
        <v>420</v>
      </c>
      <c r="X9" s="9"/>
      <c r="Y9" s="9"/>
      <c r="Z9" s="9"/>
      <c r="AA9" s="9"/>
      <c r="AB9" s="9"/>
      <c r="AC9" s="9"/>
      <c r="AD9" s="9"/>
      <c r="AE9" s="35" t="s">
        <v>421</v>
      </c>
      <c r="AF9" s="9"/>
      <c r="AG9" s="9"/>
      <c r="AH9" s="27" t="s">
        <v>355</v>
      </c>
      <c r="AI9" s="9"/>
      <c r="AJ9" s="27" t="s">
        <v>422</v>
      </c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 ht="15.9" customHeight="1" x14ac:dyDescent="0.3">
      <c r="A10" s="17" t="str">
        <v>الجمعية</v>
      </c>
      <c r="B10" s="17" t="str">
        <v>دائرة التنمية الاجتماعية</v>
      </c>
      <c r="C10" s="17" t="str">
        <v>المدارس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9" t="s">
        <v>423</v>
      </c>
      <c r="R10" s="9"/>
      <c r="S10" s="9"/>
      <c r="T10" s="21" t="s">
        <v>53</v>
      </c>
      <c r="U10" s="23" t="s">
        <v>424</v>
      </c>
      <c r="V10" s="9" t="s">
        <v>425</v>
      </c>
      <c r="W10" s="23" t="s">
        <v>426</v>
      </c>
      <c r="X10" s="9"/>
      <c r="Y10" s="9"/>
      <c r="Z10" s="9"/>
      <c r="AA10" s="9"/>
      <c r="AB10" s="9"/>
      <c r="AC10" s="9"/>
      <c r="AD10" s="9"/>
      <c r="AE10" s="35" t="s">
        <v>734</v>
      </c>
      <c r="AF10" s="9"/>
      <c r="AG10" s="9"/>
      <c r="AH10" s="27" t="s">
        <v>371</v>
      </c>
      <c r="AI10" s="9"/>
      <c r="AJ10" s="27" t="s">
        <v>427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 ht="15.9" customHeight="1" x14ac:dyDescent="0.3">
      <c r="A11" s="17" t="str">
        <v>الجمعية</v>
      </c>
      <c r="B11" s="17" t="str">
        <v>دائرة المشاريع والتسويق والإعلام</v>
      </c>
      <c r="C11" s="17" t="str">
        <v>مكتب خانيونس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9" t="s">
        <v>428</v>
      </c>
      <c r="R11" s="9"/>
      <c r="S11" s="9"/>
      <c r="T11" s="21" t="s">
        <v>218</v>
      </c>
      <c r="U11" s="23" t="s">
        <v>429</v>
      </c>
      <c r="V11" s="9"/>
      <c r="W11" s="23" t="s">
        <v>430</v>
      </c>
      <c r="X11" s="9"/>
      <c r="Y11" s="9"/>
      <c r="Z11" s="9"/>
      <c r="AA11" s="9"/>
      <c r="AB11" s="9"/>
      <c r="AC11" s="9"/>
      <c r="AD11" s="9"/>
      <c r="AE11" s="35"/>
      <c r="AF11" s="9"/>
      <c r="AG11" s="9"/>
      <c r="AH11" s="27" t="s">
        <v>400</v>
      </c>
      <c r="AI11" s="9"/>
      <c r="AJ11" s="27" t="s">
        <v>431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5.9" customHeight="1" x14ac:dyDescent="0.3">
      <c r="A12" s="17" t="str">
        <v>الجمعية</v>
      </c>
      <c r="B12" s="17" t="str">
        <v>دائرة المشاريع والتسويق والإعلام</v>
      </c>
      <c r="C12" s="17" t="str">
        <v>مكتب رفح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21" t="s">
        <v>27</v>
      </c>
      <c r="U12" s="23" t="s">
        <v>432</v>
      </c>
      <c r="V12" s="9"/>
      <c r="W12" s="23" t="s">
        <v>433</v>
      </c>
      <c r="X12" s="9"/>
      <c r="Y12" s="9"/>
      <c r="Z12" s="9"/>
      <c r="AA12" s="9"/>
      <c r="AB12" s="9"/>
      <c r="AC12" s="9"/>
      <c r="AD12" s="9"/>
      <c r="AE12" s="35" t="s">
        <v>434</v>
      </c>
      <c r="AF12" s="9"/>
      <c r="AG12" s="9"/>
      <c r="AH12" s="27" t="s">
        <v>408</v>
      </c>
      <c r="AI12" s="9"/>
      <c r="AJ12" s="27" t="s">
        <v>435</v>
      </c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5.9" customHeight="1" x14ac:dyDescent="0.3">
      <c r="A13" s="17" t="str">
        <v>الجمعية</v>
      </c>
      <c r="B13" s="17" t="str">
        <v>دائرة المشاريع والتسويق والإعلام</v>
      </c>
      <c r="C13" s="17" t="str">
        <v>مكتب دير البلح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21" t="s">
        <v>34</v>
      </c>
      <c r="U13" s="23" t="s">
        <v>436</v>
      </c>
      <c r="V13" s="9"/>
      <c r="W13" s="23" t="s">
        <v>437</v>
      </c>
      <c r="X13" s="9"/>
      <c r="Y13" s="9"/>
      <c r="Z13" s="9"/>
      <c r="AA13" s="9"/>
      <c r="AB13" s="9"/>
      <c r="AC13" s="9"/>
      <c r="AD13" s="9"/>
      <c r="AE13" s="35" t="s">
        <v>346</v>
      </c>
      <c r="AF13" s="9"/>
      <c r="AG13" s="9"/>
      <c r="AH13" s="27" t="s">
        <v>438</v>
      </c>
      <c r="AI13" s="9"/>
      <c r="AJ13" s="27" t="s">
        <v>439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5.9" customHeight="1" x14ac:dyDescent="0.3">
      <c r="A14" s="17" t="str">
        <v>الجمعية</v>
      </c>
      <c r="B14" s="17" t="str">
        <v>دائرة المشاريع والتسويق والإعلام</v>
      </c>
      <c r="C14" s="17" t="str">
        <v>مكتب المغازي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21" t="s">
        <v>185</v>
      </c>
      <c r="U14" s="23" t="s">
        <v>440</v>
      </c>
      <c r="V14" s="9"/>
      <c r="W14" s="23" t="s">
        <v>441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7" t="s">
        <v>442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5.9" customHeight="1" x14ac:dyDescent="0.3">
      <c r="A15" s="17" t="str">
        <v>الجمعية</v>
      </c>
      <c r="B15" s="17" t="str">
        <v>دائرة المشاريع والتسويق والإعلام</v>
      </c>
      <c r="C15" s="17" t="str">
        <v>مكتب الزوايدة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28" t="s">
        <v>328</v>
      </c>
      <c r="U15" s="23" t="s">
        <v>443</v>
      </c>
      <c r="V15" s="9"/>
      <c r="W15" s="23" t="s">
        <v>444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7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5.9" customHeight="1" x14ac:dyDescent="0.3">
      <c r="A16" s="17" t="str">
        <v>الجمعية</v>
      </c>
      <c r="B16" s="17" t="str">
        <v>دائرة المشاريع والتسويق والإعلام</v>
      </c>
      <c r="C16" s="17" t="str">
        <v>مكتب البريج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21" t="s">
        <v>83</v>
      </c>
      <c r="U16" s="23" t="s">
        <v>445</v>
      </c>
      <c r="V16" s="9"/>
      <c r="W16" s="23" t="s">
        <v>446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7" t="s">
        <v>427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5.9" customHeight="1" x14ac:dyDescent="0.3">
      <c r="A17" s="17" t="str">
        <v>الجمعية</v>
      </c>
      <c r="B17" s="17" t="str">
        <v>دائرة المشاريع والتسويق والإعلام</v>
      </c>
      <c r="C17" s="17" t="str">
        <v>مكتب غزة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21" t="s">
        <v>264</v>
      </c>
      <c r="U17" s="23" t="s">
        <v>447</v>
      </c>
      <c r="V17" s="9"/>
      <c r="W17" s="23" t="s">
        <v>448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7" t="s">
        <v>449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5.9" customHeight="1" x14ac:dyDescent="0.3">
      <c r="A18" s="17" t="str">
        <v>الجمعية</v>
      </c>
      <c r="B18" s="17" t="str">
        <v>دائرة المشاريع والتسويق والإعلام</v>
      </c>
      <c r="C18" s="17" t="str">
        <v>مكتب جباليا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21" t="s">
        <v>179</v>
      </c>
      <c r="U18" s="23" t="s">
        <v>450</v>
      </c>
      <c r="V18" s="9"/>
      <c r="W18" s="23" t="s">
        <v>451</v>
      </c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7" t="s">
        <v>431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5.9" customHeight="1" x14ac:dyDescent="0.3">
      <c r="A19" s="17" t="str">
        <v>الجمعية</v>
      </c>
      <c r="B19" s="17" t="str">
        <v>دائرة المشاريع والتسويق والإعلام</v>
      </c>
      <c r="C19" s="17" t="str">
        <v>قسم المشاريع والتسويق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21" t="s">
        <v>270</v>
      </c>
      <c r="U19" s="23" t="s">
        <v>452</v>
      </c>
      <c r="V19" s="9"/>
      <c r="W19" s="23" t="s">
        <v>453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7" t="s">
        <v>435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5.9" customHeight="1" x14ac:dyDescent="0.3">
      <c r="A20" s="17" t="str">
        <v>الجمعية</v>
      </c>
      <c r="B20" s="17" t="str">
        <v>دائرة المشاريع والتسويق والإعلام</v>
      </c>
      <c r="C20" s="17" t="str">
        <v>قسم الإعلام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21" t="s">
        <v>141</v>
      </c>
      <c r="U20" s="23" t="s">
        <v>454</v>
      </c>
      <c r="V20" s="9"/>
      <c r="W20" s="23" t="s">
        <v>455</v>
      </c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7" t="s">
        <v>439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5.9" customHeight="1" x14ac:dyDescent="0.3">
      <c r="A21" s="17" t="str">
        <v>الجمعية</v>
      </c>
      <c r="B21" s="17" t="str">
        <v>دائرة المشاريع والتسويق والإعلام</v>
      </c>
      <c r="C21" s="17" t="str">
        <v>متابعة السيارات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21" t="s">
        <v>166</v>
      </c>
      <c r="U21" s="23" t="s">
        <v>456</v>
      </c>
      <c r="V21" s="9"/>
      <c r="W21" s="23" t="s">
        <v>457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5.9" customHeight="1" x14ac:dyDescent="0.3">
      <c r="A22" s="17" t="str">
        <v>الجمعية</v>
      </c>
      <c r="B22" s="17" t="str">
        <v>دائرة الشؤون المالية</v>
      </c>
      <c r="C22" s="17" t="str">
        <v>قسم الحسابات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21" t="s">
        <v>150</v>
      </c>
      <c r="U22" s="23" t="s">
        <v>458</v>
      </c>
      <c r="V22" s="9"/>
      <c r="W22" s="23" t="s">
        <v>459</v>
      </c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5.9" customHeight="1" x14ac:dyDescent="0.3">
      <c r="A23" s="17" t="str">
        <v>الجمعية</v>
      </c>
      <c r="B23" s="17" t="str">
        <v>دائرة الشؤون المالية</v>
      </c>
      <c r="C23" s="17" t="str">
        <v>قسم المشتريات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21" t="s">
        <v>40</v>
      </c>
      <c r="U23" s="23" t="s">
        <v>460</v>
      </c>
      <c r="V23" s="9"/>
      <c r="W23" s="23" t="s">
        <v>461</v>
      </c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5.9" customHeight="1" x14ac:dyDescent="0.3">
      <c r="A24" s="17" t="str">
        <v>الجمعية</v>
      </c>
      <c r="B24" s="17" t="str">
        <v>دائرة الشؤون المالية</v>
      </c>
      <c r="C24" s="17" t="str">
        <v>قسم المخازن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21" t="s">
        <v>223</v>
      </c>
      <c r="U24" s="23" t="s">
        <v>462</v>
      </c>
      <c r="V24" s="9"/>
      <c r="W24" s="23" t="s">
        <v>463</v>
      </c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5.9" customHeight="1" x14ac:dyDescent="0.3">
      <c r="A25" s="17" t="str">
        <v>الجمعية</v>
      </c>
      <c r="B25" s="17" t="str">
        <v>دائرة الشؤون المالية</v>
      </c>
      <c r="C25" s="17" t="str">
        <v>قسم الموازنة والتدقيق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21" t="s">
        <v>221</v>
      </c>
      <c r="U25" s="23" t="s">
        <v>464</v>
      </c>
      <c r="V25" s="9"/>
      <c r="W25" s="23" t="s">
        <v>465</v>
      </c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5.9" customHeight="1" x14ac:dyDescent="0.3">
      <c r="A26" s="17" t="str">
        <v>الجمعية</v>
      </c>
      <c r="B26" s="17" t="str">
        <v>دائرة الاستثمار الخيري</v>
      </c>
      <c r="C26" s="17" t="str">
        <v>قسم التعليم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21" t="s">
        <v>31</v>
      </c>
      <c r="U26" s="23" t="s">
        <v>466</v>
      </c>
      <c r="V26" s="9"/>
      <c r="W26" s="23" t="s">
        <v>467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5.9" customHeight="1" x14ac:dyDescent="0.3">
      <c r="A27" s="17" t="str">
        <v>الجمعية</v>
      </c>
      <c r="B27" s="17" t="str">
        <v>دائرة الاستثمار الخيري</v>
      </c>
      <c r="C27" s="17" t="str">
        <v>قسم الزراعة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21" t="s">
        <v>176</v>
      </c>
      <c r="U27" s="23" t="s">
        <v>468</v>
      </c>
      <c r="V27" s="9"/>
      <c r="W27" s="23" t="s">
        <v>469</v>
      </c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5.9" customHeight="1" x14ac:dyDescent="0.3">
      <c r="A28" s="17" t="str">
        <v>الجمعية</v>
      </c>
      <c r="B28" s="17" t="str">
        <v>دائرة الاستثمار الخيري</v>
      </c>
      <c r="C28" s="17" t="str">
        <v>قسم المشاريع التنموية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21" t="s">
        <v>45</v>
      </c>
      <c r="U28" s="23" t="s">
        <v>470</v>
      </c>
      <c r="V28" s="9"/>
      <c r="W28" s="23" t="s">
        <v>471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5.9" customHeight="1" x14ac:dyDescent="0.3">
      <c r="A29" s="17" t="str">
        <v>الجمعية</v>
      </c>
      <c r="B29" s="17" t="str">
        <v>دائرة الاستثمار الخيري</v>
      </c>
      <c r="C29" s="17" t="str">
        <v>مطبخ البركة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21" t="s">
        <v>263</v>
      </c>
      <c r="U29" s="23" t="s">
        <v>472</v>
      </c>
      <c r="V29" s="9"/>
      <c r="W29" s="23" t="s">
        <v>473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5.9" customHeight="1" x14ac:dyDescent="0.3">
      <c r="A30" s="17" t="str">
        <v>الجمعية</v>
      </c>
      <c r="B30" s="17" t="str">
        <v>دائرة الاستثمار الخيري</v>
      </c>
      <c r="C30" s="17" t="str">
        <v>مطبخ الزيناتي / خارجي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21" t="s">
        <v>8</v>
      </c>
      <c r="U30" s="23" t="s">
        <v>474</v>
      </c>
      <c r="V30" s="9"/>
      <c r="W30" s="23" t="s">
        <v>475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5.9" customHeight="1" x14ac:dyDescent="0.3">
      <c r="A31" s="17" t="str">
        <v>الجمعية</v>
      </c>
      <c r="B31" s="17" t="str">
        <v>دائرة الاستثمار الخيري</v>
      </c>
      <c r="C31" s="17" t="str">
        <v>عمارة سعد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21" t="s">
        <v>142</v>
      </c>
      <c r="U31" s="23" t="s">
        <v>476</v>
      </c>
      <c r="V31" s="9"/>
      <c r="W31" s="23" t="s">
        <v>477</v>
      </c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5.9" customHeight="1" x14ac:dyDescent="0.3">
      <c r="A32" s="17" t="str">
        <v>الجمعية</v>
      </c>
      <c r="B32" s="17" t="str">
        <v>دائرة الاستثمار الخيري</v>
      </c>
      <c r="C32" s="17" t="str">
        <v>عمارة المدينة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21" t="s">
        <v>186</v>
      </c>
      <c r="U32" s="23" t="s">
        <v>478</v>
      </c>
      <c r="V32" s="9"/>
      <c r="W32" s="23" t="s">
        <v>479</v>
      </c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5.9" customHeight="1" x14ac:dyDescent="0.3">
      <c r="A33" s="17" t="str">
        <v>المراكز الصحية</v>
      </c>
      <c r="B33" s="17" t="str">
        <v>يافا</v>
      </c>
      <c r="C33" s="17" t="str">
        <v>عيادة مسالك بولية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28" t="s">
        <v>345</v>
      </c>
      <c r="U33" s="23" t="s">
        <v>480</v>
      </c>
      <c r="V33" s="9"/>
      <c r="W33" s="23" t="s">
        <v>481</v>
      </c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5.9" customHeight="1" x14ac:dyDescent="0.3">
      <c r="A34" s="17" t="str">
        <v>المراكز الصحية</v>
      </c>
      <c r="B34" s="17" t="str">
        <v>يافا</v>
      </c>
      <c r="C34" s="17" t="str">
        <v>عيادة فحص السمع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21" t="s">
        <v>174</v>
      </c>
      <c r="U34" s="23" t="s">
        <v>482</v>
      </c>
      <c r="V34" s="9"/>
      <c r="W34" s="23" t="s">
        <v>483</v>
      </c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5.9" customHeight="1" x14ac:dyDescent="0.3">
      <c r="A35" s="17" t="str">
        <v>المراكز الصحية</v>
      </c>
      <c r="B35" s="17" t="str">
        <v>يافا</v>
      </c>
      <c r="C35" s="17" t="str">
        <v>عيادة النطق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21" t="s">
        <v>51</v>
      </c>
      <c r="U35" s="23" t="s">
        <v>484</v>
      </c>
      <c r="V35" s="9"/>
      <c r="W35" s="23" t="s">
        <v>485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ht="15.9" customHeight="1" x14ac:dyDescent="0.3">
      <c r="A36" s="17" t="str">
        <v>المراكز الصحية</v>
      </c>
      <c r="B36" s="17" t="str">
        <v>يافا</v>
      </c>
      <c r="C36" s="17" t="str">
        <v>عيادة النساء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21" t="s">
        <v>201</v>
      </c>
      <c r="U36" s="23" t="s">
        <v>486</v>
      </c>
      <c r="V36" s="9"/>
      <c r="W36" s="23" t="s">
        <v>487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ht="15.9" customHeight="1" x14ac:dyDescent="0.3">
      <c r="A37" s="17" t="str">
        <v>المراكز الصحية</v>
      </c>
      <c r="B37" s="17" t="str">
        <v>يافا</v>
      </c>
      <c r="C37" s="17" t="str">
        <v>عيادة الاوعية الدموية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21" t="s">
        <v>24</v>
      </c>
      <c r="U37" s="23" t="s">
        <v>488</v>
      </c>
      <c r="V37" s="9"/>
      <c r="W37" s="23" t="s">
        <v>489</v>
      </c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ht="15.9" customHeight="1" x14ac:dyDescent="0.3">
      <c r="A38" s="17" t="str">
        <v>المراكز الصحية</v>
      </c>
      <c r="B38" s="17" t="str">
        <v>يافا</v>
      </c>
      <c r="C38" s="17" t="str">
        <v>عيادة الاسنان- رجال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21" t="s">
        <v>43</v>
      </c>
      <c r="U38" s="23" t="s">
        <v>490</v>
      </c>
      <c r="V38" s="9"/>
      <c r="W38" s="23" t="s">
        <v>491</v>
      </c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ht="15.9" customHeight="1" x14ac:dyDescent="0.3">
      <c r="A39" s="17" t="str">
        <v>المراكز الصحية</v>
      </c>
      <c r="B39" s="17" t="str">
        <v>يافا</v>
      </c>
      <c r="C39" s="17" t="str">
        <v>عيادة اسنان -نساء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21" t="s">
        <v>145</v>
      </c>
      <c r="U39" s="23" t="s">
        <v>492</v>
      </c>
      <c r="V39" s="9"/>
      <c r="W39" s="23" t="s">
        <v>493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15.9" customHeight="1" x14ac:dyDescent="0.3">
      <c r="A40" s="17" t="str">
        <v>المراكز الصحية</v>
      </c>
      <c r="B40" s="17" t="str">
        <v>يافا</v>
      </c>
      <c r="C40" s="17" t="str">
        <v>عيادة عظام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21" t="s">
        <v>49</v>
      </c>
      <c r="U40" s="23" t="s">
        <v>494</v>
      </c>
      <c r="V40" s="9"/>
      <c r="W40" s="23" t="s">
        <v>495</v>
      </c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ht="15.9" customHeight="1" x14ac:dyDescent="0.3">
      <c r="A41" s="17" t="str">
        <v>المراكز الصحية</v>
      </c>
      <c r="B41" s="17" t="str">
        <v>يافا</v>
      </c>
      <c r="C41" s="17" t="str">
        <v>عيادة طب العيون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21" t="s">
        <v>101</v>
      </c>
      <c r="U41" s="23" t="s">
        <v>496</v>
      </c>
      <c r="V41" s="9"/>
      <c r="W41" s="23" t="s">
        <v>497</v>
      </c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5.9" customHeight="1" x14ac:dyDescent="0.3">
      <c r="A42" s="17" t="str">
        <v>المراكز الصحية</v>
      </c>
      <c r="B42" s="17" t="str">
        <v>يافا</v>
      </c>
      <c r="C42" s="17" t="str">
        <v>عيادة جلدية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21" t="s">
        <v>11</v>
      </c>
      <c r="U42" s="23" t="s">
        <v>498</v>
      </c>
      <c r="V42" s="9"/>
      <c r="W42" s="23" t="s">
        <v>499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ht="15.9" customHeight="1" x14ac:dyDescent="0.3">
      <c r="A43" s="17" t="str">
        <v>المراكز الصحية</v>
      </c>
      <c r="B43" s="17" t="str">
        <v>يافا</v>
      </c>
      <c r="C43" s="17" t="str">
        <v>عيادة جراحة واعصاب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21" t="s">
        <v>162</v>
      </c>
      <c r="U43" s="23" t="s">
        <v>500</v>
      </c>
      <c r="V43" s="9"/>
      <c r="W43" s="23" t="s">
        <v>501</v>
      </c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ht="15.9" customHeight="1" x14ac:dyDescent="0.3">
      <c r="A44" s="17" t="str">
        <v>المراكز الصحية</v>
      </c>
      <c r="B44" s="17" t="str">
        <v>يافا</v>
      </c>
      <c r="C44" s="17" t="str">
        <v>عيادة جراحة عامة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21" t="s">
        <v>58</v>
      </c>
      <c r="U44" s="23" t="s">
        <v>502</v>
      </c>
      <c r="V44" s="9"/>
      <c r="W44" s="23" t="s">
        <v>503</v>
      </c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ht="15.9" customHeight="1" x14ac:dyDescent="0.3">
      <c r="A45" s="17" t="str">
        <v>المراكز الصحية</v>
      </c>
      <c r="B45" s="17" t="str">
        <v>يافا</v>
      </c>
      <c r="C45" s="17" t="str">
        <v>عيادة بصريات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21" t="s">
        <v>196</v>
      </c>
      <c r="U45" s="23" t="s">
        <v>504</v>
      </c>
      <c r="V45" s="9"/>
      <c r="W45" s="23" t="s">
        <v>505</v>
      </c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5.9" customHeight="1" x14ac:dyDescent="0.3">
      <c r="A46" s="17" t="str">
        <v>المراكز الصحية</v>
      </c>
      <c r="B46" s="17" t="str">
        <v>يافا</v>
      </c>
      <c r="C46" s="17" t="str">
        <v>المختبر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21" t="s">
        <v>178</v>
      </c>
      <c r="U46" s="23" t="s">
        <v>506</v>
      </c>
      <c r="V46" s="9"/>
      <c r="W46" s="23" t="s">
        <v>507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ht="15.9" customHeight="1" x14ac:dyDescent="0.3">
      <c r="A47" s="17" t="str">
        <v>المراكز الصحية</v>
      </c>
      <c r="B47" s="17" t="str">
        <v>يافا</v>
      </c>
      <c r="C47" s="17" t="str">
        <v>عيادة العمليات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21" t="s">
        <v>246</v>
      </c>
      <c r="U47" s="23" t="s">
        <v>508</v>
      </c>
      <c r="V47" s="9"/>
      <c r="W47" s="23" t="s">
        <v>509</v>
      </c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ht="15.9" customHeight="1" x14ac:dyDescent="0.3">
      <c r="A48" s="17" t="str">
        <v>المراكز الصحية</v>
      </c>
      <c r="B48" s="17" t="str">
        <v>يافا</v>
      </c>
      <c r="C48" s="17" t="str">
        <v>عيادة العلاج الطبيعي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21" t="s">
        <v>167</v>
      </c>
      <c r="U48" s="23" t="s">
        <v>510</v>
      </c>
      <c r="V48" s="9"/>
      <c r="W48" s="23" t="s">
        <v>511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5.9" customHeight="1" x14ac:dyDescent="0.3">
      <c r="A49" s="17" t="str">
        <v>المراكز الصحية</v>
      </c>
      <c r="B49" s="17" t="str">
        <v>يافا</v>
      </c>
      <c r="C49" s="17" t="str">
        <v>الصيدلية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21" t="s">
        <v>64</v>
      </c>
      <c r="U49" s="23" t="s">
        <v>512</v>
      </c>
      <c r="V49" s="9"/>
      <c r="W49" s="23" t="s">
        <v>513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5.9" customHeight="1" x14ac:dyDescent="0.3">
      <c r="A50" s="17" t="str">
        <v>المراكز الصحية</v>
      </c>
      <c r="B50" s="17" t="str">
        <v>يافا</v>
      </c>
      <c r="C50" s="17" t="str">
        <v>عيادة اذن وانف حنجرة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21" t="s">
        <v>66</v>
      </c>
      <c r="U50" s="23" t="s">
        <v>514</v>
      </c>
      <c r="V50" s="9"/>
      <c r="W50" s="23" t="s">
        <v>515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5.9" customHeight="1" x14ac:dyDescent="0.3">
      <c r="A51" s="17" t="str">
        <v>المراكز الصحية</v>
      </c>
      <c r="B51" s="17" t="str">
        <v>الكويتي</v>
      </c>
      <c r="C51" s="17" t="str">
        <v>قسم البانوراما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21" t="s">
        <v>290</v>
      </c>
      <c r="U51" s="23" t="s">
        <v>516</v>
      </c>
      <c r="V51" s="9"/>
      <c r="W51" s="23" t="s">
        <v>517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5.9" customHeight="1" x14ac:dyDescent="0.3">
      <c r="A52" s="17" t="str">
        <v>المراكز الصحية</v>
      </c>
      <c r="B52" s="17" t="str">
        <v>الكويتي</v>
      </c>
      <c r="C52" s="17" t="str">
        <v>قسم الايكو اطفال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21" t="s">
        <v>518</v>
      </c>
      <c r="U52" s="23" t="s">
        <v>519</v>
      </c>
      <c r="V52" s="9"/>
      <c r="W52" s="23" t="s">
        <v>520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5.9" customHeight="1" x14ac:dyDescent="0.3">
      <c r="A53" s="17" t="str">
        <v>المراكز الصحية</v>
      </c>
      <c r="B53" s="17" t="str">
        <v>الكويتي</v>
      </c>
      <c r="C53" s="17" t="str">
        <v>قسم الايكو Echo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21" t="s">
        <v>71</v>
      </c>
      <c r="U53" s="23" t="s">
        <v>521</v>
      </c>
      <c r="V53" s="9"/>
      <c r="W53" s="23" t="s">
        <v>522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5.9" customHeight="1" x14ac:dyDescent="0.3">
      <c r="A54" s="17" t="str">
        <v>المراكز الصحية</v>
      </c>
      <c r="B54" s="17" t="str">
        <v>الكويتي</v>
      </c>
      <c r="C54" s="17" t="str">
        <v>قسم الألتراساوند US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21" t="s">
        <v>72</v>
      </c>
      <c r="U54" s="23" t="s">
        <v>523</v>
      </c>
      <c r="V54" s="9"/>
      <c r="W54" s="23" t="s">
        <v>524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5.9" customHeight="1" x14ac:dyDescent="0.3">
      <c r="A55" s="17" t="str">
        <v>المراكز الصحية</v>
      </c>
      <c r="B55" s="17" t="str">
        <v>الكويتي</v>
      </c>
      <c r="C55" s="17" t="str">
        <v>قسم الأشعة المقطعية CT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23" t="s">
        <v>69</v>
      </c>
      <c r="U55" s="29" t="s">
        <v>525</v>
      </c>
      <c r="V55" s="9"/>
      <c r="W55" s="23" t="s">
        <v>526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5.9" customHeight="1" x14ac:dyDescent="0.3">
      <c r="A56" s="17" t="str">
        <v>المراكز الصحية</v>
      </c>
      <c r="B56" s="17" t="str">
        <v>الكويتي</v>
      </c>
      <c r="C56" s="17" t="str">
        <v>قسم اشعة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23" t="s">
        <v>194</v>
      </c>
      <c r="U56" s="29" t="s">
        <v>527</v>
      </c>
      <c r="V56" s="9"/>
      <c r="W56" s="23" t="s">
        <v>528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5.9" customHeight="1" x14ac:dyDescent="0.3">
      <c r="A57" s="17" t="str">
        <v>المراكز الصحية</v>
      </c>
      <c r="B57" s="17" t="str">
        <v>الوسطى</v>
      </c>
      <c r="C57" s="17" t="str">
        <v>عيادة الاسنان- رجال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3" t="s">
        <v>14</v>
      </c>
      <c r="U57" s="29" t="s">
        <v>529</v>
      </c>
      <c r="V57" s="9"/>
      <c r="W57" s="23" t="s">
        <v>530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5.9" customHeight="1" x14ac:dyDescent="0.3">
      <c r="A58" s="17" t="str">
        <v>المراكز الصحية</v>
      </c>
      <c r="B58" s="17" t="str">
        <v>الوسطى</v>
      </c>
      <c r="C58" s="17" t="str">
        <v>عيادة عظام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23" t="s">
        <v>74</v>
      </c>
      <c r="U58" s="9" t="s">
        <v>531</v>
      </c>
      <c r="V58" s="9"/>
      <c r="W58" s="23" t="s">
        <v>532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5.9" customHeight="1" x14ac:dyDescent="0.3">
      <c r="A59" s="17" t="str">
        <v>المراكز الصحية</v>
      </c>
      <c r="B59" s="17" t="str">
        <v>الوسطى</v>
      </c>
      <c r="C59" s="17" t="str">
        <v>عيادة طب العيون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23" t="s">
        <v>266</v>
      </c>
      <c r="U59" s="9" t="s">
        <v>533</v>
      </c>
      <c r="V59" s="9"/>
      <c r="W59" s="23" t="s">
        <v>534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5.9" customHeight="1" x14ac:dyDescent="0.3">
      <c r="A60" s="17" t="str">
        <v>المراكز الصحية</v>
      </c>
      <c r="B60" s="17" t="str">
        <v>الوسطى</v>
      </c>
      <c r="C60" s="17" t="str">
        <v>عيادة طب اسرة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23" t="s">
        <v>267</v>
      </c>
      <c r="U60" s="9"/>
      <c r="V60" s="9"/>
      <c r="W60" s="23" t="s">
        <v>535</v>
      </c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5.9" customHeight="1" x14ac:dyDescent="0.3">
      <c r="A61" s="17" t="str">
        <v>المراكز الصحية</v>
      </c>
      <c r="B61" s="17" t="str">
        <v>الوسطى</v>
      </c>
      <c r="C61" s="17" t="str">
        <v>عيادة جلدية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23" t="s">
        <v>173</v>
      </c>
      <c r="U61" s="9"/>
      <c r="V61" s="9"/>
      <c r="W61" s="23" t="s">
        <v>536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5.9" customHeight="1" x14ac:dyDescent="0.3">
      <c r="A62" s="17" t="str">
        <v>المراكز الصحية</v>
      </c>
      <c r="B62" s="17" t="str">
        <v>الوسطى</v>
      </c>
      <c r="C62" s="17" t="str">
        <v>عيادة جراحة واعصاب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23" t="s">
        <v>537</v>
      </c>
      <c r="U62" s="9"/>
      <c r="V62" s="9"/>
      <c r="W62" s="23" t="s">
        <v>538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5.9" customHeight="1" x14ac:dyDescent="0.3">
      <c r="A63" s="17" t="str">
        <v>المراكز الصحية</v>
      </c>
      <c r="B63" s="17" t="str">
        <v>الوسطى</v>
      </c>
      <c r="C63" s="17" t="str">
        <v>بانوراما اشعة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23" t="s">
        <v>177</v>
      </c>
      <c r="U63" s="9"/>
      <c r="V63" s="9"/>
      <c r="W63" s="23" t="s">
        <v>539</v>
      </c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5.9" customHeight="1" x14ac:dyDescent="0.3">
      <c r="A64" s="17" t="str">
        <v>المراكز الصحية</v>
      </c>
      <c r="B64" s="17" t="str">
        <v>الوسطى</v>
      </c>
      <c r="C64" s="17" t="str">
        <v>عيادة باطنة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23" t="s">
        <v>169</v>
      </c>
      <c r="U64" s="9"/>
      <c r="V64" s="9"/>
      <c r="W64" s="23" t="s">
        <v>540</v>
      </c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5.9" customHeight="1" x14ac:dyDescent="0.3">
      <c r="A65" s="17" t="str">
        <v>المراكز الصحية</v>
      </c>
      <c r="B65" s="17" t="str">
        <v>الوسطى</v>
      </c>
      <c r="C65" s="17" t="str">
        <v>المختبر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23" t="s">
        <v>151</v>
      </c>
      <c r="U65" s="9"/>
      <c r="V65" s="9"/>
      <c r="W65" s="23" t="s">
        <v>541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5.9" customHeight="1" x14ac:dyDescent="0.3">
      <c r="A66" s="17" t="str">
        <v>المراكز الصحية</v>
      </c>
      <c r="B66" s="17" t="str">
        <v>الوسطى</v>
      </c>
      <c r="C66" s="17" t="str">
        <v>عيادة العلاج الطبيعي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23" t="s">
        <v>226</v>
      </c>
      <c r="U66" s="9"/>
      <c r="V66" s="9"/>
      <c r="W66" s="23" t="s">
        <v>542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5.9" customHeight="1" x14ac:dyDescent="0.3">
      <c r="A67" s="17" t="str">
        <v>المراكز الصحية</v>
      </c>
      <c r="B67" s="17" t="str">
        <v>الوسطى</v>
      </c>
      <c r="C67" s="17" t="str">
        <v>الصيدلية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23" t="s">
        <v>198</v>
      </c>
      <c r="U67" s="9"/>
      <c r="V67" s="9"/>
      <c r="W67" s="23" t="s">
        <v>543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5.9" customHeight="1" x14ac:dyDescent="0.3">
      <c r="A68" s="18" t="str">
        <v>المراكز الصحية</v>
      </c>
      <c r="B68" s="18" t="str">
        <v>الوسطى</v>
      </c>
      <c r="C68" s="18" t="str">
        <v>عيادة اذن وانف حنجرة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23" t="s">
        <v>187</v>
      </c>
      <c r="U68" s="9"/>
      <c r="V68" s="9"/>
      <c r="W68" s="23" t="s">
        <v>544</v>
      </c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5.9" customHeight="1" x14ac:dyDescent="0.3">
      <c r="A69" s="18" t="e">
        <v>#N/A</v>
      </c>
      <c r="B69" s="18" t="e">
        <v>#N/A</v>
      </c>
      <c r="C69" s="18" t="e">
        <v>#N/A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23" t="s">
        <v>38</v>
      </c>
      <c r="U69" s="9"/>
      <c r="V69" s="9"/>
      <c r="W69" s="23" t="s">
        <v>545</v>
      </c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5.9" customHeight="1" x14ac:dyDescent="0.3"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23" t="s">
        <v>181</v>
      </c>
      <c r="U70" s="9"/>
      <c r="V70" s="9"/>
      <c r="W70" s="23" t="s">
        <v>546</v>
      </c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5.9" customHeight="1" x14ac:dyDescent="0.3"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23" t="s">
        <v>164</v>
      </c>
      <c r="U71" s="9"/>
      <c r="V71" s="9"/>
      <c r="W71" s="23" t="s">
        <v>547</v>
      </c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5.9" customHeight="1" x14ac:dyDescent="0.3"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23" t="s">
        <v>219</v>
      </c>
      <c r="U72" s="9"/>
      <c r="V72" s="9"/>
      <c r="W72" s="23" t="s">
        <v>548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5.9" customHeight="1" x14ac:dyDescent="0.3"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23" t="s">
        <v>262</v>
      </c>
      <c r="U73" s="9"/>
      <c r="V73" s="9"/>
      <c r="W73" s="23" t="s">
        <v>549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5.9" customHeight="1" x14ac:dyDescent="0.3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23" t="s">
        <v>165</v>
      </c>
      <c r="U74" s="9"/>
      <c r="V74" s="9"/>
      <c r="W74" s="23" t="s">
        <v>550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5.9" customHeight="1" x14ac:dyDescent="0.3"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23" t="s">
        <v>86</v>
      </c>
      <c r="U75" s="9"/>
      <c r="V75" s="9"/>
      <c r="W75" s="23" t="s">
        <v>551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5.9" customHeight="1" x14ac:dyDescent="0.3"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23" t="s">
        <v>217</v>
      </c>
      <c r="U76" s="9"/>
      <c r="V76" s="9"/>
      <c r="W76" s="23" t="s">
        <v>552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5.9" customHeight="1" x14ac:dyDescent="0.3"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23" t="s">
        <v>87</v>
      </c>
      <c r="U77" s="9"/>
      <c r="V77" s="9"/>
      <c r="W77" s="23" t="s">
        <v>553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5.9" customHeight="1" x14ac:dyDescent="0.3"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23" t="s">
        <v>171</v>
      </c>
      <c r="U78" s="9"/>
      <c r="V78" s="9"/>
      <c r="W78" s="23" t="s">
        <v>554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5.9" customHeight="1" x14ac:dyDescent="0.3"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23" t="s">
        <v>144</v>
      </c>
      <c r="U79" s="9"/>
      <c r="V79" s="9"/>
      <c r="W79" s="23" t="s">
        <v>555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5.9" customHeight="1" x14ac:dyDescent="0.3"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23" t="s">
        <v>88</v>
      </c>
      <c r="U80" s="9"/>
      <c r="V80" s="9"/>
      <c r="W80" s="23" t="s">
        <v>556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4:48" ht="15.9" customHeight="1" x14ac:dyDescent="0.3"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23" t="s">
        <v>225</v>
      </c>
      <c r="U81" s="9"/>
      <c r="V81" s="9"/>
      <c r="W81" s="23" t="s">
        <v>557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4:48" ht="15.9" customHeight="1" x14ac:dyDescent="0.3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23" t="s">
        <v>89</v>
      </c>
      <c r="U82" s="9"/>
      <c r="V82" s="9"/>
      <c r="W82" s="23" t="s">
        <v>558</v>
      </c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4:48" ht="15.9" customHeight="1" x14ac:dyDescent="0.3"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23" t="s">
        <v>192</v>
      </c>
      <c r="U83" s="9"/>
      <c r="V83" s="9"/>
      <c r="W83" s="23" t="s">
        <v>559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4:48" ht="15.9" customHeight="1" x14ac:dyDescent="0.3"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23" t="s">
        <v>296</v>
      </c>
      <c r="U84" s="9"/>
      <c r="V84" s="9"/>
      <c r="W84" s="23" t="s">
        <v>560</v>
      </c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4:48" ht="15.9" customHeight="1" x14ac:dyDescent="0.3"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23" t="s">
        <v>182</v>
      </c>
      <c r="U85" s="9"/>
      <c r="V85" s="9"/>
      <c r="W85" s="23" t="s">
        <v>561</v>
      </c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4:48" ht="15.9" customHeight="1" x14ac:dyDescent="0.3"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23" t="s">
        <v>91</v>
      </c>
      <c r="U86" s="9"/>
      <c r="V86" s="9"/>
      <c r="W86" s="23" t="s">
        <v>562</v>
      </c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4:48" ht="15.9" customHeight="1" x14ac:dyDescent="0.3"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23" t="s">
        <v>22</v>
      </c>
      <c r="U87" s="9"/>
      <c r="V87" s="9"/>
      <c r="W87" s="23" t="s">
        <v>563</v>
      </c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4:48" ht="15.9" customHeight="1" x14ac:dyDescent="0.3"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23" t="s">
        <v>93</v>
      </c>
      <c r="U88" s="9"/>
      <c r="V88" s="9"/>
      <c r="W88" s="23" t="s">
        <v>564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4:48" ht="15.9" customHeight="1" x14ac:dyDescent="0.3"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23" t="s">
        <v>269</v>
      </c>
      <c r="U89" s="9"/>
      <c r="V89" s="9"/>
      <c r="W89" s="23" t="s">
        <v>565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4:48" ht="15.9" customHeight="1" x14ac:dyDescent="0.3"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23" t="s">
        <v>26</v>
      </c>
      <c r="U90" s="9"/>
      <c r="V90" s="9"/>
      <c r="W90" s="23" t="s">
        <v>566</v>
      </c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4:48" ht="15.9" customHeight="1" x14ac:dyDescent="0.3"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23" t="s">
        <v>97</v>
      </c>
      <c r="U91" s="9"/>
      <c r="V91" s="9"/>
      <c r="W91" s="23" t="s">
        <v>567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4:48" ht="15.9" customHeight="1" x14ac:dyDescent="0.3"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23" t="s">
        <v>148</v>
      </c>
      <c r="U92" s="9"/>
      <c r="V92" s="9"/>
      <c r="W92" s="23" t="s">
        <v>568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4:48" ht="15.9" customHeight="1" x14ac:dyDescent="0.3"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23" t="s">
        <v>195</v>
      </c>
      <c r="U93" s="9"/>
      <c r="V93" s="9"/>
      <c r="W93" s="23" t="s">
        <v>569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4:48" ht="15.9" customHeight="1" x14ac:dyDescent="0.3"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23" t="s">
        <v>193</v>
      </c>
      <c r="U94" s="9"/>
      <c r="V94" s="9"/>
      <c r="W94" s="23" t="s">
        <v>570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4:48" ht="15.9" customHeight="1" x14ac:dyDescent="0.3"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23" t="s">
        <v>138</v>
      </c>
      <c r="U95" s="9"/>
      <c r="V95" s="9"/>
      <c r="W95" s="23" t="s">
        <v>571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4:48" ht="15.9" customHeight="1" x14ac:dyDescent="0.3"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23" t="s">
        <v>172</v>
      </c>
      <c r="U96" s="9"/>
      <c r="V96" s="9"/>
      <c r="W96" s="23" t="s">
        <v>572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4:48" ht="15.9" customHeight="1" x14ac:dyDescent="0.3"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23" t="s">
        <v>139</v>
      </c>
      <c r="U97" s="9"/>
      <c r="V97" s="9"/>
      <c r="W97" s="23" t="s">
        <v>573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4:48" ht="15.9" customHeight="1" x14ac:dyDescent="0.3"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23" t="s">
        <v>16</v>
      </c>
      <c r="U98" s="9"/>
      <c r="V98" s="9"/>
      <c r="W98" s="23" t="s">
        <v>574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4:48" ht="15.9" customHeight="1" x14ac:dyDescent="0.3"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23" t="s">
        <v>19</v>
      </c>
      <c r="U99" s="9"/>
      <c r="V99" s="9"/>
      <c r="W99" s="23" t="s">
        <v>575</v>
      </c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4:48" ht="15.9" customHeight="1" x14ac:dyDescent="0.3"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23" t="s">
        <v>99</v>
      </c>
      <c r="U100" s="9"/>
      <c r="V100" s="9"/>
      <c r="W100" s="23" t="s">
        <v>576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4:48" ht="15.9" customHeight="1" x14ac:dyDescent="0.3"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30" t="s">
        <v>577</v>
      </c>
      <c r="U101" s="9"/>
      <c r="V101" s="9"/>
      <c r="W101" s="23" t="s">
        <v>578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4:48" ht="15.9" customHeight="1" x14ac:dyDescent="0.3"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 t="s">
        <v>579</v>
      </c>
      <c r="U102" s="9"/>
      <c r="V102" s="9"/>
      <c r="W102" s="23" t="s">
        <v>580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4:48" ht="15.9" customHeight="1" x14ac:dyDescent="0.3"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23" t="s">
        <v>581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4:48" ht="15.9" customHeight="1" x14ac:dyDescent="0.3"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23" t="s">
        <v>582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4:48" ht="15.9" customHeight="1" x14ac:dyDescent="0.3"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23" t="s">
        <v>583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4:48" ht="15.9" customHeight="1" x14ac:dyDescent="0.3"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23" t="s">
        <v>584</v>
      </c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4:48" ht="15.9" customHeight="1" x14ac:dyDescent="0.3"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23" t="s">
        <v>585</v>
      </c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4:48" ht="15.9" customHeight="1" x14ac:dyDescent="0.3"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23" t="s">
        <v>586</v>
      </c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4:48" ht="15.9" customHeight="1" x14ac:dyDescent="0.3"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23" t="s">
        <v>587</v>
      </c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4:48" ht="15.9" customHeight="1" x14ac:dyDescent="0.3"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23" t="s">
        <v>588</v>
      </c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4:48" ht="15.9" customHeight="1" x14ac:dyDescent="0.3"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23" t="s">
        <v>589</v>
      </c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4:48" ht="15.9" customHeight="1" x14ac:dyDescent="0.3"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23" t="s">
        <v>590</v>
      </c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4:48" ht="15.9" customHeight="1" x14ac:dyDescent="0.3"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23" t="s">
        <v>591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4:48" ht="15.9" customHeight="1" x14ac:dyDescent="0.3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23" t="s">
        <v>592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4:48" ht="15.9" customHeight="1" x14ac:dyDescent="0.3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23" t="s">
        <v>593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4:48" ht="15.9" customHeight="1" x14ac:dyDescent="0.3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23" t="s">
        <v>594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4:48" ht="15.9" customHeight="1" x14ac:dyDescent="0.3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23" t="s">
        <v>595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4:48" ht="15.9" customHeight="1" x14ac:dyDescent="0.3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23" t="s">
        <v>596</v>
      </c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4:48" ht="15.9" customHeight="1" x14ac:dyDescent="0.3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23" t="s">
        <v>597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4:48" ht="15.9" customHeight="1" x14ac:dyDescent="0.3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23" t="s">
        <v>598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4:48" ht="15.9" customHeight="1" x14ac:dyDescent="0.3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23" t="s">
        <v>599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4:48" ht="15.9" customHeight="1" x14ac:dyDescent="0.3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23" t="s">
        <v>600</v>
      </c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4:48" ht="15.9" customHeight="1" x14ac:dyDescent="0.3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23" t="s">
        <v>601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4:48" ht="15.9" customHeight="1" x14ac:dyDescent="0.3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23" t="s">
        <v>602</v>
      </c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4:48" ht="15.9" customHeight="1" x14ac:dyDescent="0.3"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23" t="s">
        <v>603</v>
      </c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4:48" ht="15.9" customHeight="1" x14ac:dyDescent="0.3"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23" t="s">
        <v>604</v>
      </c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4:48" ht="15.9" customHeight="1" x14ac:dyDescent="0.3"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23" t="s">
        <v>605</v>
      </c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4:48" ht="15.9" customHeight="1" x14ac:dyDescent="0.3"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23" t="s">
        <v>606</v>
      </c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4:48" ht="15.9" customHeight="1" x14ac:dyDescent="0.3"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23" t="s">
        <v>607</v>
      </c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4:48" ht="15.9" customHeight="1" x14ac:dyDescent="0.3"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23" t="s">
        <v>608</v>
      </c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4:48" ht="15.9" customHeight="1" x14ac:dyDescent="0.3"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23" t="s">
        <v>609</v>
      </c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4:48" ht="15.9" customHeight="1" x14ac:dyDescent="0.3"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23" t="s">
        <v>610</v>
      </c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4:48" ht="15.9" customHeight="1" x14ac:dyDescent="0.3"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23" t="s">
        <v>611</v>
      </c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4:48" ht="15.9" customHeight="1" x14ac:dyDescent="0.3"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23" t="s">
        <v>612</v>
      </c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4:48" ht="15.9" customHeight="1" x14ac:dyDescent="0.3"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23" t="s">
        <v>613</v>
      </c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4:48" ht="15.9" customHeight="1" x14ac:dyDescent="0.3"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23" t="s">
        <v>614</v>
      </c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4:48" ht="15.9" customHeight="1" x14ac:dyDescent="0.3"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23" t="s">
        <v>615</v>
      </c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4:48" ht="15.9" customHeight="1" x14ac:dyDescent="0.3"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23" t="s">
        <v>616</v>
      </c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4:48" ht="15.9" customHeight="1" x14ac:dyDescent="0.3"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23" t="s">
        <v>617</v>
      </c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4:48" ht="15.9" customHeight="1" x14ac:dyDescent="0.3"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23" t="s">
        <v>618</v>
      </c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4:48" ht="15.9" customHeight="1" x14ac:dyDescent="0.3"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23" t="s">
        <v>619</v>
      </c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4:48" ht="15.9" customHeight="1" x14ac:dyDescent="0.3"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23" t="s">
        <v>620</v>
      </c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4:48" ht="15.9" customHeight="1" x14ac:dyDescent="0.3"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23" t="s">
        <v>621</v>
      </c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4:48" ht="15.9" customHeight="1" x14ac:dyDescent="0.3"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23" t="s">
        <v>622</v>
      </c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4:48" ht="15.9" customHeight="1" x14ac:dyDescent="0.3"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23" t="s">
        <v>623</v>
      </c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4:48" ht="15.9" customHeight="1" x14ac:dyDescent="0.3"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23" t="s">
        <v>624</v>
      </c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4:48" ht="15.9" customHeight="1" x14ac:dyDescent="0.3"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23" t="s">
        <v>625</v>
      </c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4:48" ht="15.9" customHeight="1" x14ac:dyDescent="0.3"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23" t="s">
        <v>626</v>
      </c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4:48" ht="15.9" customHeight="1" x14ac:dyDescent="0.3"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23" t="s">
        <v>627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4:48" ht="15.9" customHeight="1" x14ac:dyDescent="0.3"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23" t="s">
        <v>628</v>
      </c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4:48" ht="15.9" customHeight="1" x14ac:dyDescent="0.3"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23" t="s">
        <v>629</v>
      </c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4:48" ht="15.9" customHeight="1" x14ac:dyDescent="0.3"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23" t="s">
        <v>630</v>
      </c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4:48" ht="15.9" customHeight="1" x14ac:dyDescent="0.3"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23" t="s">
        <v>631</v>
      </c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4:48" ht="15.9" customHeight="1" x14ac:dyDescent="0.3"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23" t="s">
        <v>632</v>
      </c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4:48" ht="15.9" customHeight="1" x14ac:dyDescent="0.3"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23" t="s">
        <v>633</v>
      </c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4:48" ht="15.9" customHeight="1" x14ac:dyDescent="0.3"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23" t="s">
        <v>634</v>
      </c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4:48" ht="15.9" customHeight="1" x14ac:dyDescent="0.3"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23" t="s">
        <v>635</v>
      </c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4:48" ht="15.9" customHeight="1" x14ac:dyDescent="0.3"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23" t="s">
        <v>636</v>
      </c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4:48" ht="15.9" customHeight="1" x14ac:dyDescent="0.3"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23" t="s">
        <v>637</v>
      </c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4:48" ht="15.9" customHeight="1" x14ac:dyDescent="0.3"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23" t="s">
        <v>638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4:48" ht="15.9" customHeight="1" x14ac:dyDescent="0.3"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23" t="s">
        <v>639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4:48" ht="15.9" customHeight="1" x14ac:dyDescent="0.3"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23" t="s">
        <v>640</v>
      </c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4:48" ht="15.9" customHeight="1" x14ac:dyDescent="0.3"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23" t="s">
        <v>641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4:48" ht="15.9" customHeight="1" x14ac:dyDescent="0.3"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23" t="s">
        <v>642</v>
      </c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4:48" ht="15.9" customHeight="1" x14ac:dyDescent="0.3"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23" t="s">
        <v>643</v>
      </c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4:48" ht="15.9" customHeight="1" x14ac:dyDescent="0.3"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23" t="s">
        <v>644</v>
      </c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4:48" ht="15.9" customHeight="1" x14ac:dyDescent="0.3"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23" t="s">
        <v>645</v>
      </c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4:48" ht="15.9" customHeight="1" x14ac:dyDescent="0.3"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23" t="s">
        <v>646</v>
      </c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4:48" ht="15.9" customHeight="1" x14ac:dyDescent="0.3"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23" t="s">
        <v>647</v>
      </c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4:48" ht="15.9" customHeight="1" x14ac:dyDescent="0.3"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23" t="s">
        <v>648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4:48" ht="15.9" customHeight="1" x14ac:dyDescent="0.3"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23" t="s">
        <v>649</v>
      </c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4:48" ht="15.9" customHeight="1" x14ac:dyDescent="0.3"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23" t="s">
        <v>650</v>
      </c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4:48" ht="15.9" customHeight="1" x14ac:dyDescent="0.3"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23" t="s">
        <v>651</v>
      </c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4:48" ht="15.9" customHeight="1" x14ac:dyDescent="0.3"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23" t="s">
        <v>652</v>
      </c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4:48" ht="15.9" customHeight="1" x14ac:dyDescent="0.3"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23" t="s">
        <v>653</v>
      </c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4:48" ht="15.9" customHeight="1" x14ac:dyDescent="0.3"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23" t="s">
        <v>654</v>
      </c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4:48" ht="15.9" customHeight="1" x14ac:dyDescent="0.3"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23" t="s">
        <v>655</v>
      </c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4:48" ht="15.9" customHeight="1" x14ac:dyDescent="0.3"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23" t="s">
        <v>656</v>
      </c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4:48" ht="15.9" customHeight="1" x14ac:dyDescent="0.3"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23" t="s">
        <v>657</v>
      </c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4:48" ht="15.9" customHeight="1" x14ac:dyDescent="0.3"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23" t="s">
        <v>658</v>
      </c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4:48" ht="15.9" customHeight="1" x14ac:dyDescent="0.3"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23" t="s">
        <v>659</v>
      </c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4:48" ht="15.9" customHeight="1" x14ac:dyDescent="0.3"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23" t="s">
        <v>660</v>
      </c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4:48" ht="15.9" customHeight="1" x14ac:dyDescent="0.3"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23" t="s">
        <v>661</v>
      </c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4:48" ht="15.9" customHeight="1" x14ac:dyDescent="0.3"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23" t="s">
        <v>662</v>
      </c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4:48" ht="15.9" customHeight="1" x14ac:dyDescent="0.3"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23" t="s">
        <v>663</v>
      </c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4:48" ht="15.9" customHeight="1" x14ac:dyDescent="0.3"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23" t="s">
        <v>664</v>
      </c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4:48" ht="15.9" customHeight="1" x14ac:dyDescent="0.3"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23" t="s">
        <v>665</v>
      </c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4:48" ht="15.9" customHeight="1" x14ac:dyDescent="0.3"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23" t="s">
        <v>666</v>
      </c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4:48" ht="15.9" customHeight="1" x14ac:dyDescent="0.3"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23" t="s">
        <v>667</v>
      </c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4:48" ht="15.9" customHeight="1" x14ac:dyDescent="0.3"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23" t="s">
        <v>668</v>
      </c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4:48" ht="15.9" customHeight="1" x14ac:dyDescent="0.3"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23" t="s">
        <v>669</v>
      </c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4:48" ht="15.9" customHeight="1" x14ac:dyDescent="0.3"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23" t="s">
        <v>670</v>
      </c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4:48" ht="15.9" customHeight="1" x14ac:dyDescent="0.3"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23" t="s">
        <v>671</v>
      </c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4:48" ht="15.9" customHeight="1" x14ac:dyDescent="0.3"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23" t="s">
        <v>672</v>
      </c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4:48" ht="15.9" customHeight="1" x14ac:dyDescent="0.3"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23" t="s">
        <v>673</v>
      </c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4:48" ht="15.9" customHeight="1" x14ac:dyDescent="0.3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23" t="s">
        <v>674</v>
      </c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4:48" ht="15.9" customHeight="1" x14ac:dyDescent="0.3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23" t="s">
        <v>675</v>
      </c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4:48" ht="15.9" customHeight="1" x14ac:dyDescent="0.3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23" t="s">
        <v>676</v>
      </c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4:48" ht="15.9" customHeight="1" x14ac:dyDescent="0.3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23" t="s">
        <v>677</v>
      </c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4:48" ht="15.9" customHeight="1" x14ac:dyDescent="0.3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23" t="s">
        <v>678</v>
      </c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4:48" ht="15.9" customHeight="1" x14ac:dyDescent="0.3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23" t="s">
        <v>679</v>
      </c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4:48" ht="15.9" customHeight="1" x14ac:dyDescent="0.3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23" t="s">
        <v>680</v>
      </c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4:48" ht="15.9" customHeight="1" x14ac:dyDescent="0.3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23" t="s">
        <v>681</v>
      </c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4:48" ht="15.9" customHeight="1" x14ac:dyDescent="0.3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23" t="s">
        <v>682</v>
      </c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4:48" ht="15.9" customHeight="1" x14ac:dyDescent="0.3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23" t="s">
        <v>683</v>
      </c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4:48" ht="15.9" customHeight="1" x14ac:dyDescent="0.3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23" t="s">
        <v>684</v>
      </c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4:48" ht="15.9" customHeight="1" x14ac:dyDescent="0.3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23" t="s">
        <v>685</v>
      </c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4:48" ht="15.9" customHeight="1" x14ac:dyDescent="0.3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23" t="s">
        <v>686</v>
      </c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4:48" ht="15.9" customHeight="1" x14ac:dyDescent="0.3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23" t="s">
        <v>687</v>
      </c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4:48" ht="15.9" customHeight="1" x14ac:dyDescent="0.3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23" t="s">
        <v>688</v>
      </c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4:48" ht="15.9" customHeight="1" x14ac:dyDescent="0.3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23" t="s">
        <v>689</v>
      </c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4:48" ht="15.9" customHeight="1" x14ac:dyDescent="0.3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23" t="s">
        <v>690</v>
      </c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4:48" ht="15.9" customHeight="1" x14ac:dyDescent="0.3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23" t="s">
        <v>691</v>
      </c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4:48" ht="15.9" customHeight="1" x14ac:dyDescent="0.3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23" t="s">
        <v>692</v>
      </c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4:48" ht="15.9" customHeight="1" x14ac:dyDescent="0.3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23" t="s">
        <v>693</v>
      </c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4:48" ht="15.9" customHeight="1" x14ac:dyDescent="0.3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23" t="s">
        <v>694</v>
      </c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4:48" ht="15.9" customHeight="1" x14ac:dyDescent="0.3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23" t="s">
        <v>695</v>
      </c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4:48" ht="15.9" customHeight="1" x14ac:dyDescent="0.3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23" t="s">
        <v>696</v>
      </c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4:48" ht="15.9" customHeight="1" x14ac:dyDescent="0.3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23" t="s">
        <v>697</v>
      </c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4:48" ht="15.9" customHeight="1" x14ac:dyDescent="0.3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23" t="s">
        <v>698</v>
      </c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4:48" ht="15.9" customHeight="1" x14ac:dyDescent="0.3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23" t="s">
        <v>699</v>
      </c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4:48" ht="15.9" customHeight="1" x14ac:dyDescent="0.3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23" t="s">
        <v>700</v>
      </c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4:48" ht="15.9" customHeight="1" x14ac:dyDescent="0.3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23" t="s">
        <v>701</v>
      </c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4:48" ht="15.9" customHeight="1" x14ac:dyDescent="0.3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23" t="s">
        <v>702</v>
      </c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4:48" ht="15.9" customHeight="1" x14ac:dyDescent="0.3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23" t="s">
        <v>703</v>
      </c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4:48" ht="15.9" customHeight="1" x14ac:dyDescent="0.3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23" t="s">
        <v>704</v>
      </c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4:48" ht="15.9" customHeight="1" x14ac:dyDescent="0.3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23" t="s">
        <v>705</v>
      </c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4:48" ht="15.9" customHeight="1" x14ac:dyDescent="0.3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23" t="s">
        <v>706</v>
      </c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4:48" ht="15.9" customHeight="1" x14ac:dyDescent="0.3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23" t="s">
        <v>707</v>
      </c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4:48" ht="15.9" customHeight="1" x14ac:dyDescent="0.3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23" t="s">
        <v>708</v>
      </c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4:48" ht="15.9" customHeight="1" x14ac:dyDescent="0.3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23" t="s">
        <v>709</v>
      </c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4:48" ht="15.9" customHeight="1" x14ac:dyDescent="0.3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23" t="s">
        <v>710</v>
      </c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4:48" ht="15.9" customHeight="1" x14ac:dyDescent="0.3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23" t="s">
        <v>711</v>
      </c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4:48" ht="15.9" customHeight="1" x14ac:dyDescent="0.3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23" t="s">
        <v>712</v>
      </c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4:48" ht="15.9" customHeight="1" x14ac:dyDescent="0.3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23" t="s">
        <v>713</v>
      </c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4:48" ht="15.9" customHeight="1" x14ac:dyDescent="0.3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23" t="s">
        <v>714</v>
      </c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4:48" ht="15.9" customHeight="1" x14ac:dyDescent="0.3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23" t="s">
        <v>715</v>
      </c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4:48" ht="15.9" customHeight="1" x14ac:dyDescent="0.3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23" t="s">
        <v>716</v>
      </c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4:48" ht="15.9" customHeight="1" x14ac:dyDescent="0.3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23" t="s">
        <v>717</v>
      </c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4:48" ht="15.9" customHeight="1" x14ac:dyDescent="0.3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23" t="s">
        <v>718</v>
      </c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4:48" ht="15.9" customHeight="1" x14ac:dyDescent="0.3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23" t="s">
        <v>719</v>
      </c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4:48" ht="15.9" customHeight="1" x14ac:dyDescent="0.3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23" t="s">
        <v>720</v>
      </c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4:48" ht="15.9" customHeight="1" x14ac:dyDescent="0.3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23" t="s">
        <v>721</v>
      </c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4:48" ht="15.9" customHeight="1" x14ac:dyDescent="0.3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23" t="s">
        <v>722</v>
      </c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4:48" ht="15.9" customHeight="1" x14ac:dyDescent="0.3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23" t="s">
        <v>723</v>
      </c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4:48" ht="15.9" customHeight="1" x14ac:dyDescent="0.3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23" t="s">
        <v>724</v>
      </c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4:48" ht="15.9" customHeight="1" x14ac:dyDescent="0.3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23" t="s">
        <v>725</v>
      </c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4:48" ht="15.9" customHeight="1" x14ac:dyDescent="0.3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23" t="s">
        <v>726</v>
      </c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4:48" ht="15.9" customHeight="1" x14ac:dyDescent="0.3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23" t="s">
        <v>727</v>
      </c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4:48" ht="15.9" customHeight="1" x14ac:dyDescent="0.3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23" t="s">
        <v>728</v>
      </c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4:48" ht="15.9" customHeight="1" x14ac:dyDescent="0.3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23" t="s">
        <v>729</v>
      </c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4:48" ht="15.9" customHeight="1" x14ac:dyDescent="0.3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23" t="s">
        <v>730</v>
      </c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4:48" ht="15.9" customHeight="1" x14ac:dyDescent="0.3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23" t="s">
        <v>731</v>
      </c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4:48" ht="15.9" customHeight="1" x14ac:dyDescent="0.3">
      <c r="W254" s="31" t="s">
        <v>732</v>
      </c>
    </row>
    <row r="255" spans="4:48" ht="15.9" customHeight="1" x14ac:dyDescent="0.3">
      <c r="W255" s="31" t="s">
        <v>733</v>
      </c>
    </row>
  </sheetData>
  <sheetProtection sheet="1" objects="1" scenarios="1" formatCells="0" formatColumns="0" formatRows="0" insertRows="0" deleteRows="0" sort="0" autoFilter="0"/>
  <conditionalFormatting sqref="A2:C67">
    <cfRule type="expression" dxfId="10" priority="1">
      <formula>ISEVEN(ROW())</formula>
    </cfRule>
  </conditionalFormatting>
  <conditionalFormatting sqref="Q2:Q11">
    <cfRule type="expression" dxfId="9" priority="4">
      <formula>ISEVEN(ROW())</formula>
    </cfRule>
  </conditionalFormatting>
  <conditionalFormatting sqref="S2:S4">
    <cfRule type="expression" dxfId="8" priority="2">
      <formula>ISEVEN(ROW())</formula>
    </cfRule>
  </conditionalFormatting>
  <conditionalFormatting sqref="T2:T100">
    <cfRule type="expression" dxfId="7" priority="5">
      <formula>ISEVEN(ROW())</formula>
    </cfRule>
  </conditionalFormatting>
  <conditionalFormatting sqref="U2:U54">
    <cfRule type="expression" dxfId="6" priority="6">
      <formula>ISEVEN(ROW())</formula>
    </cfRule>
  </conditionalFormatting>
  <conditionalFormatting sqref="V2:V8">
    <cfRule type="expression" dxfId="5" priority="3">
      <formula>ISEVEN(ROW())</formula>
    </cfRule>
  </conditionalFormatting>
  <conditionalFormatting sqref="W2:W255">
    <cfRule type="expression" dxfId="4" priority="7">
      <formula>ISEVEN(ROW())</formula>
    </cfRule>
  </conditionalFormatting>
  <conditionalFormatting sqref="AL2:AM5">
    <cfRule type="expression" dxfId="3" priority="8">
      <formula>ISEVEN(ROW())</formula>
    </cfRule>
  </conditionalFormatting>
  <conditionalFormatting sqref="AO2:AP5">
    <cfRule type="expression" dxfId="2" priority="9">
      <formula>ISEVEN(ROW())</formula>
    </cfRule>
  </conditionalFormatting>
  <conditionalFormatting sqref="AR2:AS5">
    <cfRule type="expression" dxfId="1" priority="10">
      <formula>ISEVEN(ROW())</formula>
    </cfRule>
  </conditionalFormatting>
  <conditionalFormatting sqref="AU2:AV7">
    <cfRule type="expression" dxfId="0" priority="11">
      <formula>ISEVEN(ROW())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بانات للداخلية</vt:lpstr>
      <vt:lpstr>LISTS</vt:lpstr>
      <vt:lpstr>'بانات للداخلية'!Print_Area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Wesam A. El-Kateeb</dc:creator>
  <cp:lastModifiedBy>Alsaeyd Alakhras</cp:lastModifiedBy>
  <dcterms:created xsi:type="dcterms:W3CDTF">2026-07-08T07:47:33Z</dcterms:created>
  <dcterms:modified xsi:type="dcterms:W3CDTF">2026-07-12T11:52:38Z</dcterms:modified>
</cp:coreProperties>
</file>